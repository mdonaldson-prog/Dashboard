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ettings" sheetId="2" state="visible" r:id="rId4"/>
    <sheet name="Velocity" sheetId="3" state="visible" r:id="rId5"/>
    <sheet name="Calendar" sheetId="4" state="visible" r:id="rId6"/>
    <sheet name="Daily Count Sheet" sheetId="5" state="visible" r:id="rId7"/>
  </sheets>
  <definedNames>
    <definedName function="false" hidden="false" localSheetId="4" name="_xlnm.Print_Area" vbProcedure="false">'Daily Count Sheet'!$A$1:$G$207</definedName>
    <definedName function="false" hidden="false" localSheetId="4" name="_xlnm.Print_Titles" vbProcedure="false">'Daily Count Sheet'!$7:$7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From the Dashboard: 0 = Fast, 1 = Medium, 2 = Slow, 3 = Dormant. Words or A/B/C/D also work.</t>
        </r>
      </text>
    </comment>
    <comment ref="H1" authorId="0">
      <text>
        <r>
          <rPr>
            <sz val="10"/>
            <rFont val="Arial"/>
            <family val="2"/>
          </rPr>
          <t xml:space="preserve">Optional. Type A, B, C or D to pin this SKU to a class.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Pick a date from the list (or type any Tuesday to Friday on or after the start date).</t>
        </r>
      </text>
    </comment>
  </commentList>
</comments>
</file>

<file path=xl/sharedStrings.xml><?xml version="1.0" encoding="utf-8"?>
<sst xmlns="http://schemas.openxmlformats.org/spreadsheetml/2006/main" count="106" uniqueCount="91">
  <si>
    <t xml:space="preserve">Aurora Cycle Count Schedule</t>
  </si>
  <si>
    <t xml:space="preserve">A SKUs are counted weekly, B every 2 weeks, and C every 4 weeks (monthly). Counting days are Tuesday to Friday.</t>
  </si>
  <si>
    <t xml:space="preserve">Each week</t>
  </si>
  <si>
    <t xml:space="preserve">1. In the Dashboard, open Cycle counts, pick Aurora, and download the Velocity classes table (CSV button, file velocity-Aurora.csv).</t>
  </si>
  <si>
    <t xml:space="preserve">2. On the Velocity tab, clear the blue columns A–G (rows 2 and below), then paste the CSV in at cell A2, without its header row. Leave the grey columns alone; they're formulas.</t>
  </si>
  <si>
    <t xml:space="preserve">3. To pin a SKU to a class, type A, B, C or D in the yellow Override column. Overrides are kept as long as the rows stay in the same order, so re-check them after pasting.</t>
  </si>
  <si>
    <t xml:space="preserve">4. Check the Calendar tab: counts per day against capacity. Red cells are days over capacity.</t>
  </si>
  <si>
    <t xml:space="preserve">5. On the Daily Count Sheet tab, pick a date in cell B3 and print. System quantity isn't shown (blind count).</t>
  </si>
  <si>
    <t xml:space="preserve">Classes</t>
  </si>
  <si>
    <t xml:space="preserve">The Dashboard's classes map to A/B/C: Fast = A, Medium = B, Slow = C. Dormant SKUs (stock on hand, no movement in 90 days) are D.</t>
  </si>
  <si>
    <t xml:space="preserve">D SKUs are counted once a year by default. To leave them off, set 'Schedule D (dormant) SKUs' to No on the Settings tab.</t>
  </si>
  <si>
    <t xml:space="preserve">The Class column in the Dashboard CSV comes through as 0/1/2/3 (Fast/Medium/Slow/Dormant). Words (Fast, Slow…) and letters (A, B, C) also work.</t>
  </si>
  <si>
    <t xml:space="preserve">How SKUs are spread out</t>
  </si>
  <si>
    <t xml:space="preserve">Within each class, SKUs are dealt round-robin across the counting days in one cycle (4 days for A, 8 for B, 16 for C), so each day gets an even share.</t>
  </si>
  <si>
    <t xml:space="preserve">Each SKU then keeps the same weekday and cycle week, e.g. a B SKU on 'Thu, week 2 of 2' is counted every other Thursday.</t>
  </si>
  <si>
    <t xml:space="preserve">Holidays aren't skipped automatically: on a holiday, count that day's list on the nearest open counting day.</t>
  </si>
  <si>
    <t xml:space="preserve">Changing the paste order, a SKU's class, or the start date reshuffles the days, so do it at the start of a cycle when you can.</t>
  </si>
  <si>
    <t xml:space="preserve">Cell colors</t>
  </si>
  <si>
    <t xml:space="preserve">Blue fill: paste the Dashboard CSV here.   Yellow fill: settings and overrides you can edit.   Grey fill: formulas, don't edit.</t>
  </si>
  <si>
    <t xml:space="preserve">Example of the pasted format (one row of velocity-Aurora.csv)</t>
  </si>
  <si>
    <t xml:space="preserve">SKU</t>
  </si>
  <si>
    <t xml:space="preserve">Product</t>
  </si>
  <si>
    <t xml:space="preserve">Transactions</t>
  </si>
  <si>
    <t xml:space="preserve">Cumulative %</t>
  </si>
  <si>
    <t xml:space="preserve">Class</t>
  </si>
  <si>
    <t xml:space="preserve">Last counted</t>
  </si>
  <si>
    <t xml:space="preserve">On hand</t>
  </si>
  <si>
    <t xml:space="preserve">EP-1001-5G</t>
  </si>
  <si>
    <t xml:space="preserve">Epoxy Primer Part A, 5 gal</t>
  </si>
  <si>
    <t xml:space="preserve">2026-09-29</t>
  </si>
  <si>
    <t xml:space="preserve">(Example only. Don't paste this row: it's here to show the column order.)</t>
  </si>
  <si>
    <t xml:space="preserve">Settings</t>
  </si>
  <si>
    <t xml:space="preserve">Location</t>
  </si>
  <si>
    <t xml:space="preserve">Aurora</t>
  </si>
  <si>
    <t xml:space="preserve">Label only.</t>
  </si>
  <si>
    <t xml:space="preserve">Schedule start (a Tuesday)</t>
  </si>
  <si>
    <t xml:space="preserve">Week 1 starts here. Must be a Tuesday.</t>
  </si>
  <si>
    <t xml:space="preserve">Daily capacity (SKUs per day)</t>
  </si>
  <si>
    <t xml:space="preserve">Confirmed range is 40–60 SKUs a day.</t>
  </si>
  <si>
    <t xml:space="preserve">Schedule D (dormant) SKUs</t>
  </si>
  <si>
    <t xml:space="preserve">Yes</t>
  </si>
  <si>
    <t xml:space="preserve">Yes = count D SKUs on the D cadence below. No = leave them off.</t>
  </si>
  <si>
    <t xml:space="preserve">Dashboard class</t>
  </si>
  <si>
    <t xml:space="preserve">Cadence (weeks)</t>
  </si>
  <si>
    <t xml:space="preserve">Counting days per cycle</t>
  </si>
  <si>
    <t xml:space="preserve">SKUs</t>
  </si>
  <si>
    <t xml:space="preserve">SKUs per day</t>
  </si>
  <si>
    <t xml:space="preserve">Counts per 4 weeks</t>
  </si>
  <si>
    <t xml:space="preserve">A</t>
  </si>
  <si>
    <t xml:space="preserve">Fast</t>
  </si>
  <si>
    <t xml:space="preserve">B</t>
  </si>
  <si>
    <t xml:space="preserve">Medium</t>
  </si>
  <si>
    <t xml:space="preserve">C</t>
  </si>
  <si>
    <t xml:space="preserve">Slow</t>
  </si>
  <si>
    <t xml:space="preserve">D</t>
  </si>
  <si>
    <t xml:space="preserve">Dormant</t>
  </si>
  <si>
    <t xml:space="preserve">Total</t>
  </si>
  <si>
    <t xml:space="preserve">Capacity check</t>
  </si>
  <si>
    <t xml:space="preserve">Cadence and capacity are editable. 'SKUs per day' is the average load: SKUs ÷ (cadence weeks × 4 counting days).</t>
  </si>
  <si>
    <t xml:space="preserve">Override (A/B/C/D)</t>
  </si>
  <si>
    <t xml:space="preserve">ABC class</t>
  </si>
  <si>
    <t xml:space="preserve"># in class</t>
  </si>
  <si>
    <t xml:space="preserve">Count day</t>
  </si>
  <si>
    <t xml:space="preserve">Cycle week</t>
  </si>
  <si>
    <t xml:space="preserve">First count</t>
  </si>
  <si>
    <t xml:space="preserve">Next count</t>
  </si>
  <si>
    <t xml:space="preserve">_slot</t>
  </si>
  <si>
    <t xml:space="preserve">_day</t>
  </si>
  <si>
    <t xml:space="preserve">_week</t>
  </si>
  <si>
    <t xml:space="preserve">_due</t>
  </si>
  <si>
    <t xml:space="preserve">_seq</t>
  </si>
  <si>
    <t xml:space="preserve">Count Calendar: Aurora</t>
  </si>
  <si>
    <t xml:space="preserve">Date</t>
  </si>
  <si>
    <t xml:space="preserve">Day</t>
  </si>
  <si>
    <t xml:space="preserve">Week</t>
  </si>
  <si>
    <t xml:space="preserve">A (weekly)</t>
  </si>
  <si>
    <t xml:space="preserve">B (2 weeks)</t>
  </si>
  <si>
    <t xml:space="preserve">C (4 weeks)</t>
  </si>
  <si>
    <t xml:space="preserve">D (dormant)</t>
  </si>
  <si>
    <t xml:space="preserve">Capacity</t>
  </si>
  <si>
    <t xml:space="preserve">Room left</t>
  </si>
  <si>
    <t xml:space="preserve">Average per day</t>
  </si>
  <si>
    <t xml:space="preserve">To plan further ahead, select the last 4 rows and drag them down: the formulas carry on week by week.</t>
  </si>
  <si>
    <t xml:space="preserve">Daily Cycle Count Sheet: Aurora</t>
  </si>
  <si>
    <t xml:space="preserve">Count date</t>
  </si>
  <si>
    <t xml:space="preserve">helpers →</t>
  </si>
  <si>
    <t xml:space="preserve">SKUs to count</t>
  </si>
  <si>
    <t xml:space="preserve">Counted by: ____________________    Blind count: system quantity is not shown. Count A SKUs before picking starts. Count every bin for each SKU.</t>
  </si>
  <si>
    <t xml:space="preserve">#</t>
  </si>
  <si>
    <t xml:space="preserve">Counted qty</t>
  </si>
  <si>
    <t xml:space="preserve">Notes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</si>
</sst>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\ ddd"/>
    <numFmt numFmtId="166" formatCode="0"/>
    <numFmt numFmtId="167" formatCode="General"/>
    <numFmt numFmtId="168" formatCode="0.0"/>
    <numFmt numFmtId="169" formatCode="#,##0"/>
    <numFmt numFmtId="170" formatCode="ddd\ m/d/yy"/>
    <numFmt numFmtId="171" formatCode="m/d/yyyy"/>
    <numFmt numFmtId="172" formatCode="dddd&quot;, &quot;mmmm\ d&quot;, &quot;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1"/>
      <color theme="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8"/>
      <color rgb="FFA6A6A6"/>
      <name val="Arial"/>
      <family val="0"/>
      <charset val="1"/>
    </font>
    <font>
      <i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F2F2F2"/>
        <bgColor rgb="FFF7F9FC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4B6B6"/>
      </patternFill>
    </fill>
    <fill>
      <patternFill patternType="solid">
        <fgColor rgb="FFD9D9D9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808000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B6B6"/>
        </patternFill>
      </fill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7F9FC"/>
      <rgbColor rgb="FFF4B6B6"/>
      <rgbColor rgb="FFCC99FF"/>
      <rgbColor rgb="FFF8CBAD"/>
      <rgbColor rgb="FF2E75B6"/>
      <rgbColor rgb="FF33CCCC"/>
      <rgbColor rgb="FF99CC00"/>
      <rgbColor rgb="FFFFCC00"/>
      <rgbColor rgb="FFBF8F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4" t="s">
        <v>20</v>
      </c>
      <c r="B26" s="4" t="s">
        <v>21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26</v>
      </c>
    </row>
    <row r="27" customFormat="false" ht="15" hidden="false" customHeight="false" outlineLevel="0" collapsed="false">
      <c r="A27" s="5" t="s">
        <v>27</v>
      </c>
      <c r="B27" s="5" t="s">
        <v>28</v>
      </c>
      <c r="C27" s="5" t="n">
        <v>42</v>
      </c>
      <c r="D27" s="5" t="n">
        <v>12.4</v>
      </c>
      <c r="E27" s="5" t="n">
        <v>0</v>
      </c>
      <c r="F27" s="5" t="s">
        <v>29</v>
      </c>
      <c r="G27" s="5" t="n">
        <v>18</v>
      </c>
    </row>
    <row r="28" customFormat="false" ht="15" hidden="false" customHeight="false" outlineLevel="0" collapsed="false">
      <c r="A28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7" min="4" style="0" width="14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3" t="s">
        <v>32</v>
      </c>
      <c r="B3" s="7" t="s">
        <v>33</v>
      </c>
      <c r="C3" s="6" t="s">
        <v>34</v>
      </c>
    </row>
    <row r="4" customFormat="false" ht="15" hidden="false" customHeight="false" outlineLevel="0" collapsed="false">
      <c r="A4" s="3" t="s">
        <v>35</v>
      </c>
      <c r="B4" s="8" t="n">
        <v>46315</v>
      </c>
      <c r="C4" s="6" t="s">
        <v>36</v>
      </c>
      <c r="D4" s="9" t="str">
        <f aca="false">IF(WEEKDAY(B4)=3,"","⚠ Not a Tuesday: counting days will be off")</f>
        <v/>
      </c>
    </row>
    <row r="5" customFormat="false" ht="15" hidden="false" customHeight="false" outlineLevel="0" collapsed="false">
      <c r="A5" s="3" t="s">
        <v>37</v>
      </c>
      <c r="B5" s="10" t="n">
        <v>50</v>
      </c>
      <c r="C5" s="6" t="s">
        <v>38</v>
      </c>
    </row>
    <row r="6" customFormat="false" ht="15" hidden="false" customHeight="false" outlineLevel="0" collapsed="false">
      <c r="A6" s="3" t="s">
        <v>39</v>
      </c>
      <c r="B6" s="7" t="s">
        <v>40</v>
      </c>
      <c r="C6" s="6" t="s">
        <v>41</v>
      </c>
    </row>
    <row r="8" customFormat="false" ht="23.85" hidden="false" customHeight="false" outlineLevel="0" collapsed="false">
      <c r="A8" s="11" t="s">
        <v>24</v>
      </c>
      <c r="B8" s="11" t="s">
        <v>42</v>
      </c>
      <c r="C8" s="11" t="s">
        <v>43</v>
      </c>
      <c r="D8" s="11" t="s">
        <v>44</v>
      </c>
      <c r="E8" s="11" t="s">
        <v>45</v>
      </c>
      <c r="F8" s="11" t="s">
        <v>46</v>
      </c>
      <c r="G8" s="11" t="s">
        <v>47</v>
      </c>
    </row>
    <row r="9" customFormat="false" ht="15" hidden="false" customHeight="false" outlineLevel="0" collapsed="false">
      <c r="A9" s="12" t="s">
        <v>48</v>
      </c>
      <c r="B9" s="5" t="s">
        <v>49</v>
      </c>
      <c r="C9" s="7" t="n">
        <v>1</v>
      </c>
      <c r="D9" s="13" t="n">
        <f aca="false">C9*4</f>
        <v>4</v>
      </c>
      <c r="E9" s="13" t="n">
        <f aca="false">COUNTIF(Velocity!$I$2:$I$3001,A9)</f>
        <v>0</v>
      </c>
      <c r="F9" s="14" t="n">
        <f aca="false">IF(OR(A9&lt;&gt;"D",$B$6="Yes"),E9/D9,0)</f>
        <v>0</v>
      </c>
      <c r="G9" s="15" t="n">
        <f aca="false">IF(OR(A9&lt;&gt;"D",$B$6="Yes"),E9*4/C9,0)</f>
        <v>0</v>
      </c>
    </row>
    <row r="10" customFormat="false" ht="15" hidden="false" customHeight="false" outlineLevel="0" collapsed="false">
      <c r="A10" s="16" t="s">
        <v>50</v>
      </c>
      <c r="B10" s="5" t="s">
        <v>51</v>
      </c>
      <c r="C10" s="7" t="n">
        <v>2</v>
      </c>
      <c r="D10" s="13" t="n">
        <f aca="false">C10*4</f>
        <v>8</v>
      </c>
      <c r="E10" s="13" t="n">
        <f aca="false">COUNTIF(Velocity!$I$2:$I$3001,A10)</f>
        <v>0</v>
      </c>
      <c r="F10" s="14" t="n">
        <f aca="false">IF(OR(A10&lt;&gt;"D",$B$6="Yes"),E10/D10,0)</f>
        <v>0</v>
      </c>
      <c r="G10" s="15" t="n">
        <f aca="false">IF(OR(A10&lt;&gt;"D",$B$6="Yes"),E10*4/C10,0)</f>
        <v>0</v>
      </c>
    </row>
    <row r="11" customFormat="false" ht="15" hidden="false" customHeight="false" outlineLevel="0" collapsed="false">
      <c r="A11" s="17" t="s">
        <v>52</v>
      </c>
      <c r="B11" s="5" t="s">
        <v>53</v>
      </c>
      <c r="C11" s="7" t="n">
        <v>4</v>
      </c>
      <c r="D11" s="13" t="n">
        <f aca="false">C11*4</f>
        <v>16</v>
      </c>
      <c r="E11" s="13" t="n">
        <f aca="false">COUNTIF(Velocity!$I$2:$I$3001,A11)</f>
        <v>0</v>
      </c>
      <c r="F11" s="14" t="n">
        <f aca="false">IF(OR(A11&lt;&gt;"D",$B$6="Yes"),E11/D11,0)</f>
        <v>0</v>
      </c>
      <c r="G11" s="15" t="n">
        <f aca="false">IF(OR(A11&lt;&gt;"D",$B$6="Yes"),E11*4/C11,0)</f>
        <v>0</v>
      </c>
    </row>
    <row r="12" customFormat="false" ht="15" hidden="false" customHeight="false" outlineLevel="0" collapsed="false">
      <c r="A12" s="18" t="s">
        <v>54</v>
      </c>
      <c r="B12" s="5" t="s">
        <v>55</v>
      </c>
      <c r="C12" s="7" t="n">
        <v>52</v>
      </c>
      <c r="D12" s="13" t="n">
        <f aca="false">C12*4</f>
        <v>208</v>
      </c>
      <c r="E12" s="13" t="n">
        <f aca="false">COUNTIF(Velocity!$I$2:$I$3001,A12)</f>
        <v>0</v>
      </c>
      <c r="F12" s="14" t="n">
        <f aca="false">IF(OR(A12&lt;&gt;"D",$B$6="Yes"),E12/D12,0)</f>
        <v>0</v>
      </c>
      <c r="G12" s="15" t="n">
        <f aca="false">IF(OR(A12&lt;&gt;"D",$B$6="Yes"),E12*4/C12,0)</f>
        <v>0</v>
      </c>
    </row>
    <row r="13" customFormat="false" ht="15" hidden="false" customHeight="false" outlineLevel="0" collapsed="false">
      <c r="A13" s="19" t="s">
        <v>56</v>
      </c>
      <c r="B13" s="20"/>
      <c r="C13" s="20"/>
      <c r="D13" s="20"/>
      <c r="E13" s="19" t="n">
        <f aca="false">SUM(E9:E12)</f>
        <v>0</v>
      </c>
      <c r="F13" s="21" t="n">
        <f aca="false">SUM(F9:F12)</f>
        <v>0</v>
      </c>
      <c r="G13" s="22" t="n">
        <f aca="false">SUM(G9:G12)</f>
        <v>0</v>
      </c>
    </row>
    <row r="14" customFormat="false" ht="15" hidden="false" customHeight="false" outlineLevel="0" collapsed="false">
      <c r="A14" s="3" t="s">
        <v>57</v>
      </c>
      <c r="B14" s="3" t="str">
        <f aca="false">IF(E13=0,"Paste the velocity CSV on the Velocity tab",IF(F13&lt;=$B$5,"OK: "&amp;TEXT(F13,"0.0")&amp;" SKUs a day needed, capacity "&amp;$B$5,"Over capacity by "&amp;TEXT(F13-$B$5,"0.0")&amp;" SKUs a day. Options: raise capacity, move some A SKUs to B (Override column), or lengthen the C cadence"))</f>
        <v>Paste the velocity CSV on the Velocity tab</v>
      </c>
    </row>
    <row r="16" customFormat="false" ht="15" hidden="false" customHeight="false" outlineLevel="0" collapsed="false">
      <c r="A16" s="6" t="s">
        <v>58</v>
      </c>
    </row>
  </sheetData>
  <dataValidations count="1">
    <dataValidation allowBlank="false" errorStyle="stop" operator="between" showDropDown="false" showErrorMessage="false" showInputMessage="false" sqref="B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true" outlineLevel="0" max="20" min="16" style="0" width="13"/>
  </cols>
  <sheetData>
    <row r="1" customFormat="false" ht="23.85" hidden="false" customHeight="false" outlineLevel="0" collapsed="false">
      <c r="A1" s="23" t="s">
        <v>20</v>
      </c>
      <c r="B1" s="23" t="s">
        <v>21</v>
      </c>
      <c r="C1" s="23" t="s">
        <v>22</v>
      </c>
      <c r="D1" s="23" t="s">
        <v>23</v>
      </c>
      <c r="E1" s="23" t="s">
        <v>24</v>
      </c>
      <c r="F1" s="23" t="s">
        <v>25</v>
      </c>
      <c r="G1" s="23" t="s">
        <v>26</v>
      </c>
      <c r="H1" s="24" t="s">
        <v>59</v>
      </c>
      <c r="I1" s="25" t="s">
        <v>60</v>
      </c>
      <c r="J1" s="25" t="s">
        <v>43</v>
      </c>
      <c r="K1" s="25" t="s">
        <v>61</v>
      </c>
      <c r="L1" s="25" t="s">
        <v>62</v>
      </c>
      <c r="M1" s="25" t="s">
        <v>63</v>
      </c>
      <c r="N1" s="25" t="s">
        <v>64</v>
      </c>
      <c r="O1" s="25" t="s">
        <v>65</v>
      </c>
      <c r="P1" s="25" t="s">
        <v>66</v>
      </c>
      <c r="Q1" s="25" t="s">
        <v>67</v>
      </c>
      <c r="R1" s="25" t="s">
        <v>68</v>
      </c>
      <c r="S1" s="25" t="s">
        <v>69</v>
      </c>
      <c r="T1" s="25" t="s">
        <v>70</v>
      </c>
    </row>
    <row r="2" customFormat="false" ht="15" hidden="false" customHeight="false" outlineLevel="0" collapsed="false">
      <c r="H2" s="26"/>
      <c r="I2" s="27" t="str">
        <f aca="false">IF(A2="","",IF(H2&lt;&gt;"",UPPER(TRIM(H2)),IFERROR(CHOOSE(VALUE(E2)+1,"A","B","C","D"),IF(OR(LEFT(UPPER(TRIM(E2)),1)="F",UPPER(TRIM(E2))="A"),"A",IF(OR(LEFT(UPPER(TRIM(E2)),1)="M",UPPER(TRIM(E2))="B"),"B",IF(OR(LEFT(UPPER(TRIM(E2)),2)="SL",UPPER(TRIM(E2))="C"),"C",IF(OR(LEFT(UPPER(TRIM(E2)),1)="D",UPPER(TRIM(E2))="D"),"D","")))))))</f>
        <v/>
      </c>
      <c r="J2" s="27" t="str">
        <f aca="false">IF(I2="","",IF(AND(I2="D",Settings!$B$6&lt;&gt;"Yes"),"",IFERROR(INDEX(Settings!$C$9:$C$12,MATCH(I2,Settings!$A$9:$A$12,0)),"")))</f>
        <v/>
      </c>
      <c r="K2" s="27" t="str">
        <f aca="false">IF(J2="","",COUNTIF($I$2:I2,I2))</f>
        <v/>
      </c>
      <c r="L2" s="27" t="str">
        <f aca="false">IF(J2="","",CHOOSE(Q2+1,"Tue","Wed","Thu","Fri"))</f>
        <v/>
      </c>
      <c r="M2" s="27" t="str">
        <f aca="false">IF(J2="","",IF(J2=1,"Every week",R2+1&amp;" of "&amp;J2))</f>
        <v/>
      </c>
      <c r="N2" s="28" t="str">
        <f aca="false">IF(J2="","",Settings!$B$4+R2*7+Q2)</f>
        <v/>
      </c>
      <c r="O2" s="28" t="str">
        <f aca="true">IF(J2="","",N2+MAX(0,ROUNDUP((TODAY()-N2)/(J2*7),0))*J2*7)</f>
        <v/>
      </c>
      <c r="P2" s="27" t="str">
        <f aca="false">IF(J2="","",MOD(K2-1,J2*4))</f>
        <v/>
      </c>
      <c r="Q2" s="27" t="str">
        <f aca="false">IF(J2="","",MOD(P2,4))</f>
        <v/>
      </c>
      <c r="R2" s="27" t="str">
        <f aca="false">IF(J2="","",INT(P2/4))</f>
        <v/>
      </c>
      <c r="S2" s="27" t="str">
        <f aca="false">IF(J2="","",IF(AND('Daily Count Sheet'!$H$3=Q2,MOD('Daily Count Sheet'!$I$3,J2)=R2),1,""))</f>
        <v/>
      </c>
      <c r="T2" s="27" t="str">
        <f aca="false">IF(S2=1,COUNTIF($S$2:S2,1),"")</f>
        <v/>
      </c>
    </row>
    <row r="3" customFormat="false" ht="15" hidden="false" customHeight="false" outlineLevel="0" collapsed="false">
      <c r="H3" s="26"/>
      <c r="I3" s="27" t="str">
        <f aca="false">IF(A3="","",IF(H3&lt;&gt;"",UPPER(TRIM(H3)),IFERROR(CHOOSE(VALUE(E3)+1,"A","B","C","D"),IF(OR(LEFT(UPPER(TRIM(E3)),1)="F",UPPER(TRIM(E3))="A"),"A",IF(OR(LEFT(UPPER(TRIM(E3)),1)="M",UPPER(TRIM(E3))="B"),"B",IF(OR(LEFT(UPPER(TRIM(E3)),2)="SL",UPPER(TRIM(E3))="C"),"C",IF(OR(LEFT(UPPER(TRIM(E3)),1)="D",UPPER(TRIM(E3))="D"),"D","")))))))</f>
        <v/>
      </c>
      <c r="J3" s="27" t="str">
        <f aca="false">IF(I3="","",IF(AND(I3="D",Settings!$B$6&lt;&gt;"Yes"),"",IFERROR(INDEX(Settings!$C$9:$C$12,MATCH(I3,Settings!$A$9:$A$12,0)),"")))</f>
        <v/>
      </c>
      <c r="K3" s="27" t="str">
        <f aca="false">IF(J3="","",COUNTIF($I$2:I3,I3))</f>
        <v/>
      </c>
      <c r="L3" s="27" t="str">
        <f aca="false">IF(J3="","",CHOOSE(Q3+1,"Tue","Wed","Thu","Fri"))</f>
        <v/>
      </c>
      <c r="M3" s="27" t="str">
        <f aca="false">IF(J3="","",IF(J3=1,"Every week",R3+1&amp;" of "&amp;J3))</f>
        <v/>
      </c>
      <c r="N3" s="28" t="str">
        <f aca="false">IF(J3="","",Settings!$B$4+R3*7+Q3)</f>
        <v/>
      </c>
      <c r="O3" s="28" t="str">
        <f aca="true">IF(J3="","",N3+MAX(0,ROUNDUP((TODAY()-N3)/(J3*7),0))*J3*7)</f>
        <v/>
      </c>
      <c r="P3" s="27" t="str">
        <f aca="false">IF(J3="","",MOD(K3-1,J3*4))</f>
        <v/>
      </c>
      <c r="Q3" s="27" t="str">
        <f aca="false">IF(J3="","",MOD(P3,4))</f>
        <v/>
      </c>
      <c r="R3" s="27" t="str">
        <f aca="false">IF(J3="","",INT(P3/4))</f>
        <v/>
      </c>
      <c r="S3" s="27" t="str">
        <f aca="false">IF(J3="","",IF(AND('Daily Count Sheet'!$H$3=Q3,MOD('Daily Count Sheet'!$I$3,J3)=R3),1,""))</f>
        <v/>
      </c>
      <c r="T3" s="27" t="str">
        <f aca="false">IF(S3=1,COUNTIF($S$2:S3,1),"")</f>
        <v/>
      </c>
    </row>
    <row r="4" customFormat="false" ht="15" hidden="false" customHeight="false" outlineLevel="0" collapsed="false">
      <c r="H4" s="26"/>
      <c r="I4" s="27" t="str">
        <f aca="false">IF(A4="","",IF(H4&lt;&gt;"",UPPER(TRIM(H4)),IFERROR(CHOOSE(VALUE(E4)+1,"A","B","C","D"),IF(OR(LEFT(UPPER(TRIM(E4)),1)="F",UPPER(TRIM(E4))="A"),"A",IF(OR(LEFT(UPPER(TRIM(E4)),1)="M",UPPER(TRIM(E4))="B"),"B",IF(OR(LEFT(UPPER(TRIM(E4)),2)="SL",UPPER(TRIM(E4))="C"),"C",IF(OR(LEFT(UPPER(TRIM(E4)),1)="D",UPPER(TRIM(E4))="D"),"D","")))))))</f>
        <v/>
      </c>
      <c r="J4" s="27" t="str">
        <f aca="false">IF(I4="","",IF(AND(I4="D",Settings!$B$6&lt;&gt;"Yes"),"",IFERROR(INDEX(Settings!$C$9:$C$12,MATCH(I4,Settings!$A$9:$A$12,0)),"")))</f>
        <v/>
      </c>
      <c r="K4" s="27" t="str">
        <f aca="false">IF(J4="","",COUNTIF($I$2:I4,I4))</f>
        <v/>
      </c>
      <c r="L4" s="27" t="str">
        <f aca="false">IF(J4="","",CHOOSE(Q4+1,"Tue","Wed","Thu","Fri"))</f>
        <v/>
      </c>
      <c r="M4" s="27" t="str">
        <f aca="false">IF(J4="","",IF(J4=1,"Every week",R4+1&amp;" of "&amp;J4))</f>
        <v/>
      </c>
      <c r="N4" s="28" t="str">
        <f aca="false">IF(J4="","",Settings!$B$4+R4*7+Q4)</f>
        <v/>
      </c>
      <c r="O4" s="28" t="str">
        <f aca="true">IF(J4="","",N4+MAX(0,ROUNDUP((TODAY()-N4)/(J4*7),0))*J4*7)</f>
        <v/>
      </c>
      <c r="P4" s="27" t="str">
        <f aca="false">IF(J4="","",MOD(K4-1,J4*4))</f>
        <v/>
      </c>
      <c r="Q4" s="27" t="str">
        <f aca="false">IF(J4="","",MOD(P4,4))</f>
        <v/>
      </c>
      <c r="R4" s="27" t="str">
        <f aca="false">IF(J4="","",INT(P4/4))</f>
        <v/>
      </c>
      <c r="S4" s="27" t="str">
        <f aca="false">IF(J4="","",IF(AND('Daily Count Sheet'!$H$3=Q4,MOD('Daily Count Sheet'!$I$3,J4)=R4),1,""))</f>
        <v/>
      </c>
      <c r="T4" s="27" t="str">
        <f aca="false">IF(S4=1,COUNTIF($S$2:S4,1),"")</f>
        <v/>
      </c>
    </row>
    <row r="5" customFormat="false" ht="15" hidden="false" customHeight="false" outlineLevel="0" collapsed="false">
      <c r="H5" s="26"/>
      <c r="I5" s="27" t="str">
        <f aca="false">IF(A5="","",IF(H5&lt;&gt;"",UPPER(TRIM(H5)),IFERROR(CHOOSE(VALUE(E5)+1,"A","B","C","D"),IF(OR(LEFT(UPPER(TRIM(E5)),1)="F",UPPER(TRIM(E5))="A"),"A",IF(OR(LEFT(UPPER(TRIM(E5)),1)="M",UPPER(TRIM(E5))="B"),"B",IF(OR(LEFT(UPPER(TRIM(E5)),2)="SL",UPPER(TRIM(E5))="C"),"C",IF(OR(LEFT(UPPER(TRIM(E5)),1)="D",UPPER(TRIM(E5))="D"),"D","")))))))</f>
        <v/>
      </c>
      <c r="J5" s="27" t="str">
        <f aca="false">IF(I5="","",IF(AND(I5="D",Settings!$B$6&lt;&gt;"Yes"),"",IFERROR(INDEX(Settings!$C$9:$C$12,MATCH(I5,Settings!$A$9:$A$12,0)),"")))</f>
        <v/>
      </c>
      <c r="K5" s="27" t="str">
        <f aca="false">IF(J5="","",COUNTIF($I$2:I5,I5))</f>
        <v/>
      </c>
      <c r="L5" s="27" t="str">
        <f aca="false">IF(J5="","",CHOOSE(Q5+1,"Tue","Wed","Thu","Fri"))</f>
        <v/>
      </c>
      <c r="M5" s="27" t="str">
        <f aca="false">IF(J5="","",IF(J5=1,"Every week",R5+1&amp;" of "&amp;J5))</f>
        <v/>
      </c>
      <c r="N5" s="28" t="str">
        <f aca="false">IF(J5="","",Settings!$B$4+R5*7+Q5)</f>
        <v/>
      </c>
      <c r="O5" s="28" t="str">
        <f aca="true">IF(J5="","",N5+MAX(0,ROUNDUP((TODAY()-N5)/(J5*7),0))*J5*7)</f>
        <v/>
      </c>
      <c r="P5" s="27" t="str">
        <f aca="false">IF(J5="","",MOD(K5-1,J5*4))</f>
        <v/>
      </c>
      <c r="Q5" s="27" t="str">
        <f aca="false">IF(J5="","",MOD(P5,4))</f>
        <v/>
      </c>
      <c r="R5" s="27" t="str">
        <f aca="false">IF(J5="","",INT(P5/4))</f>
        <v/>
      </c>
      <c r="S5" s="27" t="str">
        <f aca="false">IF(J5="","",IF(AND('Daily Count Sheet'!$H$3=Q5,MOD('Daily Count Sheet'!$I$3,J5)=R5),1,""))</f>
        <v/>
      </c>
      <c r="T5" s="27" t="str">
        <f aca="false">IF(S5=1,COUNTIF($S$2:S5,1),"")</f>
        <v/>
      </c>
    </row>
    <row r="6" customFormat="false" ht="15" hidden="false" customHeight="false" outlineLevel="0" collapsed="false">
      <c r="H6" s="26"/>
      <c r="I6" s="27" t="str">
        <f aca="false">IF(A6="","",IF(H6&lt;&gt;"",UPPER(TRIM(H6)),IFERROR(CHOOSE(VALUE(E6)+1,"A","B","C","D"),IF(OR(LEFT(UPPER(TRIM(E6)),1)="F",UPPER(TRIM(E6))="A"),"A",IF(OR(LEFT(UPPER(TRIM(E6)),1)="M",UPPER(TRIM(E6))="B"),"B",IF(OR(LEFT(UPPER(TRIM(E6)),2)="SL",UPPER(TRIM(E6))="C"),"C",IF(OR(LEFT(UPPER(TRIM(E6)),1)="D",UPPER(TRIM(E6))="D"),"D","")))))))</f>
        <v/>
      </c>
      <c r="J6" s="27" t="str">
        <f aca="false">IF(I6="","",IF(AND(I6="D",Settings!$B$6&lt;&gt;"Yes"),"",IFERROR(INDEX(Settings!$C$9:$C$12,MATCH(I6,Settings!$A$9:$A$12,0)),"")))</f>
        <v/>
      </c>
      <c r="K6" s="27" t="str">
        <f aca="false">IF(J6="","",COUNTIF($I$2:I6,I6))</f>
        <v/>
      </c>
      <c r="L6" s="27" t="str">
        <f aca="false">IF(J6="","",CHOOSE(Q6+1,"Tue","Wed","Thu","Fri"))</f>
        <v/>
      </c>
      <c r="M6" s="27" t="str">
        <f aca="false">IF(J6="","",IF(J6=1,"Every week",R6+1&amp;" of "&amp;J6))</f>
        <v/>
      </c>
      <c r="N6" s="28" t="str">
        <f aca="false">IF(J6="","",Settings!$B$4+R6*7+Q6)</f>
        <v/>
      </c>
      <c r="O6" s="28" t="str">
        <f aca="true">IF(J6="","",N6+MAX(0,ROUNDUP((TODAY()-N6)/(J6*7),0))*J6*7)</f>
        <v/>
      </c>
      <c r="P6" s="27" t="str">
        <f aca="false">IF(J6="","",MOD(K6-1,J6*4))</f>
        <v/>
      </c>
      <c r="Q6" s="27" t="str">
        <f aca="false">IF(J6="","",MOD(P6,4))</f>
        <v/>
      </c>
      <c r="R6" s="27" t="str">
        <f aca="false">IF(J6="","",INT(P6/4))</f>
        <v/>
      </c>
      <c r="S6" s="27" t="str">
        <f aca="false">IF(J6="","",IF(AND('Daily Count Sheet'!$H$3=Q6,MOD('Daily Count Sheet'!$I$3,J6)=R6),1,""))</f>
        <v/>
      </c>
      <c r="T6" s="27" t="str">
        <f aca="false">IF(S6=1,COUNTIF($S$2:S6,1),"")</f>
        <v/>
      </c>
    </row>
    <row r="7" customFormat="false" ht="15" hidden="false" customHeight="false" outlineLevel="0" collapsed="false">
      <c r="H7" s="26"/>
      <c r="I7" s="27" t="str">
        <f aca="false">IF(A7="","",IF(H7&lt;&gt;"",UPPER(TRIM(H7)),IFERROR(CHOOSE(VALUE(E7)+1,"A","B","C","D"),IF(OR(LEFT(UPPER(TRIM(E7)),1)="F",UPPER(TRIM(E7))="A"),"A",IF(OR(LEFT(UPPER(TRIM(E7)),1)="M",UPPER(TRIM(E7))="B"),"B",IF(OR(LEFT(UPPER(TRIM(E7)),2)="SL",UPPER(TRIM(E7))="C"),"C",IF(OR(LEFT(UPPER(TRIM(E7)),1)="D",UPPER(TRIM(E7))="D"),"D","")))))))</f>
        <v/>
      </c>
      <c r="J7" s="27" t="str">
        <f aca="false">IF(I7="","",IF(AND(I7="D",Settings!$B$6&lt;&gt;"Yes"),"",IFERROR(INDEX(Settings!$C$9:$C$12,MATCH(I7,Settings!$A$9:$A$12,0)),"")))</f>
        <v/>
      </c>
      <c r="K7" s="27" t="str">
        <f aca="false">IF(J7="","",COUNTIF($I$2:I7,I7))</f>
        <v/>
      </c>
      <c r="L7" s="27" t="str">
        <f aca="false">IF(J7="","",CHOOSE(Q7+1,"Tue","Wed","Thu","Fri"))</f>
        <v/>
      </c>
      <c r="M7" s="27" t="str">
        <f aca="false">IF(J7="","",IF(J7=1,"Every week",R7+1&amp;" of "&amp;J7))</f>
        <v/>
      </c>
      <c r="N7" s="28" t="str">
        <f aca="false">IF(J7="","",Settings!$B$4+R7*7+Q7)</f>
        <v/>
      </c>
      <c r="O7" s="28" t="str">
        <f aca="true">IF(J7="","",N7+MAX(0,ROUNDUP((TODAY()-N7)/(J7*7),0))*J7*7)</f>
        <v/>
      </c>
      <c r="P7" s="27" t="str">
        <f aca="false">IF(J7="","",MOD(K7-1,J7*4))</f>
        <v/>
      </c>
      <c r="Q7" s="27" t="str">
        <f aca="false">IF(J7="","",MOD(P7,4))</f>
        <v/>
      </c>
      <c r="R7" s="27" t="str">
        <f aca="false">IF(J7="","",INT(P7/4))</f>
        <v/>
      </c>
      <c r="S7" s="27" t="str">
        <f aca="false">IF(J7="","",IF(AND('Daily Count Sheet'!$H$3=Q7,MOD('Daily Count Sheet'!$I$3,J7)=R7),1,""))</f>
        <v/>
      </c>
      <c r="T7" s="27" t="str">
        <f aca="false">IF(S7=1,COUNTIF($S$2:S7,1),"")</f>
        <v/>
      </c>
    </row>
    <row r="8" customFormat="false" ht="15" hidden="false" customHeight="false" outlineLevel="0" collapsed="false">
      <c r="H8" s="26"/>
      <c r="I8" s="27" t="str">
        <f aca="false">IF(A8="","",IF(H8&lt;&gt;"",UPPER(TRIM(H8)),IFERROR(CHOOSE(VALUE(E8)+1,"A","B","C","D"),IF(OR(LEFT(UPPER(TRIM(E8)),1)="F",UPPER(TRIM(E8))="A"),"A",IF(OR(LEFT(UPPER(TRIM(E8)),1)="M",UPPER(TRIM(E8))="B"),"B",IF(OR(LEFT(UPPER(TRIM(E8)),2)="SL",UPPER(TRIM(E8))="C"),"C",IF(OR(LEFT(UPPER(TRIM(E8)),1)="D",UPPER(TRIM(E8))="D"),"D","")))))))</f>
        <v/>
      </c>
      <c r="J8" s="27" t="str">
        <f aca="false">IF(I8="","",IF(AND(I8="D",Settings!$B$6&lt;&gt;"Yes"),"",IFERROR(INDEX(Settings!$C$9:$C$12,MATCH(I8,Settings!$A$9:$A$12,0)),"")))</f>
        <v/>
      </c>
      <c r="K8" s="27" t="str">
        <f aca="false">IF(J8="","",COUNTIF($I$2:I8,I8))</f>
        <v/>
      </c>
      <c r="L8" s="27" t="str">
        <f aca="false">IF(J8="","",CHOOSE(Q8+1,"Tue","Wed","Thu","Fri"))</f>
        <v/>
      </c>
      <c r="M8" s="27" t="str">
        <f aca="false">IF(J8="","",IF(J8=1,"Every week",R8+1&amp;" of "&amp;J8))</f>
        <v/>
      </c>
      <c r="N8" s="28" t="str">
        <f aca="false">IF(J8="","",Settings!$B$4+R8*7+Q8)</f>
        <v/>
      </c>
      <c r="O8" s="28" t="str">
        <f aca="true">IF(J8="","",N8+MAX(0,ROUNDUP((TODAY()-N8)/(J8*7),0))*J8*7)</f>
        <v/>
      </c>
      <c r="P8" s="27" t="str">
        <f aca="false">IF(J8="","",MOD(K8-1,J8*4))</f>
        <v/>
      </c>
      <c r="Q8" s="27" t="str">
        <f aca="false">IF(J8="","",MOD(P8,4))</f>
        <v/>
      </c>
      <c r="R8" s="27" t="str">
        <f aca="false">IF(J8="","",INT(P8/4))</f>
        <v/>
      </c>
      <c r="S8" s="27" t="str">
        <f aca="false">IF(J8="","",IF(AND('Daily Count Sheet'!$H$3=Q8,MOD('Daily Count Sheet'!$I$3,J8)=R8),1,""))</f>
        <v/>
      </c>
      <c r="T8" s="27" t="str">
        <f aca="false">IF(S8=1,COUNTIF($S$2:S8,1),"")</f>
        <v/>
      </c>
    </row>
    <row r="9" customFormat="false" ht="15" hidden="false" customHeight="false" outlineLevel="0" collapsed="false">
      <c r="H9" s="26"/>
      <c r="I9" s="27" t="str">
        <f aca="false">IF(A9="","",IF(H9&lt;&gt;"",UPPER(TRIM(H9)),IFERROR(CHOOSE(VALUE(E9)+1,"A","B","C","D"),IF(OR(LEFT(UPPER(TRIM(E9)),1)="F",UPPER(TRIM(E9))="A"),"A",IF(OR(LEFT(UPPER(TRIM(E9)),1)="M",UPPER(TRIM(E9))="B"),"B",IF(OR(LEFT(UPPER(TRIM(E9)),2)="SL",UPPER(TRIM(E9))="C"),"C",IF(OR(LEFT(UPPER(TRIM(E9)),1)="D",UPPER(TRIM(E9))="D"),"D","")))))))</f>
        <v/>
      </c>
      <c r="J9" s="27" t="str">
        <f aca="false">IF(I9="","",IF(AND(I9="D",Settings!$B$6&lt;&gt;"Yes"),"",IFERROR(INDEX(Settings!$C$9:$C$12,MATCH(I9,Settings!$A$9:$A$12,0)),"")))</f>
        <v/>
      </c>
      <c r="K9" s="27" t="str">
        <f aca="false">IF(J9="","",COUNTIF($I$2:I9,I9))</f>
        <v/>
      </c>
      <c r="L9" s="27" t="str">
        <f aca="false">IF(J9="","",CHOOSE(Q9+1,"Tue","Wed","Thu","Fri"))</f>
        <v/>
      </c>
      <c r="M9" s="27" t="str">
        <f aca="false">IF(J9="","",IF(J9=1,"Every week",R9+1&amp;" of "&amp;J9))</f>
        <v/>
      </c>
      <c r="N9" s="28" t="str">
        <f aca="false">IF(J9="","",Settings!$B$4+R9*7+Q9)</f>
        <v/>
      </c>
      <c r="O9" s="28" t="str">
        <f aca="true">IF(J9="","",N9+MAX(0,ROUNDUP((TODAY()-N9)/(J9*7),0))*J9*7)</f>
        <v/>
      </c>
      <c r="P9" s="27" t="str">
        <f aca="false">IF(J9="","",MOD(K9-1,J9*4))</f>
        <v/>
      </c>
      <c r="Q9" s="27" t="str">
        <f aca="false">IF(J9="","",MOD(P9,4))</f>
        <v/>
      </c>
      <c r="R9" s="27" t="str">
        <f aca="false">IF(J9="","",INT(P9/4))</f>
        <v/>
      </c>
      <c r="S9" s="27" t="str">
        <f aca="false">IF(J9="","",IF(AND('Daily Count Sheet'!$H$3=Q9,MOD('Daily Count Sheet'!$I$3,J9)=R9),1,""))</f>
        <v/>
      </c>
      <c r="T9" s="27" t="str">
        <f aca="false">IF(S9=1,COUNTIF($S$2:S9,1),"")</f>
        <v/>
      </c>
    </row>
    <row r="10" customFormat="false" ht="15" hidden="false" customHeight="false" outlineLevel="0" collapsed="false">
      <c r="H10" s="26"/>
      <c r="I10" s="27" t="str">
        <f aca="false">IF(A10="","",IF(H10&lt;&gt;"",UPPER(TRIM(H10)),IFERROR(CHOOSE(VALUE(E10)+1,"A","B","C","D"),IF(OR(LEFT(UPPER(TRIM(E10)),1)="F",UPPER(TRIM(E10))="A"),"A",IF(OR(LEFT(UPPER(TRIM(E10)),1)="M",UPPER(TRIM(E10))="B"),"B",IF(OR(LEFT(UPPER(TRIM(E10)),2)="SL",UPPER(TRIM(E10))="C"),"C",IF(OR(LEFT(UPPER(TRIM(E10)),1)="D",UPPER(TRIM(E10))="D"),"D","")))))))</f>
        <v/>
      </c>
      <c r="J10" s="27" t="str">
        <f aca="false">IF(I10="","",IF(AND(I10="D",Settings!$B$6&lt;&gt;"Yes"),"",IFERROR(INDEX(Settings!$C$9:$C$12,MATCH(I10,Settings!$A$9:$A$12,0)),"")))</f>
        <v/>
      </c>
      <c r="K10" s="27" t="str">
        <f aca="false">IF(J10="","",COUNTIF($I$2:I10,I10))</f>
        <v/>
      </c>
      <c r="L10" s="27" t="str">
        <f aca="false">IF(J10="","",CHOOSE(Q10+1,"Tue","Wed","Thu","Fri"))</f>
        <v/>
      </c>
      <c r="M10" s="27" t="str">
        <f aca="false">IF(J10="","",IF(J10=1,"Every week",R10+1&amp;" of "&amp;J10))</f>
        <v/>
      </c>
      <c r="N10" s="28" t="str">
        <f aca="false">IF(J10="","",Settings!$B$4+R10*7+Q10)</f>
        <v/>
      </c>
      <c r="O10" s="28" t="str">
        <f aca="true">IF(J10="","",N10+MAX(0,ROUNDUP((TODAY()-N10)/(J10*7),0))*J10*7)</f>
        <v/>
      </c>
      <c r="P10" s="27" t="str">
        <f aca="false">IF(J10="","",MOD(K10-1,J10*4))</f>
        <v/>
      </c>
      <c r="Q10" s="27" t="str">
        <f aca="false">IF(J10="","",MOD(P10,4))</f>
        <v/>
      </c>
      <c r="R10" s="27" t="str">
        <f aca="false">IF(J10="","",INT(P10/4))</f>
        <v/>
      </c>
      <c r="S10" s="27" t="str">
        <f aca="false">IF(J10="","",IF(AND('Daily Count Sheet'!$H$3=Q10,MOD('Daily Count Sheet'!$I$3,J10)=R10),1,""))</f>
        <v/>
      </c>
      <c r="T10" s="27" t="str">
        <f aca="false">IF(S10=1,COUNTIF($S$2:S10,1),"")</f>
        <v/>
      </c>
    </row>
    <row r="11" customFormat="false" ht="15" hidden="false" customHeight="false" outlineLevel="0" collapsed="false">
      <c r="H11" s="26"/>
      <c r="I11" s="27" t="str">
        <f aca="false">IF(A11="","",IF(H11&lt;&gt;"",UPPER(TRIM(H11)),IFERROR(CHOOSE(VALUE(E11)+1,"A","B","C","D"),IF(OR(LEFT(UPPER(TRIM(E11)),1)="F",UPPER(TRIM(E11))="A"),"A",IF(OR(LEFT(UPPER(TRIM(E11)),1)="M",UPPER(TRIM(E11))="B"),"B",IF(OR(LEFT(UPPER(TRIM(E11)),2)="SL",UPPER(TRIM(E11))="C"),"C",IF(OR(LEFT(UPPER(TRIM(E11)),1)="D",UPPER(TRIM(E11))="D"),"D","")))))))</f>
        <v/>
      </c>
      <c r="J11" s="27" t="str">
        <f aca="false">IF(I11="","",IF(AND(I11="D",Settings!$B$6&lt;&gt;"Yes"),"",IFERROR(INDEX(Settings!$C$9:$C$12,MATCH(I11,Settings!$A$9:$A$12,0)),"")))</f>
        <v/>
      </c>
      <c r="K11" s="27" t="str">
        <f aca="false">IF(J11="","",COUNTIF($I$2:I11,I11))</f>
        <v/>
      </c>
      <c r="L11" s="27" t="str">
        <f aca="false">IF(J11="","",CHOOSE(Q11+1,"Tue","Wed","Thu","Fri"))</f>
        <v/>
      </c>
      <c r="M11" s="27" t="str">
        <f aca="false">IF(J11="","",IF(J11=1,"Every week",R11+1&amp;" of "&amp;J11))</f>
        <v/>
      </c>
      <c r="N11" s="28" t="str">
        <f aca="false">IF(J11="","",Settings!$B$4+R11*7+Q11)</f>
        <v/>
      </c>
      <c r="O11" s="28" t="str">
        <f aca="true">IF(J11="","",N11+MAX(0,ROUNDUP((TODAY()-N11)/(J11*7),0))*J11*7)</f>
        <v/>
      </c>
      <c r="P11" s="27" t="str">
        <f aca="false">IF(J11="","",MOD(K11-1,J11*4))</f>
        <v/>
      </c>
      <c r="Q11" s="27" t="str">
        <f aca="false">IF(J11="","",MOD(P11,4))</f>
        <v/>
      </c>
      <c r="R11" s="27" t="str">
        <f aca="false">IF(J11="","",INT(P11/4))</f>
        <v/>
      </c>
      <c r="S11" s="27" t="str">
        <f aca="false">IF(J11="","",IF(AND('Daily Count Sheet'!$H$3=Q11,MOD('Daily Count Sheet'!$I$3,J11)=R11),1,""))</f>
        <v/>
      </c>
      <c r="T11" s="27" t="str">
        <f aca="false">IF(S11=1,COUNTIF($S$2:S11,1),"")</f>
        <v/>
      </c>
    </row>
    <row r="12" customFormat="false" ht="15" hidden="false" customHeight="false" outlineLevel="0" collapsed="false">
      <c r="H12" s="26"/>
      <c r="I12" s="27" t="str">
        <f aca="false">IF(A12="","",IF(H12&lt;&gt;"",UPPER(TRIM(H12)),IFERROR(CHOOSE(VALUE(E12)+1,"A","B","C","D"),IF(OR(LEFT(UPPER(TRIM(E12)),1)="F",UPPER(TRIM(E12))="A"),"A",IF(OR(LEFT(UPPER(TRIM(E12)),1)="M",UPPER(TRIM(E12))="B"),"B",IF(OR(LEFT(UPPER(TRIM(E12)),2)="SL",UPPER(TRIM(E12))="C"),"C",IF(OR(LEFT(UPPER(TRIM(E12)),1)="D",UPPER(TRIM(E12))="D"),"D","")))))))</f>
        <v/>
      </c>
      <c r="J12" s="27" t="str">
        <f aca="false">IF(I12="","",IF(AND(I12="D",Settings!$B$6&lt;&gt;"Yes"),"",IFERROR(INDEX(Settings!$C$9:$C$12,MATCH(I12,Settings!$A$9:$A$12,0)),"")))</f>
        <v/>
      </c>
      <c r="K12" s="27" t="str">
        <f aca="false">IF(J12="","",COUNTIF($I$2:I12,I12))</f>
        <v/>
      </c>
      <c r="L12" s="27" t="str">
        <f aca="false">IF(J12="","",CHOOSE(Q12+1,"Tue","Wed","Thu","Fri"))</f>
        <v/>
      </c>
      <c r="M12" s="27" t="str">
        <f aca="false">IF(J12="","",IF(J12=1,"Every week",R12+1&amp;" of "&amp;J12))</f>
        <v/>
      </c>
      <c r="N12" s="28" t="str">
        <f aca="false">IF(J12="","",Settings!$B$4+R12*7+Q12)</f>
        <v/>
      </c>
      <c r="O12" s="28" t="str">
        <f aca="true">IF(J12="","",N12+MAX(0,ROUNDUP((TODAY()-N12)/(J12*7),0))*J12*7)</f>
        <v/>
      </c>
      <c r="P12" s="27" t="str">
        <f aca="false">IF(J12="","",MOD(K12-1,J12*4))</f>
        <v/>
      </c>
      <c r="Q12" s="27" t="str">
        <f aca="false">IF(J12="","",MOD(P12,4))</f>
        <v/>
      </c>
      <c r="R12" s="27" t="str">
        <f aca="false">IF(J12="","",INT(P12/4))</f>
        <v/>
      </c>
      <c r="S12" s="27" t="str">
        <f aca="false">IF(J12="","",IF(AND('Daily Count Sheet'!$H$3=Q12,MOD('Daily Count Sheet'!$I$3,J12)=R12),1,""))</f>
        <v/>
      </c>
      <c r="T12" s="27" t="str">
        <f aca="false">IF(S12=1,COUNTIF($S$2:S12,1),"")</f>
        <v/>
      </c>
    </row>
    <row r="13" customFormat="false" ht="15" hidden="false" customHeight="false" outlineLevel="0" collapsed="false">
      <c r="H13" s="26"/>
      <c r="I13" s="27" t="str">
        <f aca="false">IF(A13="","",IF(H13&lt;&gt;"",UPPER(TRIM(H13)),IFERROR(CHOOSE(VALUE(E13)+1,"A","B","C","D"),IF(OR(LEFT(UPPER(TRIM(E13)),1)="F",UPPER(TRIM(E13))="A"),"A",IF(OR(LEFT(UPPER(TRIM(E13)),1)="M",UPPER(TRIM(E13))="B"),"B",IF(OR(LEFT(UPPER(TRIM(E13)),2)="SL",UPPER(TRIM(E13))="C"),"C",IF(OR(LEFT(UPPER(TRIM(E13)),1)="D",UPPER(TRIM(E13))="D"),"D","")))))))</f>
        <v/>
      </c>
      <c r="J13" s="27" t="str">
        <f aca="false">IF(I13="","",IF(AND(I13="D",Settings!$B$6&lt;&gt;"Yes"),"",IFERROR(INDEX(Settings!$C$9:$C$12,MATCH(I13,Settings!$A$9:$A$12,0)),"")))</f>
        <v/>
      </c>
      <c r="K13" s="27" t="str">
        <f aca="false">IF(J13="","",COUNTIF($I$2:I13,I13))</f>
        <v/>
      </c>
      <c r="L13" s="27" t="str">
        <f aca="false">IF(J13="","",CHOOSE(Q13+1,"Tue","Wed","Thu","Fri"))</f>
        <v/>
      </c>
      <c r="M13" s="27" t="str">
        <f aca="false">IF(J13="","",IF(J13=1,"Every week",R13+1&amp;" of "&amp;J13))</f>
        <v/>
      </c>
      <c r="N13" s="28" t="str">
        <f aca="false">IF(J13="","",Settings!$B$4+R13*7+Q13)</f>
        <v/>
      </c>
      <c r="O13" s="28" t="str">
        <f aca="true">IF(J13="","",N13+MAX(0,ROUNDUP((TODAY()-N13)/(J13*7),0))*J13*7)</f>
        <v/>
      </c>
      <c r="P13" s="27" t="str">
        <f aca="false">IF(J13="","",MOD(K13-1,J13*4))</f>
        <v/>
      </c>
      <c r="Q13" s="27" t="str">
        <f aca="false">IF(J13="","",MOD(P13,4))</f>
        <v/>
      </c>
      <c r="R13" s="27" t="str">
        <f aca="false">IF(J13="","",INT(P13/4))</f>
        <v/>
      </c>
      <c r="S13" s="27" t="str">
        <f aca="false">IF(J13="","",IF(AND('Daily Count Sheet'!$H$3=Q13,MOD('Daily Count Sheet'!$I$3,J13)=R13),1,""))</f>
        <v/>
      </c>
      <c r="T13" s="27" t="str">
        <f aca="false">IF(S13=1,COUNTIF($S$2:S13,1),"")</f>
        <v/>
      </c>
    </row>
    <row r="14" customFormat="false" ht="15" hidden="false" customHeight="false" outlineLevel="0" collapsed="false">
      <c r="H14" s="26"/>
      <c r="I14" s="27" t="str">
        <f aca="false">IF(A14="","",IF(H14&lt;&gt;"",UPPER(TRIM(H14)),IFERROR(CHOOSE(VALUE(E14)+1,"A","B","C","D"),IF(OR(LEFT(UPPER(TRIM(E14)),1)="F",UPPER(TRIM(E14))="A"),"A",IF(OR(LEFT(UPPER(TRIM(E14)),1)="M",UPPER(TRIM(E14))="B"),"B",IF(OR(LEFT(UPPER(TRIM(E14)),2)="SL",UPPER(TRIM(E14))="C"),"C",IF(OR(LEFT(UPPER(TRIM(E14)),1)="D",UPPER(TRIM(E14))="D"),"D","")))))))</f>
        <v/>
      </c>
      <c r="J14" s="27" t="str">
        <f aca="false">IF(I14="","",IF(AND(I14="D",Settings!$B$6&lt;&gt;"Yes"),"",IFERROR(INDEX(Settings!$C$9:$C$12,MATCH(I14,Settings!$A$9:$A$12,0)),"")))</f>
        <v/>
      </c>
      <c r="K14" s="27" t="str">
        <f aca="false">IF(J14="","",COUNTIF($I$2:I14,I14))</f>
        <v/>
      </c>
      <c r="L14" s="27" t="str">
        <f aca="false">IF(J14="","",CHOOSE(Q14+1,"Tue","Wed","Thu","Fri"))</f>
        <v/>
      </c>
      <c r="M14" s="27" t="str">
        <f aca="false">IF(J14="","",IF(J14=1,"Every week",R14+1&amp;" of "&amp;J14))</f>
        <v/>
      </c>
      <c r="N14" s="28" t="str">
        <f aca="false">IF(J14="","",Settings!$B$4+R14*7+Q14)</f>
        <v/>
      </c>
      <c r="O14" s="28" t="str">
        <f aca="true">IF(J14="","",N14+MAX(0,ROUNDUP((TODAY()-N14)/(J14*7),0))*J14*7)</f>
        <v/>
      </c>
      <c r="P14" s="27" t="str">
        <f aca="false">IF(J14="","",MOD(K14-1,J14*4))</f>
        <v/>
      </c>
      <c r="Q14" s="27" t="str">
        <f aca="false">IF(J14="","",MOD(P14,4))</f>
        <v/>
      </c>
      <c r="R14" s="27" t="str">
        <f aca="false">IF(J14="","",INT(P14/4))</f>
        <v/>
      </c>
      <c r="S14" s="27" t="str">
        <f aca="false">IF(J14="","",IF(AND('Daily Count Sheet'!$H$3=Q14,MOD('Daily Count Sheet'!$I$3,J14)=R14),1,""))</f>
        <v/>
      </c>
      <c r="T14" s="27" t="str">
        <f aca="false">IF(S14=1,COUNTIF($S$2:S14,1),"")</f>
        <v/>
      </c>
    </row>
    <row r="15" customFormat="false" ht="15" hidden="false" customHeight="false" outlineLevel="0" collapsed="false">
      <c r="H15" s="26"/>
      <c r="I15" s="27" t="str">
        <f aca="false">IF(A15="","",IF(H15&lt;&gt;"",UPPER(TRIM(H15)),IFERROR(CHOOSE(VALUE(E15)+1,"A","B","C","D"),IF(OR(LEFT(UPPER(TRIM(E15)),1)="F",UPPER(TRIM(E15))="A"),"A",IF(OR(LEFT(UPPER(TRIM(E15)),1)="M",UPPER(TRIM(E15))="B"),"B",IF(OR(LEFT(UPPER(TRIM(E15)),2)="SL",UPPER(TRIM(E15))="C"),"C",IF(OR(LEFT(UPPER(TRIM(E15)),1)="D",UPPER(TRIM(E15))="D"),"D","")))))))</f>
        <v/>
      </c>
      <c r="J15" s="27" t="str">
        <f aca="false">IF(I15="","",IF(AND(I15="D",Settings!$B$6&lt;&gt;"Yes"),"",IFERROR(INDEX(Settings!$C$9:$C$12,MATCH(I15,Settings!$A$9:$A$12,0)),"")))</f>
        <v/>
      </c>
      <c r="K15" s="27" t="str">
        <f aca="false">IF(J15="","",COUNTIF($I$2:I15,I15))</f>
        <v/>
      </c>
      <c r="L15" s="27" t="str">
        <f aca="false">IF(J15="","",CHOOSE(Q15+1,"Tue","Wed","Thu","Fri"))</f>
        <v/>
      </c>
      <c r="M15" s="27" t="str">
        <f aca="false">IF(J15="","",IF(J15=1,"Every week",R15+1&amp;" of "&amp;J15))</f>
        <v/>
      </c>
      <c r="N15" s="28" t="str">
        <f aca="false">IF(J15="","",Settings!$B$4+R15*7+Q15)</f>
        <v/>
      </c>
      <c r="O15" s="28" t="str">
        <f aca="true">IF(J15="","",N15+MAX(0,ROUNDUP((TODAY()-N15)/(J15*7),0))*J15*7)</f>
        <v/>
      </c>
      <c r="P15" s="27" t="str">
        <f aca="false">IF(J15="","",MOD(K15-1,J15*4))</f>
        <v/>
      </c>
      <c r="Q15" s="27" t="str">
        <f aca="false">IF(J15="","",MOD(P15,4))</f>
        <v/>
      </c>
      <c r="R15" s="27" t="str">
        <f aca="false">IF(J15="","",INT(P15/4))</f>
        <v/>
      </c>
      <c r="S15" s="27" t="str">
        <f aca="false">IF(J15="","",IF(AND('Daily Count Sheet'!$H$3=Q15,MOD('Daily Count Sheet'!$I$3,J15)=R15),1,""))</f>
        <v/>
      </c>
      <c r="T15" s="27" t="str">
        <f aca="false">IF(S15=1,COUNTIF($S$2:S15,1),"")</f>
        <v/>
      </c>
    </row>
    <row r="16" customFormat="false" ht="15" hidden="false" customHeight="false" outlineLevel="0" collapsed="false">
      <c r="H16" s="26"/>
      <c r="I16" s="27" t="str">
        <f aca="false">IF(A16="","",IF(H16&lt;&gt;"",UPPER(TRIM(H16)),IFERROR(CHOOSE(VALUE(E16)+1,"A","B","C","D"),IF(OR(LEFT(UPPER(TRIM(E16)),1)="F",UPPER(TRIM(E16))="A"),"A",IF(OR(LEFT(UPPER(TRIM(E16)),1)="M",UPPER(TRIM(E16))="B"),"B",IF(OR(LEFT(UPPER(TRIM(E16)),2)="SL",UPPER(TRIM(E16))="C"),"C",IF(OR(LEFT(UPPER(TRIM(E16)),1)="D",UPPER(TRIM(E16))="D"),"D","")))))))</f>
        <v/>
      </c>
      <c r="J16" s="27" t="str">
        <f aca="false">IF(I16="","",IF(AND(I16="D",Settings!$B$6&lt;&gt;"Yes"),"",IFERROR(INDEX(Settings!$C$9:$C$12,MATCH(I16,Settings!$A$9:$A$12,0)),"")))</f>
        <v/>
      </c>
      <c r="K16" s="27" t="str">
        <f aca="false">IF(J16="","",COUNTIF($I$2:I16,I16))</f>
        <v/>
      </c>
      <c r="L16" s="27" t="str">
        <f aca="false">IF(J16="","",CHOOSE(Q16+1,"Tue","Wed","Thu","Fri"))</f>
        <v/>
      </c>
      <c r="M16" s="27" t="str">
        <f aca="false">IF(J16="","",IF(J16=1,"Every week",R16+1&amp;" of "&amp;J16))</f>
        <v/>
      </c>
      <c r="N16" s="28" t="str">
        <f aca="false">IF(J16="","",Settings!$B$4+R16*7+Q16)</f>
        <v/>
      </c>
      <c r="O16" s="28" t="str">
        <f aca="true">IF(J16="","",N16+MAX(0,ROUNDUP((TODAY()-N16)/(J16*7),0))*J16*7)</f>
        <v/>
      </c>
      <c r="P16" s="27" t="str">
        <f aca="false">IF(J16="","",MOD(K16-1,J16*4))</f>
        <v/>
      </c>
      <c r="Q16" s="27" t="str">
        <f aca="false">IF(J16="","",MOD(P16,4))</f>
        <v/>
      </c>
      <c r="R16" s="27" t="str">
        <f aca="false">IF(J16="","",INT(P16/4))</f>
        <v/>
      </c>
      <c r="S16" s="27" t="str">
        <f aca="false">IF(J16="","",IF(AND('Daily Count Sheet'!$H$3=Q16,MOD('Daily Count Sheet'!$I$3,J16)=R16),1,""))</f>
        <v/>
      </c>
      <c r="T16" s="27" t="str">
        <f aca="false">IF(S16=1,COUNTIF($S$2:S16,1),"")</f>
        <v/>
      </c>
    </row>
    <row r="17" customFormat="false" ht="15" hidden="false" customHeight="false" outlineLevel="0" collapsed="false">
      <c r="H17" s="26"/>
      <c r="I17" s="27" t="str">
        <f aca="false">IF(A17="","",IF(H17&lt;&gt;"",UPPER(TRIM(H17)),IFERROR(CHOOSE(VALUE(E17)+1,"A","B","C","D"),IF(OR(LEFT(UPPER(TRIM(E17)),1)="F",UPPER(TRIM(E17))="A"),"A",IF(OR(LEFT(UPPER(TRIM(E17)),1)="M",UPPER(TRIM(E17))="B"),"B",IF(OR(LEFT(UPPER(TRIM(E17)),2)="SL",UPPER(TRIM(E17))="C"),"C",IF(OR(LEFT(UPPER(TRIM(E17)),1)="D",UPPER(TRIM(E17))="D"),"D","")))))))</f>
        <v/>
      </c>
      <c r="J17" s="27" t="str">
        <f aca="false">IF(I17="","",IF(AND(I17="D",Settings!$B$6&lt;&gt;"Yes"),"",IFERROR(INDEX(Settings!$C$9:$C$12,MATCH(I17,Settings!$A$9:$A$12,0)),"")))</f>
        <v/>
      </c>
      <c r="K17" s="27" t="str">
        <f aca="false">IF(J17="","",COUNTIF($I$2:I17,I17))</f>
        <v/>
      </c>
      <c r="L17" s="27" t="str">
        <f aca="false">IF(J17="","",CHOOSE(Q17+1,"Tue","Wed","Thu","Fri"))</f>
        <v/>
      </c>
      <c r="M17" s="27" t="str">
        <f aca="false">IF(J17="","",IF(J17=1,"Every week",R17+1&amp;" of "&amp;J17))</f>
        <v/>
      </c>
      <c r="N17" s="28" t="str">
        <f aca="false">IF(J17="","",Settings!$B$4+R17*7+Q17)</f>
        <v/>
      </c>
      <c r="O17" s="28" t="str">
        <f aca="true">IF(J17="","",N17+MAX(0,ROUNDUP((TODAY()-N17)/(J17*7),0))*J17*7)</f>
        <v/>
      </c>
      <c r="P17" s="27" t="str">
        <f aca="false">IF(J17="","",MOD(K17-1,J17*4))</f>
        <v/>
      </c>
      <c r="Q17" s="27" t="str">
        <f aca="false">IF(J17="","",MOD(P17,4))</f>
        <v/>
      </c>
      <c r="R17" s="27" t="str">
        <f aca="false">IF(J17="","",INT(P17/4))</f>
        <v/>
      </c>
      <c r="S17" s="27" t="str">
        <f aca="false">IF(J17="","",IF(AND('Daily Count Sheet'!$H$3=Q17,MOD('Daily Count Sheet'!$I$3,J17)=R17),1,""))</f>
        <v/>
      </c>
      <c r="T17" s="27" t="str">
        <f aca="false">IF(S17=1,COUNTIF($S$2:S17,1),"")</f>
        <v/>
      </c>
    </row>
    <row r="18" customFormat="false" ht="15" hidden="false" customHeight="false" outlineLevel="0" collapsed="false">
      <c r="H18" s="26"/>
      <c r="I18" s="27" t="str">
        <f aca="false">IF(A18="","",IF(H18&lt;&gt;"",UPPER(TRIM(H18)),IFERROR(CHOOSE(VALUE(E18)+1,"A","B","C","D"),IF(OR(LEFT(UPPER(TRIM(E18)),1)="F",UPPER(TRIM(E18))="A"),"A",IF(OR(LEFT(UPPER(TRIM(E18)),1)="M",UPPER(TRIM(E18))="B"),"B",IF(OR(LEFT(UPPER(TRIM(E18)),2)="SL",UPPER(TRIM(E18))="C"),"C",IF(OR(LEFT(UPPER(TRIM(E18)),1)="D",UPPER(TRIM(E18))="D"),"D","")))))))</f>
        <v/>
      </c>
      <c r="J18" s="27" t="str">
        <f aca="false">IF(I18="","",IF(AND(I18="D",Settings!$B$6&lt;&gt;"Yes"),"",IFERROR(INDEX(Settings!$C$9:$C$12,MATCH(I18,Settings!$A$9:$A$12,0)),"")))</f>
        <v/>
      </c>
      <c r="K18" s="27" t="str">
        <f aca="false">IF(J18="","",COUNTIF($I$2:I18,I18))</f>
        <v/>
      </c>
      <c r="L18" s="27" t="str">
        <f aca="false">IF(J18="","",CHOOSE(Q18+1,"Tue","Wed","Thu","Fri"))</f>
        <v/>
      </c>
      <c r="M18" s="27" t="str">
        <f aca="false">IF(J18="","",IF(J18=1,"Every week",R18+1&amp;" of "&amp;J18))</f>
        <v/>
      </c>
      <c r="N18" s="28" t="str">
        <f aca="false">IF(J18="","",Settings!$B$4+R18*7+Q18)</f>
        <v/>
      </c>
      <c r="O18" s="28" t="str">
        <f aca="true">IF(J18="","",N18+MAX(0,ROUNDUP((TODAY()-N18)/(J18*7),0))*J18*7)</f>
        <v/>
      </c>
      <c r="P18" s="27" t="str">
        <f aca="false">IF(J18="","",MOD(K18-1,J18*4))</f>
        <v/>
      </c>
      <c r="Q18" s="27" t="str">
        <f aca="false">IF(J18="","",MOD(P18,4))</f>
        <v/>
      </c>
      <c r="R18" s="27" t="str">
        <f aca="false">IF(J18="","",INT(P18/4))</f>
        <v/>
      </c>
      <c r="S18" s="27" t="str">
        <f aca="false">IF(J18="","",IF(AND('Daily Count Sheet'!$H$3=Q18,MOD('Daily Count Sheet'!$I$3,J18)=R18),1,""))</f>
        <v/>
      </c>
      <c r="T18" s="27" t="str">
        <f aca="false">IF(S18=1,COUNTIF($S$2:S18,1),"")</f>
        <v/>
      </c>
    </row>
    <row r="19" customFormat="false" ht="15" hidden="false" customHeight="false" outlineLevel="0" collapsed="false">
      <c r="H19" s="26"/>
      <c r="I19" s="27" t="str">
        <f aca="false">IF(A19="","",IF(H19&lt;&gt;"",UPPER(TRIM(H19)),IFERROR(CHOOSE(VALUE(E19)+1,"A","B","C","D"),IF(OR(LEFT(UPPER(TRIM(E19)),1)="F",UPPER(TRIM(E19))="A"),"A",IF(OR(LEFT(UPPER(TRIM(E19)),1)="M",UPPER(TRIM(E19))="B"),"B",IF(OR(LEFT(UPPER(TRIM(E19)),2)="SL",UPPER(TRIM(E19))="C"),"C",IF(OR(LEFT(UPPER(TRIM(E19)),1)="D",UPPER(TRIM(E19))="D"),"D","")))))))</f>
        <v/>
      </c>
      <c r="J19" s="27" t="str">
        <f aca="false">IF(I19="","",IF(AND(I19="D",Settings!$B$6&lt;&gt;"Yes"),"",IFERROR(INDEX(Settings!$C$9:$C$12,MATCH(I19,Settings!$A$9:$A$12,0)),"")))</f>
        <v/>
      </c>
      <c r="K19" s="27" t="str">
        <f aca="false">IF(J19="","",COUNTIF($I$2:I19,I19))</f>
        <v/>
      </c>
      <c r="L19" s="27" t="str">
        <f aca="false">IF(J19="","",CHOOSE(Q19+1,"Tue","Wed","Thu","Fri"))</f>
        <v/>
      </c>
      <c r="M19" s="27" t="str">
        <f aca="false">IF(J19="","",IF(J19=1,"Every week",R19+1&amp;" of "&amp;J19))</f>
        <v/>
      </c>
      <c r="N19" s="28" t="str">
        <f aca="false">IF(J19="","",Settings!$B$4+R19*7+Q19)</f>
        <v/>
      </c>
      <c r="O19" s="28" t="str">
        <f aca="true">IF(J19="","",N19+MAX(0,ROUNDUP((TODAY()-N19)/(J19*7),0))*J19*7)</f>
        <v/>
      </c>
      <c r="P19" s="27" t="str">
        <f aca="false">IF(J19="","",MOD(K19-1,J19*4))</f>
        <v/>
      </c>
      <c r="Q19" s="27" t="str">
        <f aca="false">IF(J19="","",MOD(P19,4))</f>
        <v/>
      </c>
      <c r="R19" s="27" t="str">
        <f aca="false">IF(J19="","",INT(P19/4))</f>
        <v/>
      </c>
      <c r="S19" s="27" t="str">
        <f aca="false">IF(J19="","",IF(AND('Daily Count Sheet'!$H$3=Q19,MOD('Daily Count Sheet'!$I$3,J19)=R19),1,""))</f>
        <v/>
      </c>
      <c r="T19" s="27" t="str">
        <f aca="false">IF(S19=1,COUNTIF($S$2:S19,1),"")</f>
        <v/>
      </c>
    </row>
    <row r="20" customFormat="false" ht="15" hidden="false" customHeight="false" outlineLevel="0" collapsed="false">
      <c r="H20" s="26"/>
      <c r="I20" s="27" t="str">
        <f aca="false">IF(A20="","",IF(H20&lt;&gt;"",UPPER(TRIM(H20)),IFERROR(CHOOSE(VALUE(E20)+1,"A","B","C","D"),IF(OR(LEFT(UPPER(TRIM(E20)),1)="F",UPPER(TRIM(E20))="A"),"A",IF(OR(LEFT(UPPER(TRIM(E20)),1)="M",UPPER(TRIM(E20))="B"),"B",IF(OR(LEFT(UPPER(TRIM(E20)),2)="SL",UPPER(TRIM(E20))="C"),"C",IF(OR(LEFT(UPPER(TRIM(E20)),1)="D",UPPER(TRIM(E20))="D"),"D","")))))))</f>
        <v/>
      </c>
      <c r="J20" s="27" t="str">
        <f aca="false">IF(I20="","",IF(AND(I20="D",Settings!$B$6&lt;&gt;"Yes"),"",IFERROR(INDEX(Settings!$C$9:$C$12,MATCH(I20,Settings!$A$9:$A$12,0)),"")))</f>
        <v/>
      </c>
      <c r="K20" s="27" t="str">
        <f aca="false">IF(J20="","",COUNTIF($I$2:I20,I20))</f>
        <v/>
      </c>
      <c r="L20" s="27" t="str">
        <f aca="false">IF(J20="","",CHOOSE(Q20+1,"Tue","Wed","Thu","Fri"))</f>
        <v/>
      </c>
      <c r="M20" s="27" t="str">
        <f aca="false">IF(J20="","",IF(J20=1,"Every week",R20+1&amp;" of "&amp;J20))</f>
        <v/>
      </c>
      <c r="N20" s="28" t="str">
        <f aca="false">IF(J20="","",Settings!$B$4+R20*7+Q20)</f>
        <v/>
      </c>
      <c r="O20" s="28" t="str">
        <f aca="true">IF(J20="","",N20+MAX(0,ROUNDUP((TODAY()-N20)/(J20*7),0))*J20*7)</f>
        <v/>
      </c>
      <c r="P20" s="27" t="str">
        <f aca="false">IF(J20="","",MOD(K20-1,J20*4))</f>
        <v/>
      </c>
      <c r="Q20" s="27" t="str">
        <f aca="false">IF(J20="","",MOD(P20,4))</f>
        <v/>
      </c>
      <c r="R20" s="27" t="str">
        <f aca="false">IF(J20="","",INT(P20/4))</f>
        <v/>
      </c>
      <c r="S20" s="27" t="str">
        <f aca="false">IF(J20="","",IF(AND('Daily Count Sheet'!$H$3=Q20,MOD('Daily Count Sheet'!$I$3,J20)=R20),1,""))</f>
        <v/>
      </c>
      <c r="T20" s="27" t="str">
        <f aca="false">IF(S20=1,COUNTIF($S$2:S20,1),"")</f>
        <v/>
      </c>
    </row>
    <row r="21" customFormat="false" ht="15" hidden="false" customHeight="false" outlineLevel="0" collapsed="false">
      <c r="H21" s="26"/>
      <c r="I21" s="27" t="str">
        <f aca="false">IF(A21="","",IF(H21&lt;&gt;"",UPPER(TRIM(H21)),IFERROR(CHOOSE(VALUE(E21)+1,"A","B","C","D"),IF(OR(LEFT(UPPER(TRIM(E21)),1)="F",UPPER(TRIM(E21))="A"),"A",IF(OR(LEFT(UPPER(TRIM(E21)),1)="M",UPPER(TRIM(E21))="B"),"B",IF(OR(LEFT(UPPER(TRIM(E21)),2)="SL",UPPER(TRIM(E21))="C"),"C",IF(OR(LEFT(UPPER(TRIM(E21)),1)="D",UPPER(TRIM(E21))="D"),"D","")))))))</f>
        <v/>
      </c>
      <c r="J21" s="27" t="str">
        <f aca="false">IF(I21="","",IF(AND(I21="D",Settings!$B$6&lt;&gt;"Yes"),"",IFERROR(INDEX(Settings!$C$9:$C$12,MATCH(I21,Settings!$A$9:$A$12,0)),"")))</f>
        <v/>
      </c>
      <c r="K21" s="27" t="str">
        <f aca="false">IF(J21="","",COUNTIF($I$2:I21,I21))</f>
        <v/>
      </c>
      <c r="L21" s="27" t="str">
        <f aca="false">IF(J21="","",CHOOSE(Q21+1,"Tue","Wed","Thu","Fri"))</f>
        <v/>
      </c>
      <c r="M21" s="27" t="str">
        <f aca="false">IF(J21="","",IF(J21=1,"Every week",R21+1&amp;" of "&amp;J21))</f>
        <v/>
      </c>
      <c r="N21" s="28" t="str">
        <f aca="false">IF(J21="","",Settings!$B$4+R21*7+Q21)</f>
        <v/>
      </c>
      <c r="O21" s="28" t="str">
        <f aca="true">IF(J21="","",N21+MAX(0,ROUNDUP((TODAY()-N21)/(J21*7),0))*J21*7)</f>
        <v/>
      </c>
      <c r="P21" s="27" t="str">
        <f aca="false">IF(J21="","",MOD(K21-1,J21*4))</f>
        <v/>
      </c>
      <c r="Q21" s="27" t="str">
        <f aca="false">IF(J21="","",MOD(P21,4))</f>
        <v/>
      </c>
      <c r="R21" s="27" t="str">
        <f aca="false">IF(J21="","",INT(P21/4))</f>
        <v/>
      </c>
      <c r="S21" s="27" t="str">
        <f aca="false">IF(J21="","",IF(AND('Daily Count Sheet'!$H$3=Q21,MOD('Daily Count Sheet'!$I$3,J21)=R21),1,""))</f>
        <v/>
      </c>
      <c r="T21" s="27" t="str">
        <f aca="false">IF(S21=1,COUNTIF($S$2:S21,1),"")</f>
        <v/>
      </c>
    </row>
    <row r="22" customFormat="false" ht="15" hidden="false" customHeight="false" outlineLevel="0" collapsed="false">
      <c r="H22" s="26"/>
      <c r="I22" s="27" t="str">
        <f aca="false">IF(A22="","",IF(H22&lt;&gt;"",UPPER(TRIM(H22)),IFERROR(CHOOSE(VALUE(E22)+1,"A","B","C","D"),IF(OR(LEFT(UPPER(TRIM(E22)),1)="F",UPPER(TRIM(E22))="A"),"A",IF(OR(LEFT(UPPER(TRIM(E22)),1)="M",UPPER(TRIM(E22))="B"),"B",IF(OR(LEFT(UPPER(TRIM(E22)),2)="SL",UPPER(TRIM(E22))="C"),"C",IF(OR(LEFT(UPPER(TRIM(E22)),1)="D",UPPER(TRIM(E22))="D"),"D","")))))))</f>
        <v/>
      </c>
      <c r="J22" s="27" t="str">
        <f aca="false">IF(I22="","",IF(AND(I22="D",Settings!$B$6&lt;&gt;"Yes"),"",IFERROR(INDEX(Settings!$C$9:$C$12,MATCH(I22,Settings!$A$9:$A$12,0)),"")))</f>
        <v/>
      </c>
      <c r="K22" s="27" t="str">
        <f aca="false">IF(J22="","",COUNTIF($I$2:I22,I22))</f>
        <v/>
      </c>
      <c r="L22" s="27" t="str">
        <f aca="false">IF(J22="","",CHOOSE(Q22+1,"Tue","Wed","Thu","Fri"))</f>
        <v/>
      </c>
      <c r="M22" s="27" t="str">
        <f aca="false">IF(J22="","",IF(J22=1,"Every week",R22+1&amp;" of "&amp;J22))</f>
        <v/>
      </c>
      <c r="N22" s="28" t="str">
        <f aca="false">IF(J22="","",Settings!$B$4+R22*7+Q22)</f>
        <v/>
      </c>
      <c r="O22" s="28" t="str">
        <f aca="true">IF(J22="","",N22+MAX(0,ROUNDUP((TODAY()-N22)/(J22*7),0))*J22*7)</f>
        <v/>
      </c>
      <c r="P22" s="27" t="str">
        <f aca="false">IF(J22="","",MOD(K22-1,J22*4))</f>
        <v/>
      </c>
      <c r="Q22" s="27" t="str">
        <f aca="false">IF(J22="","",MOD(P22,4))</f>
        <v/>
      </c>
      <c r="R22" s="27" t="str">
        <f aca="false">IF(J22="","",INT(P22/4))</f>
        <v/>
      </c>
      <c r="S22" s="27" t="str">
        <f aca="false">IF(J22="","",IF(AND('Daily Count Sheet'!$H$3=Q22,MOD('Daily Count Sheet'!$I$3,J22)=R22),1,""))</f>
        <v/>
      </c>
      <c r="T22" s="27" t="str">
        <f aca="false">IF(S22=1,COUNTIF($S$2:S22,1),"")</f>
        <v/>
      </c>
    </row>
    <row r="23" customFormat="false" ht="15" hidden="false" customHeight="false" outlineLevel="0" collapsed="false">
      <c r="H23" s="26"/>
      <c r="I23" s="27" t="str">
        <f aca="false">IF(A23="","",IF(H23&lt;&gt;"",UPPER(TRIM(H23)),IFERROR(CHOOSE(VALUE(E23)+1,"A","B","C","D"),IF(OR(LEFT(UPPER(TRIM(E23)),1)="F",UPPER(TRIM(E23))="A"),"A",IF(OR(LEFT(UPPER(TRIM(E23)),1)="M",UPPER(TRIM(E23))="B"),"B",IF(OR(LEFT(UPPER(TRIM(E23)),2)="SL",UPPER(TRIM(E23))="C"),"C",IF(OR(LEFT(UPPER(TRIM(E23)),1)="D",UPPER(TRIM(E23))="D"),"D","")))))))</f>
        <v/>
      </c>
      <c r="J23" s="27" t="str">
        <f aca="false">IF(I23="","",IF(AND(I23="D",Settings!$B$6&lt;&gt;"Yes"),"",IFERROR(INDEX(Settings!$C$9:$C$12,MATCH(I23,Settings!$A$9:$A$12,0)),"")))</f>
        <v/>
      </c>
      <c r="K23" s="27" t="str">
        <f aca="false">IF(J23="","",COUNTIF($I$2:I23,I23))</f>
        <v/>
      </c>
      <c r="L23" s="27" t="str">
        <f aca="false">IF(J23="","",CHOOSE(Q23+1,"Tue","Wed","Thu","Fri"))</f>
        <v/>
      </c>
      <c r="M23" s="27" t="str">
        <f aca="false">IF(J23="","",IF(J23=1,"Every week",R23+1&amp;" of "&amp;J23))</f>
        <v/>
      </c>
      <c r="N23" s="28" t="str">
        <f aca="false">IF(J23="","",Settings!$B$4+R23*7+Q23)</f>
        <v/>
      </c>
      <c r="O23" s="28" t="str">
        <f aca="true">IF(J23="","",N23+MAX(0,ROUNDUP((TODAY()-N23)/(J23*7),0))*J23*7)</f>
        <v/>
      </c>
      <c r="P23" s="27" t="str">
        <f aca="false">IF(J23="","",MOD(K23-1,J23*4))</f>
        <v/>
      </c>
      <c r="Q23" s="27" t="str">
        <f aca="false">IF(J23="","",MOD(P23,4))</f>
        <v/>
      </c>
      <c r="R23" s="27" t="str">
        <f aca="false">IF(J23="","",INT(P23/4))</f>
        <v/>
      </c>
      <c r="S23" s="27" t="str">
        <f aca="false">IF(J23="","",IF(AND('Daily Count Sheet'!$H$3=Q23,MOD('Daily Count Sheet'!$I$3,J23)=R23),1,""))</f>
        <v/>
      </c>
      <c r="T23" s="27" t="str">
        <f aca="false">IF(S23=1,COUNTIF($S$2:S23,1),"")</f>
        <v/>
      </c>
    </row>
    <row r="24" customFormat="false" ht="15" hidden="false" customHeight="false" outlineLevel="0" collapsed="false">
      <c r="H24" s="26"/>
      <c r="I24" s="27" t="str">
        <f aca="false">IF(A24="","",IF(H24&lt;&gt;"",UPPER(TRIM(H24)),IFERROR(CHOOSE(VALUE(E24)+1,"A","B","C","D"),IF(OR(LEFT(UPPER(TRIM(E24)),1)="F",UPPER(TRIM(E24))="A"),"A",IF(OR(LEFT(UPPER(TRIM(E24)),1)="M",UPPER(TRIM(E24))="B"),"B",IF(OR(LEFT(UPPER(TRIM(E24)),2)="SL",UPPER(TRIM(E24))="C"),"C",IF(OR(LEFT(UPPER(TRIM(E24)),1)="D",UPPER(TRIM(E24))="D"),"D","")))))))</f>
        <v/>
      </c>
      <c r="J24" s="27" t="str">
        <f aca="false">IF(I24="","",IF(AND(I24="D",Settings!$B$6&lt;&gt;"Yes"),"",IFERROR(INDEX(Settings!$C$9:$C$12,MATCH(I24,Settings!$A$9:$A$12,0)),"")))</f>
        <v/>
      </c>
      <c r="K24" s="27" t="str">
        <f aca="false">IF(J24="","",COUNTIF($I$2:I24,I24))</f>
        <v/>
      </c>
      <c r="L24" s="27" t="str">
        <f aca="false">IF(J24="","",CHOOSE(Q24+1,"Tue","Wed","Thu","Fri"))</f>
        <v/>
      </c>
      <c r="M24" s="27" t="str">
        <f aca="false">IF(J24="","",IF(J24=1,"Every week",R24+1&amp;" of "&amp;J24))</f>
        <v/>
      </c>
      <c r="N24" s="28" t="str">
        <f aca="false">IF(J24="","",Settings!$B$4+R24*7+Q24)</f>
        <v/>
      </c>
      <c r="O24" s="28" t="str">
        <f aca="true">IF(J24="","",N24+MAX(0,ROUNDUP((TODAY()-N24)/(J24*7),0))*J24*7)</f>
        <v/>
      </c>
      <c r="P24" s="27" t="str">
        <f aca="false">IF(J24="","",MOD(K24-1,J24*4))</f>
        <v/>
      </c>
      <c r="Q24" s="27" t="str">
        <f aca="false">IF(J24="","",MOD(P24,4))</f>
        <v/>
      </c>
      <c r="R24" s="27" t="str">
        <f aca="false">IF(J24="","",INT(P24/4))</f>
        <v/>
      </c>
      <c r="S24" s="27" t="str">
        <f aca="false">IF(J24="","",IF(AND('Daily Count Sheet'!$H$3=Q24,MOD('Daily Count Sheet'!$I$3,J24)=R24),1,""))</f>
        <v/>
      </c>
      <c r="T24" s="27" t="str">
        <f aca="false">IF(S24=1,COUNTIF($S$2:S24,1),"")</f>
        <v/>
      </c>
    </row>
    <row r="25" customFormat="false" ht="15" hidden="false" customHeight="false" outlineLevel="0" collapsed="false">
      <c r="H25" s="26"/>
      <c r="I25" s="27" t="str">
        <f aca="false">IF(A25="","",IF(H25&lt;&gt;"",UPPER(TRIM(H25)),IFERROR(CHOOSE(VALUE(E25)+1,"A","B","C","D"),IF(OR(LEFT(UPPER(TRIM(E25)),1)="F",UPPER(TRIM(E25))="A"),"A",IF(OR(LEFT(UPPER(TRIM(E25)),1)="M",UPPER(TRIM(E25))="B"),"B",IF(OR(LEFT(UPPER(TRIM(E25)),2)="SL",UPPER(TRIM(E25))="C"),"C",IF(OR(LEFT(UPPER(TRIM(E25)),1)="D",UPPER(TRIM(E25))="D"),"D","")))))))</f>
        <v/>
      </c>
      <c r="J25" s="27" t="str">
        <f aca="false">IF(I25="","",IF(AND(I25="D",Settings!$B$6&lt;&gt;"Yes"),"",IFERROR(INDEX(Settings!$C$9:$C$12,MATCH(I25,Settings!$A$9:$A$12,0)),"")))</f>
        <v/>
      </c>
      <c r="K25" s="27" t="str">
        <f aca="false">IF(J25="","",COUNTIF($I$2:I25,I25))</f>
        <v/>
      </c>
      <c r="L25" s="27" t="str">
        <f aca="false">IF(J25="","",CHOOSE(Q25+1,"Tue","Wed","Thu","Fri"))</f>
        <v/>
      </c>
      <c r="M25" s="27" t="str">
        <f aca="false">IF(J25="","",IF(J25=1,"Every week",R25+1&amp;" of "&amp;J25))</f>
        <v/>
      </c>
      <c r="N25" s="28" t="str">
        <f aca="false">IF(J25="","",Settings!$B$4+R25*7+Q25)</f>
        <v/>
      </c>
      <c r="O25" s="28" t="str">
        <f aca="true">IF(J25="","",N25+MAX(0,ROUNDUP((TODAY()-N25)/(J25*7),0))*J25*7)</f>
        <v/>
      </c>
      <c r="P25" s="27" t="str">
        <f aca="false">IF(J25="","",MOD(K25-1,J25*4))</f>
        <v/>
      </c>
      <c r="Q25" s="27" t="str">
        <f aca="false">IF(J25="","",MOD(P25,4))</f>
        <v/>
      </c>
      <c r="R25" s="27" t="str">
        <f aca="false">IF(J25="","",INT(P25/4))</f>
        <v/>
      </c>
      <c r="S25" s="27" t="str">
        <f aca="false">IF(J25="","",IF(AND('Daily Count Sheet'!$H$3=Q25,MOD('Daily Count Sheet'!$I$3,J25)=R25),1,""))</f>
        <v/>
      </c>
      <c r="T25" s="27" t="str">
        <f aca="false">IF(S25=1,COUNTIF($S$2:S25,1),"")</f>
        <v/>
      </c>
    </row>
    <row r="26" customFormat="false" ht="15" hidden="false" customHeight="false" outlineLevel="0" collapsed="false">
      <c r="H26" s="26"/>
      <c r="I26" s="27" t="str">
        <f aca="false">IF(A26="","",IF(H26&lt;&gt;"",UPPER(TRIM(H26)),IFERROR(CHOOSE(VALUE(E26)+1,"A","B","C","D"),IF(OR(LEFT(UPPER(TRIM(E26)),1)="F",UPPER(TRIM(E26))="A"),"A",IF(OR(LEFT(UPPER(TRIM(E26)),1)="M",UPPER(TRIM(E26))="B"),"B",IF(OR(LEFT(UPPER(TRIM(E26)),2)="SL",UPPER(TRIM(E26))="C"),"C",IF(OR(LEFT(UPPER(TRIM(E26)),1)="D",UPPER(TRIM(E26))="D"),"D","")))))))</f>
        <v/>
      </c>
      <c r="J26" s="27" t="str">
        <f aca="false">IF(I26="","",IF(AND(I26="D",Settings!$B$6&lt;&gt;"Yes"),"",IFERROR(INDEX(Settings!$C$9:$C$12,MATCH(I26,Settings!$A$9:$A$12,0)),"")))</f>
        <v/>
      </c>
      <c r="K26" s="27" t="str">
        <f aca="false">IF(J26="","",COUNTIF($I$2:I26,I26))</f>
        <v/>
      </c>
      <c r="L26" s="27" t="str">
        <f aca="false">IF(J26="","",CHOOSE(Q26+1,"Tue","Wed","Thu","Fri"))</f>
        <v/>
      </c>
      <c r="M26" s="27" t="str">
        <f aca="false">IF(J26="","",IF(J26=1,"Every week",R26+1&amp;" of "&amp;J26))</f>
        <v/>
      </c>
      <c r="N26" s="28" t="str">
        <f aca="false">IF(J26="","",Settings!$B$4+R26*7+Q26)</f>
        <v/>
      </c>
      <c r="O26" s="28" t="str">
        <f aca="true">IF(J26="","",N26+MAX(0,ROUNDUP((TODAY()-N26)/(J26*7),0))*J26*7)</f>
        <v/>
      </c>
      <c r="P26" s="27" t="str">
        <f aca="false">IF(J26="","",MOD(K26-1,J26*4))</f>
        <v/>
      </c>
      <c r="Q26" s="27" t="str">
        <f aca="false">IF(J26="","",MOD(P26,4))</f>
        <v/>
      </c>
      <c r="R26" s="27" t="str">
        <f aca="false">IF(J26="","",INT(P26/4))</f>
        <v/>
      </c>
      <c r="S26" s="27" t="str">
        <f aca="false">IF(J26="","",IF(AND('Daily Count Sheet'!$H$3=Q26,MOD('Daily Count Sheet'!$I$3,J26)=R26),1,""))</f>
        <v/>
      </c>
      <c r="T26" s="27" t="str">
        <f aca="false">IF(S26=1,COUNTIF($S$2:S26,1),"")</f>
        <v/>
      </c>
    </row>
    <row r="27" customFormat="false" ht="15" hidden="false" customHeight="false" outlineLevel="0" collapsed="false">
      <c r="H27" s="26"/>
      <c r="I27" s="27" t="str">
        <f aca="false">IF(A27="","",IF(H27&lt;&gt;"",UPPER(TRIM(H27)),IFERROR(CHOOSE(VALUE(E27)+1,"A","B","C","D"),IF(OR(LEFT(UPPER(TRIM(E27)),1)="F",UPPER(TRIM(E27))="A"),"A",IF(OR(LEFT(UPPER(TRIM(E27)),1)="M",UPPER(TRIM(E27))="B"),"B",IF(OR(LEFT(UPPER(TRIM(E27)),2)="SL",UPPER(TRIM(E27))="C"),"C",IF(OR(LEFT(UPPER(TRIM(E27)),1)="D",UPPER(TRIM(E27))="D"),"D","")))))))</f>
        <v/>
      </c>
      <c r="J27" s="27" t="str">
        <f aca="false">IF(I27="","",IF(AND(I27="D",Settings!$B$6&lt;&gt;"Yes"),"",IFERROR(INDEX(Settings!$C$9:$C$12,MATCH(I27,Settings!$A$9:$A$12,0)),"")))</f>
        <v/>
      </c>
      <c r="K27" s="27" t="str">
        <f aca="false">IF(J27="","",COUNTIF($I$2:I27,I27))</f>
        <v/>
      </c>
      <c r="L27" s="27" t="str">
        <f aca="false">IF(J27="","",CHOOSE(Q27+1,"Tue","Wed","Thu","Fri"))</f>
        <v/>
      </c>
      <c r="M27" s="27" t="str">
        <f aca="false">IF(J27="","",IF(J27=1,"Every week",R27+1&amp;" of "&amp;J27))</f>
        <v/>
      </c>
      <c r="N27" s="28" t="str">
        <f aca="false">IF(J27="","",Settings!$B$4+R27*7+Q27)</f>
        <v/>
      </c>
      <c r="O27" s="28" t="str">
        <f aca="true">IF(J27="","",N27+MAX(0,ROUNDUP((TODAY()-N27)/(J27*7),0))*J27*7)</f>
        <v/>
      </c>
      <c r="P27" s="27" t="str">
        <f aca="false">IF(J27="","",MOD(K27-1,J27*4))</f>
        <v/>
      </c>
      <c r="Q27" s="27" t="str">
        <f aca="false">IF(J27="","",MOD(P27,4))</f>
        <v/>
      </c>
      <c r="R27" s="27" t="str">
        <f aca="false">IF(J27="","",INT(P27/4))</f>
        <v/>
      </c>
      <c r="S27" s="27" t="str">
        <f aca="false">IF(J27="","",IF(AND('Daily Count Sheet'!$H$3=Q27,MOD('Daily Count Sheet'!$I$3,J27)=R27),1,""))</f>
        <v/>
      </c>
      <c r="T27" s="27" t="str">
        <f aca="false">IF(S27=1,COUNTIF($S$2:S27,1),"")</f>
        <v/>
      </c>
    </row>
    <row r="28" customFormat="false" ht="15" hidden="false" customHeight="false" outlineLevel="0" collapsed="false">
      <c r="H28" s="26"/>
      <c r="I28" s="27" t="str">
        <f aca="false">IF(A28="","",IF(H28&lt;&gt;"",UPPER(TRIM(H28)),IFERROR(CHOOSE(VALUE(E28)+1,"A","B","C","D"),IF(OR(LEFT(UPPER(TRIM(E28)),1)="F",UPPER(TRIM(E28))="A"),"A",IF(OR(LEFT(UPPER(TRIM(E28)),1)="M",UPPER(TRIM(E28))="B"),"B",IF(OR(LEFT(UPPER(TRIM(E28)),2)="SL",UPPER(TRIM(E28))="C"),"C",IF(OR(LEFT(UPPER(TRIM(E28)),1)="D",UPPER(TRIM(E28))="D"),"D","")))))))</f>
        <v/>
      </c>
      <c r="J28" s="27" t="str">
        <f aca="false">IF(I28="","",IF(AND(I28="D",Settings!$B$6&lt;&gt;"Yes"),"",IFERROR(INDEX(Settings!$C$9:$C$12,MATCH(I28,Settings!$A$9:$A$12,0)),"")))</f>
        <v/>
      </c>
      <c r="K28" s="27" t="str">
        <f aca="false">IF(J28="","",COUNTIF($I$2:I28,I28))</f>
        <v/>
      </c>
      <c r="L28" s="27" t="str">
        <f aca="false">IF(J28="","",CHOOSE(Q28+1,"Tue","Wed","Thu","Fri"))</f>
        <v/>
      </c>
      <c r="M28" s="27" t="str">
        <f aca="false">IF(J28="","",IF(J28=1,"Every week",R28+1&amp;" of "&amp;J28))</f>
        <v/>
      </c>
      <c r="N28" s="28" t="str">
        <f aca="false">IF(J28="","",Settings!$B$4+R28*7+Q28)</f>
        <v/>
      </c>
      <c r="O28" s="28" t="str">
        <f aca="true">IF(J28="","",N28+MAX(0,ROUNDUP((TODAY()-N28)/(J28*7),0))*J28*7)</f>
        <v/>
      </c>
      <c r="P28" s="27" t="str">
        <f aca="false">IF(J28="","",MOD(K28-1,J28*4))</f>
        <v/>
      </c>
      <c r="Q28" s="27" t="str">
        <f aca="false">IF(J28="","",MOD(P28,4))</f>
        <v/>
      </c>
      <c r="R28" s="27" t="str">
        <f aca="false">IF(J28="","",INT(P28/4))</f>
        <v/>
      </c>
      <c r="S28" s="27" t="str">
        <f aca="false">IF(J28="","",IF(AND('Daily Count Sheet'!$H$3=Q28,MOD('Daily Count Sheet'!$I$3,J28)=R28),1,""))</f>
        <v/>
      </c>
      <c r="T28" s="27" t="str">
        <f aca="false">IF(S28=1,COUNTIF($S$2:S28,1),"")</f>
        <v/>
      </c>
    </row>
    <row r="29" customFormat="false" ht="15" hidden="false" customHeight="false" outlineLevel="0" collapsed="false">
      <c r="H29" s="26"/>
      <c r="I29" s="27" t="str">
        <f aca="false">IF(A29="","",IF(H29&lt;&gt;"",UPPER(TRIM(H29)),IFERROR(CHOOSE(VALUE(E29)+1,"A","B","C","D"),IF(OR(LEFT(UPPER(TRIM(E29)),1)="F",UPPER(TRIM(E29))="A"),"A",IF(OR(LEFT(UPPER(TRIM(E29)),1)="M",UPPER(TRIM(E29))="B"),"B",IF(OR(LEFT(UPPER(TRIM(E29)),2)="SL",UPPER(TRIM(E29))="C"),"C",IF(OR(LEFT(UPPER(TRIM(E29)),1)="D",UPPER(TRIM(E29))="D"),"D","")))))))</f>
        <v/>
      </c>
      <c r="J29" s="27" t="str">
        <f aca="false">IF(I29="","",IF(AND(I29="D",Settings!$B$6&lt;&gt;"Yes"),"",IFERROR(INDEX(Settings!$C$9:$C$12,MATCH(I29,Settings!$A$9:$A$12,0)),"")))</f>
        <v/>
      </c>
      <c r="K29" s="27" t="str">
        <f aca="false">IF(J29="","",COUNTIF($I$2:I29,I29))</f>
        <v/>
      </c>
      <c r="L29" s="27" t="str">
        <f aca="false">IF(J29="","",CHOOSE(Q29+1,"Tue","Wed","Thu","Fri"))</f>
        <v/>
      </c>
      <c r="M29" s="27" t="str">
        <f aca="false">IF(J29="","",IF(J29=1,"Every week",R29+1&amp;" of "&amp;J29))</f>
        <v/>
      </c>
      <c r="N29" s="28" t="str">
        <f aca="false">IF(J29="","",Settings!$B$4+R29*7+Q29)</f>
        <v/>
      </c>
      <c r="O29" s="28" t="str">
        <f aca="true">IF(J29="","",N29+MAX(0,ROUNDUP((TODAY()-N29)/(J29*7),0))*J29*7)</f>
        <v/>
      </c>
      <c r="P29" s="27" t="str">
        <f aca="false">IF(J29="","",MOD(K29-1,J29*4))</f>
        <v/>
      </c>
      <c r="Q29" s="27" t="str">
        <f aca="false">IF(J29="","",MOD(P29,4))</f>
        <v/>
      </c>
      <c r="R29" s="27" t="str">
        <f aca="false">IF(J29="","",INT(P29/4))</f>
        <v/>
      </c>
      <c r="S29" s="27" t="str">
        <f aca="false">IF(J29="","",IF(AND('Daily Count Sheet'!$H$3=Q29,MOD('Daily Count Sheet'!$I$3,J29)=R29),1,""))</f>
        <v/>
      </c>
      <c r="T29" s="27" t="str">
        <f aca="false">IF(S29=1,COUNTIF($S$2:S29,1),"")</f>
        <v/>
      </c>
    </row>
    <row r="30" customFormat="false" ht="15" hidden="false" customHeight="false" outlineLevel="0" collapsed="false">
      <c r="H30" s="26"/>
      <c r="I30" s="27" t="str">
        <f aca="false">IF(A30="","",IF(H30&lt;&gt;"",UPPER(TRIM(H30)),IFERROR(CHOOSE(VALUE(E30)+1,"A","B","C","D"),IF(OR(LEFT(UPPER(TRIM(E30)),1)="F",UPPER(TRIM(E30))="A"),"A",IF(OR(LEFT(UPPER(TRIM(E30)),1)="M",UPPER(TRIM(E30))="B"),"B",IF(OR(LEFT(UPPER(TRIM(E30)),2)="SL",UPPER(TRIM(E30))="C"),"C",IF(OR(LEFT(UPPER(TRIM(E30)),1)="D",UPPER(TRIM(E30))="D"),"D","")))))))</f>
        <v/>
      </c>
      <c r="J30" s="27" t="str">
        <f aca="false">IF(I30="","",IF(AND(I30="D",Settings!$B$6&lt;&gt;"Yes"),"",IFERROR(INDEX(Settings!$C$9:$C$12,MATCH(I30,Settings!$A$9:$A$12,0)),"")))</f>
        <v/>
      </c>
      <c r="K30" s="27" t="str">
        <f aca="false">IF(J30="","",COUNTIF($I$2:I30,I30))</f>
        <v/>
      </c>
      <c r="L30" s="27" t="str">
        <f aca="false">IF(J30="","",CHOOSE(Q30+1,"Tue","Wed","Thu","Fri"))</f>
        <v/>
      </c>
      <c r="M30" s="27" t="str">
        <f aca="false">IF(J30="","",IF(J30=1,"Every week",R30+1&amp;" of "&amp;J30))</f>
        <v/>
      </c>
      <c r="N30" s="28" t="str">
        <f aca="false">IF(J30="","",Settings!$B$4+R30*7+Q30)</f>
        <v/>
      </c>
      <c r="O30" s="28" t="str">
        <f aca="true">IF(J30="","",N30+MAX(0,ROUNDUP((TODAY()-N30)/(J30*7),0))*J30*7)</f>
        <v/>
      </c>
      <c r="P30" s="27" t="str">
        <f aca="false">IF(J30="","",MOD(K30-1,J30*4))</f>
        <v/>
      </c>
      <c r="Q30" s="27" t="str">
        <f aca="false">IF(J30="","",MOD(P30,4))</f>
        <v/>
      </c>
      <c r="R30" s="27" t="str">
        <f aca="false">IF(J30="","",INT(P30/4))</f>
        <v/>
      </c>
      <c r="S30" s="27" t="str">
        <f aca="false">IF(J30="","",IF(AND('Daily Count Sheet'!$H$3=Q30,MOD('Daily Count Sheet'!$I$3,J30)=R30),1,""))</f>
        <v/>
      </c>
      <c r="T30" s="27" t="str">
        <f aca="false">IF(S30=1,COUNTIF($S$2:S30,1),"")</f>
        <v/>
      </c>
    </row>
    <row r="31" customFormat="false" ht="15" hidden="false" customHeight="false" outlineLevel="0" collapsed="false">
      <c r="H31" s="26"/>
      <c r="I31" s="27" t="str">
        <f aca="false">IF(A31="","",IF(H31&lt;&gt;"",UPPER(TRIM(H31)),IFERROR(CHOOSE(VALUE(E31)+1,"A","B","C","D"),IF(OR(LEFT(UPPER(TRIM(E31)),1)="F",UPPER(TRIM(E31))="A"),"A",IF(OR(LEFT(UPPER(TRIM(E31)),1)="M",UPPER(TRIM(E31))="B"),"B",IF(OR(LEFT(UPPER(TRIM(E31)),2)="SL",UPPER(TRIM(E31))="C"),"C",IF(OR(LEFT(UPPER(TRIM(E31)),1)="D",UPPER(TRIM(E31))="D"),"D","")))))))</f>
        <v/>
      </c>
      <c r="J31" s="27" t="str">
        <f aca="false">IF(I31="","",IF(AND(I31="D",Settings!$B$6&lt;&gt;"Yes"),"",IFERROR(INDEX(Settings!$C$9:$C$12,MATCH(I31,Settings!$A$9:$A$12,0)),"")))</f>
        <v/>
      </c>
      <c r="K31" s="27" t="str">
        <f aca="false">IF(J31="","",COUNTIF($I$2:I31,I31))</f>
        <v/>
      </c>
      <c r="L31" s="27" t="str">
        <f aca="false">IF(J31="","",CHOOSE(Q31+1,"Tue","Wed","Thu","Fri"))</f>
        <v/>
      </c>
      <c r="M31" s="27" t="str">
        <f aca="false">IF(J31="","",IF(J31=1,"Every week",R31+1&amp;" of "&amp;J31))</f>
        <v/>
      </c>
      <c r="N31" s="28" t="str">
        <f aca="false">IF(J31="","",Settings!$B$4+R31*7+Q31)</f>
        <v/>
      </c>
      <c r="O31" s="28" t="str">
        <f aca="true">IF(J31="","",N31+MAX(0,ROUNDUP((TODAY()-N31)/(J31*7),0))*J31*7)</f>
        <v/>
      </c>
      <c r="P31" s="27" t="str">
        <f aca="false">IF(J31="","",MOD(K31-1,J31*4))</f>
        <v/>
      </c>
      <c r="Q31" s="27" t="str">
        <f aca="false">IF(J31="","",MOD(P31,4))</f>
        <v/>
      </c>
      <c r="R31" s="27" t="str">
        <f aca="false">IF(J31="","",INT(P31/4))</f>
        <v/>
      </c>
      <c r="S31" s="27" t="str">
        <f aca="false">IF(J31="","",IF(AND('Daily Count Sheet'!$H$3=Q31,MOD('Daily Count Sheet'!$I$3,J31)=R31),1,""))</f>
        <v/>
      </c>
      <c r="T31" s="27" t="str">
        <f aca="false">IF(S31=1,COUNTIF($S$2:S31,1),"")</f>
        <v/>
      </c>
    </row>
    <row r="32" customFormat="false" ht="15" hidden="false" customHeight="false" outlineLevel="0" collapsed="false">
      <c r="H32" s="26"/>
      <c r="I32" s="27" t="str">
        <f aca="false">IF(A32="","",IF(H32&lt;&gt;"",UPPER(TRIM(H32)),IFERROR(CHOOSE(VALUE(E32)+1,"A","B","C","D"),IF(OR(LEFT(UPPER(TRIM(E32)),1)="F",UPPER(TRIM(E32))="A"),"A",IF(OR(LEFT(UPPER(TRIM(E32)),1)="M",UPPER(TRIM(E32))="B"),"B",IF(OR(LEFT(UPPER(TRIM(E32)),2)="SL",UPPER(TRIM(E32))="C"),"C",IF(OR(LEFT(UPPER(TRIM(E32)),1)="D",UPPER(TRIM(E32))="D"),"D","")))))))</f>
        <v/>
      </c>
      <c r="J32" s="27" t="str">
        <f aca="false">IF(I32="","",IF(AND(I32="D",Settings!$B$6&lt;&gt;"Yes"),"",IFERROR(INDEX(Settings!$C$9:$C$12,MATCH(I32,Settings!$A$9:$A$12,0)),"")))</f>
        <v/>
      </c>
      <c r="K32" s="27" t="str">
        <f aca="false">IF(J32="","",COUNTIF($I$2:I32,I32))</f>
        <v/>
      </c>
      <c r="L32" s="27" t="str">
        <f aca="false">IF(J32="","",CHOOSE(Q32+1,"Tue","Wed","Thu","Fri"))</f>
        <v/>
      </c>
      <c r="M32" s="27" t="str">
        <f aca="false">IF(J32="","",IF(J32=1,"Every week",R32+1&amp;" of "&amp;J32))</f>
        <v/>
      </c>
      <c r="N32" s="28" t="str">
        <f aca="false">IF(J32="","",Settings!$B$4+R32*7+Q32)</f>
        <v/>
      </c>
      <c r="O32" s="28" t="str">
        <f aca="true">IF(J32="","",N32+MAX(0,ROUNDUP((TODAY()-N32)/(J32*7),0))*J32*7)</f>
        <v/>
      </c>
      <c r="P32" s="27" t="str">
        <f aca="false">IF(J32="","",MOD(K32-1,J32*4))</f>
        <v/>
      </c>
      <c r="Q32" s="27" t="str">
        <f aca="false">IF(J32="","",MOD(P32,4))</f>
        <v/>
      </c>
      <c r="R32" s="27" t="str">
        <f aca="false">IF(J32="","",INT(P32/4))</f>
        <v/>
      </c>
      <c r="S32" s="27" t="str">
        <f aca="false">IF(J32="","",IF(AND('Daily Count Sheet'!$H$3=Q32,MOD('Daily Count Sheet'!$I$3,J32)=R32),1,""))</f>
        <v/>
      </c>
      <c r="T32" s="27" t="str">
        <f aca="false">IF(S32=1,COUNTIF($S$2:S32,1),"")</f>
        <v/>
      </c>
    </row>
    <row r="33" customFormat="false" ht="15" hidden="false" customHeight="false" outlineLevel="0" collapsed="false">
      <c r="H33" s="26"/>
      <c r="I33" s="27" t="str">
        <f aca="false">IF(A33="","",IF(H33&lt;&gt;"",UPPER(TRIM(H33)),IFERROR(CHOOSE(VALUE(E33)+1,"A","B","C","D"),IF(OR(LEFT(UPPER(TRIM(E33)),1)="F",UPPER(TRIM(E33))="A"),"A",IF(OR(LEFT(UPPER(TRIM(E33)),1)="M",UPPER(TRIM(E33))="B"),"B",IF(OR(LEFT(UPPER(TRIM(E33)),2)="SL",UPPER(TRIM(E33))="C"),"C",IF(OR(LEFT(UPPER(TRIM(E33)),1)="D",UPPER(TRIM(E33))="D"),"D","")))))))</f>
        <v/>
      </c>
      <c r="J33" s="27" t="str">
        <f aca="false">IF(I33="","",IF(AND(I33="D",Settings!$B$6&lt;&gt;"Yes"),"",IFERROR(INDEX(Settings!$C$9:$C$12,MATCH(I33,Settings!$A$9:$A$12,0)),"")))</f>
        <v/>
      </c>
      <c r="K33" s="27" t="str">
        <f aca="false">IF(J33="","",COUNTIF($I$2:I33,I33))</f>
        <v/>
      </c>
      <c r="L33" s="27" t="str">
        <f aca="false">IF(J33="","",CHOOSE(Q33+1,"Tue","Wed","Thu","Fri"))</f>
        <v/>
      </c>
      <c r="M33" s="27" t="str">
        <f aca="false">IF(J33="","",IF(J33=1,"Every week",R33+1&amp;" of "&amp;J33))</f>
        <v/>
      </c>
      <c r="N33" s="28" t="str">
        <f aca="false">IF(J33="","",Settings!$B$4+R33*7+Q33)</f>
        <v/>
      </c>
      <c r="O33" s="28" t="str">
        <f aca="true">IF(J33="","",N33+MAX(0,ROUNDUP((TODAY()-N33)/(J33*7),0))*J33*7)</f>
        <v/>
      </c>
      <c r="P33" s="27" t="str">
        <f aca="false">IF(J33="","",MOD(K33-1,J33*4))</f>
        <v/>
      </c>
      <c r="Q33" s="27" t="str">
        <f aca="false">IF(J33="","",MOD(P33,4))</f>
        <v/>
      </c>
      <c r="R33" s="27" t="str">
        <f aca="false">IF(J33="","",INT(P33/4))</f>
        <v/>
      </c>
      <c r="S33" s="27" t="str">
        <f aca="false">IF(J33="","",IF(AND('Daily Count Sheet'!$H$3=Q33,MOD('Daily Count Sheet'!$I$3,J33)=R33),1,""))</f>
        <v/>
      </c>
      <c r="T33" s="27" t="str">
        <f aca="false">IF(S33=1,COUNTIF($S$2:S33,1),"")</f>
        <v/>
      </c>
    </row>
    <row r="34" customFormat="false" ht="15" hidden="false" customHeight="false" outlineLevel="0" collapsed="false">
      <c r="H34" s="26"/>
      <c r="I34" s="27" t="str">
        <f aca="false">IF(A34="","",IF(H34&lt;&gt;"",UPPER(TRIM(H34)),IFERROR(CHOOSE(VALUE(E34)+1,"A","B","C","D"),IF(OR(LEFT(UPPER(TRIM(E34)),1)="F",UPPER(TRIM(E34))="A"),"A",IF(OR(LEFT(UPPER(TRIM(E34)),1)="M",UPPER(TRIM(E34))="B"),"B",IF(OR(LEFT(UPPER(TRIM(E34)),2)="SL",UPPER(TRIM(E34))="C"),"C",IF(OR(LEFT(UPPER(TRIM(E34)),1)="D",UPPER(TRIM(E34))="D"),"D","")))))))</f>
        <v/>
      </c>
      <c r="J34" s="27" t="str">
        <f aca="false">IF(I34="","",IF(AND(I34="D",Settings!$B$6&lt;&gt;"Yes"),"",IFERROR(INDEX(Settings!$C$9:$C$12,MATCH(I34,Settings!$A$9:$A$12,0)),"")))</f>
        <v/>
      </c>
      <c r="K34" s="27" t="str">
        <f aca="false">IF(J34="","",COUNTIF($I$2:I34,I34))</f>
        <v/>
      </c>
      <c r="L34" s="27" t="str">
        <f aca="false">IF(J34="","",CHOOSE(Q34+1,"Tue","Wed","Thu","Fri"))</f>
        <v/>
      </c>
      <c r="M34" s="27" t="str">
        <f aca="false">IF(J34="","",IF(J34=1,"Every week",R34+1&amp;" of "&amp;J34))</f>
        <v/>
      </c>
      <c r="N34" s="28" t="str">
        <f aca="false">IF(J34="","",Settings!$B$4+R34*7+Q34)</f>
        <v/>
      </c>
      <c r="O34" s="28" t="str">
        <f aca="true">IF(J34="","",N34+MAX(0,ROUNDUP((TODAY()-N34)/(J34*7),0))*J34*7)</f>
        <v/>
      </c>
      <c r="P34" s="27" t="str">
        <f aca="false">IF(J34="","",MOD(K34-1,J34*4))</f>
        <v/>
      </c>
      <c r="Q34" s="27" t="str">
        <f aca="false">IF(J34="","",MOD(P34,4))</f>
        <v/>
      </c>
      <c r="R34" s="27" t="str">
        <f aca="false">IF(J34="","",INT(P34/4))</f>
        <v/>
      </c>
      <c r="S34" s="27" t="str">
        <f aca="false">IF(J34="","",IF(AND('Daily Count Sheet'!$H$3=Q34,MOD('Daily Count Sheet'!$I$3,J34)=R34),1,""))</f>
        <v/>
      </c>
      <c r="T34" s="27" t="str">
        <f aca="false">IF(S34=1,COUNTIF($S$2:S34,1),"")</f>
        <v/>
      </c>
    </row>
    <row r="35" customFormat="false" ht="15" hidden="false" customHeight="false" outlineLevel="0" collapsed="false">
      <c r="H35" s="26"/>
      <c r="I35" s="27" t="str">
        <f aca="false">IF(A35="","",IF(H35&lt;&gt;"",UPPER(TRIM(H35)),IFERROR(CHOOSE(VALUE(E35)+1,"A","B","C","D"),IF(OR(LEFT(UPPER(TRIM(E35)),1)="F",UPPER(TRIM(E35))="A"),"A",IF(OR(LEFT(UPPER(TRIM(E35)),1)="M",UPPER(TRIM(E35))="B"),"B",IF(OR(LEFT(UPPER(TRIM(E35)),2)="SL",UPPER(TRIM(E35))="C"),"C",IF(OR(LEFT(UPPER(TRIM(E35)),1)="D",UPPER(TRIM(E35))="D"),"D","")))))))</f>
        <v/>
      </c>
      <c r="J35" s="27" t="str">
        <f aca="false">IF(I35="","",IF(AND(I35="D",Settings!$B$6&lt;&gt;"Yes"),"",IFERROR(INDEX(Settings!$C$9:$C$12,MATCH(I35,Settings!$A$9:$A$12,0)),"")))</f>
        <v/>
      </c>
      <c r="K35" s="27" t="str">
        <f aca="false">IF(J35="","",COUNTIF($I$2:I35,I35))</f>
        <v/>
      </c>
      <c r="L35" s="27" t="str">
        <f aca="false">IF(J35="","",CHOOSE(Q35+1,"Tue","Wed","Thu","Fri"))</f>
        <v/>
      </c>
      <c r="M35" s="27" t="str">
        <f aca="false">IF(J35="","",IF(J35=1,"Every week",R35+1&amp;" of "&amp;J35))</f>
        <v/>
      </c>
      <c r="N35" s="28" t="str">
        <f aca="false">IF(J35="","",Settings!$B$4+R35*7+Q35)</f>
        <v/>
      </c>
      <c r="O35" s="28" t="str">
        <f aca="true">IF(J35="","",N35+MAX(0,ROUNDUP((TODAY()-N35)/(J35*7),0))*J35*7)</f>
        <v/>
      </c>
      <c r="P35" s="27" t="str">
        <f aca="false">IF(J35="","",MOD(K35-1,J35*4))</f>
        <v/>
      </c>
      <c r="Q35" s="27" t="str">
        <f aca="false">IF(J35="","",MOD(P35,4))</f>
        <v/>
      </c>
      <c r="R35" s="27" t="str">
        <f aca="false">IF(J35="","",INT(P35/4))</f>
        <v/>
      </c>
      <c r="S35" s="27" t="str">
        <f aca="false">IF(J35="","",IF(AND('Daily Count Sheet'!$H$3=Q35,MOD('Daily Count Sheet'!$I$3,J35)=R35),1,""))</f>
        <v/>
      </c>
      <c r="T35" s="27" t="str">
        <f aca="false">IF(S35=1,COUNTIF($S$2:S35,1),"")</f>
        <v/>
      </c>
    </row>
    <row r="36" customFormat="false" ht="15" hidden="false" customHeight="false" outlineLevel="0" collapsed="false">
      <c r="H36" s="26"/>
      <c r="I36" s="27" t="str">
        <f aca="false">IF(A36="","",IF(H36&lt;&gt;"",UPPER(TRIM(H36)),IFERROR(CHOOSE(VALUE(E36)+1,"A","B","C","D"),IF(OR(LEFT(UPPER(TRIM(E36)),1)="F",UPPER(TRIM(E36))="A"),"A",IF(OR(LEFT(UPPER(TRIM(E36)),1)="M",UPPER(TRIM(E36))="B"),"B",IF(OR(LEFT(UPPER(TRIM(E36)),2)="SL",UPPER(TRIM(E36))="C"),"C",IF(OR(LEFT(UPPER(TRIM(E36)),1)="D",UPPER(TRIM(E36))="D"),"D","")))))))</f>
        <v/>
      </c>
      <c r="J36" s="27" t="str">
        <f aca="false">IF(I36="","",IF(AND(I36="D",Settings!$B$6&lt;&gt;"Yes"),"",IFERROR(INDEX(Settings!$C$9:$C$12,MATCH(I36,Settings!$A$9:$A$12,0)),"")))</f>
        <v/>
      </c>
      <c r="K36" s="27" t="str">
        <f aca="false">IF(J36="","",COUNTIF($I$2:I36,I36))</f>
        <v/>
      </c>
      <c r="L36" s="27" t="str">
        <f aca="false">IF(J36="","",CHOOSE(Q36+1,"Tue","Wed","Thu","Fri"))</f>
        <v/>
      </c>
      <c r="M36" s="27" t="str">
        <f aca="false">IF(J36="","",IF(J36=1,"Every week",R36+1&amp;" of "&amp;J36))</f>
        <v/>
      </c>
      <c r="N36" s="28" t="str">
        <f aca="false">IF(J36="","",Settings!$B$4+R36*7+Q36)</f>
        <v/>
      </c>
      <c r="O36" s="28" t="str">
        <f aca="true">IF(J36="","",N36+MAX(0,ROUNDUP((TODAY()-N36)/(J36*7),0))*J36*7)</f>
        <v/>
      </c>
      <c r="P36" s="27" t="str">
        <f aca="false">IF(J36="","",MOD(K36-1,J36*4))</f>
        <v/>
      </c>
      <c r="Q36" s="27" t="str">
        <f aca="false">IF(J36="","",MOD(P36,4))</f>
        <v/>
      </c>
      <c r="R36" s="27" t="str">
        <f aca="false">IF(J36="","",INT(P36/4))</f>
        <v/>
      </c>
      <c r="S36" s="27" t="str">
        <f aca="false">IF(J36="","",IF(AND('Daily Count Sheet'!$H$3=Q36,MOD('Daily Count Sheet'!$I$3,J36)=R36),1,""))</f>
        <v/>
      </c>
      <c r="T36" s="27" t="str">
        <f aca="false">IF(S36=1,COUNTIF($S$2:S36,1),"")</f>
        <v/>
      </c>
    </row>
    <row r="37" customFormat="false" ht="15" hidden="false" customHeight="false" outlineLevel="0" collapsed="false">
      <c r="H37" s="26"/>
      <c r="I37" s="27" t="str">
        <f aca="false">IF(A37="","",IF(H37&lt;&gt;"",UPPER(TRIM(H37)),IFERROR(CHOOSE(VALUE(E37)+1,"A","B","C","D"),IF(OR(LEFT(UPPER(TRIM(E37)),1)="F",UPPER(TRIM(E37))="A"),"A",IF(OR(LEFT(UPPER(TRIM(E37)),1)="M",UPPER(TRIM(E37))="B"),"B",IF(OR(LEFT(UPPER(TRIM(E37)),2)="SL",UPPER(TRIM(E37))="C"),"C",IF(OR(LEFT(UPPER(TRIM(E37)),1)="D",UPPER(TRIM(E37))="D"),"D","")))))))</f>
        <v/>
      </c>
      <c r="J37" s="27" t="str">
        <f aca="false">IF(I37="","",IF(AND(I37="D",Settings!$B$6&lt;&gt;"Yes"),"",IFERROR(INDEX(Settings!$C$9:$C$12,MATCH(I37,Settings!$A$9:$A$12,0)),"")))</f>
        <v/>
      </c>
      <c r="K37" s="27" t="str">
        <f aca="false">IF(J37="","",COUNTIF($I$2:I37,I37))</f>
        <v/>
      </c>
      <c r="L37" s="27" t="str">
        <f aca="false">IF(J37="","",CHOOSE(Q37+1,"Tue","Wed","Thu","Fri"))</f>
        <v/>
      </c>
      <c r="M37" s="27" t="str">
        <f aca="false">IF(J37="","",IF(J37=1,"Every week",R37+1&amp;" of "&amp;J37))</f>
        <v/>
      </c>
      <c r="N37" s="28" t="str">
        <f aca="false">IF(J37="","",Settings!$B$4+R37*7+Q37)</f>
        <v/>
      </c>
      <c r="O37" s="28" t="str">
        <f aca="true">IF(J37="","",N37+MAX(0,ROUNDUP((TODAY()-N37)/(J37*7),0))*J37*7)</f>
        <v/>
      </c>
      <c r="P37" s="27" t="str">
        <f aca="false">IF(J37="","",MOD(K37-1,J37*4))</f>
        <v/>
      </c>
      <c r="Q37" s="27" t="str">
        <f aca="false">IF(J37="","",MOD(P37,4))</f>
        <v/>
      </c>
      <c r="R37" s="27" t="str">
        <f aca="false">IF(J37="","",INT(P37/4))</f>
        <v/>
      </c>
      <c r="S37" s="27" t="str">
        <f aca="false">IF(J37="","",IF(AND('Daily Count Sheet'!$H$3=Q37,MOD('Daily Count Sheet'!$I$3,J37)=R37),1,""))</f>
        <v/>
      </c>
      <c r="T37" s="27" t="str">
        <f aca="false">IF(S37=1,COUNTIF($S$2:S37,1),"")</f>
        <v/>
      </c>
    </row>
    <row r="38" customFormat="false" ht="15" hidden="false" customHeight="false" outlineLevel="0" collapsed="false">
      <c r="H38" s="26"/>
      <c r="I38" s="27" t="str">
        <f aca="false">IF(A38="","",IF(H38&lt;&gt;"",UPPER(TRIM(H38)),IFERROR(CHOOSE(VALUE(E38)+1,"A","B","C","D"),IF(OR(LEFT(UPPER(TRIM(E38)),1)="F",UPPER(TRIM(E38))="A"),"A",IF(OR(LEFT(UPPER(TRIM(E38)),1)="M",UPPER(TRIM(E38))="B"),"B",IF(OR(LEFT(UPPER(TRIM(E38)),2)="SL",UPPER(TRIM(E38))="C"),"C",IF(OR(LEFT(UPPER(TRIM(E38)),1)="D",UPPER(TRIM(E38))="D"),"D","")))))))</f>
        <v/>
      </c>
      <c r="J38" s="27" t="str">
        <f aca="false">IF(I38="","",IF(AND(I38="D",Settings!$B$6&lt;&gt;"Yes"),"",IFERROR(INDEX(Settings!$C$9:$C$12,MATCH(I38,Settings!$A$9:$A$12,0)),"")))</f>
        <v/>
      </c>
      <c r="K38" s="27" t="str">
        <f aca="false">IF(J38="","",COUNTIF($I$2:I38,I38))</f>
        <v/>
      </c>
      <c r="L38" s="27" t="str">
        <f aca="false">IF(J38="","",CHOOSE(Q38+1,"Tue","Wed","Thu","Fri"))</f>
        <v/>
      </c>
      <c r="M38" s="27" t="str">
        <f aca="false">IF(J38="","",IF(J38=1,"Every week",R38+1&amp;" of "&amp;J38))</f>
        <v/>
      </c>
      <c r="N38" s="28" t="str">
        <f aca="false">IF(J38="","",Settings!$B$4+R38*7+Q38)</f>
        <v/>
      </c>
      <c r="O38" s="28" t="str">
        <f aca="true">IF(J38="","",N38+MAX(0,ROUNDUP((TODAY()-N38)/(J38*7),0))*J38*7)</f>
        <v/>
      </c>
      <c r="P38" s="27" t="str">
        <f aca="false">IF(J38="","",MOD(K38-1,J38*4))</f>
        <v/>
      </c>
      <c r="Q38" s="27" t="str">
        <f aca="false">IF(J38="","",MOD(P38,4))</f>
        <v/>
      </c>
      <c r="R38" s="27" t="str">
        <f aca="false">IF(J38="","",INT(P38/4))</f>
        <v/>
      </c>
      <c r="S38" s="27" t="str">
        <f aca="false">IF(J38="","",IF(AND('Daily Count Sheet'!$H$3=Q38,MOD('Daily Count Sheet'!$I$3,J38)=R38),1,""))</f>
        <v/>
      </c>
      <c r="T38" s="27" t="str">
        <f aca="false">IF(S38=1,COUNTIF($S$2:S38,1),"")</f>
        <v/>
      </c>
    </row>
    <row r="39" customFormat="false" ht="15" hidden="false" customHeight="false" outlineLevel="0" collapsed="false">
      <c r="H39" s="26"/>
      <c r="I39" s="27" t="str">
        <f aca="false">IF(A39="","",IF(H39&lt;&gt;"",UPPER(TRIM(H39)),IFERROR(CHOOSE(VALUE(E39)+1,"A","B","C","D"),IF(OR(LEFT(UPPER(TRIM(E39)),1)="F",UPPER(TRIM(E39))="A"),"A",IF(OR(LEFT(UPPER(TRIM(E39)),1)="M",UPPER(TRIM(E39))="B"),"B",IF(OR(LEFT(UPPER(TRIM(E39)),2)="SL",UPPER(TRIM(E39))="C"),"C",IF(OR(LEFT(UPPER(TRIM(E39)),1)="D",UPPER(TRIM(E39))="D"),"D","")))))))</f>
        <v/>
      </c>
      <c r="J39" s="27" t="str">
        <f aca="false">IF(I39="","",IF(AND(I39="D",Settings!$B$6&lt;&gt;"Yes"),"",IFERROR(INDEX(Settings!$C$9:$C$12,MATCH(I39,Settings!$A$9:$A$12,0)),"")))</f>
        <v/>
      </c>
      <c r="K39" s="27" t="str">
        <f aca="false">IF(J39="","",COUNTIF($I$2:I39,I39))</f>
        <v/>
      </c>
      <c r="L39" s="27" t="str">
        <f aca="false">IF(J39="","",CHOOSE(Q39+1,"Tue","Wed","Thu","Fri"))</f>
        <v/>
      </c>
      <c r="M39" s="27" t="str">
        <f aca="false">IF(J39="","",IF(J39=1,"Every week",R39+1&amp;" of "&amp;J39))</f>
        <v/>
      </c>
      <c r="N39" s="28" t="str">
        <f aca="false">IF(J39="","",Settings!$B$4+R39*7+Q39)</f>
        <v/>
      </c>
      <c r="O39" s="28" t="str">
        <f aca="true">IF(J39="","",N39+MAX(0,ROUNDUP((TODAY()-N39)/(J39*7),0))*J39*7)</f>
        <v/>
      </c>
      <c r="P39" s="27" t="str">
        <f aca="false">IF(J39="","",MOD(K39-1,J39*4))</f>
        <v/>
      </c>
      <c r="Q39" s="27" t="str">
        <f aca="false">IF(J39="","",MOD(P39,4))</f>
        <v/>
      </c>
      <c r="R39" s="27" t="str">
        <f aca="false">IF(J39="","",INT(P39/4))</f>
        <v/>
      </c>
      <c r="S39" s="27" t="str">
        <f aca="false">IF(J39="","",IF(AND('Daily Count Sheet'!$H$3=Q39,MOD('Daily Count Sheet'!$I$3,J39)=R39),1,""))</f>
        <v/>
      </c>
      <c r="T39" s="27" t="str">
        <f aca="false">IF(S39=1,COUNTIF($S$2:S39,1),"")</f>
        <v/>
      </c>
    </row>
    <row r="40" customFormat="false" ht="15" hidden="false" customHeight="false" outlineLevel="0" collapsed="false">
      <c r="H40" s="26"/>
      <c r="I40" s="27" t="str">
        <f aca="false">IF(A40="","",IF(H40&lt;&gt;"",UPPER(TRIM(H40)),IFERROR(CHOOSE(VALUE(E40)+1,"A","B","C","D"),IF(OR(LEFT(UPPER(TRIM(E40)),1)="F",UPPER(TRIM(E40))="A"),"A",IF(OR(LEFT(UPPER(TRIM(E40)),1)="M",UPPER(TRIM(E40))="B"),"B",IF(OR(LEFT(UPPER(TRIM(E40)),2)="SL",UPPER(TRIM(E40))="C"),"C",IF(OR(LEFT(UPPER(TRIM(E40)),1)="D",UPPER(TRIM(E40))="D"),"D","")))))))</f>
        <v/>
      </c>
      <c r="J40" s="27" t="str">
        <f aca="false">IF(I40="","",IF(AND(I40="D",Settings!$B$6&lt;&gt;"Yes"),"",IFERROR(INDEX(Settings!$C$9:$C$12,MATCH(I40,Settings!$A$9:$A$12,0)),"")))</f>
        <v/>
      </c>
      <c r="K40" s="27" t="str">
        <f aca="false">IF(J40="","",COUNTIF($I$2:I40,I40))</f>
        <v/>
      </c>
      <c r="L40" s="27" t="str">
        <f aca="false">IF(J40="","",CHOOSE(Q40+1,"Tue","Wed","Thu","Fri"))</f>
        <v/>
      </c>
      <c r="M40" s="27" t="str">
        <f aca="false">IF(J40="","",IF(J40=1,"Every week",R40+1&amp;" of "&amp;J40))</f>
        <v/>
      </c>
      <c r="N40" s="28" t="str">
        <f aca="false">IF(J40="","",Settings!$B$4+R40*7+Q40)</f>
        <v/>
      </c>
      <c r="O40" s="28" t="str">
        <f aca="true">IF(J40="","",N40+MAX(0,ROUNDUP((TODAY()-N40)/(J40*7),0))*J40*7)</f>
        <v/>
      </c>
      <c r="P40" s="27" t="str">
        <f aca="false">IF(J40="","",MOD(K40-1,J40*4))</f>
        <v/>
      </c>
      <c r="Q40" s="27" t="str">
        <f aca="false">IF(J40="","",MOD(P40,4))</f>
        <v/>
      </c>
      <c r="R40" s="27" t="str">
        <f aca="false">IF(J40="","",INT(P40/4))</f>
        <v/>
      </c>
      <c r="S40" s="27" t="str">
        <f aca="false">IF(J40="","",IF(AND('Daily Count Sheet'!$H$3=Q40,MOD('Daily Count Sheet'!$I$3,J40)=R40),1,""))</f>
        <v/>
      </c>
      <c r="T40" s="27" t="str">
        <f aca="false">IF(S40=1,COUNTIF($S$2:S40,1),"")</f>
        <v/>
      </c>
    </row>
    <row r="41" customFormat="false" ht="15" hidden="false" customHeight="false" outlineLevel="0" collapsed="false">
      <c r="H41" s="26"/>
      <c r="I41" s="27" t="str">
        <f aca="false">IF(A41="","",IF(H41&lt;&gt;"",UPPER(TRIM(H41)),IFERROR(CHOOSE(VALUE(E41)+1,"A","B","C","D"),IF(OR(LEFT(UPPER(TRIM(E41)),1)="F",UPPER(TRIM(E41))="A"),"A",IF(OR(LEFT(UPPER(TRIM(E41)),1)="M",UPPER(TRIM(E41))="B"),"B",IF(OR(LEFT(UPPER(TRIM(E41)),2)="SL",UPPER(TRIM(E41))="C"),"C",IF(OR(LEFT(UPPER(TRIM(E41)),1)="D",UPPER(TRIM(E41))="D"),"D","")))))))</f>
        <v/>
      </c>
      <c r="J41" s="27" t="str">
        <f aca="false">IF(I41="","",IF(AND(I41="D",Settings!$B$6&lt;&gt;"Yes"),"",IFERROR(INDEX(Settings!$C$9:$C$12,MATCH(I41,Settings!$A$9:$A$12,0)),"")))</f>
        <v/>
      </c>
      <c r="K41" s="27" t="str">
        <f aca="false">IF(J41="","",COUNTIF($I$2:I41,I41))</f>
        <v/>
      </c>
      <c r="L41" s="27" t="str">
        <f aca="false">IF(J41="","",CHOOSE(Q41+1,"Tue","Wed","Thu","Fri"))</f>
        <v/>
      </c>
      <c r="M41" s="27" t="str">
        <f aca="false">IF(J41="","",IF(J41=1,"Every week",R41+1&amp;" of "&amp;J41))</f>
        <v/>
      </c>
      <c r="N41" s="28" t="str">
        <f aca="false">IF(J41="","",Settings!$B$4+R41*7+Q41)</f>
        <v/>
      </c>
      <c r="O41" s="28" t="str">
        <f aca="true">IF(J41="","",N41+MAX(0,ROUNDUP((TODAY()-N41)/(J41*7),0))*J41*7)</f>
        <v/>
      </c>
      <c r="P41" s="27" t="str">
        <f aca="false">IF(J41="","",MOD(K41-1,J41*4))</f>
        <v/>
      </c>
      <c r="Q41" s="27" t="str">
        <f aca="false">IF(J41="","",MOD(P41,4))</f>
        <v/>
      </c>
      <c r="R41" s="27" t="str">
        <f aca="false">IF(J41="","",INT(P41/4))</f>
        <v/>
      </c>
      <c r="S41" s="27" t="str">
        <f aca="false">IF(J41="","",IF(AND('Daily Count Sheet'!$H$3=Q41,MOD('Daily Count Sheet'!$I$3,J41)=R41),1,""))</f>
        <v/>
      </c>
      <c r="T41" s="27" t="str">
        <f aca="false">IF(S41=1,COUNTIF($S$2:S41,1),"")</f>
        <v/>
      </c>
    </row>
    <row r="42" customFormat="false" ht="15" hidden="false" customHeight="false" outlineLevel="0" collapsed="false">
      <c r="H42" s="26"/>
      <c r="I42" s="27" t="str">
        <f aca="false">IF(A42="","",IF(H42&lt;&gt;"",UPPER(TRIM(H42)),IFERROR(CHOOSE(VALUE(E42)+1,"A","B","C","D"),IF(OR(LEFT(UPPER(TRIM(E42)),1)="F",UPPER(TRIM(E42))="A"),"A",IF(OR(LEFT(UPPER(TRIM(E42)),1)="M",UPPER(TRIM(E42))="B"),"B",IF(OR(LEFT(UPPER(TRIM(E42)),2)="SL",UPPER(TRIM(E42))="C"),"C",IF(OR(LEFT(UPPER(TRIM(E42)),1)="D",UPPER(TRIM(E42))="D"),"D","")))))))</f>
        <v/>
      </c>
      <c r="J42" s="27" t="str">
        <f aca="false">IF(I42="","",IF(AND(I42="D",Settings!$B$6&lt;&gt;"Yes"),"",IFERROR(INDEX(Settings!$C$9:$C$12,MATCH(I42,Settings!$A$9:$A$12,0)),"")))</f>
        <v/>
      </c>
      <c r="K42" s="27" t="str">
        <f aca="false">IF(J42="","",COUNTIF($I$2:I42,I42))</f>
        <v/>
      </c>
      <c r="L42" s="27" t="str">
        <f aca="false">IF(J42="","",CHOOSE(Q42+1,"Tue","Wed","Thu","Fri"))</f>
        <v/>
      </c>
      <c r="M42" s="27" t="str">
        <f aca="false">IF(J42="","",IF(J42=1,"Every week",R42+1&amp;" of "&amp;J42))</f>
        <v/>
      </c>
      <c r="N42" s="28" t="str">
        <f aca="false">IF(J42="","",Settings!$B$4+R42*7+Q42)</f>
        <v/>
      </c>
      <c r="O42" s="28" t="str">
        <f aca="true">IF(J42="","",N42+MAX(0,ROUNDUP((TODAY()-N42)/(J42*7),0))*J42*7)</f>
        <v/>
      </c>
      <c r="P42" s="27" t="str">
        <f aca="false">IF(J42="","",MOD(K42-1,J42*4))</f>
        <v/>
      </c>
      <c r="Q42" s="27" t="str">
        <f aca="false">IF(J42="","",MOD(P42,4))</f>
        <v/>
      </c>
      <c r="R42" s="27" t="str">
        <f aca="false">IF(J42="","",INT(P42/4))</f>
        <v/>
      </c>
      <c r="S42" s="27" t="str">
        <f aca="false">IF(J42="","",IF(AND('Daily Count Sheet'!$H$3=Q42,MOD('Daily Count Sheet'!$I$3,J42)=R42),1,""))</f>
        <v/>
      </c>
      <c r="T42" s="27" t="str">
        <f aca="false">IF(S42=1,COUNTIF($S$2:S42,1),"")</f>
        <v/>
      </c>
    </row>
    <row r="43" customFormat="false" ht="15" hidden="false" customHeight="false" outlineLevel="0" collapsed="false">
      <c r="H43" s="26"/>
      <c r="I43" s="27" t="str">
        <f aca="false">IF(A43="","",IF(H43&lt;&gt;"",UPPER(TRIM(H43)),IFERROR(CHOOSE(VALUE(E43)+1,"A","B","C","D"),IF(OR(LEFT(UPPER(TRIM(E43)),1)="F",UPPER(TRIM(E43))="A"),"A",IF(OR(LEFT(UPPER(TRIM(E43)),1)="M",UPPER(TRIM(E43))="B"),"B",IF(OR(LEFT(UPPER(TRIM(E43)),2)="SL",UPPER(TRIM(E43))="C"),"C",IF(OR(LEFT(UPPER(TRIM(E43)),1)="D",UPPER(TRIM(E43))="D"),"D","")))))))</f>
        <v/>
      </c>
      <c r="J43" s="27" t="str">
        <f aca="false">IF(I43="","",IF(AND(I43="D",Settings!$B$6&lt;&gt;"Yes"),"",IFERROR(INDEX(Settings!$C$9:$C$12,MATCH(I43,Settings!$A$9:$A$12,0)),"")))</f>
        <v/>
      </c>
      <c r="K43" s="27" t="str">
        <f aca="false">IF(J43="","",COUNTIF($I$2:I43,I43))</f>
        <v/>
      </c>
      <c r="L43" s="27" t="str">
        <f aca="false">IF(J43="","",CHOOSE(Q43+1,"Tue","Wed","Thu","Fri"))</f>
        <v/>
      </c>
      <c r="M43" s="27" t="str">
        <f aca="false">IF(J43="","",IF(J43=1,"Every week",R43+1&amp;" of "&amp;J43))</f>
        <v/>
      </c>
      <c r="N43" s="28" t="str">
        <f aca="false">IF(J43="","",Settings!$B$4+R43*7+Q43)</f>
        <v/>
      </c>
      <c r="O43" s="28" t="str">
        <f aca="true">IF(J43="","",N43+MAX(0,ROUNDUP((TODAY()-N43)/(J43*7),0))*J43*7)</f>
        <v/>
      </c>
      <c r="P43" s="27" t="str">
        <f aca="false">IF(J43="","",MOD(K43-1,J43*4))</f>
        <v/>
      </c>
      <c r="Q43" s="27" t="str">
        <f aca="false">IF(J43="","",MOD(P43,4))</f>
        <v/>
      </c>
      <c r="R43" s="27" t="str">
        <f aca="false">IF(J43="","",INT(P43/4))</f>
        <v/>
      </c>
      <c r="S43" s="27" t="str">
        <f aca="false">IF(J43="","",IF(AND('Daily Count Sheet'!$H$3=Q43,MOD('Daily Count Sheet'!$I$3,J43)=R43),1,""))</f>
        <v/>
      </c>
      <c r="T43" s="27" t="str">
        <f aca="false">IF(S43=1,COUNTIF($S$2:S43,1),"")</f>
        <v/>
      </c>
    </row>
    <row r="44" customFormat="false" ht="15" hidden="false" customHeight="false" outlineLevel="0" collapsed="false">
      <c r="H44" s="26"/>
      <c r="I44" s="27" t="str">
        <f aca="false">IF(A44="","",IF(H44&lt;&gt;"",UPPER(TRIM(H44)),IFERROR(CHOOSE(VALUE(E44)+1,"A","B","C","D"),IF(OR(LEFT(UPPER(TRIM(E44)),1)="F",UPPER(TRIM(E44))="A"),"A",IF(OR(LEFT(UPPER(TRIM(E44)),1)="M",UPPER(TRIM(E44))="B"),"B",IF(OR(LEFT(UPPER(TRIM(E44)),2)="SL",UPPER(TRIM(E44))="C"),"C",IF(OR(LEFT(UPPER(TRIM(E44)),1)="D",UPPER(TRIM(E44))="D"),"D","")))))))</f>
        <v/>
      </c>
      <c r="J44" s="27" t="str">
        <f aca="false">IF(I44="","",IF(AND(I44="D",Settings!$B$6&lt;&gt;"Yes"),"",IFERROR(INDEX(Settings!$C$9:$C$12,MATCH(I44,Settings!$A$9:$A$12,0)),"")))</f>
        <v/>
      </c>
      <c r="K44" s="27" t="str">
        <f aca="false">IF(J44="","",COUNTIF($I$2:I44,I44))</f>
        <v/>
      </c>
      <c r="L44" s="27" t="str">
        <f aca="false">IF(J44="","",CHOOSE(Q44+1,"Tue","Wed","Thu","Fri"))</f>
        <v/>
      </c>
      <c r="M44" s="27" t="str">
        <f aca="false">IF(J44="","",IF(J44=1,"Every week",R44+1&amp;" of "&amp;J44))</f>
        <v/>
      </c>
      <c r="N44" s="28" t="str">
        <f aca="false">IF(J44="","",Settings!$B$4+R44*7+Q44)</f>
        <v/>
      </c>
      <c r="O44" s="28" t="str">
        <f aca="true">IF(J44="","",N44+MAX(0,ROUNDUP((TODAY()-N44)/(J44*7),0))*J44*7)</f>
        <v/>
      </c>
      <c r="P44" s="27" t="str">
        <f aca="false">IF(J44="","",MOD(K44-1,J44*4))</f>
        <v/>
      </c>
      <c r="Q44" s="27" t="str">
        <f aca="false">IF(J44="","",MOD(P44,4))</f>
        <v/>
      </c>
      <c r="R44" s="27" t="str">
        <f aca="false">IF(J44="","",INT(P44/4))</f>
        <v/>
      </c>
      <c r="S44" s="27" t="str">
        <f aca="false">IF(J44="","",IF(AND('Daily Count Sheet'!$H$3=Q44,MOD('Daily Count Sheet'!$I$3,J44)=R44),1,""))</f>
        <v/>
      </c>
      <c r="T44" s="27" t="str">
        <f aca="false">IF(S44=1,COUNTIF($S$2:S44,1),"")</f>
        <v/>
      </c>
    </row>
    <row r="45" customFormat="false" ht="15" hidden="false" customHeight="false" outlineLevel="0" collapsed="false">
      <c r="H45" s="26"/>
      <c r="I45" s="27" t="str">
        <f aca="false">IF(A45="","",IF(H45&lt;&gt;"",UPPER(TRIM(H45)),IFERROR(CHOOSE(VALUE(E45)+1,"A","B","C","D"),IF(OR(LEFT(UPPER(TRIM(E45)),1)="F",UPPER(TRIM(E45))="A"),"A",IF(OR(LEFT(UPPER(TRIM(E45)),1)="M",UPPER(TRIM(E45))="B"),"B",IF(OR(LEFT(UPPER(TRIM(E45)),2)="SL",UPPER(TRIM(E45))="C"),"C",IF(OR(LEFT(UPPER(TRIM(E45)),1)="D",UPPER(TRIM(E45))="D"),"D","")))))))</f>
        <v/>
      </c>
      <c r="J45" s="27" t="str">
        <f aca="false">IF(I45="","",IF(AND(I45="D",Settings!$B$6&lt;&gt;"Yes"),"",IFERROR(INDEX(Settings!$C$9:$C$12,MATCH(I45,Settings!$A$9:$A$12,0)),"")))</f>
        <v/>
      </c>
      <c r="K45" s="27" t="str">
        <f aca="false">IF(J45="","",COUNTIF($I$2:I45,I45))</f>
        <v/>
      </c>
      <c r="L45" s="27" t="str">
        <f aca="false">IF(J45="","",CHOOSE(Q45+1,"Tue","Wed","Thu","Fri"))</f>
        <v/>
      </c>
      <c r="M45" s="27" t="str">
        <f aca="false">IF(J45="","",IF(J45=1,"Every week",R45+1&amp;" of "&amp;J45))</f>
        <v/>
      </c>
      <c r="N45" s="28" t="str">
        <f aca="false">IF(J45="","",Settings!$B$4+R45*7+Q45)</f>
        <v/>
      </c>
      <c r="O45" s="28" t="str">
        <f aca="true">IF(J45="","",N45+MAX(0,ROUNDUP((TODAY()-N45)/(J45*7),0))*J45*7)</f>
        <v/>
      </c>
      <c r="P45" s="27" t="str">
        <f aca="false">IF(J45="","",MOD(K45-1,J45*4))</f>
        <v/>
      </c>
      <c r="Q45" s="27" t="str">
        <f aca="false">IF(J45="","",MOD(P45,4))</f>
        <v/>
      </c>
      <c r="R45" s="27" t="str">
        <f aca="false">IF(J45="","",INT(P45/4))</f>
        <v/>
      </c>
      <c r="S45" s="27" t="str">
        <f aca="false">IF(J45="","",IF(AND('Daily Count Sheet'!$H$3=Q45,MOD('Daily Count Sheet'!$I$3,J45)=R45),1,""))</f>
        <v/>
      </c>
      <c r="T45" s="27" t="str">
        <f aca="false">IF(S45=1,COUNTIF($S$2:S45,1),"")</f>
        <v/>
      </c>
    </row>
    <row r="46" customFormat="false" ht="15" hidden="false" customHeight="false" outlineLevel="0" collapsed="false">
      <c r="H46" s="26"/>
      <c r="I46" s="27" t="str">
        <f aca="false">IF(A46="","",IF(H46&lt;&gt;"",UPPER(TRIM(H46)),IFERROR(CHOOSE(VALUE(E46)+1,"A","B","C","D"),IF(OR(LEFT(UPPER(TRIM(E46)),1)="F",UPPER(TRIM(E46))="A"),"A",IF(OR(LEFT(UPPER(TRIM(E46)),1)="M",UPPER(TRIM(E46))="B"),"B",IF(OR(LEFT(UPPER(TRIM(E46)),2)="SL",UPPER(TRIM(E46))="C"),"C",IF(OR(LEFT(UPPER(TRIM(E46)),1)="D",UPPER(TRIM(E46))="D"),"D","")))))))</f>
        <v/>
      </c>
      <c r="J46" s="27" t="str">
        <f aca="false">IF(I46="","",IF(AND(I46="D",Settings!$B$6&lt;&gt;"Yes"),"",IFERROR(INDEX(Settings!$C$9:$C$12,MATCH(I46,Settings!$A$9:$A$12,0)),"")))</f>
        <v/>
      </c>
      <c r="K46" s="27" t="str">
        <f aca="false">IF(J46="","",COUNTIF($I$2:I46,I46))</f>
        <v/>
      </c>
      <c r="L46" s="27" t="str">
        <f aca="false">IF(J46="","",CHOOSE(Q46+1,"Tue","Wed","Thu","Fri"))</f>
        <v/>
      </c>
      <c r="M46" s="27" t="str">
        <f aca="false">IF(J46="","",IF(J46=1,"Every week",R46+1&amp;" of "&amp;J46))</f>
        <v/>
      </c>
      <c r="N46" s="28" t="str">
        <f aca="false">IF(J46="","",Settings!$B$4+R46*7+Q46)</f>
        <v/>
      </c>
      <c r="O46" s="28" t="str">
        <f aca="true">IF(J46="","",N46+MAX(0,ROUNDUP((TODAY()-N46)/(J46*7),0))*J46*7)</f>
        <v/>
      </c>
      <c r="P46" s="27" t="str">
        <f aca="false">IF(J46="","",MOD(K46-1,J46*4))</f>
        <v/>
      </c>
      <c r="Q46" s="27" t="str">
        <f aca="false">IF(J46="","",MOD(P46,4))</f>
        <v/>
      </c>
      <c r="R46" s="27" t="str">
        <f aca="false">IF(J46="","",INT(P46/4))</f>
        <v/>
      </c>
      <c r="S46" s="27" t="str">
        <f aca="false">IF(J46="","",IF(AND('Daily Count Sheet'!$H$3=Q46,MOD('Daily Count Sheet'!$I$3,J46)=R46),1,""))</f>
        <v/>
      </c>
      <c r="T46" s="27" t="str">
        <f aca="false">IF(S46=1,COUNTIF($S$2:S46,1),"")</f>
        <v/>
      </c>
    </row>
    <row r="47" customFormat="false" ht="15" hidden="false" customHeight="false" outlineLevel="0" collapsed="false">
      <c r="H47" s="26"/>
      <c r="I47" s="27" t="str">
        <f aca="false">IF(A47="","",IF(H47&lt;&gt;"",UPPER(TRIM(H47)),IFERROR(CHOOSE(VALUE(E47)+1,"A","B","C","D"),IF(OR(LEFT(UPPER(TRIM(E47)),1)="F",UPPER(TRIM(E47))="A"),"A",IF(OR(LEFT(UPPER(TRIM(E47)),1)="M",UPPER(TRIM(E47))="B"),"B",IF(OR(LEFT(UPPER(TRIM(E47)),2)="SL",UPPER(TRIM(E47))="C"),"C",IF(OR(LEFT(UPPER(TRIM(E47)),1)="D",UPPER(TRIM(E47))="D"),"D","")))))))</f>
        <v/>
      </c>
      <c r="J47" s="27" t="str">
        <f aca="false">IF(I47="","",IF(AND(I47="D",Settings!$B$6&lt;&gt;"Yes"),"",IFERROR(INDEX(Settings!$C$9:$C$12,MATCH(I47,Settings!$A$9:$A$12,0)),"")))</f>
        <v/>
      </c>
      <c r="K47" s="27" t="str">
        <f aca="false">IF(J47="","",COUNTIF($I$2:I47,I47))</f>
        <v/>
      </c>
      <c r="L47" s="27" t="str">
        <f aca="false">IF(J47="","",CHOOSE(Q47+1,"Tue","Wed","Thu","Fri"))</f>
        <v/>
      </c>
      <c r="M47" s="27" t="str">
        <f aca="false">IF(J47="","",IF(J47=1,"Every week",R47+1&amp;" of "&amp;J47))</f>
        <v/>
      </c>
      <c r="N47" s="28" t="str">
        <f aca="false">IF(J47="","",Settings!$B$4+R47*7+Q47)</f>
        <v/>
      </c>
      <c r="O47" s="28" t="str">
        <f aca="true">IF(J47="","",N47+MAX(0,ROUNDUP((TODAY()-N47)/(J47*7),0))*J47*7)</f>
        <v/>
      </c>
      <c r="P47" s="27" t="str">
        <f aca="false">IF(J47="","",MOD(K47-1,J47*4))</f>
        <v/>
      </c>
      <c r="Q47" s="27" t="str">
        <f aca="false">IF(J47="","",MOD(P47,4))</f>
        <v/>
      </c>
      <c r="R47" s="27" t="str">
        <f aca="false">IF(J47="","",INT(P47/4))</f>
        <v/>
      </c>
      <c r="S47" s="27" t="str">
        <f aca="false">IF(J47="","",IF(AND('Daily Count Sheet'!$H$3=Q47,MOD('Daily Count Sheet'!$I$3,J47)=R47),1,""))</f>
        <v/>
      </c>
      <c r="T47" s="27" t="str">
        <f aca="false">IF(S47=1,COUNTIF($S$2:S47,1),"")</f>
        <v/>
      </c>
    </row>
    <row r="48" customFormat="false" ht="15" hidden="false" customHeight="false" outlineLevel="0" collapsed="false">
      <c r="H48" s="26"/>
      <c r="I48" s="27" t="str">
        <f aca="false">IF(A48="","",IF(H48&lt;&gt;"",UPPER(TRIM(H48)),IFERROR(CHOOSE(VALUE(E48)+1,"A","B","C","D"),IF(OR(LEFT(UPPER(TRIM(E48)),1)="F",UPPER(TRIM(E48))="A"),"A",IF(OR(LEFT(UPPER(TRIM(E48)),1)="M",UPPER(TRIM(E48))="B"),"B",IF(OR(LEFT(UPPER(TRIM(E48)),2)="SL",UPPER(TRIM(E48))="C"),"C",IF(OR(LEFT(UPPER(TRIM(E48)),1)="D",UPPER(TRIM(E48))="D"),"D","")))))))</f>
        <v/>
      </c>
      <c r="J48" s="27" t="str">
        <f aca="false">IF(I48="","",IF(AND(I48="D",Settings!$B$6&lt;&gt;"Yes"),"",IFERROR(INDEX(Settings!$C$9:$C$12,MATCH(I48,Settings!$A$9:$A$12,0)),"")))</f>
        <v/>
      </c>
      <c r="K48" s="27" t="str">
        <f aca="false">IF(J48="","",COUNTIF($I$2:I48,I48))</f>
        <v/>
      </c>
      <c r="L48" s="27" t="str">
        <f aca="false">IF(J48="","",CHOOSE(Q48+1,"Tue","Wed","Thu","Fri"))</f>
        <v/>
      </c>
      <c r="M48" s="27" t="str">
        <f aca="false">IF(J48="","",IF(J48=1,"Every week",R48+1&amp;" of "&amp;J48))</f>
        <v/>
      </c>
      <c r="N48" s="28" t="str">
        <f aca="false">IF(J48="","",Settings!$B$4+R48*7+Q48)</f>
        <v/>
      </c>
      <c r="O48" s="28" t="str">
        <f aca="true">IF(J48="","",N48+MAX(0,ROUNDUP((TODAY()-N48)/(J48*7),0))*J48*7)</f>
        <v/>
      </c>
      <c r="P48" s="27" t="str">
        <f aca="false">IF(J48="","",MOD(K48-1,J48*4))</f>
        <v/>
      </c>
      <c r="Q48" s="27" t="str">
        <f aca="false">IF(J48="","",MOD(P48,4))</f>
        <v/>
      </c>
      <c r="R48" s="27" t="str">
        <f aca="false">IF(J48="","",INT(P48/4))</f>
        <v/>
      </c>
      <c r="S48" s="27" t="str">
        <f aca="false">IF(J48="","",IF(AND('Daily Count Sheet'!$H$3=Q48,MOD('Daily Count Sheet'!$I$3,J48)=R48),1,""))</f>
        <v/>
      </c>
      <c r="T48" s="27" t="str">
        <f aca="false">IF(S48=1,COUNTIF($S$2:S48,1),"")</f>
        <v/>
      </c>
    </row>
    <row r="49" customFormat="false" ht="15" hidden="false" customHeight="false" outlineLevel="0" collapsed="false">
      <c r="H49" s="26"/>
      <c r="I49" s="27" t="str">
        <f aca="false">IF(A49="","",IF(H49&lt;&gt;"",UPPER(TRIM(H49)),IFERROR(CHOOSE(VALUE(E49)+1,"A","B","C","D"),IF(OR(LEFT(UPPER(TRIM(E49)),1)="F",UPPER(TRIM(E49))="A"),"A",IF(OR(LEFT(UPPER(TRIM(E49)),1)="M",UPPER(TRIM(E49))="B"),"B",IF(OR(LEFT(UPPER(TRIM(E49)),2)="SL",UPPER(TRIM(E49))="C"),"C",IF(OR(LEFT(UPPER(TRIM(E49)),1)="D",UPPER(TRIM(E49))="D"),"D","")))))))</f>
        <v/>
      </c>
      <c r="J49" s="27" t="str">
        <f aca="false">IF(I49="","",IF(AND(I49="D",Settings!$B$6&lt;&gt;"Yes"),"",IFERROR(INDEX(Settings!$C$9:$C$12,MATCH(I49,Settings!$A$9:$A$12,0)),"")))</f>
        <v/>
      </c>
      <c r="K49" s="27" t="str">
        <f aca="false">IF(J49="","",COUNTIF($I$2:I49,I49))</f>
        <v/>
      </c>
      <c r="L49" s="27" t="str">
        <f aca="false">IF(J49="","",CHOOSE(Q49+1,"Tue","Wed","Thu","Fri"))</f>
        <v/>
      </c>
      <c r="M49" s="27" t="str">
        <f aca="false">IF(J49="","",IF(J49=1,"Every week",R49+1&amp;" of "&amp;J49))</f>
        <v/>
      </c>
      <c r="N49" s="28" t="str">
        <f aca="false">IF(J49="","",Settings!$B$4+R49*7+Q49)</f>
        <v/>
      </c>
      <c r="O49" s="28" t="str">
        <f aca="true">IF(J49="","",N49+MAX(0,ROUNDUP((TODAY()-N49)/(J49*7),0))*J49*7)</f>
        <v/>
      </c>
      <c r="P49" s="27" t="str">
        <f aca="false">IF(J49="","",MOD(K49-1,J49*4))</f>
        <v/>
      </c>
      <c r="Q49" s="27" t="str">
        <f aca="false">IF(J49="","",MOD(P49,4))</f>
        <v/>
      </c>
      <c r="R49" s="27" t="str">
        <f aca="false">IF(J49="","",INT(P49/4))</f>
        <v/>
      </c>
      <c r="S49" s="27" t="str">
        <f aca="false">IF(J49="","",IF(AND('Daily Count Sheet'!$H$3=Q49,MOD('Daily Count Sheet'!$I$3,J49)=R49),1,""))</f>
        <v/>
      </c>
      <c r="T49" s="27" t="str">
        <f aca="false">IF(S49=1,COUNTIF($S$2:S49,1),"")</f>
        <v/>
      </c>
    </row>
    <row r="50" customFormat="false" ht="15" hidden="false" customHeight="false" outlineLevel="0" collapsed="false">
      <c r="H50" s="26"/>
      <c r="I50" s="27" t="str">
        <f aca="false">IF(A50="","",IF(H50&lt;&gt;"",UPPER(TRIM(H50)),IFERROR(CHOOSE(VALUE(E50)+1,"A","B","C","D"),IF(OR(LEFT(UPPER(TRIM(E50)),1)="F",UPPER(TRIM(E50))="A"),"A",IF(OR(LEFT(UPPER(TRIM(E50)),1)="M",UPPER(TRIM(E50))="B"),"B",IF(OR(LEFT(UPPER(TRIM(E50)),2)="SL",UPPER(TRIM(E50))="C"),"C",IF(OR(LEFT(UPPER(TRIM(E50)),1)="D",UPPER(TRIM(E50))="D"),"D","")))))))</f>
        <v/>
      </c>
      <c r="J50" s="27" t="str">
        <f aca="false">IF(I50="","",IF(AND(I50="D",Settings!$B$6&lt;&gt;"Yes"),"",IFERROR(INDEX(Settings!$C$9:$C$12,MATCH(I50,Settings!$A$9:$A$12,0)),"")))</f>
        <v/>
      </c>
      <c r="K50" s="27" t="str">
        <f aca="false">IF(J50="","",COUNTIF($I$2:I50,I50))</f>
        <v/>
      </c>
      <c r="L50" s="27" t="str">
        <f aca="false">IF(J50="","",CHOOSE(Q50+1,"Tue","Wed","Thu","Fri"))</f>
        <v/>
      </c>
      <c r="M50" s="27" t="str">
        <f aca="false">IF(J50="","",IF(J50=1,"Every week",R50+1&amp;" of "&amp;J50))</f>
        <v/>
      </c>
      <c r="N50" s="28" t="str">
        <f aca="false">IF(J50="","",Settings!$B$4+R50*7+Q50)</f>
        <v/>
      </c>
      <c r="O50" s="28" t="str">
        <f aca="true">IF(J50="","",N50+MAX(0,ROUNDUP((TODAY()-N50)/(J50*7),0))*J50*7)</f>
        <v/>
      </c>
      <c r="P50" s="27" t="str">
        <f aca="false">IF(J50="","",MOD(K50-1,J50*4))</f>
        <v/>
      </c>
      <c r="Q50" s="27" t="str">
        <f aca="false">IF(J50="","",MOD(P50,4))</f>
        <v/>
      </c>
      <c r="R50" s="27" t="str">
        <f aca="false">IF(J50="","",INT(P50/4))</f>
        <v/>
      </c>
      <c r="S50" s="27" t="str">
        <f aca="false">IF(J50="","",IF(AND('Daily Count Sheet'!$H$3=Q50,MOD('Daily Count Sheet'!$I$3,J50)=R50),1,""))</f>
        <v/>
      </c>
      <c r="T50" s="27" t="str">
        <f aca="false">IF(S50=1,COUNTIF($S$2:S50,1),"")</f>
        <v/>
      </c>
    </row>
    <row r="51" customFormat="false" ht="15" hidden="false" customHeight="false" outlineLevel="0" collapsed="false">
      <c r="H51" s="26"/>
      <c r="I51" s="27" t="str">
        <f aca="false">IF(A51="","",IF(H51&lt;&gt;"",UPPER(TRIM(H51)),IFERROR(CHOOSE(VALUE(E51)+1,"A","B","C","D"),IF(OR(LEFT(UPPER(TRIM(E51)),1)="F",UPPER(TRIM(E51))="A"),"A",IF(OR(LEFT(UPPER(TRIM(E51)),1)="M",UPPER(TRIM(E51))="B"),"B",IF(OR(LEFT(UPPER(TRIM(E51)),2)="SL",UPPER(TRIM(E51))="C"),"C",IF(OR(LEFT(UPPER(TRIM(E51)),1)="D",UPPER(TRIM(E51))="D"),"D","")))))))</f>
        <v/>
      </c>
      <c r="J51" s="27" t="str">
        <f aca="false">IF(I51="","",IF(AND(I51="D",Settings!$B$6&lt;&gt;"Yes"),"",IFERROR(INDEX(Settings!$C$9:$C$12,MATCH(I51,Settings!$A$9:$A$12,0)),"")))</f>
        <v/>
      </c>
      <c r="K51" s="27" t="str">
        <f aca="false">IF(J51="","",COUNTIF($I$2:I51,I51))</f>
        <v/>
      </c>
      <c r="L51" s="27" t="str">
        <f aca="false">IF(J51="","",CHOOSE(Q51+1,"Tue","Wed","Thu","Fri"))</f>
        <v/>
      </c>
      <c r="M51" s="27" t="str">
        <f aca="false">IF(J51="","",IF(J51=1,"Every week",R51+1&amp;" of "&amp;J51))</f>
        <v/>
      </c>
      <c r="N51" s="28" t="str">
        <f aca="false">IF(J51="","",Settings!$B$4+R51*7+Q51)</f>
        <v/>
      </c>
      <c r="O51" s="28" t="str">
        <f aca="true">IF(J51="","",N51+MAX(0,ROUNDUP((TODAY()-N51)/(J51*7),0))*J51*7)</f>
        <v/>
      </c>
      <c r="P51" s="27" t="str">
        <f aca="false">IF(J51="","",MOD(K51-1,J51*4))</f>
        <v/>
      </c>
      <c r="Q51" s="27" t="str">
        <f aca="false">IF(J51="","",MOD(P51,4))</f>
        <v/>
      </c>
      <c r="R51" s="27" t="str">
        <f aca="false">IF(J51="","",INT(P51/4))</f>
        <v/>
      </c>
      <c r="S51" s="27" t="str">
        <f aca="false">IF(J51="","",IF(AND('Daily Count Sheet'!$H$3=Q51,MOD('Daily Count Sheet'!$I$3,J51)=R51),1,""))</f>
        <v/>
      </c>
      <c r="T51" s="27" t="str">
        <f aca="false">IF(S51=1,COUNTIF($S$2:S51,1),"")</f>
        <v/>
      </c>
    </row>
    <row r="52" customFormat="false" ht="15" hidden="false" customHeight="false" outlineLevel="0" collapsed="false">
      <c r="H52" s="26"/>
      <c r="I52" s="27" t="str">
        <f aca="false">IF(A52="","",IF(H52&lt;&gt;"",UPPER(TRIM(H52)),IFERROR(CHOOSE(VALUE(E52)+1,"A","B","C","D"),IF(OR(LEFT(UPPER(TRIM(E52)),1)="F",UPPER(TRIM(E52))="A"),"A",IF(OR(LEFT(UPPER(TRIM(E52)),1)="M",UPPER(TRIM(E52))="B"),"B",IF(OR(LEFT(UPPER(TRIM(E52)),2)="SL",UPPER(TRIM(E52))="C"),"C",IF(OR(LEFT(UPPER(TRIM(E52)),1)="D",UPPER(TRIM(E52))="D"),"D","")))))))</f>
        <v/>
      </c>
      <c r="J52" s="27" t="str">
        <f aca="false">IF(I52="","",IF(AND(I52="D",Settings!$B$6&lt;&gt;"Yes"),"",IFERROR(INDEX(Settings!$C$9:$C$12,MATCH(I52,Settings!$A$9:$A$12,0)),"")))</f>
        <v/>
      </c>
      <c r="K52" s="27" t="str">
        <f aca="false">IF(J52="","",COUNTIF($I$2:I52,I52))</f>
        <v/>
      </c>
      <c r="L52" s="27" t="str">
        <f aca="false">IF(J52="","",CHOOSE(Q52+1,"Tue","Wed","Thu","Fri"))</f>
        <v/>
      </c>
      <c r="M52" s="27" t="str">
        <f aca="false">IF(J52="","",IF(J52=1,"Every week",R52+1&amp;" of "&amp;J52))</f>
        <v/>
      </c>
      <c r="N52" s="28" t="str">
        <f aca="false">IF(J52="","",Settings!$B$4+R52*7+Q52)</f>
        <v/>
      </c>
      <c r="O52" s="28" t="str">
        <f aca="true">IF(J52="","",N52+MAX(0,ROUNDUP((TODAY()-N52)/(J52*7),0))*J52*7)</f>
        <v/>
      </c>
      <c r="P52" s="27" t="str">
        <f aca="false">IF(J52="","",MOD(K52-1,J52*4))</f>
        <v/>
      </c>
      <c r="Q52" s="27" t="str">
        <f aca="false">IF(J52="","",MOD(P52,4))</f>
        <v/>
      </c>
      <c r="R52" s="27" t="str">
        <f aca="false">IF(J52="","",INT(P52/4))</f>
        <v/>
      </c>
      <c r="S52" s="27" t="str">
        <f aca="false">IF(J52="","",IF(AND('Daily Count Sheet'!$H$3=Q52,MOD('Daily Count Sheet'!$I$3,J52)=R52),1,""))</f>
        <v/>
      </c>
      <c r="T52" s="27" t="str">
        <f aca="false">IF(S52=1,COUNTIF($S$2:S52,1),"")</f>
        <v/>
      </c>
    </row>
    <row r="53" customFormat="false" ht="15" hidden="false" customHeight="false" outlineLevel="0" collapsed="false">
      <c r="H53" s="26"/>
      <c r="I53" s="27" t="str">
        <f aca="false">IF(A53="","",IF(H53&lt;&gt;"",UPPER(TRIM(H53)),IFERROR(CHOOSE(VALUE(E53)+1,"A","B","C","D"),IF(OR(LEFT(UPPER(TRIM(E53)),1)="F",UPPER(TRIM(E53))="A"),"A",IF(OR(LEFT(UPPER(TRIM(E53)),1)="M",UPPER(TRIM(E53))="B"),"B",IF(OR(LEFT(UPPER(TRIM(E53)),2)="SL",UPPER(TRIM(E53))="C"),"C",IF(OR(LEFT(UPPER(TRIM(E53)),1)="D",UPPER(TRIM(E53))="D"),"D","")))))))</f>
        <v/>
      </c>
      <c r="J53" s="27" t="str">
        <f aca="false">IF(I53="","",IF(AND(I53="D",Settings!$B$6&lt;&gt;"Yes"),"",IFERROR(INDEX(Settings!$C$9:$C$12,MATCH(I53,Settings!$A$9:$A$12,0)),"")))</f>
        <v/>
      </c>
      <c r="K53" s="27" t="str">
        <f aca="false">IF(J53="","",COUNTIF($I$2:I53,I53))</f>
        <v/>
      </c>
      <c r="L53" s="27" t="str">
        <f aca="false">IF(J53="","",CHOOSE(Q53+1,"Tue","Wed","Thu","Fri"))</f>
        <v/>
      </c>
      <c r="M53" s="27" t="str">
        <f aca="false">IF(J53="","",IF(J53=1,"Every week",R53+1&amp;" of "&amp;J53))</f>
        <v/>
      </c>
      <c r="N53" s="28" t="str">
        <f aca="false">IF(J53="","",Settings!$B$4+R53*7+Q53)</f>
        <v/>
      </c>
      <c r="O53" s="28" t="str">
        <f aca="true">IF(J53="","",N53+MAX(0,ROUNDUP((TODAY()-N53)/(J53*7),0))*J53*7)</f>
        <v/>
      </c>
      <c r="P53" s="27" t="str">
        <f aca="false">IF(J53="","",MOD(K53-1,J53*4))</f>
        <v/>
      </c>
      <c r="Q53" s="27" t="str">
        <f aca="false">IF(J53="","",MOD(P53,4))</f>
        <v/>
      </c>
      <c r="R53" s="27" t="str">
        <f aca="false">IF(J53="","",INT(P53/4))</f>
        <v/>
      </c>
      <c r="S53" s="27" t="str">
        <f aca="false">IF(J53="","",IF(AND('Daily Count Sheet'!$H$3=Q53,MOD('Daily Count Sheet'!$I$3,J53)=R53),1,""))</f>
        <v/>
      </c>
      <c r="T53" s="27" t="str">
        <f aca="false">IF(S53=1,COUNTIF($S$2:S53,1),"")</f>
        <v/>
      </c>
    </row>
    <row r="54" customFormat="false" ht="15" hidden="false" customHeight="false" outlineLevel="0" collapsed="false">
      <c r="H54" s="26"/>
      <c r="I54" s="27" t="str">
        <f aca="false">IF(A54="","",IF(H54&lt;&gt;"",UPPER(TRIM(H54)),IFERROR(CHOOSE(VALUE(E54)+1,"A","B","C","D"),IF(OR(LEFT(UPPER(TRIM(E54)),1)="F",UPPER(TRIM(E54))="A"),"A",IF(OR(LEFT(UPPER(TRIM(E54)),1)="M",UPPER(TRIM(E54))="B"),"B",IF(OR(LEFT(UPPER(TRIM(E54)),2)="SL",UPPER(TRIM(E54))="C"),"C",IF(OR(LEFT(UPPER(TRIM(E54)),1)="D",UPPER(TRIM(E54))="D"),"D","")))))))</f>
        <v/>
      </c>
      <c r="J54" s="27" t="str">
        <f aca="false">IF(I54="","",IF(AND(I54="D",Settings!$B$6&lt;&gt;"Yes"),"",IFERROR(INDEX(Settings!$C$9:$C$12,MATCH(I54,Settings!$A$9:$A$12,0)),"")))</f>
        <v/>
      </c>
      <c r="K54" s="27" t="str">
        <f aca="false">IF(J54="","",COUNTIF($I$2:I54,I54))</f>
        <v/>
      </c>
      <c r="L54" s="27" t="str">
        <f aca="false">IF(J54="","",CHOOSE(Q54+1,"Tue","Wed","Thu","Fri"))</f>
        <v/>
      </c>
      <c r="M54" s="27" t="str">
        <f aca="false">IF(J54="","",IF(J54=1,"Every week",R54+1&amp;" of "&amp;J54))</f>
        <v/>
      </c>
      <c r="N54" s="28" t="str">
        <f aca="false">IF(J54="","",Settings!$B$4+R54*7+Q54)</f>
        <v/>
      </c>
      <c r="O54" s="28" t="str">
        <f aca="true">IF(J54="","",N54+MAX(0,ROUNDUP((TODAY()-N54)/(J54*7),0))*J54*7)</f>
        <v/>
      </c>
      <c r="P54" s="27" t="str">
        <f aca="false">IF(J54="","",MOD(K54-1,J54*4))</f>
        <v/>
      </c>
      <c r="Q54" s="27" t="str">
        <f aca="false">IF(J54="","",MOD(P54,4))</f>
        <v/>
      </c>
      <c r="R54" s="27" t="str">
        <f aca="false">IF(J54="","",INT(P54/4))</f>
        <v/>
      </c>
      <c r="S54" s="27" t="str">
        <f aca="false">IF(J54="","",IF(AND('Daily Count Sheet'!$H$3=Q54,MOD('Daily Count Sheet'!$I$3,J54)=R54),1,""))</f>
        <v/>
      </c>
      <c r="T54" s="27" t="str">
        <f aca="false">IF(S54=1,COUNTIF($S$2:S54,1),"")</f>
        <v/>
      </c>
    </row>
    <row r="55" customFormat="false" ht="15" hidden="false" customHeight="false" outlineLevel="0" collapsed="false">
      <c r="H55" s="26"/>
      <c r="I55" s="27" t="str">
        <f aca="false">IF(A55="","",IF(H55&lt;&gt;"",UPPER(TRIM(H55)),IFERROR(CHOOSE(VALUE(E55)+1,"A","B","C","D"),IF(OR(LEFT(UPPER(TRIM(E55)),1)="F",UPPER(TRIM(E55))="A"),"A",IF(OR(LEFT(UPPER(TRIM(E55)),1)="M",UPPER(TRIM(E55))="B"),"B",IF(OR(LEFT(UPPER(TRIM(E55)),2)="SL",UPPER(TRIM(E55))="C"),"C",IF(OR(LEFT(UPPER(TRIM(E55)),1)="D",UPPER(TRIM(E55))="D"),"D","")))))))</f>
        <v/>
      </c>
      <c r="J55" s="27" t="str">
        <f aca="false">IF(I55="","",IF(AND(I55="D",Settings!$B$6&lt;&gt;"Yes"),"",IFERROR(INDEX(Settings!$C$9:$C$12,MATCH(I55,Settings!$A$9:$A$12,0)),"")))</f>
        <v/>
      </c>
      <c r="K55" s="27" t="str">
        <f aca="false">IF(J55="","",COUNTIF($I$2:I55,I55))</f>
        <v/>
      </c>
      <c r="L55" s="27" t="str">
        <f aca="false">IF(J55="","",CHOOSE(Q55+1,"Tue","Wed","Thu","Fri"))</f>
        <v/>
      </c>
      <c r="M55" s="27" t="str">
        <f aca="false">IF(J55="","",IF(J55=1,"Every week",R55+1&amp;" of "&amp;J55))</f>
        <v/>
      </c>
      <c r="N55" s="28" t="str">
        <f aca="false">IF(J55="","",Settings!$B$4+R55*7+Q55)</f>
        <v/>
      </c>
      <c r="O55" s="28" t="str">
        <f aca="true">IF(J55="","",N55+MAX(0,ROUNDUP((TODAY()-N55)/(J55*7),0))*J55*7)</f>
        <v/>
      </c>
      <c r="P55" s="27" t="str">
        <f aca="false">IF(J55="","",MOD(K55-1,J55*4))</f>
        <v/>
      </c>
      <c r="Q55" s="27" t="str">
        <f aca="false">IF(J55="","",MOD(P55,4))</f>
        <v/>
      </c>
      <c r="R55" s="27" t="str">
        <f aca="false">IF(J55="","",INT(P55/4))</f>
        <v/>
      </c>
      <c r="S55" s="27" t="str">
        <f aca="false">IF(J55="","",IF(AND('Daily Count Sheet'!$H$3=Q55,MOD('Daily Count Sheet'!$I$3,J55)=R55),1,""))</f>
        <v/>
      </c>
      <c r="T55" s="27" t="str">
        <f aca="false">IF(S55=1,COUNTIF($S$2:S55,1),"")</f>
        <v/>
      </c>
    </row>
    <row r="56" customFormat="false" ht="15" hidden="false" customHeight="false" outlineLevel="0" collapsed="false">
      <c r="H56" s="26"/>
      <c r="I56" s="27" t="str">
        <f aca="false">IF(A56="","",IF(H56&lt;&gt;"",UPPER(TRIM(H56)),IFERROR(CHOOSE(VALUE(E56)+1,"A","B","C","D"),IF(OR(LEFT(UPPER(TRIM(E56)),1)="F",UPPER(TRIM(E56))="A"),"A",IF(OR(LEFT(UPPER(TRIM(E56)),1)="M",UPPER(TRIM(E56))="B"),"B",IF(OR(LEFT(UPPER(TRIM(E56)),2)="SL",UPPER(TRIM(E56))="C"),"C",IF(OR(LEFT(UPPER(TRIM(E56)),1)="D",UPPER(TRIM(E56))="D"),"D","")))))))</f>
        <v/>
      </c>
      <c r="J56" s="27" t="str">
        <f aca="false">IF(I56="","",IF(AND(I56="D",Settings!$B$6&lt;&gt;"Yes"),"",IFERROR(INDEX(Settings!$C$9:$C$12,MATCH(I56,Settings!$A$9:$A$12,0)),"")))</f>
        <v/>
      </c>
      <c r="K56" s="27" t="str">
        <f aca="false">IF(J56="","",COUNTIF($I$2:I56,I56))</f>
        <v/>
      </c>
      <c r="L56" s="27" t="str">
        <f aca="false">IF(J56="","",CHOOSE(Q56+1,"Tue","Wed","Thu","Fri"))</f>
        <v/>
      </c>
      <c r="M56" s="27" t="str">
        <f aca="false">IF(J56="","",IF(J56=1,"Every week",R56+1&amp;" of "&amp;J56))</f>
        <v/>
      </c>
      <c r="N56" s="28" t="str">
        <f aca="false">IF(J56="","",Settings!$B$4+R56*7+Q56)</f>
        <v/>
      </c>
      <c r="O56" s="28" t="str">
        <f aca="true">IF(J56="","",N56+MAX(0,ROUNDUP((TODAY()-N56)/(J56*7),0))*J56*7)</f>
        <v/>
      </c>
      <c r="P56" s="27" t="str">
        <f aca="false">IF(J56="","",MOD(K56-1,J56*4))</f>
        <v/>
      </c>
      <c r="Q56" s="27" t="str">
        <f aca="false">IF(J56="","",MOD(P56,4))</f>
        <v/>
      </c>
      <c r="R56" s="27" t="str">
        <f aca="false">IF(J56="","",INT(P56/4))</f>
        <v/>
      </c>
      <c r="S56" s="27" t="str">
        <f aca="false">IF(J56="","",IF(AND('Daily Count Sheet'!$H$3=Q56,MOD('Daily Count Sheet'!$I$3,J56)=R56),1,""))</f>
        <v/>
      </c>
      <c r="T56" s="27" t="str">
        <f aca="false">IF(S56=1,COUNTIF($S$2:S56,1),"")</f>
        <v/>
      </c>
    </row>
    <row r="57" customFormat="false" ht="15" hidden="false" customHeight="false" outlineLevel="0" collapsed="false">
      <c r="H57" s="26"/>
      <c r="I57" s="27" t="str">
        <f aca="false">IF(A57="","",IF(H57&lt;&gt;"",UPPER(TRIM(H57)),IFERROR(CHOOSE(VALUE(E57)+1,"A","B","C","D"),IF(OR(LEFT(UPPER(TRIM(E57)),1)="F",UPPER(TRIM(E57))="A"),"A",IF(OR(LEFT(UPPER(TRIM(E57)),1)="M",UPPER(TRIM(E57))="B"),"B",IF(OR(LEFT(UPPER(TRIM(E57)),2)="SL",UPPER(TRIM(E57))="C"),"C",IF(OR(LEFT(UPPER(TRIM(E57)),1)="D",UPPER(TRIM(E57))="D"),"D","")))))))</f>
        <v/>
      </c>
      <c r="J57" s="27" t="str">
        <f aca="false">IF(I57="","",IF(AND(I57="D",Settings!$B$6&lt;&gt;"Yes"),"",IFERROR(INDEX(Settings!$C$9:$C$12,MATCH(I57,Settings!$A$9:$A$12,0)),"")))</f>
        <v/>
      </c>
      <c r="K57" s="27" t="str">
        <f aca="false">IF(J57="","",COUNTIF($I$2:I57,I57))</f>
        <v/>
      </c>
      <c r="L57" s="27" t="str">
        <f aca="false">IF(J57="","",CHOOSE(Q57+1,"Tue","Wed","Thu","Fri"))</f>
        <v/>
      </c>
      <c r="M57" s="27" t="str">
        <f aca="false">IF(J57="","",IF(J57=1,"Every week",R57+1&amp;" of "&amp;J57))</f>
        <v/>
      </c>
      <c r="N57" s="28" t="str">
        <f aca="false">IF(J57="","",Settings!$B$4+R57*7+Q57)</f>
        <v/>
      </c>
      <c r="O57" s="28" t="str">
        <f aca="true">IF(J57="","",N57+MAX(0,ROUNDUP((TODAY()-N57)/(J57*7),0))*J57*7)</f>
        <v/>
      </c>
      <c r="P57" s="27" t="str">
        <f aca="false">IF(J57="","",MOD(K57-1,J57*4))</f>
        <v/>
      </c>
      <c r="Q57" s="27" t="str">
        <f aca="false">IF(J57="","",MOD(P57,4))</f>
        <v/>
      </c>
      <c r="R57" s="27" t="str">
        <f aca="false">IF(J57="","",INT(P57/4))</f>
        <v/>
      </c>
      <c r="S57" s="27" t="str">
        <f aca="false">IF(J57="","",IF(AND('Daily Count Sheet'!$H$3=Q57,MOD('Daily Count Sheet'!$I$3,J57)=R57),1,""))</f>
        <v/>
      </c>
      <c r="T57" s="27" t="str">
        <f aca="false">IF(S57=1,COUNTIF($S$2:S57,1),"")</f>
        <v/>
      </c>
    </row>
    <row r="58" customFormat="false" ht="15" hidden="false" customHeight="false" outlineLevel="0" collapsed="false">
      <c r="H58" s="26"/>
      <c r="I58" s="27" t="str">
        <f aca="false">IF(A58="","",IF(H58&lt;&gt;"",UPPER(TRIM(H58)),IFERROR(CHOOSE(VALUE(E58)+1,"A","B","C","D"),IF(OR(LEFT(UPPER(TRIM(E58)),1)="F",UPPER(TRIM(E58))="A"),"A",IF(OR(LEFT(UPPER(TRIM(E58)),1)="M",UPPER(TRIM(E58))="B"),"B",IF(OR(LEFT(UPPER(TRIM(E58)),2)="SL",UPPER(TRIM(E58))="C"),"C",IF(OR(LEFT(UPPER(TRIM(E58)),1)="D",UPPER(TRIM(E58))="D"),"D","")))))))</f>
        <v/>
      </c>
      <c r="J58" s="27" t="str">
        <f aca="false">IF(I58="","",IF(AND(I58="D",Settings!$B$6&lt;&gt;"Yes"),"",IFERROR(INDEX(Settings!$C$9:$C$12,MATCH(I58,Settings!$A$9:$A$12,0)),"")))</f>
        <v/>
      </c>
      <c r="K58" s="27" t="str">
        <f aca="false">IF(J58="","",COUNTIF($I$2:I58,I58))</f>
        <v/>
      </c>
      <c r="L58" s="27" t="str">
        <f aca="false">IF(J58="","",CHOOSE(Q58+1,"Tue","Wed","Thu","Fri"))</f>
        <v/>
      </c>
      <c r="M58" s="27" t="str">
        <f aca="false">IF(J58="","",IF(J58=1,"Every week",R58+1&amp;" of "&amp;J58))</f>
        <v/>
      </c>
      <c r="N58" s="28" t="str">
        <f aca="false">IF(J58="","",Settings!$B$4+R58*7+Q58)</f>
        <v/>
      </c>
      <c r="O58" s="28" t="str">
        <f aca="true">IF(J58="","",N58+MAX(0,ROUNDUP((TODAY()-N58)/(J58*7),0))*J58*7)</f>
        <v/>
      </c>
      <c r="P58" s="27" t="str">
        <f aca="false">IF(J58="","",MOD(K58-1,J58*4))</f>
        <v/>
      </c>
      <c r="Q58" s="27" t="str">
        <f aca="false">IF(J58="","",MOD(P58,4))</f>
        <v/>
      </c>
      <c r="R58" s="27" t="str">
        <f aca="false">IF(J58="","",INT(P58/4))</f>
        <v/>
      </c>
      <c r="S58" s="27" t="str">
        <f aca="false">IF(J58="","",IF(AND('Daily Count Sheet'!$H$3=Q58,MOD('Daily Count Sheet'!$I$3,J58)=R58),1,""))</f>
        <v/>
      </c>
      <c r="T58" s="27" t="str">
        <f aca="false">IF(S58=1,COUNTIF($S$2:S58,1),"")</f>
        <v/>
      </c>
    </row>
    <row r="59" customFormat="false" ht="15" hidden="false" customHeight="false" outlineLevel="0" collapsed="false">
      <c r="H59" s="26"/>
      <c r="I59" s="27" t="str">
        <f aca="false">IF(A59="","",IF(H59&lt;&gt;"",UPPER(TRIM(H59)),IFERROR(CHOOSE(VALUE(E59)+1,"A","B","C","D"),IF(OR(LEFT(UPPER(TRIM(E59)),1)="F",UPPER(TRIM(E59))="A"),"A",IF(OR(LEFT(UPPER(TRIM(E59)),1)="M",UPPER(TRIM(E59))="B"),"B",IF(OR(LEFT(UPPER(TRIM(E59)),2)="SL",UPPER(TRIM(E59))="C"),"C",IF(OR(LEFT(UPPER(TRIM(E59)),1)="D",UPPER(TRIM(E59))="D"),"D","")))))))</f>
        <v/>
      </c>
      <c r="J59" s="27" t="str">
        <f aca="false">IF(I59="","",IF(AND(I59="D",Settings!$B$6&lt;&gt;"Yes"),"",IFERROR(INDEX(Settings!$C$9:$C$12,MATCH(I59,Settings!$A$9:$A$12,0)),"")))</f>
        <v/>
      </c>
      <c r="K59" s="27" t="str">
        <f aca="false">IF(J59="","",COUNTIF($I$2:I59,I59))</f>
        <v/>
      </c>
      <c r="L59" s="27" t="str">
        <f aca="false">IF(J59="","",CHOOSE(Q59+1,"Tue","Wed","Thu","Fri"))</f>
        <v/>
      </c>
      <c r="M59" s="27" t="str">
        <f aca="false">IF(J59="","",IF(J59=1,"Every week",R59+1&amp;" of "&amp;J59))</f>
        <v/>
      </c>
      <c r="N59" s="28" t="str">
        <f aca="false">IF(J59="","",Settings!$B$4+R59*7+Q59)</f>
        <v/>
      </c>
      <c r="O59" s="28" t="str">
        <f aca="true">IF(J59="","",N59+MAX(0,ROUNDUP((TODAY()-N59)/(J59*7),0))*J59*7)</f>
        <v/>
      </c>
      <c r="P59" s="27" t="str">
        <f aca="false">IF(J59="","",MOD(K59-1,J59*4))</f>
        <v/>
      </c>
      <c r="Q59" s="27" t="str">
        <f aca="false">IF(J59="","",MOD(P59,4))</f>
        <v/>
      </c>
      <c r="R59" s="27" t="str">
        <f aca="false">IF(J59="","",INT(P59/4))</f>
        <v/>
      </c>
      <c r="S59" s="27" t="str">
        <f aca="false">IF(J59="","",IF(AND('Daily Count Sheet'!$H$3=Q59,MOD('Daily Count Sheet'!$I$3,J59)=R59),1,""))</f>
        <v/>
      </c>
      <c r="T59" s="27" t="str">
        <f aca="false">IF(S59=1,COUNTIF($S$2:S59,1),"")</f>
        <v/>
      </c>
    </row>
    <row r="60" customFormat="false" ht="15" hidden="false" customHeight="false" outlineLevel="0" collapsed="false">
      <c r="H60" s="26"/>
      <c r="I60" s="27" t="str">
        <f aca="false">IF(A60="","",IF(H60&lt;&gt;"",UPPER(TRIM(H60)),IFERROR(CHOOSE(VALUE(E60)+1,"A","B","C","D"),IF(OR(LEFT(UPPER(TRIM(E60)),1)="F",UPPER(TRIM(E60))="A"),"A",IF(OR(LEFT(UPPER(TRIM(E60)),1)="M",UPPER(TRIM(E60))="B"),"B",IF(OR(LEFT(UPPER(TRIM(E60)),2)="SL",UPPER(TRIM(E60))="C"),"C",IF(OR(LEFT(UPPER(TRIM(E60)),1)="D",UPPER(TRIM(E60))="D"),"D","")))))))</f>
        <v/>
      </c>
      <c r="J60" s="27" t="str">
        <f aca="false">IF(I60="","",IF(AND(I60="D",Settings!$B$6&lt;&gt;"Yes"),"",IFERROR(INDEX(Settings!$C$9:$C$12,MATCH(I60,Settings!$A$9:$A$12,0)),"")))</f>
        <v/>
      </c>
      <c r="K60" s="27" t="str">
        <f aca="false">IF(J60="","",COUNTIF($I$2:I60,I60))</f>
        <v/>
      </c>
      <c r="L60" s="27" t="str">
        <f aca="false">IF(J60="","",CHOOSE(Q60+1,"Tue","Wed","Thu","Fri"))</f>
        <v/>
      </c>
      <c r="M60" s="27" t="str">
        <f aca="false">IF(J60="","",IF(J60=1,"Every week",R60+1&amp;" of "&amp;J60))</f>
        <v/>
      </c>
      <c r="N60" s="28" t="str">
        <f aca="false">IF(J60="","",Settings!$B$4+R60*7+Q60)</f>
        <v/>
      </c>
      <c r="O60" s="28" t="str">
        <f aca="true">IF(J60="","",N60+MAX(0,ROUNDUP((TODAY()-N60)/(J60*7),0))*J60*7)</f>
        <v/>
      </c>
      <c r="P60" s="27" t="str">
        <f aca="false">IF(J60="","",MOD(K60-1,J60*4))</f>
        <v/>
      </c>
      <c r="Q60" s="27" t="str">
        <f aca="false">IF(J60="","",MOD(P60,4))</f>
        <v/>
      </c>
      <c r="R60" s="27" t="str">
        <f aca="false">IF(J60="","",INT(P60/4))</f>
        <v/>
      </c>
      <c r="S60" s="27" t="str">
        <f aca="false">IF(J60="","",IF(AND('Daily Count Sheet'!$H$3=Q60,MOD('Daily Count Sheet'!$I$3,J60)=R60),1,""))</f>
        <v/>
      </c>
      <c r="T60" s="27" t="str">
        <f aca="false">IF(S60=1,COUNTIF($S$2:S60,1),"")</f>
        <v/>
      </c>
    </row>
    <row r="61" customFormat="false" ht="15" hidden="false" customHeight="false" outlineLevel="0" collapsed="false">
      <c r="H61" s="26"/>
      <c r="I61" s="27" t="str">
        <f aca="false">IF(A61="","",IF(H61&lt;&gt;"",UPPER(TRIM(H61)),IFERROR(CHOOSE(VALUE(E61)+1,"A","B","C","D"),IF(OR(LEFT(UPPER(TRIM(E61)),1)="F",UPPER(TRIM(E61))="A"),"A",IF(OR(LEFT(UPPER(TRIM(E61)),1)="M",UPPER(TRIM(E61))="B"),"B",IF(OR(LEFT(UPPER(TRIM(E61)),2)="SL",UPPER(TRIM(E61))="C"),"C",IF(OR(LEFT(UPPER(TRIM(E61)),1)="D",UPPER(TRIM(E61))="D"),"D","")))))))</f>
        <v/>
      </c>
      <c r="J61" s="27" t="str">
        <f aca="false">IF(I61="","",IF(AND(I61="D",Settings!$B$6&lt;&gt;"Yes"),"",IFERROR(INDEX(Settings!$C$9:$C$12,MATCH(I61,Settings!$A$9:$A$12,0)),"")))</f>
        <v/>
      </c>
      <c r="K61" s="27" t="str">
        <f aca="false">IF(J61="","",COUNTIF($I$2:I61,I61))</f>
        <v/>
      </c>
      <c r="L61" s="27" t="str">
        <f aca="false">IF(J61="","",CHOOSE(Q61+1,"Tue","Wed","Thu","Fri"))</f>
        <v/>
      </c>
      <c r="M61" s="27" t="str">
        <f aca="false">IF(J61="","",IF(J61=1,"Every week",R61+1&amp;" of "&amp;J61))</f>
        <v/>
      </c>
      <c r="N61" s="28" t="str">
        <f aca="false">IF(J61="","",Settings!$B$4+R61*7+Q61)</f>
        <v/>
      </c>
      <c r="O61" s="28" t="str">
        <f aca="true">IF(J61="","",N61+MAX(0,ROUNDUP((TODAY()-N61)/(J61*7),0))*J61*7)</f>
        <v/>
      </c>
      <c r="P61" s="27" t="str">
        <f aca="false">IF(J61="","",MOD(K61-1,J61*4))</f>
        <v/>
      </c>
      <c r="Q61" s="27" t="str">
        <f aca="false">IF(J61="","",MOD(P61,4))</f>
        <v/>
      </c>
      <c r="R61" s="27" t="str">
        <f aca="false">IF(J61="","",INT(P61/4))</f>
        <v/>
      </c>
      <c r="S61" s="27" t="str">
        <f aca="false">IF(J61="","",IF(AND('Daily Count Sheet'!$H$3=Q61,MOD('Daily Count Sheet'!$I$3,J61)=R61),1,""))</f>
        <v/>
      </c>
      <c r="T61" s="27" t="str">
        <f aca="false">IF(S61=1,COUNTIF($S$2:S61,1),"")</f>
        <v/>
      </c>
    </row>
    <row r="62" customFormat="false" ht="15" hidden="false" customHeight="false" outlineLevel="0" collapsed="false">
      <c r="H62" s="26"/>
      <c r="I62" s="27" t="str">
        <f aca="false">IF(A62="","",IF(H62&lt;&gt;"",UPPER(TRIM(H62)),IFERROR(CHOOSE(VALUE(E62)+1,"A","B","C","D"),IF(OR(LEFT(UPPER(TRIM(E62)),1)="F",UPPER(TRIM(E62))="A"),"A",IF(OR(LEFT(UPPER(TRIM(E62)),1)="M",UPPER(TRIM(E62))="B"),"B",IF(OR(LEFT(UPPER(TRIM(E62)),2)="SL",UPPER(TRIM(E62))="C"),"C",IF(OR(LEFT(UPPER(TRIM(E62)),1)="D",UPPER(TRIM(E62))="D"),"D","")))))))</f>
        <v/>
      </c>
      <c r="J62" s="27" t="str">
        <f aca="false">IF(I62="","",IF(AND(I62="D",Settings!$B$6&lt;&gt;"Yes"),"",IFERROR(INDEX(Settings!$C$9:$C$12,MATCH(I62,Settings!$A$9:$A$12,0)),"")))</f>
        <v/>
      </c>
      <c r="K62" s="27" t="str">
        <f aca="false">IF(J62="","",COUNTIF($I$2:I62,I62))</f>
        <v/>
      </c>
      <c r="L62" s="27" t="str">
        <f aca="false">IF(J62="","",CHOOSE(Q62+1,"Tue","Wed","Thu","Fri"))</f>
        <v/>
      </c>
      <c r="M62" s="27" t="str">
        <f aca="false">IF(J62="","",IF(J62=1,"Every week",R62+1&amp;" of "&amp;J62))</f>
        <v/>
      </c>
      <c r="N62" s="28" t="str">
        <f aca="false">IF(J62="","",Settings!$B$4+R62*7+Q62)</f>
        <v/>
      </c>
      <c r="O62" s="28" t="str">
        <f aca="true">IF(J62="","",N62+MAX(0,ROUNDUP((TODAY()-N62)/(J62*7),0))*J62*7)</f>
        <v/>
      </c>
      <c r="P62" s="27" t="str">
        <f aca="false">IF(J62="","",MOD(K62-1,J62*4))</f>
        <v/>
      </c>
      <c r="Q62" s="27" t="str">
        <f aca="false">IF(J62="","",MOD(P62,4))</f>
        <v/>
      </c>
      <c r="R62" s="27" t="str">
        <f aca="false">IF(J62="","",INT(P62/4))</f>
        <v/>
      </c>
      <c r="S62" s="27" t="str">
        <f aca="false">IF(J62="","",IF(AND('Daily Count Sheet'!$H$3=Q62,MOD('Daily Count Sheet'!$I$3,J62)=R62),1,""))</f>
        <v/>
      </c>
      <c r="T62" s="27" t="str">
        <f aca="false">IF(S62=1,COUNTIF($S$2:S62,1),"")</f>
        <v/>
      </c>
    </row>
    <row r="63" customFormat="false" ht="15" hidden="false" customHeight="false" outlineLevel="0" collapsed="false">
      <c r="H63" s="26"/>
      <c r="I63" s="27" t="str">
        <f aca="false">IF(A63="","",IF(H63&lt;&gt;"",UPPER(TRIM(H63)),IFERROR(CHOOSE(VALUE(E63)+1,"A","B","C","D"),IF(OR(LEFT(UPPER(TRIM(E63)),1)="F",UPPER(TRIM(E63))="A"),"A",IF(OR(LEFT(UPPER(TRIM(E63)),1)="M",UPPER(TRIM(E63))="B"),"B",IF(OR(LEFT(UPPER(TRIM(E63)),2)="SL",UPPER(TRIM(E63))="C"),"C",IF(OR(LEFT(UPPER(TRIM(E63)),1)="D",UPPER(TRIM(E63))="D"),"D","")))))))</f>
        <v/>
      </c>
      <c r="J63" s="27" t="str">
        <f aca="false">IF(I63="","",IF(AND(I63="D",Settings!$B$6&lt;&gt;"Yes"),"",IFERROR(INDEX(Settings!$C$9:$C$12,MATCH(I63,Settings!$A$9:$A$12,0)),"")))</f>
        <v/>
      </c>
      <c r="K63" s="27" t="str">
        <f aca="false">IF(J63="","",COUNTIF($I$2:I63,I63))</f>
        <v/>
      </c>
      <c r="L63" s="27" t="str">
        <f aca="false">IF(J63="","",CHOOSE(Q63+1,"Tue","Wed","Thu","Fri"))</f>
        <v/>
      </c>
      <c r="M63" s="27" t="str">
        <f aca="false">IF(J63="","",IF(J63=1,"Every week",R63+1&amp;" of "&amp;J63))</f>
        <v/>
      </c>
      <c r="N63" s="28" t="str">
        <f aca="false">IF(J63="","",Settings!$B$4+R63*7+Q63)</f>
        <v/>
      </c>
      <c r="O63" s="28" t="str">
        <f aca="true">IF(J63="","",N63+MAX(0,ROUNDUP((TODAY()-N63)/(J63*7),0))*J63*7)</f>
        <v/>
      </c>
      <c r="P63" s="27" t="str">
        <f aca="false">IF(J63="","",MOD(K63-1,J63*4))</f>
        <v/>
      </c>
      <c r="Q63" s="27" t="str">
        <f aca="false">IF(J63="","",MOD(P63,4))</f>
        <v/>
      </c>
      <c r="R63" s="27" t="str">
        <f aca="false">IF(J63="","",INT(P63/4))</f>
        <v/>
      </c>
      <c r="S63" s="27" t="str">
        <f aca="false">IF(J63="","",IF(AND('Daily Count Sheet'!$H$3=Q63,MOD('Daily Count Sheet'!$I$3,J63)=R63),1,""))</f>
        <v/>
      </c>
      <c r="T63" s="27" t="str">
        <f aca="false">IF(S63=1,COUNTIF($S$2:S63,1),"")</f>
        <v/>
      </c>
    </row>
    <row r="64" customFormat="false" ht="15" hidden="false" customHeight="false" outlineLevel="0" collapsed="false">
      <c r="H64" s="26"/>
      <c r="I64" s="27" t="str">
        <f aca="false">IF(A64="","",IF(H64&lt;&gt;"",UPPER(TRIM(H64)),IFERROR(CHOOSE(VALUE(E64)+1,"A","B","C","D"),IF(OR(LEFT(UPPER(TRIM(E64)),1)="F",UPPER(TRIM(E64))="A"),"A",IF(OR(LEFT(UPPER(TRIM(E64)),1)="M",UPPER(TRIM(E64))="B"),"B",IF(OR(LEFT(UPPER(TRIM(E64)),2)="SL",UPPER(TRIM(E64))="C"),"C",IF(OR(LEFT(UPPER(TRIM(E64)),1)="D",UPPER(TRIM(E64))="D"),"D","")))))))</f>
        <v/>
      </c>
      <c r="J64" s="27" t="str">
        <f aca="false">IF(I64="","",IF(AND(I64="D",Settings!$B$6&lt;&gt;"Yes"),"",IFERROR(INDEX(Settings!$C$9:$C$12,MATCH(I64,Settings!$A$9:$A$12,0)),"")))</f>
        <v/>
      </c>
      <c r="K64" s="27" t="str">
        <f aca="false">IF(J64="","",COUNTIF($I$2:I64,I64))</f>
        <v/>
      </c>
      <c r="L64" s="27" t="str">
        <f aca="false">IF(J64="","",CHOOSE(Q64+1,"Tue","Wed","Thu","Fri"))</f>
        <v/>
      </c>
      <c r="M64" s="27" t="str">
        <f aca="false">IF(J64="","",IF(J64=1,"Every week",R64+1&amp;" of "&amp;J64))</f>
        <v/>
      </c>
      <c r="N64" s="28" t="str">
        <f aca="false">IF(J64="","",Settings!$B$4+R64*7+Q64)</f>
        <v/>
      </c>
      <c r="O64" s="28" t="str">
        <f aca="true">IF(J64="","",N64+MAX(0,ROUNDUP((TODAY()-N64)/(J64*7),0))*J64*7)</f>
        <v/>
      </c>
      <c r="P64" s="27" t="str">
        <f aca="false">IF(J64="","",MOD(K64-1,J64*4))</f>
        <v/>
      </c>
      <c r="Q64" s="27" t="str">
        <f aca="false">IF(J64="","",MOD(P64,4))</f>
        <v/>
      </c>
      <c r="R64" s="27" t="str">
        <f aca="false">IF(J64="","",INT(P64/4))</f>
        <v/>
      </c>
      <c r="S64" s="27" t="str">
        <f aca="false">IF(J64="","",IF(AND('Daily Count Sheet'!$H$3=Q64,MOD('Daily Count Sheet'!$I$3,J64)=R64),1,""))</f>
        <v/>
      </c>
      <c r="T64" s="27" t="str">
        <f aca="false">IF(S64=1,COUNTIF($S$2:S64,1),"")</f>
        <v/>
      </c>
    </row>
    <row r="65" customFormat="false" ht="15" hidden="false" customHeight="false" outlineLevel="0" collapsed="false">
      <c r="H65" s="26"/>
      <c r="I65" s="27" t="str">
        <f aca="false">IF(A65="","",IF(H65&lt;&gt;"",UPPER(TRIM(H65)),IFERROR(CHOOSE(VALUE(E65)+1,"A","B","C","D"),IF(OR(LEFT(UPPER(TRIM(E65)),1)="F",UPPER(TRIM(E65))="A"),"A",IF(OR(LEFT(UPPER(TRIM(E65)),1)="M",UPPER(TRIM(E65))="B"),"B",IF(OR(LEFT(UPPER(TRIM(E65)),2)="SL",UPPER(TRIM(E65))="C"),"C",IF(OR(LEFT(UPPER(TRIM(E65)),1)="D",UPPER(TRIM(E65))="D"),"D","")))))))</f>
        <v/>
      </c>
      <c r="J65" s="27" t="str">
        <f aca="false">IF(I65="","",IF(AND(I65="D",Settings!$B$6&lt;&gt;"Yes"),"",IFERROR(INDEX(Settings!$C$9:$C$12,MATCH(I65,Settings!$A$9:$A$12,0)),"")))</f>
        <v/>
      </c>
      <c r="K65" s="27" t="str">
        <f aca="false">IF(J65="","",COUNTIF($I$2:I65,I65))</f>
        <v/>
      </c>
      <c r="L65" s="27" t="str">
        <f aca="false">IF(J65="","",CHOOSE(Q65+1,"Tue","Wed","Thu","Fri"))</f>
        <v/>
      </c>
      <c r="M65" s="27" t="str">
        <f aca="false">IF(J65="","",IF(J65=1,"Every week",R65+1&amp;" of "&amp;J65))</f>
        <v/>
      </c>
      <c r="N65" s="28" t="str">
        <f aca="false">IF(J65="","",Settings!$B$4+R65*7+Q65)</f>
        <v/>
      </c>
      <c r="O65" s="28" t="str">
        <f aca="true">IF(J65="","",N65+MAX(0,ROUNDUP((TODAY()-N65)/(J65*7),0))*J65*7)</f>
        <v/>
      </c>
      <c r="P65" s="27" t="str">
        <f aca="false">IF(J65="","",MOD(K65-1,J65*4))</f>
        <v/>
      </c>
      <c r="Q65" s="27" t="str">
        <f aca="false">IF(J65="","",MOD(P65,4))</f>
        <v/>
      </c>
      <c r="R65" s="27" t="str">
        <f aca="false">IF(J65="","",INT(P65/4))</f>
        <v/>
      </c>
      <c r="S65" s="27" t="str">
        <f aca="false">IF(J65="","",IF(AND('Daily Count Sheet'!$H$3=Q65,MOD('Daily Count Sheet'!$I$3,J65)=R65),1,""))</f>
        <v/>
      </c>
      <c r="T65" s="27" t="str">
        <f aca="false">IF(S65=1,COUNTIF($S$2:S65,1),"")</f>
        <v/>
      </c>
    </row>
    <row r="66" customFormat="false" ht="15" hidden="false" customHeight="false" outlineLevel="0" collapsed="false">
      <c r="H66" s="26"/>
      <c r="I66" s="27" t="str">
        <f aca="false">IF(A66="","",IF(H66&lt;&gt;"",UPPER(TRIM(H66)),IFERROR(CHOOSE(VALUE(E66)+1,"A","B","C","D"),IF(OR(LEFT(UPPER(TRIM(E66)),1)="F",UPPER(TRIM(E66))="A"),"A",IF(OR(LEFT(UPPER(TRIM(E66)),1)="M",UPPER(TRIM(E66))="B"),"B",IF(OR(LEFT(UPPER(TRIM(E66)),2)="SL",UPPER(TRIM(E66))="C"),"C",IF(OR(LEFT(UPPER(TRIM(E66)),1)="D",UPPER(TRIM(E66))="D"),"D","")))))))</f>
        <v/>
      </c>
      <c r="J66" s="27" t="str">
        <f aca="false">IF(I66="","",IF(AND(I66="D",Settings!$B$6&lt;&gt;"Yes"),"",IFERROR(INDEX(Settings!$C$9:$C$12,MATCH(I66,Settings!$A$9:$A$12,0)),"")))</f>
        <v/>
      </c>
      <c r="K66" s="27" t="str">
        <f aca="false">IF(J66="","",COUNTIF($I$2:I66,I66))</f>
        <v/>
      </c>
      <c r="L66" s="27" t="str">
        <f aca="false">IF(J66="","",CHOOSE(Q66+1,"Tue","Wed","Thu","Fri"))</f>
        <v/>
      </c>
      <c r="M66" s="27" t="str">
        <f aca="false">IF(J66="","",IF(J66=1,"Every week",R66+1&amp;" of "&amp;J66))</f>
        <v/>
      </c>
      <c r="N66" s="28" t="str">
        <f aca="false">IF(J66="","",Settings!$B$4+R66*7+Q66)</f>
        <v/>
      </c>
      <c r="O66" s="28" t="str">
        <f aca="true">IF(J66="","",N66+MAX(0,ROUNDUP((TODAY()-N66)/(J66*7),0))*J66*7)</f>
        <v/>
      </c>
      <c r="P66" s="27" t="str">
        <f aca="false">IF(J66="","",MOD(K66-1,J66*4))</f>
        <v/>
      </c>
      <c r="Q66" s="27" t="str">
        <f aca="false">IF(J66="","",MOD(P66,4))</f>
        <v/>
      </c>
      <c r="R66" s="27" t="str">
        <f aca="false">IF(J66="","",INT(P66/4))</f>
        <v/>
      </c>
      <c r="S66" s="27" t="str">
        <f aca="false">IF(J66="","",IF(AND('Daily Count Sheet'!$H$3=Q66,MOD('Daily Count Sheet'!$I$3,J66)=R66),1,""))</f>
        <v/>
      </c>
      <c r="T66" s="27" t="str">
        <f aca="false">IF(S66=1,COUNTIF($S$2:S66,1),"")</f>
        <v/>
      </c>
    </row>
    <row r="67" customFormat="false" ht="15" hidden="false" customHeight="false" outlineLevel="0" collapsed="false">
      <c r="H67" s="26"/>
      <c r="I67" s="27" t="str">
        <f aca="false">IF(A67="","",IF(H67&lt;&gt;"",UPPER(TRIM(H67)),IFERROR(CHOOSE(VALUE(E67)+1,"A","B","C","D"),IF(OR(LEFT(UPPER(TRIM(E67)),1)="F",UPPER(TRIM(E67))="A"),"A",IF(OR(LEFT(UPPER(TRIM(E67)),1)="M",UPPER(TRIM(E67))="B"),"B",IF(OR(LEFT(UPPER(TRIM(E67)),2)="SL",UPPER(TRIM(E67))="C"),"C",IF(OR(LEFT(UPPER(TRIM(E67)),1)="D",UPPER(TRIM(E67))="D"),"D","")))))))</f>
        <v/>
      </c>
      <c r="J67" s="27" t="str">
        <f aca="false">IF(I67="","",IF(AND(I67="D",Settings!$B$6&lt;&gt;"Yes"),"",IFERROR(INDEX(Settings!$C$9:$C$12,MATCH(I67,Settings!$A$9:$A$12,0)),"")))</f>
        <v/>
      </c>
      <c r="K67" s="27" t="str">
        <f aca="false">IF(J67="","",COUNTIF($I$2:I67,I67))</f>
        <v/>
      </c>
      <c r="L67" s="27" t="str">
        <f aca="false">IF(J67="","",CHOOSE(Q67+1,"Tue","Wed","Thu","Fri"))</f>
        <v/>
      </c>
      <c r="M67" s="27" t="str">
        <f aca="false">IF(J67="","",IF(J67=1,"Every week",R67+1&amp;" of "&amp;J67))</f>
        <v/>
      </c>
      <c r="N67" s="28" t="str">
        <f aca="false">IF(J67="","",Settings!$B$4+R67*7+Q67)</f>
        <v/>
      </c>
      <c r="O67" s="28" t="str">
        <f aca="true">IF(J67="","",N67+MAX(0,ROUNDUP((TODAY()-N67)/(J67*7),0))*J67*7)</f>
        <v/>
      </c>
      <c r="P67" s="27" t="str">
        <f aca="false">IF(J67="","",MOD(K67-1,J67*4))</f>
        <v/>
      </c>
      <c r="Q67" s="27" t="str">
        <f aca="false">IF(J67="","",MOD(P67,4))</f>
        <v/>
      </c>
      <c r="R67" s="27" t="str">
        <f aca="false">IF(J67="","",INT(P67/4))</f>
        <v/>
      </c>
      <c r="S67" s="27" t="str">
        <f aca="false">IF(J67="","",IF(AND('Daily Count Sheet'!$H$3=Q67,MOD('Daily Count Sheet'!$I$3,J67)=R67),1,""))</f>
        <v/>
      </c>
      <c r="T67" s="27" t="str">
        <f aca="false">IF(S67=1,COUNTIF($S$2:S67,1),"")</f>
        <v/>
      </c>
    </row>
    <row r="68" customFormat="false" ht="15" hidden="false" customHeight="false" outlineLevel="0" collapsed="false">
      <c r="H68" s="26"/>
      <c r="I68" s="27" t="str">
        <f aca="false">IF(A68="","",IF(H68&lt;&gt;"",UPPER(TRIM(H68)),IFERROR(CHOOSE(VALUE(E68)+1,"A","B","C","D"),IF(OR(LEFT(UPPER(TRIM(E68)),1)="F",UPPER(TRIM(E68))="A"),"A",IF(OR(LEFT(UPPER(TRIM(E68)),1)="M",UPPER(TRIM(E68))="B"),"B",IF(OR(LEFT(UPPER(TRIM(E68)),2)="SL",UPPER(TRIM(E68))="C"),"C",IF(OR(LEFT(UPPER(TRIM(E68)),1)="D",UPPER(TRIM(E68))="D"),"D","")))))))</f>
        <v/>
      </c>
      <c r="J68" s="27" t="str">
        <f aca="false">IF(I68="","",IF(AND(I68="D",Settings!$B$6&lt;&gt;"Yes"),"",IFERROR(INDEX(Settings!$C$9:$C$12,MATCH(I68,Settings!$A$9:$A$12,0)),"")))</f>
        <v/>
      </c>
      <c r="K68" s="27" t="str">
        <f aca="false">IF(J68="","",COUNTIF($I$2:I68,I68))</f>
        <v/>
      </c>
      <c r="L68" s="27" t="str">
        <f aca="false">IF(J68="","",CHOOSE(Q68+1,"Tue","Wed","Thu","Fri"))</f>
        <v/>
      </c>
      <c r="M68" s="27" t="str">
        <f aca="false">IF(J68="","",IF(J68=1,"Every week",R68+1&amp;" of "&amp;J68))</f>
        <v/>
      </c>
      <c r="N68" s="28" t="str">
        <f aca="false">IF(J68="","",Settings!$B$4+R68*7+Q68)</f>
        <v/>
      </c>
      <c r="O68" s="28" t="str">
        <f aca="true">IF(J68="","",N68+MAX(0,ROUNDUP((TODAY()-N68)/(J68*7),0))*J68*7)</f>
        <v/>
      </c>
      <c r="P68" s="27" t="str">
        <f aca="false">IF(J68="","",MOD(K68-1,J68*4))</f>
        <v/>
      </c>
      <c r="Q68" s="27" t="str">
        <f aca="false">IF(J68="","",MOD(P68,4))</f>
        <v/>
      </c>
      <c r="R68" s="27" t="str">
        <f aca="false">IF(J68="","",INT(P68/4))</f>
        <v/>
      </c>
      <c r="S68" s="27" t="str">
        <f aca="false">IF(J68="","",IF(AND('Daily Count Sheet'!$H$3=Q68,MOD('Daily Count Sheet'!$I$3,J68)=R68),1,""))</f>
        <v/>
      </c>
      <c r="T68" s="27" t="str">
        <f aca="false">IF(S68=1,COUNTIF($S$2:S68,1),"")</f>
        <v/>
      </c>
    </row>
    <row r="69" customFormat="false" ht="15" hidden="false" customHeight="false" outlineLevel="0" collapsed="false">
      <c r="H69" s="26"/>
      <c r="I69" s="27" t="str">
        <f aca="false">IF(A69="","",IF(H69&lt;&gt;"",UPPER(TRIM(H69)),IFERROR(CHOOSE(VALUE(E69)+1,"A","B","C","D"),IF(OR(LEFT(UPPER(TRIM(E69)),1)="F",UPPER(TRIM(E69))="A"),"A",IF(OR(LEFT(UPPER(TRIM(E69)),1)="M",UPPER(TRIM(E69))="B"),"B",IF(OR(LEFT(UPPER(TRIM(E69)),2)="SL",UPPER(TRIM(E69))="C"),"C",IF(OR(LEFT(UPPER(TRIM(E69)),1)="D",UPPER(TRIM(E69))="D"),"D","")))))))</f>
        <v/>
      </c>
      <c r="J69" s="27" t="str">
        <f aca="false">IF(I69="","",IF(AND(I69="D",Settings!$B$6&lt;&gt;"Yes"),"",IFERROR(INDEX(Settings!$C$9:$C$12,MATCH(I69,Settings!$A$9:$A$12,0)),"")))</f>
        <v/>
      </c>
      <c r="K69" s="27" t="str">
        <f aca="false">IF(J69="","",COUNTIF($I$2:I69,I69))</f>
        <v/>
      </c>
      <c r="L69" s="27" t="str">
        <f aca="false">IF(J69="","",CHOOSE(Q69+1,"Tue","Wed","Thu","Fri"))</f>
        <v/>
      </c>
      <c r="M69" s="27" t="str">
        <f aca="false">IF(J69="","",IF(J69=1,"Every week",R69+1&amp;" of "&amp;J69))</f>
        <v/>
      </c>
      <c r="N69" s="28" t="str">
        <f aca="false">IF(J69="","",Settings!$B$4+R69*7+Q69)</f>
        <v/>
      </c>
      <c r="O69" s="28" t="str">
        <f aca="true">IF(J69="","",N69+MAX(0,ROUNDUP((TODAY()-N69)/(J69*7),0))*J69*7)</f>
        <v/>
      </c>
      <c r="P69" s="27" t="str">
        <f aca="false">IF(J69="","",MOD(K69-1,J69*4))</f>
        <v/>
      </c>
      <c r="Q69" s="27" t="str">
        <f aca="false">IF(J69="","",MOD(P69,4))</f>
        <v/>
      </c>
      <c r="R69" s="27" t="str">
        <f aca="false">IF(J69="","",INT(P69/4))</f>
        <v/>
      </c>
      <c r="S69" s="27" t="str">
        <f aca="false">IF(J69="","",IF(AND('Daily Count Sheet'!$H$3=Q69,MOD('Daily Count Sheet'!$I$3,J69)=R69),1,""))</f>
        <v/>
      </c>
      <c r="T69" s="27" t="str">
        <f aca="false">IF(S69=1,COUNTIF($S$2:S69,1),"")</f>
        <v/>
      </c>
    </row>
    <row r="70" customFormat="false" ht="15" hidden="false" customHeight="false" outlineLevel="0" collapsed="false">
      <c r="H70" s="26"/>
      <c r="I70" s="27" t="str">
        <f aca="false">IF(A70="","",IF(H70&lt;&gt;"",UPPER(TRIM(H70)),IFERROR(CHOOSE(VALUE(E70)+1,"A","B","C","D"),IF(OR(LEFT(UPPER(TRIM(E70)),1)="F",UPPER(TRIM(E70))="A"),"A",IF(OR(LEFT(UPPER(TRIM(E70)),1)="M",UPPER(TRIM(E70))="B"),"B",IF(OR(LEFT(UPPER(TRIM(E70)),2)="SL",UPPER(TRIM(E70))="C"),"C",IF(OR(LEFT(UPPER(TRIM(E70)),1)="D",UPPER(TRIM(E70))="D"),"D","")))))))</f>
        <v/>
      </c>
      <c r="J70" s="27" t="str">
        <f aca="false">IF(I70="","",IF(AND(I70="D",Settings!$B$6&lt;&gt;"Yes"),"",IFERROR(INDEX(Settings!$C$9:$C$12,MATCH(I70,Settings!$A$9:$A$12,0)),"")))</f>
        <v/>
      </c>
      <c r="K70" s="27" t="str">
        <f aca="false">IF(J70="","",COUNTIF($I$2:I70,I70))</f>
        <v/>
      </c>
      <c r="L70" s="27" t="str">
        <f aca="false">IF(J70="","",CHOOSE(Q70+1,"Tue","Wed","Thu","Fri"))</f>
        <v/>
      </c>
      <c r="M70" s="27" t="str">
        <f aca="false">IF(J70="","",IF(J70=1,"Every week",R70+1&amp;" of "&amp;J70))</f>
        <v/>
      </c>
      <c r="N70" s="28" t="str">
        <f aca="false">IF(J70="","",Settings!$B$4+R70*7+Q70)</f>
        <v/>
      </c>
      <c r="O70" s="28" t="str">
        <f aca="true">IF(J70="","",N70+MAX(0,ROUNDUP((TODAY()-N70)/(J70*7),0))*J70*7)</f>
        <v/>
      </c>
      <c r="P70" s="27" t="str">
        <f aca="false">IF(J70="","",MOD(K70-1,J70*4))</f>
        <v/>
      </c>
      <c r="Q70" s="27" t="str">
        <f aca="false">IF(J70="","",MOD(P70,4))</f>
        <v/>
      </c>
      <c r="R70" s="27" t="str">
        <f aca="false">IF(J70="","",INT(P70/4))</f>
        <v/>
      </c>
      <c r="S70" s="27" t="str">
        <f aca="false">IF(J70="","",IF(AND('Daily Count Sheet'!$H$3=Q70,MOD('Daily Count Sheet'!$I$3,J70)=R70),1,""))</f>
        <v/>
      </c>
      <c r="T70" s="27" t="str">
        <f aca="false">IF(S70=1,COUNTIF($S$2:S70,1),"")</f>
        <v/>
      </c>
    </row>
    <row r="71" customFormat="false" ht="15" hidden="false" customHeight="false" outlineLevel="0" collapsed="false">
      <c r="H71" s="26"/>
      <c r="I71" s="27" t="str">
        <f aca="false">IF(A71="","",IF(H71&lt;&gt;"",UPPER(TRIM(H71)),IFERROR(CHOOSE(VALUE(E71)+1,"A","B","C","D"),IF(OR(LEFT(UPPER(TRIM(E71)),1)="F",UPPER(TRIM(E71))="A"),"A",IF(OR(LEFT(UPPER(TRIM(E71)),1)="M",UPPER(TRIM(E71))="B"),"B",IF(OR(LEFT(UPPER(TRIM(E71)),2)="SL",UPPER(TRIM(E71))="C"),"C",IF(OR(LEFT(UPPER(TRIM(E71)),1)="D",UPPER(TRIM(E71))="D"),"D","")))))))</f>
        <v/>
      </c>
      <c r="J71" s="27" t="str">
        <f aca="false">IF(I71="","",IF(AND(I71="D",Settings!$B$6&lt;&gt;"Yes"),"",IFERROR(INDEX(Settings!$C$9:$C$12,MATCH(I71,Settings!$A$9:$A$12,0)),"")))</f>
        <v/>
      </c>
      <c r="K71" s="27" t="str">
        <f aca="false">IF(J71="","",COUNTIF($I$2:I71,I71))</f>
        <v/>
      </c>
      <c r="L71" s="27" t="str">
        <f aca="false">IF(J71="","",CHOOSE(Q71+1,"Tue","Wed","Thu","Fri"))</f>
        <v/>
      </c>
      <c r="M71" s="27" t="str">
        <f aca="false">IF(J71="","",IF(J71=1,"Every week",R71+1&amp;" of "&amp;J71))</f>
        <v/>
      </c>
      <c r="N71" s="28" t="str">
        <f aca="false">IF(J71="","",Settings!$B$4+R71*7+Q71)</f>
        <v/>
      </c>
      <c r="O71" s="28" t="str">
        <f aca="true">IF(J71="","",N71+MAX(0,ROUNDUP((TODAY()-N71)/(J71*7),0))*J71*7)</f>
        <v/>
      </c>
      <c r="P71" s="27" t="str">
        <f aca="false">IF(J71="","",MOD(K71-1,J71*4))</f>
        <v/>
      </c>
      <c r="Q71" s="27" t="str">
        <f aca="false">IF(J71="","",MOD(P71,4))</f>
        <v/>
      </c>
      <c r="R71" s="27" t="str">
        <f aca="false">IF(J71="","",INT(P71/4))</f>
        <v/>
      </c>
      <c r="S71" s="27" t="str">
        <f aca="false">IF(J71="","",IF(AND('Daily Count Sheet'!$H$3=Q71,MOD('Daily Count Sheet'!$I$3,J71)=R71),1,""))</f>
        <v/>
      </c>
      <c r="T71" s="27" t="str">
        <f aca="false">IF(S71=1,COUNTIF($S$2:S71,1),"")</f>
        <v/>
      </c>
    </row>
    <row r="72" customFormat="false" ht="15" hidden="false" customHeight="false" outlineLevel="0" collapsed="false">
      <c r="H72" s="26"/>
      <c r="I72" s="27" t="str">
        <f aca="false">IF(A72="","",IF(H72&lt;&gt;"",UPPER(TRIM(H72)),IFERROR(CHOOSE(VALUE(E72)+1,"A","B","C","D"),IF(OR(LEFT(UPPER(TRIM(E72)),1)="F",UPPER(TRIM(E72))="A"),"A",IF(OR(LEFT(UPPER(TRIM(E72)),1)="M",UPPER(TRIM(E72))="B"),"B",IF(OR(LEFT(UPPER(TRIM(E72)),2)="SL",UPPER(TRIM(E72))="C"),"C",IF(OR(LEFT(UPPER(TRIM(E72)),1)="D",UPPER(TRIM(E72))="D"),"D","")))))))</f>
        <v/>
      </c>
      <c r="J72" s="27" t="str">
        <f aca="false">IF(I72="","",IF(AND(I72="D",Settings!$B$6&lt;&gt;"Yes"),"",IFERROR(INDEX(Settings!$C$9:$C$12,MATCH(I72,Settings!$A$9:$A$12,0)),"")))</f>
        <v/>
      </c>
      <c r="K72" s="27" t="str">
        <f aca="false">IF(J72="","",COUNTIF($I$2:I72,I72))</f>
        <v/>
      </c>
      <c r="L72" s="27" t="str">
        <f aca="false">IF(J72="","",CHOOSE(Q72+1,"Tue","Wed","Thu","Fri"))</f>
        <v/>
      </c>
      <c r="M72" s="27" t="str">
        <f aca="false">IF(J72="","",IF(J72=1,"Every week",R72+1&amp;" of "&amp;J72))</f>
        <v/>
      </c>
      <c r="N72" s="28" t="str">
        <f aca="false">IF(J72="","",Settings!$B$4+R72*7+Q72)</f>
        <v/>
      </c>
      <c r="O72" s="28" t="str">
        <f aca="true">IF(J72="","",N72+MAX(0,ROUNDUP((TODAY()-N72)/(J72*7),0))*J72*7)</f>
        <v/>
      </c>
      <c r="P72" s="27" t="str">
        <f aca="false">IF(J72="","",MOD(K72-1,J72*4))</f>
        <v/>
      </c>
      <c r="Q72" s="27" t="str">
        <f aca="false">IF(J72="","",MOD(P72,4))</f>
        <v/>
      </c>
      <c r="R72" s="27" t="str">
        <f aca="false">IF(J72="","",INT(P72/4))</f>
        <v/>
      </c>
      <c r="S72" s="27" t="str">
        <f aca="false">IF(J72="","",IF(AND('Daily Count Sheet'!$H$3=Q72,MOD('Daily Count Sheet'!$I$3,J72)=R72),1,""))</f>
        <v/>
      </c>
      <c r="T72" s="27" t="str">
        <f aca="false">IF(S72=1,COUNTIF($S$2:S72,1),"")</f>
        <v/>
      </c>
    </row>
    <row r="73" customFormat="false" ht="15" hidden="false" customHeight="false" outlineLevel="0" collapsed="false">
      <c r="H73" s="26"/>
      <c r="I73" s="27" t="str">
        <f aca="false">IF(A73="","",IF(H73&lt;&gt;"",UPPER(TRIM(H73)),IFERROR(CHOOSE(VALUE(E73)+1,"A","B","C","D"),IF(OR(LEFT(UPPER(TRIM(E73)),1)="F",UPPER(TRIM(E73))="A"),"A",IF(OR(LEFT(UPPER(TRIM(E73)),1)="M",UPPER(TRIM(E73))="B"),"B",IF(OR(LEFT(UPPER(TRIM(E73)),2)="SL",UPPER(TRIM(E73))="C"),"C",IF(OR(LEFT(UPPER(TRIM(E73)),1)="D",UPPER(TRIM(E73))="D"),"D","")))))))</f>
        <v/>
      </c>
      <c r="J73" s="27" t="str">
        <f aca="false">IF(I73="","",IF(AND(I73="D",Settings!$B$6&lt;&gt;"Yes"),"",IFERROR(INDEX(Settings!$C$9:$C$12,MATCH(I73,Settings!$A$9:$A$12,0)),"")))</f>
        <v/>
      </c>
      <c r="K73" s="27" t="str">
        <f aca="false">IF(J73="","",COUNTIF($I$2:I73,I73))</f>
        <v/>
      </c>
      <c r="L73" s="27" t="str">
        <f aca="false">IF(J73="","",CHOOSE(Q73+1,"Tue","Wed","Thu","Fri"))</f>
        <v/>
      </c>
      <c r="M73" s="27" t="str">
        <f aca="false">IF(J73="","",IF(J73=1,"Every week",R73+1&amp;" of "&amp;J73))</f>
        <v/>
      </c>
      <c r="N73" s="28" t="str">
        <f aca="false">IF(J73="","",Settings!$B$4+R73*7+Q73)</f>
        <v/>
      </c>
      <c r="O73" s="28" t="str">
        <f aca="true">IF(J73="","",N73+MAX(0,ROUNDUP((TODAY()-N73)/(J73*7),0))*J73*7)</f>
        <v/>
      </c>
      <c r="P73" s="27" t="str">
        <f aca="false">IF(J73="","",MOD(K73-1,J73*4))</f>
        <v/>
      </c>
      <c r="Q73" s="27" t="str">
        <f aca="false">IF(J73="","",MOD(P73,4))</f>
        <v/>
      </c>
      <c r="R73" s="27" t="str">
        <f aca="false">IF(J73="","",INT(P73/4))</f>
        <v/>
      </c>
      <c r="S73" s="27" t="str">
        <f aca="false">IF(J73="","",IF(AND('Daily Count Sheet'!$H$3=Q73,MOD('Daily Count Sheet'!$I$3,J73)=R73),1,""))</f>
        <v/>
      </c>
      <c r="T73" s="27" t="str">
        <f aca="false">IF(S73=1,COUNTIF($S$2:S73,1),"")</f>
        <v/>
      </c>
    </row>
    <row r="74" customFormat="false" ht="15" hidden="false" customHeight="false" outlineLevel="0" collapsed="false">
      <c r="H74" s="26"/>
      <c r="I74" s="27" t="str">
        <f aca="false">IF(A74="","",IF(H74&lt;&gt;"",UPPER(TRIM(H74)),IFERROR(CHOOSE(VALUE(E74)+1,"A","B","C","D"),IF(OR(LEFT(UPPER(TRIM(E74)),1)="F",UPPER(TRIM(E74))="A"),"A",IF(OR(LEFT(UPPER(TRIM(E74)),1)="M",UPPER(TRIM(E74))="B"),"B",IF(OR(LEFT(UPPER(TRIM(E74)),2)="SL",UPPER(TRIM(E74))="C"),"C",IF(OR(LEFT(UPPER(TRIM(E74)),1)="D",UPPER(TRIM(E74))="D"),"D","")))))))</f>
        <v/>
      </c>
      <c r="J74" s="27" t="str">
        <f aca="false">IF(I74="","",IF(AND(I74="D",Settings!$B$6&lt;&gt;"Yes"),"",IFERROR(INDEX(Settings!$C$9:$C$12,MATCH(I74,Settings!$A$9:$A$12,0)),"")))</f>
        <v/>
      </c>
      <c r="K74" s="27" t="str">
        <f aca="false">IF(J74="","",COUNTIF($I$2:I74,I74))</f>
        <v/>
      </c>
      <c r="L74" s="27" t="str">
        <f aca="false">IF(J74="","",CHOOSE(Q74+1,"Tue","Wed","Thu","Fri"))</f>
        <v/>
      </c>
      <c r="M74" s="27" t="str">
        <f aca="false">IF(J74="","",IF(J74=1,"Every week",R74+1&amp;" of "&amp;J74))</f>
        <v/>
      </c>
      <c r="N74" s="28" t="str">
        <f aca="false">IF(J74="","",Settings!$B$4+R74*7+Q74)</f>
        <v/>
      </c>
      <c r="O74" s="28" t="str">
        <f aca="true">IF(J74="","",N74+MAX(0,ROUNDUP((TODAY()-N74)/(J74*7),0))*J74*7)</f>
        <v/>
      </c>
      <c r="P74" s="27" t="str">
        <f aca="false">IF(J74="","",MOD(K74-1,J74*4))</f>
        <v/>
      </c>
      <c r="Q74" s="27" t="str">
        <f aca="false">IF(J74="","",MOD(P74,4))</f>
        <v/>
      </c>
      <c r="R74" s="27" t="str">
        <f aca="false">IF(J74="","",INT(P74/4))</f>
        <v/>
      </c>
      <c r="S74" s="27" t="str">
        <f aca="false">IF(J74="","",IF(AND('Daily Count Sheet'!$H$3=Q74,MOD('Daily Count Sheet'!$I$3,J74)=R74),1,""))</f>
        <v/>
      </c>
      <c r="T74" s="27" t="str">
        <f aca="false">IF(S74=1,COUNTIF($S$2:S74,1),"")</f>
        <v/>
      </c>
    </row>
    <row r="75" customFormat="false" ht="15" hidden="false" customHeight="false" outlineLevel="0" collapsed="false">
      <c r="H75" s="26"/>
      <c r="I75" s="27" t="str">
        <f aca="false">IF(A75="","",IF(H75&lt;&gt;"",UPPER(TRIM(H75)),IFERROR(CHOOSE(VALUE(E75)+1,"A","B","C","D"),IF(OR(LEFT(UPPER(TRIM(E75)),1)="F",UPPER(TRIM(E75))="A"),"A",IF(OR(LEFT(UPPER(TRIM(E75)),1)="M",UPPER(TRIM(E75))="B"),"B",IF(OR(LEFT(UPPER(TRIM(E75)),2)="SL",UPPER(TRIM(E75))="C"),"C",IF(OR(LEFT(UPPER(TRIM(E75)),1)="D",UPPER(TRIM(E75))="D"),"D","")))))))</f>
        <v/>
      </c>
      <c r="J75" s="27" t="str">
        <f aca="false">IF(I75="","",IF(AND(I75="D",Settings!$B$6&lt;&gt;"Yes"),"",IFERROR(INDEX(Settings!$C$9:$C$12,MATCH(I75,Settings!$A$9:$A$12,0)),"")))</f>
        <v/>
      </c>
      <c r="K75" s="27" t="str">
        <f aca="false">IF(J75="","",COUNTIF($I$2:I75,I75))</f>
        <v/>
      </c>
      <c r="L75" s="27" t="str">
        <f aca="false">IF(J75="","",CHOOSE(Q75+1,"Tue","Wed","Thu","Fri"))</f>
        <v/>
      </c>
      <c r="M75" s="27" t="str">
        <f aca="false">IF(J75="","",IF(J75=1,"Every week",R75+1&amp;" of "&amp;J75))</f>
        <v/>
      </c>
      <c r="N75" s="28" t="str">
        <f aca="false">IF(J75="","",Settings!$B$4+R75*7+Q75)</f>
        <v/>
      </c>
      <c r="O75" s="28" t="str">
        <f aca="true">IF(J75="","",N75+MAX(0,ROUNDUP((TODAY()-N75)/(J75*7),0))*J75*7)</f>
        <v/>
      </c>
      <c r="P75" s="27" t="str">
        <f aca="false">IF(J75="","",MOD(K75-1,J75*4))</f>
        <v/>
      </c>
      <c r="Q75" s="27" t="str">
        <f aca="false">IF(J75="","",MOD(P75,4))</f>
        <v/>
      </c>
      <c r="R75" s="27" t="str">
        <f aca="false">IF(J75="","",INT(P75/4))</f>
        <v/>
      </c>
      <c r="S75" s="27" t="str">
        <f aca="false">IF(J75="","",IF(AND('Daily Count Sheet'!$H$3=Q75,MOD('Daily Count Sheet'!$I$3,J75)=R75),1,""))</f>
        <v/>
      </c>
      <c r="T75" s="27" t="str">
        <f aca="false">IF(S75=1,COUNTIF($S$2:S75,1),"")</f>
        <v/>
      </c>
    </row>
    <row r="76" customFormat="false" ht="15" hidden="false" customHeight="false" outlineLevel="0" collapsed="false">
      <c r="H76" s="26"/>
      <c r="I76" s="27" t="str">
        <f aca="false">IF(A76="","",IF(H76&lt;&gt;"",UPPER(TRIM(H76)),IFERROR(CHOOSE(VALUE(E76)+1,"A","B","C","D"),IF(OR(LEFT(UPPER(TRIM(E76)),1)="F",UPPER(TRIM(E76))="A"),"A",IF(OR(LEFT(UPPER(TRIM(E76)),1)="M",UPPER(TRIM(E76))="B"),"B",IF(OR(LEFT(UPPER(TRIM(E76)),2)="SL",UPPER(TRIM(E76))="C"),"C",IF(OR(LEFT(UPPER(TRIM(E76)),1)="D",UPPER(TRIM(E76))="D"),"D","")))))))</f>
        <v/>
      </c>
      <c r="J76" s="27" t="str">
        <f aca="false">IF(I76="","",IF(AND(I76="D",Settings!$B$6&lt;&gt;"Yes"),"",IFERROR(INDEX(Settings!$C$9:$C$12,MATCH(I76,Settings!$A$9:$A$12,0)),"")))</f>
        <v/>
      </c>
      <c r="K76" s="27" t="str">
        <f aca="false">IF(J76="","",COUNTIF($I$2:I76,I76))</f>
        <v/>
      </c>
      <c r="L76" s="27" t="str">
        <f aca="false">IF(J76="","",CHOOSE(Q76+1,"Tue","Wed","Thu","Fri"))</f>
        <v/>
      </c>
      <c r="M76" s="27" t="str">
        <f aca="false">IF(J76="","",IF(J76=1,"Every week",R76+1&amp;" of "&amp;J76))</f>
        <v/>
      </c>
      <c r="N76" s="28" t="str">
        <f aca="false">IF(J76="","",Settings!$B$4+R76*7+Q76)</f>
        <v/>
      </c>
      <c r="O76" s="28" t="str">
        <f aca="true">IF(J76="","",N76+MAX(0,ROUNDUP((TODAY()-N76)/(J76*7),0))*J76*7)</f>
        <v/>
      </c>
      <c r="P76" s="27" t="str">
        <f aca="false">IF(J76="","",MOD(K76-1,J76*4))</f>
        <v/>
      </c>
      <c r="Q76" s="27" t="str">
        <f aca="false">IF(J76="","",MOD(P76,4))</f>
        <v/>
      </c>
      <c r="R76" s="27" t="str">
        <f aca="false">IF(J76="","",INT(P76/4))</f>
        <v/>
      </c>
      <c r="S76" s="27" t="str">
        <f aca="false">IF(J76="","",IF(AND('Daily Count Sheet'!$H$3=Q76,MOD('Daily Count Sheet'!$I$3,J76)=R76),1,""))</f>
        <v/>
      </c>
      <c r="T76" s="27" t="str">
        <f aca="false">IF(S76=1,COUNTIF($S$2:S76,1),"")</f>
        <v/>
      </c>
    </row>
    <row r="77" customFormat="false" ht="15" hidden="false" customHeight="false" outlineLevel="0" collapsed="false">
      <c r="H77" s="26"/>
      <c r="I77" s="27" t="str">
        <f aca="false">IF(A77="","",IF(H77&lt;&gt;"",UPPER(TRIM(H77)),IFERROR(CHOOSE(VALUE(E77)+1,"A","B","C","D"),IF(OR(LEFT(UPPER(TRIM(E77)),1)="F",UPPER(TRIM(E77))="A"),"A",IF(OR(LEFT(UPPER(TRIM(E77)),1)="M",UPPER(TRIM(E77))="B"),"B",IF(OR(LEFT(UPPER(TRIM(E77)),2)="SL",UPPER(TRIM(E77))="C"),"C",IF(OR(LEFT(UPPER(TRIM(E77)),1)="D",UPPER(TRIM(E77))="D"),"D","")))))))</f>
        <v/>
      </c>
      <c r="J77" s="27" t="str">
        <f aca="false">IF(I77="","",IF(AND(I77="D",Settings!$B$6&lt;&gt;"Yes"),"",IFERROR(INDEX(Settings!$C$9:$C$12,MATCH(I77,Settings!$A$9:$A$12,0)),"")))</f>
        <v/>
      </c>
      <c r="K77" s="27" t="str">
        <f aca="false">IF(J77="","",COUNTIF($I$2:I77,I77))</f>
        <v/>
      </c>
      <c r="L77" s="27" t="str">
        <f aca="false">IF(J77="","",CHOOSE(Q77+1,"Tue","Wed","Thu","Fri"))</f>
        <v/>
      </c>
      <c r="M77" s="27" t="str">
        <f aca="false">IF(J77="","",IF(J77=1,"Every week",R77+1&amp;" of "&amp;J77))</f>
        <v/>
      </c>
      <c r="N77" s="28" t="str">
        <f aca="false">IF(J77="","",Settings!$B$4+R77*7+Q77)</f>
        <v/>
      </c>
      <c r="O77" s="28" t="str">
        <f aca="true">IF(J77="","",N77+MAX(0,ROUNDUP((TODAY()-N77)/(J77*7),0))*J77*7)</f>
        <v/>
      </c>
      <c r="P77" s="27" t="str">
        <f aca="false">IF(J77="","",MOD(K77-1,J77*4))</f>
        <v/>
      </c>
      <c r="Q77" s="27" t="str">
        <f aca="false">IF(J77="","",MOD(P77,4))</f>
        <v/>
      </c>
      <c r="R77" s="27" t="str">
        <f aca="false">IF(J77="","",INT(P77/4))</f>
        <v/>
      </c>
      <c r="S77" s="27" t="str">
        <f aca="false">IF(J77="","",IF(AND('Daily Count Sheet'!$H$3=Q77,MOD('Daily Count Sheet'!$I$3,J77)=R77),1,""))</f>
        <v/>
      </c>
      <c r="T77" s="27" t="str">
        <f aca="false">IF(S77=1,COUNTIF($S$2:S77,1),"")</f>
        <v/>
      </c>
    </row>
    <row r="78" customFormat="false" ht="15" hidden="false" customHeight="false" outlineLevel="0" collapsed="false">
      <c r="H78" s="26"/>
      <c r="I78" s="27" t="str">
        <f aca="false">IF(A78="","",IF(H78&lt;&gt;"",UPPER(TRIM(H78)),IFERROR(CHOOSE(VALUE(E78)+1,"A","B","C","D"),IF(OR(LEFT(UPPER(TRIM(E78)),1)="F",UPPER(TRIM(E78))="A"),"A",IF(OR(LEFT(UPPER(TRIM(E78)),1)="M",UPPER(TRIM(E78))="B"),"B",IF(OR(LEFT(UPPER(TRIM(E78)),2)="SL",UPPER(TRIM(E78))="C"),"C",IF(OR(LEFT(UPPER(TRIM(E78)),1)="D",UPPER(TRIM(E78))="D"),"D","")))))))</f>
        <v/>
      </c>
      <c r="J78" s="27" t="str">
        <f aca="false">IF(I78="","",IF(AND(I78="D",Settings!$B$6&lt;&gt;"Yes"),"",IFERROR(INDEX(Settings!$C$9:$C$12,MATCH(I78,Settings!$A$9:$A$12,0)),"")))</f>
        <v/>
      </c>
      <c r="K78" s="27" t="str">
        <f aca="false">IF(J78="","",COUNTIF($I$2:I78,I78))</f>
        <v/>
      </c>
      <c r="L78" s="27" t="str">
        <f aca="false">IF(J78="","",CHOOSE(Q78+1,"Tue","Wed","Thu","Fri"))</f>
        <v/>
      </c>
      <c r="M78" s="27" t="str">
        <f aca="false">IF(J78="","",IF(J78=1,"Every week",R78+1&amp;" of "&amp;J78))</f>
        <v/>
      </c>
      <c r="N78" s="28" t="str">
        <f aca="false">IF(J78="","",Settings!$B$4+R78*7+Q78)</f>
        <v/>
      </c>
      <c r="O78" s="28" t="str">
        <f aca="true">IF(J78="","",N78+MAX(0,ROUNDUP((TODAY()-N78)/(J78*7),0))*J78*7)</f>
        <v/>
      </c>
      <c r="P78" s="27" t="str">
        <f aca="false">IF(J78="","",MOD(K78-1,J78*4))</f>
        <v/>
      </c>
      <c r="Q78" s="27" t="str">
        <f aca="false">IF(J78="","",MOD(P78,4))</f>
        <v/>
      </c>
      <c r="R78" s="27" t="str">
        <f aca="false">IF(J78="","",INT(P78/4))</f>
        <v/>
      </c>
      <c r="S78" s="27" t="str">
        <f aca="false">IF(J78="","",IF(AND('Daily Count Sheet'!$H$3=Q78,MOD('Daily Count Sheet'!$I$3,J78)=R78),1,""))</f>
        <v/>
      </c>
      <c r="T78" s="27" t="str">
        <f aca="false">IF(S78=1,COUNTIF($S$2:S78,1),"")</f>
        <v/>
      </c>
    </row>
    <row r="79" customFormat="false" ht="15" hidden="false" customHeight="false" outlineLevel="0" collapsed="false">
      <c r="H79" s="26"/>
      <c r="I79" s="27" t="str">
        <f aca="false">IF(A79="","",IF(H79&lt;&gt;"",UPPER(TRIM(H79)),IFERROR(CHOOSE(VALUE(E79)+1,"A","B","C","D"),IF(OR(LEFT(UPPER(TRIM(E79)),1)="F",UPPER(TRIM(E79))="A"),"A",IF(OR(LEFT(UPPER(TRIM(E79)),1)="M",UPPER(TRIM(E79))="B"),"B",IF(OR(LEFT(UPPER(TRIM(E79)),2)="SL",UPPER(TRIM(E79))="C"),"C",IF(OR(LEFT(UPPER(TRIM(E79)),1)="D",UPPER(TRIM(E79))="D"),"D","")))))))</f>
        <v/>
      </c>
      <c r="J79" s="27" t="str">
        <f aca="false">IF(I79="","",IF(AND(I79="D",Settings!$B$6&lt;&gt;"Yes"),"",IFERROR(INDEX(Settings!$C$9:$C$12,MATCH(I79,Settings!$A$9:$A$12,0)),"")))</f>
        <v/>
      </c>
      <c r="K79" s="27" t="str">
        <f aca="false">IF(J79="","",COUNTIF($I$2:I79,I79))</f>
        <v/>
      </c>
      <c r="L79" s="27" t="str">
        <f aca="false">IF(J79="","",CHOOSE(Q79+1,"Tue","Wed","Thu","Fri"))</f>
        <v/>
      </c>
      <c r="M79" s="27" t="str">
        <f aca="false">IF(J79="","",IF(J79=1,"Every week",R79+1&amp;" of "&amp;J79))</f>
        <v/>
      </c>
      <c r="N79" s="28" t="str">
        <f aca="false">IF(J79="","",Settings!$B$4+R79*7+Q79)</f>
        <v/>
      </c>
      <c r="O79" s="28" t="str">
        <f aca="true">IF(J79="","",N79+MAX(0,ROUNDUP((TODAY()-N79)/(J79*7),0))*J79*7)</f>
        <v/>
      </c>
      <c r="P79" s="27" t="str">
        <f aca="false">IF(J79="","",MOD(K79-1,J79*4))</f>
        <v/>
      </c>
      <c r="Q79" s="27" t="str">
        <f aca="false">IF(J79="","",MOD(P79,4))</f>
        <v/>
      </c>
      <c r="R79" s="27" t="str">
        <f aca="false">IF(J79="","",INT(P79/4))</f>
        <v/>
      </c>
      <c r="S79" s="27" t="str">
        <f aca="false">IF(J79="","",IF(AND('Daily Count Sheet'!$H$3=Q79,MOD('Daily Count Sheet'!$I$3,J79)=R79),1,""))</f>
        <v/>
      </c>
      <c r="T79" s="27" t="str">
        <f aca="false">IF(S79=1,COUNTIF($S$2:S79,1),"")</f>
        <v/>
      </c>
    </row>
    <row r="80" customFormat="false" ht="15" hidden="false" customHeight="false" outlineLevel="0" collapsed="false">
      <c r="H80" s="26"/>
      <c r="I80" s="27" t="str">
        <f aca="false">IF(A80="","",IF(H80&lt;&gt;"",UPPER(TRIM(H80)),IFERROR(CHOOSE(VALUE(E80)+1,"A","B","C","D"),IF(OR(LEFT(UPPER(TRIM(E80)),1)="F",UPPER(TRIM(E80))="A"),"A",IF(OR(LEFT(UPPER(TRIM(E80)),1)="M",UPPER(TRIM(E80))="B"),"B",IF(OR(LEFT(UPPER(TRIM(E80)),2)="SL",UPPER(TRIM(E80))="C"),"C",IF(OR(LEFT(UPPER(TRIM(E80)),1)="D",UPPER(TRIM(E80))="D"),"D","")))))))</f>
        <v/>
      </c>
      <c r="J80" s="27" t="str">
        <f aca="false">IF(I80="","",IF(AND(I80="D",Settings!$B$6&lt;&gt;"Yes"),"",IFERROR(INDEX(Settings!$C$9:$C$12,MATCH(I80,Settings!$A$9:$A$12,0)),"")))</f>
        <v/>
      </c>
      <c r="K80" s="27" t="str">
        <f aca="false">IF(J80="","",COUNTIF($I$2:I80,I80))</f>
        <v/>
      </c>
      <c r="L80" s="27" t="str">
        <f aca="false">IF(J80="","",CHOOSE(Q80+1,"Tue","Wed","Thu","Fri"))</f>
        <v/>
      </c>
      <c r="M80" s="27" t="str">
        <f aca="false">IF(J80="","",IF(J80=1,"Every week",R80+1&amp;" of "&amp;J80))</f>
        <v/>
      </c>
      <c r="N80" s="28" t="str">
        <f aca="false">IF(J80="","",Settings!$B$4+R80*7+Q80)</f>
        <v/>
      </c>
      <c r="O80" s="28" t="str">
        <f aca="true">IF(J80="","",N80+MAX(0,ROUNDUP((TODAY()-N80)/(J80*7),0))*J80*7)</f>
        <v/>
      </c>
      <c r="P80" s="27" t="str">
        <f aca="false">IF(J80="","",MOD(K80-1,J80*4))</f>
        <v/>
      </c>
      <c r="Q80" s="27" t="str">
        <f aca="false">IF(J80="","",MOD(P80,4))</f>
        <v/>
      </c>
      <c r="R80" s="27" t="str">
        <f aca="false">IF(J80="","",INT(P80/4))</f>
        <v/>
      </c>
      <c r="S80" s="27" t="str">
        <f aca="false">IF(J80="","",IF(AND('Daily Count Sheet'!$H$3=Q80,MOD('Daily Count Sheet'!$I$3,J80)=R80),1,""))</f>
        <v/>
      </c>
      <c r="T80" s="27" t="str">
        <f aca="false">IF(S80=1,COUNTIF($S$2:S80,1),"")</f>
        <v/>
      </c>
    </row>
    <row r="81" customFormat="false" ht="15" hidden="false" customHeight="false" outlineLevel="0" collapsed="false">
      <c r="H81" s="26"/>
      <c r="I81" s="27" t="str">
        <f aca="false">IF(A81="","",IF(H81&lt;&gt;"",UPPER(TRIM(H81)),IFERROR(CHOOSE(VALUE(E81)+1,"A","B","C","D"),IF(OR(LEFT(UPPER(TRIM(E81)),1)="F",UPPER(TRIM(E81))="A"),"A",IF(OR(LEFT(UPPER(TRIM(E81)),1)="M",UPPER(TRIM(E81))="B"),"B",IF(OR(LEFT(UPPER(TRIM(E81)),2)="SL",UPPER(TRIM(E81))="C"),"C",IF(OR(LEFT(UPPER(TRIM(E81)),1)="D",UPPER(TRIM(E81))="D"),"D","")))))))</f>
        <v/>
      </c>
      <c r="J81" s="27" t="str">
        <f aca="false">IF(I81="","",IF(AND(I81="D",Settings!$B$6&lt;&gt;"Yes"),"",IFERROR(INDEX(Settings!$C$9:$C$12,MATCH(I81,Settings!$A$9:$A$12,0)),"")))</f>
        <v/>
      </c>
      <c r="K81" s="27" t="str">
        <f aca="false">IF(J81="","",COUNTIF($I$2:I81,I81))</f>
        <v/>
      </c>
      <c r="L81" s="27" t="str">
        <f aca="false">IF(J81="","",CHOOSE(Q81+1,"Tue","Wed","Thu","Fri"))</f>
        <v/>
      </c>
      <c r="M81" s="27" t="str">
        <f aca="false">IF(J81="","",IF(J81=1,"Every week",R81+1&amp;" of "&amp;J81))</f>
        <v/>
      </c>
      <c r="N81" s="28" t="str">
        <f aca="false">IF(J81="","",Settings!$B$4+R81*7+Q81)</f>
        <v/>
      </c>
      <c r="O81" s="28" t="str">
        <f aca="true">IF(J81="","",N81+MAX(0,ROUNDUP((TODAY()-N81)/(J81*7),0))*J81*7)</f>
        <v/>
      </c>
      <c r="P81" s="27" t="str">
        <f aca="false">IF(J81="","",MOD(K81-1,J81*4))</f>
        <v/>
      </c>
      <c r="Q81" s="27" t="str">
        <f aca="false">IF(J81="","",MOD(P81,4))</f>
        <v/>
      </c>
      <c r="R81" s="27" t="str">
        <f aca="false">IF(J81="","",INT(P81/4))</f>
        <v/>
      </c>
      <c r="S81" s="27" t="str">
        <f aca="false">IF(J81="","",IF(AND('Daily Count Sheet'!$H$3=Q81,MOD('Daily Count Sheet'!$I$3,J81)=R81),1,""))</f>
        <v/>
      </c>
      <c r="T81" s="27" t="str">
        <f aca="false">IF(S81=1,COUNTIF($S$2:S81,1),"")</f>
        <v/>
      </c>
    </row>
    <row r="82" customFormat="false" ht="15" hidden="false" customHeight="false" outlineLevel="0" collapsed="false">
      <c r="H82" s="26"/>
      <c r="I82" s="27" t="str">
        <f aca="false">IF(A82="","",IF(H82&lt;&gt;"",UPPER(TRIM(H82)),IFERROR(CHOOSE(VALUE(E82)+1,"A","B","C","D"),IF(OR(LEFT(UPPER(TRIM(E82)),1)="F",UPPER(TRIM(E82))="A"),"A",IF(OR(LEFT(UPPER(TRIM(E82)),1)="M",UPPER(TRIM(E82))="B"),"B",IF(OR(LEFT(UPPER(TRIM(E82)),2)="SL",UPPER(TRIM(E82))="C"),"C",IF(OR(LEFT(UPPER(TRIM(E82)),1)="D",UPPER(TRIM(E82))="D"),"D","")))))))</f>
        <v/>
      </c>
      <c r="J82" s="27" t="str">
        <f aca="false">IF(I82="","",IF(AND(I82="D",Settings!$B$6&lt;&gt;"Yes"),"",IFERROR(INDEX(Settings!$C$9:$C$12,MATCH(I82,Settings!$A$9:$A$12,0)),"")))</f>
        <v/>
      </c>
      <c r="K82" s="27" t="str">
        <f aca="false">IF(J82="","",COUNTIF($I$2:I82,I82))</f>
        <v/>
      </c>
      <c r="L82" s="27" t="str">
        <f aca="false">IF(J82="","",CHOOSE(Q82+1,"Tue","Wed","Thu","Fri"))</f>
        <v/>
      </c>
      <c r="M82" s="27" t="str">
        <f aca="false">IF(J82="","",IF(J82=1,"Every week",R82+1&amp;" of "&amp;J82))</f>
        <v/>
      </c>
      <c r="N82" s="28" t="str">
        <f aca="false">IF(J82="","",Settings!$B$4+R82*7+Q82)</f>
        <v/>
      </c>
      <c r="O82" s="28" t="str">
        <f aca="true">IF(J82="","",N82+MAX(0,ROUNDUP((TODAY()-N82)/(J82*7),0))*J82*7)</f>
        <v/>
      </c>
      <c r="P82" s="27" t="str">
        <f aca="false">IF(J82="","",MOD(K82-1,J82*4))</f>
        <v/>
      </c>
      <c r="Q82" s="27" t="str">
        <f aca="false">IF(J82="","",MOD(P82,4))</f>
        <v/>
      </c>
      <c r="R82" s="27" t="str">
        <f aca="false">IF(J82="","",INT(P82/4))</f>
        <v/>
      </c>
      <c r="S82" s="27" t="str">
        <f aca="false">IF(J82="","",IF(AND('Daily Count Sheet'!$H$3=Q82,MOD('Daily Count Sheet'!$I$3,J82)=R82),1,""))</f>
        <v/>
      </c>
      <c r="T82" s="27" t="str">
        <f aca="false">IF(S82=1,COUNTIF($S$2:S82,1),"")</f>
        <v/>
      </c>
    </row>
    <row r="83" customFormat="false" ht="15" hidden="false" customHeight="false" outlineLevel="0" collapsed="false">
      <c r="H83" s="26"/>
      <c r="I83" s="27" t="str">
        <f aca="false">IF(A83="","",IF(H83&lt;&gt;"",UPPER(TRIM(H83)),IFERROR(CHOOSE(VALUE(E83)+1,"A","B","C","D"),IF(OR(LEFT(UPPER(TRIM(E83)),1)="F",UPPER(TRIM(E83))="A"),"A",IF(OR(LEFT(UPPER(TRIM(E83)),1)="M",UPPER(TRIM(E83))="B"),"B",IF(OR(LEFT(UPPER(TRIM(E83)),2)="SL",UPPER(TRIM(E83))="C"),"C",IF(OR(LEFT(UPPER(TRIM(E83)),1)="D",UPPER(TRIM(E83))="D"),"D","")))))))</f>
        <v/>
      </c>
      <c r="J83" s="27" t="str">
        <f aca="false">IF(I83="","",IF(AND(I83="D",Settings!$B$6&lt;&gt;"Yes"),"",IFERROR(INDEX(Settings!$C$9:$C$12,MATCH(I83,Settings!$A$9:$A$12,0)),"")))</f>
        <v/>
      </c>
      <c r="K83" s="27" t="str">
        <f aca="false">IF(J83="","",COUNTIF($I$2:I83,I83))</f>
        <v/>
      </c>
      <c r="L83" s="27" t="str">
        <f aca="false">IF(J83="","",CHOOSE(Q83+1,"Tue","Wed","Thu","Fri"))</f>
        <v/>
      </c>
      <c r="M83" s="27" t="str">
        <f aca="false">IF(J83="","",IF(J83=1,"Every week",R83+1&amp;" of "&amp;J83))</f>
        <v/>
      </c>
      <c r="N83" s="28" t="str">
        <f aca="false">IF(J83="","",Settings!$B$4+R83*7+Q83)</f>
        <v/>
      </c>
      <c r="O83" s="28" t="str">
        <f aca="true">IF(J83="","",N83+MAX(0,ROUNDUP((TODAY()-N83)/(J83*7),0))*J83*7)</f>
        <v/>
      </c>
      <c r="P83" s="27" t="str">
        <f aca="false">IF(J83="","",MOD(K83-1,J83*4))</f>
        <v/>
      </c>
      <c r="Q83" s="27" t="str">
        <f aca="false">IF(J83="","",MOD(P83,4))</f>
        <v/>
      </c>
      <c r="R83" s="27" t="str">
        <f aca="false">IF(J83="","",INT(P83/4))</f>
        <v/>
      </c>
      <c r="S83" s="27" t="str">
        <f aca="false">IF(J83="","",IF(AND('Daily Count Sheet'!$H$3=Q83,MOD('Daily Count Sheet'!$I$3,J83)=R83),1,""))</f>
        <v/>
      </c>
      <c r="T83" s="27" t="str">
        <f aca="false">IF(S83=1,COUNTIF($S$2:S83,1),"")</f>
        <v/>
      </c>
    </row>
    <row r="84" customFormat="false" ht="15" hidden="false" customHeight="false" outlineLevel="0" collapsed="false">
      <c r="H84" s="26"/>
      <c r="I84" s="27" t="str">
        <f aca="false">IF(A84="","",IF(H84&lt;&gt;"",UPPER(TRIM(H84)),IFERROR(CHOOSE(VALUE(E84)+1,"A","B","C","D"),IF(OR(LEFT(UPPER(TRIM(E84)),1)="F",UPPER(TRIM(E84))="A"),"A",IF(OR(LEFT(UPPER(TRIM(E84)),1)="M",UPPER(TRIM(E84))="B"),"B",IF(OR(LEFT(UPPER(TRIM(E84)),2)="SL",UPPER(TRIM(E84))="C"),"C",IF(OR(LEFT(UPPER(TRIM(E84)),1)="D",UPPER(TRIM(E84))="D"),"D","")))))))</f>
        <v/>
      </c>
      <c r="J84" s="27" t="str">
        <f aca="false">IF(I84="","",IF(AND(I84="D",Settings!$B$6&lt;&gt;"Yes"),"",IFERROR(INDEX(Settings!$C$9:$C$12,MATCH(I84,Settings!$A$9:$A$12,0)),"")))</f>
        <v/>
      </c>
      <c r="K84" s="27" t="str">
        <f aca="false">IF(J84="","",COUNTIF($I$2:I84,I84))</f>
        <v/>
      </c>
      <c r="L84" s="27" t="str">
        <f aca="false">IF(J84="","",CHOOSE(Q84+1,"Tue","Wed","Thu","Fri"))</f>
        <v/>
      </c>
      <c r="M84" s="27" t="str">
        <f aca="false">IF(J84="","",IF(J84=1,"Every week",R84+1&amp;" of "&amp;J84))</f>
        <v/>
      </c>
      <c r="N84" s="28" t="str">
        <f aca="false">IF(J84="","",Settings!$B$4+R84*7+Q84)</f>
        <v/>
      </c>
      <c r="O84" s="28" t="str">
        <f aca="true">IF(J84="","",N84+MAX(0,ROUNDUP((TODAY()-N84)/(J84*7),0))*J84*7)</f>
        <v/>
      </c>
      <c r="P84" s="27" t="str">
        <f aca="false">IF(J84="","",MOD(K84-1,J84*4))</f>
        <v/>
      </c>
      <c r="Q84" s="27" t="str">
        <f aca="false">IF(J84="","",MOD(P84,4))</f>
        <v/>
      </c>
      <c r="R84" s="27" t="str">
        <f aca="false">IF(J84="","",INT(P84/4))</f>
        <v/>
      </c>
      <c r="S84" s="27" t="str">
        <f aca="false">IF(J84="","",IF(AND('Daily Count Sheet'!$H$3=Q84,MOD('Daily Count Sheet'!$I$3,J84)=R84),1,""))</f>
        <v/>
      </c>
      <c r="T84" s="27" t="str">
        <f aca="false">IF(S84=1,COUNTIF($S$2:S84,1),"")</f>
        <v/>
      </c>
    </row>
    <row r="85" customFormat="false" ht="15" hidden="false" customHeight="false" outlineLevel="0" collapsed="false">
      <c r="H85" s="26"/>
      <c r="I85" s="27" t="str">
        <f aca="false">IF(A85="","",IF(H85&lt;&gt;"",UPPER(TRIM(H85)),IFERROR(CHOOSE(VALUE(E85)+1,"A","B","C","D"),IF(OR(LEFT(UPPER(TRIM(E85)),1)="F",UPPER(TRIM(E85))="A"),"A",IF(OR(LEFT(UPPER(TRIM(E85)),1)="M",UPPER(TRIM(E85))="B"),"B",IF(OR(LEFT(UPPER(TRIM(E85)),2)="SL",UPPER(TRIM(E85))="C"),"C",IF(OR(LEFT(UPPER(TRIM(E85)),1)="D",UPPER(TRIM(E85))="D"),"D","")))))))</f>
        <v/>
      </c>
      <c r="J85" s="27" t="str">
        <f aca="false">IF(I85="","",IF(AND(I85="D",Settings!$B$6&lt;&gt;"Yes"),"",IFERROR(INDEX(Settings!$C$9:$C$12,MATCH(I85,Settings!$A$9:$A$12,0)),"")))</f>
        <v/>
      </c>
      <c r="K85" s="27" t="str">
        <f aca="false">IF(J85="","",COUNTIF($I$2:I85,I85))</f>
        <v/>
      </c>
      <c r="L85" s="27" t="str">
        <f aca="false">IF(J85="","",CHOOSE(Q85+1,"Tue","Wed","Thu","Fri"))</f>
        <v/>
      </c>
      <c r="M85" s="27" t="str">
        <f aca="false">IF(J85="","",IF(J85=1,"Every week",R85+1&amp;" of "&amp;J85))</f>
        <v/>
      </c>
      <c r="N85" s="28" t="str">
        <f aca="false">IF(J85="","",Settings!$B$4+R85*7+Q85)</f>
        <v/>
      </c>
      <c r="O85" s="28" t="str">
        <f aca="true">IF(J85="","",N85+MAX(0,ROUNDUP((TODAY()-N85)/(J85*7),0))*J85*7)</f>
        <v/>
      </c>
      <c r="P85" s="27" t="str">
        <f aca="false">IF(J85="","",MOD(K85-1,J85*4))</f>
        <v/>
      </c>
      <c r="Q85" s="27" t="str">
        <f aca="false">IF(J85="","",MOD(P85,4))</f>
        <v/>
      </c>
      <c r="R85" s="27" t="str">
        <f aca="false">IF(J85="","",INT(P85/4))</f>
        <v/>
      </c>
      <c r="S85" s="27" t="str">
        <f aca="false">IF(J85="","",IF(AND('Daily Count Sheet'!$H$3=Q85,MOD('Daily Count Sheet'!$I$3,J85)=R85),1,""))</f>
        <v/>
      </c>
      <c r="T85" s="27" t="str">
        <f aca="false">IF(S85=1,COUNTIF($S$2:S85,1),"")</f>
        <v/>
      </c>
    </row>
    <row r="86" customFormat="false" ht="15" hidden="false" customHeight="false" outlineLevel="0" collapsed="false">
      <c r="H86" s="26"/>
      <c r="I86" s="27" t="str">
        <f aca="false">IF(A86="","",IF(H86&lt;&gt;"",UPPER(TRIM(H86)),IFERROR(CHOOSE(VALUE(E86)+1,"A","B","C","D"),IF(OR(LEFT(UPPER(TRIM(E86)),1)="F",UPPER(TRIM(E86))="A"),"A",IF(OR(LEFT(UPPER(TRIM(E86)),1)="M",UPPER(TRIM(E86))="B"),"B",IF(OR(LEFT(UPPER(TRIM(E86)),2)="SL",UPPER(TRIM(E86))="C"),"C",IF(OR(LEFT(UPPER(TRIM(E86)),1)="D",UPPER(TRIM(E86))="D"),"D","")))))))</f>
        <v/>
      </c>
      <c r="J86" s="27" t="str">
        <f aca="false">IF(I86="","",IF(AND(I86="D",Settings!$B$6&lt;&gt;"Yes"),"",IFERROR(INDEX(Settings!$C$9:$C$12,MATCH(I86,Settings!$A$9:$A$12,0)),"")))</f>
        <v/>
      </c>
      <c r="K86" s="27" t="str">
        <f aca="false">IF(J86="","",COUNTIF($I$2:I86,I86))</f>
        <v/>
      </c>
      <c r="L86" s="27" t="str">
        <f aca="false">IF(J86="","",CHOOSE(Q86+1,"Tue","Wed","Thu","Fri"))</f>
        <v/>
      </c>
      <c r="M86" s="27" t="str">
        <f aca="false">IF(J86="","",IF(J86=1,"Every week",R86+1&amp;" of "&amp;J86))</f>
        <v/>
      </c>
      <c r="N86" s="28" t="str">
        <f aca="false">IF(J86="","",Settings!$B$4+R86*7+Q86)</f>
        <v/>
      </c>
      <c r="O86" s="28" t="str">
        <f aca="true">IF(J86="","",N86+MAX(0,ROUNDUP((TODAY()-N86)/(J86*7),0))*J86*7)</f>
        <v/>
      </c>
      <c r="P86" s="27" t="str">
        <f aca="false">IF(J86="","",MOD(K86-1,J86*4))</f>
        <v/>
      </c>
      <c r="Q86" s="27" t="str">
        <f aca="false">IF(J86="","",MOD(P86,4))</f>
        <v/>
      </c>
      <c r="R86" s="27" t="str">
        <f aca="false">IF(J86="","",INT(P86/4))</f>
        <v/>
      </c>
      <c r="S86" s="27" t="str">
        <f aca="false">IF(J86="","",IF(AND('Daily Count Sheet'!$H$3=Q86,MOD('Daily Count Sheet'!$I$3,J86)=R86),1,""))</f>
        <v/>
      </c>
      <c r="T86" s="27" t="str">
        <f aca="false">IF(S86=1,COUNTIF($S$2:S86,1),"")</f>
        <v/>
      </c>
    </row>
    <row r="87" customFormat="false" ht="15" hidden="false" customHeight="false" outlineLevel="0" collapsed="false">
      <c r="H87" s="26"/>
      <c r="I87" s="27" t="str">
        <f aca="false">IF(A87="","",IF(H87&lt;&gt;"",UPPER(TRIM(H87)),IFERROR(CHOOSE(VALUE(E87)+1,"A","B","C","D"),IF(OR(LEFT(UPPER(TRIM(E87)),1)="F",UPPER(TRIM(E87))="A"),"A",IF(OR(LEFT(UPPER(TRIM(E87)),1)="M",UPPER(TRIM(E87))="B"),"B",IF(OR(LEFT(UPPER(TRIM(E87)),2)="SL",UPPER(TRIM(E87))="C"),"C",IF(OR(LEFT(UPPER(TRIM(E87)),1)="D",UPPER(TRIM(E87))="D"),"D","")))))))</f>
        <v/>
      </c>
      <c r="J87" s="27" t="str">
        <f aca="false">IF(I87="","",IF(AND(I87="D",Settings!$B$6&lt;&gt;"Yes"),"",IFERROR(INDEX(Settings!$C$9:$C$12,MATCH(I87,Settings!$A$9:$A$12,0)),"")))</f>
        <v/>
      </c>
      <c r="K87" s="27" t="str">
        <f aca="false">IF(J87="","",COUNTIF($I$2:I87,I87))</f>
        <v/>
      </c>
      <c r="L87" s="27" t="str">
        <f aca="false">IF(J87="","",CHOOSE(Q87+1,"Tue","Wed","Thu","Fri"))</f>
        <v/>
      </c>
      <c r="M87" s="27" t="str">
        <f aca="false">IF(J87="","",IF(J87=1,"Every week",R87+1&amp;" of "&amp;J87))</f>
        <v/>
      </c>
      <c r="N87" s="28" t="str">
        <f aca="false">IF(J87="","",Settings!$B$4+R87*7+Q87)</f>
        <v/>
      </c>
      <c r="O87" s="28" t="str">
        <f aca="true">IF(J87="","",N87+MAX(0,ROUNDUP((TODAY()-N87)/(J87*7),0))*J87*7)</f>
        <v/>
      </c>
      <c r="P87" s="27" t="str">
        <f aca="false">IF(J87="","",MOD(K87-1,J87*4))</f>
        <v/>
      </c>
      <c r="Q87" s="27" t="str">
        <f aca="false">IF(J87="","",MOD(P87,4))</f>
        <v/>
      </c>
      <c r="R87" s="27" t="str">
        <f aca="false">IF(J87="","",INT(P87/4))</f>
        <v/>
      </c>
      <c r="S87" s="27" t="str">
        <f aca="false">IF(J87="","",IF(AND('Daily Count Sheet'!$H$3=Q87,MOD('Daily Count Sheet'!$I$3,J87)=R87),1,""))</f>
        <v/>
      </c>
      <c r="T87" s="27" t="str">
        <f aca="false">IF(S87=1,COUNTIF($S$2:S87,1),"")</f>
        <v/>
      </c>
    </row>
    <row r="88" customFormat="false" ht="15" hidden="false" customHeight="false" outlineLevel="0" collapsed="false">
      <c r="H88" s="26"/>
      <c r="I88" s="27" t="str">
        <f aca="false">IF(A88="","",IF(H88&lt;&gt;"",UPPER(TRIM(H88)),IFERROR(CHOOSE(VALUE(E88)+1,"A","B","C","D"),IF(OR(LEFT(UPPER(TRIM(E88)),1)="F",UPPER(TRIM(E88))="A"),"A",IF(OR(LEFT(UPPER(TRIM(E88)),1)="M",UPPER(TRIM(E88))="B"),"B",IF(OR(LEFT(UPPER(TRIM(E88)),2)="SL",UPPER(TRIM(E88))="C"),"C",IF(OR(LEFT(UPPER(TRIM(E88)),1)="D",UPPER(TRIM(E88))="D"),"D","")))))))</f>
        <v/>
      </c>
      <c r="J88" s="27" t="str">
        <f aca="false">IF(I88="","",IF(AND(I88="D",Settings!$B$6&lt;&gt;"Yes"),"",IFERROR(INDEX(Settings!$C$9:$C$12,MATCH(I88,Settings!$A$9:$A$12,0)),"")))</f>
        <v/>
      </c>
      <c r="K88" s="27" t="str">
        <f aca="false">IF(J88="","",COUNTIF($I$2:I88,I88))</f>
        <v/>
      </c>
      <c r="L88" s="27" t="str">
        <f aca="false">IF(J88="","",CHOOSE(Q88+1,"Tue","Wed","Thu","Fri"))</f>
        <v/>
      </c>
      <c r="M88" s="27" t="str">
        <f aca="false">IF(J88="","",IF(J88=1,"Every week",R88+1&amp;" of "&amp;J88))</f>
        <v/>
      </c>
      <c r="N88" s="28" t="str">
        <f aca="false">IF(J88="","",Settings!$B$4+R88*7+Q88)</f>
        <v/>
      </c>
      <c r="O88" s="28" t="str">
        <f aca="true">IF(J88="","",N88+MAX(0,ROUNDUP((TODAY()-N88)/(J88*7),0))*J88*7)</f>
        <v/>
      </c>
      <c r="P88" s="27" t="str">
        <f aca="false">IF(J88="","",MOD(K88-1,J88*4))</f>
        <v/>
      </c>
      <c r="Q88" s="27" t="str">
        <f aca="false">IF(J88="","",MOD(P88,4))</f>
        <v/>
      </c>
      <c r="R88" s="27" t="str">
        <f aca="false">IF(J88="","",INT(P88/4))</f>
        <v/>
      </c>
      <c r="S88" s="27" t="str">
        <f aca="false">IF(J88="","",IF(AND('Daily Count Sheet'!$H$3=Q88,MOD('Daily Count Sheet'!$I$3,J88)=R88),1,""))</f>
        <v/>
      </c>
      <c r="T88" s="27" t="str">
        <f aca="false">IF(S88=1,COUNTIF($S$2:S88,1),"")</f>
        <v/>
      </c>
    </row>
    <row r="89" customFormat="false" ht="15" hidden="false" customHeight="false" outlineLevel="0" collapsed="false">
      <c r="H89" s="26"/>
      <c r="I89" s="27" t="str">
        <f aca="false">IF(A89="","",IF(H89&lt;&gt;"",UPPER(TRIM(H89)),IFERROR(CHOOSE(VALUE(E89)+1,"A","B","C","D"),IF(OR(LEFT(UPPER(TRIM(E89)),1)="F",UPPER(TRIM(E89))="A"),"A",IF(OR(LEFT(UPPER(TRIM(E89)),1)="M",UPPER(TRIM(E89))="B"),"B",IF(OR(LEFT(UPPER(TRIM(E89)),2)="SL",UPPER(TRIM(E89))="C"),"C",IF(OR(LEFT(UPPER(TRIM(E89)),1)="D",UPPER(TRIM(E89))="D"),"D","")))))))</f>
        <v/>
      </c>
      <c r="J89" s="27" t="str">
        <f aca="false">IF(I89="","",IF(AND(I89="D",Settings!$B$6&lt;&gt;"Yes"),"",IFERROR(INDEX(Settings!$C$9:$C$12,MATCH(I89,Settings!$A$9:$A$12,0)),"")))</f>
        <v/>
      </c>
      <c r="K89" s="27" t="str">
        <f aca="false">IF(J89="","",COUNTIF($I$2:I89,I89))</f>
        <v/>
      </c>
      <c r="L89" s="27" t="str">
        <f aca="false">IF(J89="","",CHOOSE(Q89+1,"Tue","Wed","Thu","Fri"))</f>
        <v/>
      </c>
      <c r="M89" s="27" t="str">
        <f aca="false">IF(J89="","",IF(J89=1,"Every week",R89+1&amp;" of "&amp;J89))</f>
        <v/>
      </c>
      <c r="N89" s="28" t="str">
        <f aca="false">IF(J89="","",Settings!$B$4+R89*7+Q89)</f>
        <v/>
      </c>
      <c r="O89" s="28" t="str">
        <f aca="true">IF(J89="","",N89+MAX(0,ROUNDUP((TODAY()-N89)/(J89*7),0))*J89*7)</f>
        <v/>
      </c>
      <c r="P89" s="27" t="str">
        <f aca="false">IF(J89="","",MOD(K89-1,J89*4))</f>
        <v/>
      </c>
      <c r="Q89" s="27" t="str">
        <f aca="false">IF(J89="","",MOD(P89,4))</f>
        <v/>
      </c>
      <c r="R89" s="27" t="str">
        <f aca="false">IF(J89="","",INT(P89/4))</f>
        <v/>
      </c>
      <c r="S89" s="27" t="str">
        <f aca="false">IF(J89="","",IF(AND('Daily Count Sheet'!$H$3=Q89,MOD('Daily Count Sheet'!$I$3,J89)=R89),1,""))</f>
        <v/>
      </c>
      <c r="T89" s="27" t="str">
        <f aca="false">IF(S89=1,COUNTIF($S$2:S89,1),"")</f>
        <v/>
      </c>
    </row>
    <row r="90" customFormat="false" ht="15" hidden="false" customHeight="false" outlineLevel="0" collapsed="false">
      <c r="H90" s="26"/>
      <c r="I90" s="27" t="str">
        <f aca="false">IF(A90="","",IF(H90&lt;&gt;"",UPPER(TRIM(H90)),IFERROR(CHOOSE(VALUE(E90)+1,"A","B","C","D"),IF(OR(LEFT(UPPER(TRIM(E90)),1)="F",UPPER(TRIM(E90))="A"),"A",IF(OR(LEFT(UPPER(TRIM(E90)),1)="M",UPPER(TRIM(E90))="B"),"B",IF(OR(LEFT(UPPER(TRIM(E90)),2)="SL",UPPER(TRIM(E90))="C"),"C",IF(OR(LEFT(UPPER(TRIM(E90)),1)="D",UPPER(TRIM(E90))="D"),"D","")))))))</f>
        <v/>
      </c>
      <c r="J90" s="27" t="str">
        <f aca="false">IF(I90="","",IF(AND(I90="D",Settings!$B$6&lt;&gt;"Yes"),"",IFERROR(INDEX(Settings!$C$9:$C$12,MATCH(I90,Settings!$A$9:$A$12,0)),"")))</f>
        <v/>
      </c>
      <c r="K90" s="27" t="str">
        <f aca="false">IF(J90="","",COUNTIF($I$2:I90,I90))</f>
        <v/>
      </c>
      <c r="L90" s="27" t="str">
        <f aca="false">IF(J90="","",CHOOSE(Q90+1,"Tue","Wed","Thu","Fri"))</f>
        <v/>
      </c>
      <c r="M90" s="27" t="str">
        <f aca="false">IF(J90="","",IF(J90=1,"Every week",R90+1&amp;" of "&amp;J90))</f>
        <v/>
      </c>
      <c r="N90" s="28" t="str">
        <f aca="false">IF(J90="","",Settings!$B$4+R90*7+Q90)</f>
        <v/>
      </c>
      <c r="O90" s="28" t="str">
        <f aca="true">IF(J90="","",N90+MAX(0,ROUNDUP((TODAY()-N90)/(J90*7),0))*J90*7)</f>
        <v/>
      </c>
      <c r="P90" s="27" t="str">
        <f aca="false">IF(J90="","",MOD(K90-1,J90*4))</f>
        <v/>
      </c>
      <c r="Q90" s="27" t="str">
        <f aca="false">IF(J90="","",MOD(P90,4))</f>
        <v/>
      </c>
      <c r="R90" s="27" t="str">
        <f aca="false">IF(J90="","",INT(P90/4))</f>
        <v/>
      </c>
      <c r="S90" s="27" t="str">
        <f aca="false">IF(J90="","",IF(AND('Daily Count Sheet'!$H$3=Q90,MOD('Daily Count Sheet'!$I$3,J90)=R90),1,""))</f>
        <v/>
      </c>
      <c r="T90" s="27" t="str">
        <f aca="false">IF(S90=1,COUNTIF($S$2:S90,1),"")</f>
        <v/>
      </c>
    </row>
    <row r="91" customFormat="false" ht="15" hidden="false" customHeight="false" outlineLevel="0" collapsed="false">
      <c r="H91" s="26"/>
      <c r="I91" s="27" t="str">
        <f aca="false">IF(A91="","",IF(H91&lt;&gt;"",UPPER(TRIM(H91)),IFERROR(CHOOSE(VALUE(E91)+1,"A","B","C","D"),IF(OR(LEFT(UPPER(TRIM(E91)),1)="F",UPPER(TRIM(E91))="A"),"A",IF(OR(LEFT(UPPER(TRIM(E91)),1)="M",UPPER(TRIM(E91))="B"),"B",IF(OR(LEFT(UPPER(TRIM(E91)),2)="SL",UPPER(TRIM(E91))="C"),"C",IF(OR(LEFT(UPPER(TRIM(E91)),1)="D",UPPER(TRIM(E91))="D"),"D","")))))))</f>
        <v/>
      </c>
      <c r="J91" s="27" t="str">
        <f aca="false">IF(I91="","",IF(AND(I91="D",Settings!$B$6&lt;&gt;"Yes"),"",IFERROR(INDEX(Settings!$C$9:$C$12,MATCH(I91,Settings!$A$9:$A$12,0)),"")))</f>
        <v/>
      </c>
      <c r="K91" s="27" t="str">
        <f aca="false">IF(J91="","",COUNTIF($I$2:I91,I91))</f>
        <v/>
      </c>
      <c r="L91" s="27" t="str">
        <f aca="false">IF(J91="","",CHOOSE(Q91+1,"Tue","Wed","Thu","Fri"))</f>
        <v/>
      </c>
      <c r="M91" s="27" t="str">
        <f aca="false">IF(J91="","",IF(J91=1,"Every week",R91+1&amp;" of "&amp;J91))</f>
        <v/>
      </c>
      <c r="N91" s="28" t="str">
        <f aca="false">IF(J91="","",Settings!$B$4+R91*7+Q91)</f>
        <v/>
      </c>
      <c r="O91" s="28" t="str">
        <f aca="true">IF(J91="","",N91+MAX(0,ROUNDUP((TODAY()-N91)/(J91*7),0))*J91*7)</f>
        <v/>
      </c>
      <c r="P91" s="27" t="str">
        <f aca="false">IF(J91="","",MOD(K91-1,J91*4))</f>
        <v/>
      </c>
      <c r="Q91" s="27" t="str">
        <f aca="false">IF(J91="","",MOD(P91,4))</f>
        <v/>
      </c>
      <c r="R91" s="27" t="str">
        <f aca="false">IF(J91="","",INT(P91/4))</f>
        <v/>
      </c>
      <c r="S91" s="27" t="str">
        <f aca="false">IF(J91="","",IF(AND('Daily Count Sheet'!$H$3=Q91,MOD('Daily Count Sheet'!$I$3,J91)=R91),1,""))</f>
        <v/>
      </c>
      <c r="T91" s="27" t="str">
        <f aca="false">IF(S91=1,COUNTIF($S$2:S91,1),"")</f>
        <v/>
      </c>
    </row>
    <row r="92" customFormat="false" ht="15" hidden="false" customHeight="false" outlineLevel="0" collapsed="false">
      <c r="H92" s="26"/>
      <c r="I92" s="27" t="str">
        <f aca="false">IF(A92="","",IF(H92&lt;&gt;"",UPPER(TRIM(H92)),IFERROR(CHOOSE(VALUE(E92)+1,"A","B","C","D"),IF(OR(LEFT(UPPER(TRIM(E92)),1)="F",UPPER(TRIM(E92))="A"),"A",IF(OR(LEFT(UPPER(TRIM(E92)),1)="M",UPPER(TRIM(E92))="B"),"B",IF(OR(LEFT(UPPER(TRIM(E92)),2)="SL",UPPER(TRIM(E92))="C"),"C",IF(OR(LEFT(UPPER(TRIM(E92)),1)="D",UPPER(TRIM(E92))="D"),"D","")))))))</f>
        <v/>
      </c>
      <c r="J92" s="27" t="str">
        <f aca="false">IF(I92="","",IF(AND(I92="D",Settings!$B$6&lt;&gt;"Yes"),"",IFERROR(INDEX(Settings!$C$9:$C$12,MATCH(I92,Settings!$A$9:$A$12,0)),"")))</f>
        <v/>
      </c>
      <c r="K92" s="27" t="str">
        <f aca="false">IF(J92="","",COUNTIF($I$2:I92,I92))</f>
        <v/>
      </c>
      <c r="L92" s="27" t="str">
        <f aca="false">IF(J92="","",CHOOSE(Q92+1,"Tue","Wed","Thu","Fri"))</f>
        <v/>
      </c>
      <c r="M92" s="27" t="str">
        <f aca="false">IF(J92="","",IF(J92=1,"Every week",R92+1&amp;" of "&amp;J92))</f>
        <v/>
      </c>
      <c r="N92" s="28" t="str">
        <f aca="false">IF(J92="","",Settings!$B$4+R92*7+Q92)</f>
        <v/>
      </c>
      <c r="O92" s="28" t="str">
        <f aca="true">IF(J92="","",N92+MAX(0,ROUNDUP((TODAY()-N92)/(J92*7),0))*J92*7)</f>
        <v/>
      </c>
      <c r="P92" s="27" t="str">
        <f aca="false">IF(J92="","",MOD(K92-1,J92*4))</f>
        <v/>
      </c>
      <c r="Q92" s="27" t="str">
        <f aca="false">IF(J92="","",MOD(P92,4))</f>
        <v/>
      </c>
      <c r="R92" s="27" t="str">
        <f aca="false">IF(J92="","",INT(P92/4))</f>
        <v/>
      </c>
      <c r="S92" s="27" t="str">
        <f aca="false">IF(J92="","",IF(AND('Daily Count Sheet'!$H$3=Q92,MOD('Daily Count Sheet'!$I$3,J92)=R92),1,""))</f>
        <v/>
      </c>
      <c r="T92" s="27" t="str">
        <f aca="false">IF(S92=1,COUNTIF($S$2:S92,1),"")</f>
        <v/>
      </c>
    </row>
    <row r="93" customFormat="false" ht="15" hidden="false" customHeight="false" outlineLevel="0" collapsed="false">
      <c r="H93" s="26"/>
      <c r="I93" s="27" t="str">
        <f aca="false">IF(A93="","",IF(H93&lt;&gt;"",UPPER(TRIM(H93)),IFERROR(CHOOSE(VALUE(E93)+1,"A","B","C","D"),IF(OR(LEFT(UPPER(TRIM(E93)),1)="F",UPPER(TRIM(E93))="A"),"A",IF(OR(LEFT(UPPER(TRIM(E93)),1)="M",UPPER(TRIM(E93))="B"),"B",IF(OR(LEFT(UPPER(TRIM(E93)),2)="SL",UPPER(TRIM(E93))="C"),"C",IF(OR(LEFT(UPPER(TRIM(E93)),1)="D",UPPER(TRIM(E93))="D"),"D","")))))))</f>
        <v/>
      </c>
      <c r="J93" s="27" t="str">
        <f aca="false">IF(I93="","",IF(AND(I93="D",Settings!$B$6&lt;&gt;"Yes"),"",IFERROR(INDEX(Settings!$C$9:$C$12,MATCH(I93,Settings!$A$9:$A$12,0)),"")))</f>
        <v/>
      </c>
      <c r="K93" s="27" t="str">
        <f aca="false">IF(J93="","",COUNTIF($I$2:I93,I93))</f>
        <v/>
      </c>
      <c r="L93" s="27" t="str">
        <f aca="false">IF(J93="","",CHOOSE(Q93+1,"Tue","Wed","Thu","Fri"))</f>
        <v/>
      </c>
      <c r="M93" s="27" t="str">
        <f aca="false">IF(J93="","",IF(J93=1,"Every week",R93+1&amp;" of "&amp;J93))</f>
        <v/>
      </c>
      <c r="N93" s="28" t="str">
        <f aca="false">IF(J93="","",Settings!$B$4+R93*7+Q93)</f>
        <v/>
      </c>
      <c r="O93" s="28" t="str">
        <f aca="true">IF(J93="","",N93+MAX(0,ROUNDUP((TODAY()-N93)/(J93*7),0))*J93*7)</f>
        <v/>
      </c>
      <c r="P93" s="27" t="str">
        <f aca="false">IF(J93="","",MOD(K93-1,J93*4))</f>
        <v/>
      </c>
      <c r="Q93" s="27" t="str">
        <f aca="false">IF(J93="","",MOD(P93,4))</f>
        <v/>
      </c>
      <c r="R93" s="27" t="str">
        <f aca="false">IF(J93="","",INT(P93/4))</f>
        <v/>
      </c>
      <c r="S93" s="27" t="str">
        <f aca="false">IF(J93="","",IF(AND('Daily Count Sheet'!$H$3=Q93,MOD('Daily Count Sheet'!$I$3,J93)=R93),1,""))</f>
        <v/>
      </c>
      <c r="T93" s="27" t="str">
        <f aca="false">IF(S93=1,COUNTIF($S$2:S93,1),"")</f>
        <v/>
      </c>
    </row>
    <row r="94" customFormat="false" ht="15" hidden="false" customHeight="false" outlineLevel="0" collapsed="false">
      <c r="H94" s="26"/>
      <c r="I94" s="27" t="str">
        <f aca="false">IF(A94="","",IF(H94&lt;&gt;"",UPPER(TRIM(H94)),IFERROR(CHOOSE(VALUE(E94)+1,"A","B","C","D"),IF(OR(LEFT(UPPER(TRIM(E94)),1)="F",UPPER(TRIM(E94))="A"),"A",IF(OR(LEFT(UPPER(TRIM(E94)),1)="M",UPPER(TRIM(E94))="B"),"B",IF(OR(LEFT(UPPER(TRIM(E94)),2)="SL",UPPER(TRIM(E94))="C"),"C",IF(OR(LEFT(UPPER(TRIM(E94)),1)="D",UPPER(TRIM(E94))="D"),"D","")))))))</f>
        <v/>
      </c>
      <c r="J94" s="27" t="str">
        <f aca="false">IF(I94="","",IF(AND(I94="D",Settings!$B$6&lt;&gt;"Yes"),"",IFERROR(INDEX(Settings!$C$9:$C$12,MATCH(I94,Settings!$A$9:$A$12,0)),"")))</f>
        <v/>
      </c>
      <c r="K94" s="27" t="str">
        <f aca="false">IF(J94="","",COUNTIF($I$2:I94,I94))</f>
        <v/>
      </c>
      <c r="L94" s="27" t="str">
        <f aca="false">IF(J94="","",CHOOSE(Q94+1,"Tue","Wed","Thu","Fri"))</f>
        <v/>
      </c>
      <c r="M94" s="27" t="str">
        <f aca="false">IF(J94="","",IF(J94=1,"Every week",R94+1&amp;" of "&amp;J94))</f>
        <v/>
      </c>
      <c r="N94" s="28" t="str">
        <f aca="false">IF(J94="","",Settings!$B$4+R94*7+Q94)</f>
        <v/>
      </c>
      <c r="O94" s="28" t="str">
        <f aca="true">IF(J94="","",N94+MAX(0,ROUNDUP((TODAY()-N94)/(J94*7),0))*J94*7)</f>
        <v/>
      </c>
      <c r="P94" s="27" t="str">
        <f aca="false">IF(J94="","",MOD(K94-1,J94*4))</f>
        <v/>
      </c>
      <c r="Q94" s="27" t="str">
        <f aca="false">IF(J94="","",MOD(P94,4))</f>
        <v/>
      </c>
      <c r="R94" s="27" t="str">
        <f aca="false">IF(J94="","",INT(P94/4))</f>
        <v/>
      </c>
      <c r="S94" s="27" t="str">
        <f aca="false">IF(J94="","",IF(AND('Daily Count Sheet'!$H$3=Q94,MOD('Daily Count Sheet'!$I$3,J94)=R94),1,""))</f>
        <v/>
      </c>
      <c r="T94" s="27" t="str">
        <f aca="false">IF(S94=1,COUNTIF($S$2:S94,1),"")</f>
        <v/>
      </c>
    </row>
    <row r="95" customFormat="false" ht="15" hidden="false" customHeight="false" outlineLevel="0" collapsed="false">
      <c r="H95" s="26"/>
      <c r="I95" s="27" t="str">
        <f aca="false">IF(A95="","",IF(H95&lt;&gt;"",UPPER(TRIM(H95)),IFERROR(CHOOSE(VALUE(E95)+1,"A","B","C","D"),IF(OR(LEFT(UPPER(TRIM(E95)),1)="F",UPPER(TRIM(E95))="A"),"A",IF(OR(LEFT(UPPER(TRIM(E95)),1)="M",UPPER(TRIM(E95))="B"),"B",IF(OR(LEFT(UPPER(TRIM(E95)),2)="SL",UPPER(TRIM(E95))="C"),"C",IF(OR(LEFT(UPPER(TRIM(E95)),1)="D",UPPER(TRIM(E95))="D"),"D","")))))))</f>
        <v/>
      </c>
      <c r="J95" s="27" t="str">
        <f aca="false">IF(I95="","",IF(AND(I95="D",Settings!$B$6&lt;&gt;"Yes"),"",IFERROR(INDEX(Settings!$C$9:$C$12,MATCH(I95,Settings!$A$9:$A$12,0)),"")))</f>
        <v/>
      </c>
      <c r="K95" s="27" t="str">
        <f aca="false">IF(J95="","",COUNTIF($I$2:I95,I95))</f>
        <v/>
      </c>
      <c r="L95" s="27" t="str">
        <f aca="false">IF(J95="","",CHOOSE(Q95+1,"Tue","Wed","Thu","Fri"))</f>
        <v/>
      </c>
      <c r="M95" s="27" t="str">
        <f aca="false">IF(J95="","",IF(J95=1,"Every week",R95+1&amp;" of "&amp;J95))</f>
        <v/>
      </c>
      <c r="N95" s="28" t="str">
        <f aca="false">IF(J95="","",Settings!$B$4+R95*7+Q95)</f>
        <v/>
      </c>
      <c r="O95" s="28" t="str">
        <f aca="true">IF(J95="","",N95+MAX(0,ROUNDUP((TODAY()-N95)/(J95*7),0))*J95*7)</f>
        <v/>
      </c>
      <c r="P95" s="27" t="str">
        <f aca="false">IF(J95="","",MOD(K95-1,J95*4))</f>
        <v/>
      </c>
      <c r="Q95" s="27" t="str">
        <f aca="false">IF(J95="","",MOD(P95,4))</f>
        <v/>
      </c>
      <c r="R95" s="27" t="str">
        <f aca="false">IF(J95="","",INT(P95/4))</f>
        <v/>
      </c>
      <c r="S95" s="27" t="str">
        <f aca="false">IF(J95="","",IF(AND('Daily Count Sheet'!$H$3=Q95,MOD('Daily Count Sheet'!$I$3,J95)=R95),1,""))</f>
        <v/>
      </c>
      <c r="T95" s="27" t="str">
        <f aca="false">IF(S95=1,COUNTIF($S$2:S95,1),"")</f>
        <v/>
      </c>
    </row>
    <row r="96" customFormat="false" ht="15" hidden="false" customHeight="false" outlineLevel="0" collapsed="false">
      <c r="H96" s="26"/>
      <c r="I96" s="27" t="str">
        <f aca="false">IF(A96="","",IF(H96&lt;&gt;"",UPPER(TRIM(H96)),IFERROR(CHOOSE(VALUE(E96)+1,"A","B","C","D"),IF(OR(LEFT(UPPER(TRIM(E96)),1)="F",UPPER(TRIM(E96))="A"),"A",IF(OR(LEFT(UPPER(TRIM(E96)),1)="M",UPPER(TRIM(E96))="B"),"B",IF(OR(LEFT(UPPER(TRIM(E96)),2)="SL",UPPER(TRIM(E96))="C"),"C",IF(OR(LEFT(UPPER(TRIM(E96)),1)="D",UPPER(TRIM(E96))="D"),"D","")))))))</f>
        <v/>
      </c>
      <c r="J96" s="27" t="str">
        <f aca="false">IF(I96="","",IF(AND(I96="D",Settings!$B$6&lt;&gt;"Yes"),"",IFERROR(INDEX(Settings!$C$9:$C$12,MATCH(I96,Settings!$A$9:$A$12,0)),"")))</f>
        <v/>
      </c>
      <c r="K96" s="27" t="str">
        <f aca="false">IF(J96="","",COUNTIF($I$2:I96,I96))</f>
        <v/>
      </c>
      <c r="L96" s="27" t="str">
        <f aca="false">IF(J96="","",CHOOSE(Q96+1,"Tue","Wed","Thu","Fri"))</f>
        <v/>
      </c>
      <c r="M96" s="27" t="str">
        <f aca="false">IF(J96="","",IF(J96=1,"Every week",R96+1&amp;" of "&amp;J96))</f>
        <v/>
      </c>
      <c r="N96" s="28" t="str">
        <f aca="false">IF(J96="","",Settings!$B$4+R96*7+Q96)</f>
        <v/>
      </c>
      <c r="O96" s="28" t="str">
        <f aca="true">IF(J96="","",N96+MAX(0,ROUNDUP((TODAY()-N96)/(J96*7),0))*J96*7)</f>
        <v/>
      </c>
      <c r="P96" s="27" t="str">
        <f aca="false">IF(J96="","",MOD(K96-1,J96*4))</f>
        <v/>
      </c>
      <c r="Q96" s="27" t="str">
        <f aca="false">IF(J96="","",MOD(P96,4))</f>
        <v/>
      </c>
      <c r="R96" s="27" t="str">
        <f aca="false">IF(J96="","",INT(P96/4))</f>
        <v/>
      </c>
      <c r="S96" s="27" t="str">
        <f aca="false">IF(J96="","",IF(AND('Daily Count Sheet'!$H$3=Q96,MOD('Daily Count Sheet'!$I$3,J96)=R96),1,""))</f>
        <v/>
      </c>
      <c r="T96" s="27" t="str">
        <f aca="false">IF(S96=1,COUNTIF($S$2:S96,1),"")</f>
        <v/>
      </c>
    </row>
    <row r="97" customFormat="false" ht="15" hidden="false" customHeight="false" outlineLevel="0" collapsed="false">
      <c r="H97" s="26"/>
      <c r="I97" s="27" t="str">
        <f aca="false">IF(A97="","",IF(H97&lt;&gt;"",UPPER(TRIM(H97)),IFERROR(CHOOSE(VALUE(E97)+1,"A","B","C","D"),IF(OR(LEFT(UPPER(TRIM(E97)),1)="F",UPPER(TRIM(E97))="A"),"A",IF(OR(LEFT(UPPER(TRIM(E97)),1)="M",UPPER(TRIM(E97))="B"),"B",IF(OR(LEFT(UPPER(TRIM(E97)),2)="SL",UPPER(TRIM(E97))="C"),"C",IF(OR(LEFT(UPPER(TRIM(E97)),1)="D",UPPER(TRIM(E97))="D"),"D","")))))))</f>
        <v/>
      </c>
      <c r="J97" s="27" t="str">
        <f aca="false">IF(I97="","",IF(AND(I97="D",Settings!$B$6&lt;&gt;"Yes"),"",IFERROR(INDEX(Settings!$C$9:$C$12,MATCH(I97,Settings!$A$9:$A$12,0)),"")))</f>
        <v/>
      </c>
      <c r="K97" s="27" t="str">
        <f aca="false">IF(J97="","",COUNTIF($I$2:I97,I97))</f>
        <v/>
      </c>
      <c r="L97" s="27" t="str">
        <f aca="false">IF(J97="","",CHOOSE(Q97+1,"Tue","Wed","Thu","Fri"))</f>
        <v/>
      </c>
      <c r="M97" s="27" t="str">
        <f aca="false">IF(J97="","",IF(J97=1,"Every week",R97+1&amp;" of "&amp;J97))</f>
        <v/>
      </c>
      <c r="N97" s="28" t="str">
        <f aca="false">IF(J97="","",Settings!$B$4+R97*7+Q97)</f>
        <v/>
      </c>
      <c r="O97" s="28" t="str">
        <f aca="true">IF(J97="","",N97+MAX(0,ROUNDUP((TODAY()-N97)/(J97*7),0))*J97*7)</f>
        <v/>
      </c>
      <c r="P97" s="27" t="str">
        <f aca="false">IF(J97="","",MOD(K97-1,J97*4))</f>
        <v/>
      </c>
      <c r="Q97" s="27" t="str">
        <f aca="false">IF(J97="","",MOD(P97,4))</f>
        <v/>
      </c>
      <c r="R97" s="27" t="str">
        <f aca="false">IF(J97="","",INT(P97/4))</f>
        <v/>
      </c>
      <c r="S97" s="27" t="str">
        <f aca="false">IF(J97="","",IF(AND('Daily Count Sheet'!$H$3=Q97,MOD('Daily Count Sheet'!$I$3,J97)=R97),1,""))</f>
        <v/>
      </c>
      <c r="T97" s="27" t="str">
        <f aca="false">IF(S97=1,COUNTIF($S$2:S97,1),"")</f>
        <v/>
      </c>
    </row>
    <row r="98" customFormat="false" ht="15" hidden="false" customHeight="false" outlineLevel="0" collapsed="false">
      <c r="H98" s="26"/>
      <c r="I98" s="27" t="str">
        <f aca="false">IF(A98="","",IF(H98&lt;&gt;"",UPPER(TRIM(H98)),IFERROR(CHOOSE(VALUE(E98)+1,"A","B","C","D"),IF(OR(LEFT(UPPER(TRIM(E98)),1)="F",UPPER(TRIM(E98))="A"),"A",IF(OR(LEFT(UPPER(TRIM(E98)),1)="M",UPPER(TRIM(E98))="B"),"B",IF(OR(LEFT(UPPER(TRIM(E98)),2)="SL",UPPER(TRIM(E98))="C"),"C",IF(OR(LEFT(UPPER(TRIM(E98)),1)="D",UPPER(TRIM(E98))="D"),"D","")))))))</f>
        <v/>
      </c>
      <c r="J98" s="27" t="str">
        <f aca="false">IF(I98="","",IF(AND(I98="D",Settings!$B$6&lt;&gt;"Yes"),"",IFERROR(INDEX(Settings!$C$9:$C$12,MATCH(I98,Settings!$A$9:$A$12,0)),"")))</f>
        <v/>
      </c>
      <c r="K98" s="27" t="str">
        <f aca="false">IF(J98="","",COUNTIF($I$2:I98,I98))</f>
        <v/>
      </c>
      <c r="L98" s="27" t="str">
        <f aca="false">IF(J98="","",CHOOSE(Q98+1,"Tue","Wed","Thu","Fri"))</f>
        <v/>
      </c>
      <c r="M98" s="27" t="str">
        <f aca="false">IF(J98="","",IF(J98=1,"Every week",R98+1&amp;" of "&amp;J98))</f>
        <v/>
      </c>
      <c r="N98" s="28" t="str">
        <f aca="false">IF(J98="","",Settings!$B$4+R98*7+Q98)</f>
        <v/>
      </c>
      <c r="O98" s="28" t="str">
        <f aca="true">IF(J98="","",N98+MAX(0,ROUNDUP((TODAY()-N98)/(J98*7),0))*J98*7)</f>
        <v/>
      </c>
      <c r="P98" s="27" t="str">
        <f aca="false">IF(J98="","",MOD(K98-1,J98*4))</f>
        <v/>
      </c>
      <c r="Q98" s="27" t="str">
        <f aca="false">IF(J98="","",MOD(P98,4))</f>
        <v/>
      </c>
      <c r="R98" s="27" t="str">
        <f aca="false">IF(J98="","",INT(P98/4))</f>
        <v/>
      </c>
      <c r="S98" s="27" t="str">
        <f aca="false">IF(J98="","",IF(AND('Daily Count Sheet'!$H$3=Q98,MOD('Daily Count Sheet'!$I$3,J98)=R98),1,""))</f>
        <v/>
      </c>
      <c r="T98" s="27" t="str">
        <f aca="false">IF(S98=1,COUNTIF($S$2:S98,1),"")</f>
        <v/>
      </c>
    </row>
    <row r="99" customFormat="false" ht="15" hidden="false" customHeight="false" outlineLevel="0" collapsed="false">
      <c r="H99" s="26"/>
      <c r="I99" s="27" t="str">
        <f aca="false">IF(A99="","",IF(H99&lt;&gt;"",UPPER(TRIM(H99)),IFERROR(CHOOSE(VALUE(E99)+1,"A","B","C","D"),IF(OR(LEFT(UPPER(TRIM(E99)),1)="F",UPPER(TRIM(E99))="A"),"A",IF(OR(LEFT(UPPER(TRIM(E99)),1)="M",UPPER(TRIM(E99))="B"),"B",IF(OR(LEFT(UPPER(TRIM(E99)),2)="SL",UPPER(TRIM(E99))="C"),"C",IF(OR(LEFT(UPPER(TRIM(E99)),1)="D",UPPER(TRIM(E99))="D"),"D","")))))))</f>
        <v/>
      </c>
      <c r="J99" s="27" t="str">
        <f aca="false">IF(I99="","",IF(AND(I99="D",Settings!$B$6&lt;&gt;"Yes"),"",IFERROR(INDEX(Settings!$C$9:$C$12,MATCH(I99,Settings!$A$9:$A$12,0)),"")))</f>
        <v/>
      </c>
      <c r="K99" s="27" t="str">
        <f aca="false">IF(J99="","",COUNTIF($I$2:I99,I99))</f>
        <v/>
      </c>
      <c r="L99" s="27" t="str">
        <f aca="false">IF(J99="","",CHOOSE(Q99+1,"Tue","Wed","Thu","Fri"))</f>
        <v/>
      </c>
      <c r="M99" s="27" t="str">
        <f aca="false">IF(J99="","",IF(J99=1,"Every week",R99+1&amp;" of "&amp;J99))</f>
        <v/>
      </c>
      <c r="N99" s="28" t="str">
        <f aca="false">IF(J99="","",Settings!$B$4+R99*7+Q99)</f>
        <v/>
      </c>
      <c r="O99" s="28" t="str">
        <f aca="true">IF(J99="","",N99+MAX(0,ROUNDUP((TODAY()-N99)/(J99*7),0))*J99*7)</f>
        <v/>
      </c>
      <c r="P99" s="27" t="str">
        <f aca="false">IF(J99="","",MOD(K99-1,J99*4))</f>
        <v/>
      </c>
      <c r="Q99" s="27" t="str">
        <f aca="false">IF(J99="","",MOD(P99,4))</f>
        <v/>
      </c>
      <c r="R99" s="27" t="str">
        <f aca="false">IF(J99="","",INT(P99/4))</f>
        <v/>
      </c>
      <c r="S99" s="27" t="str">
        <f aca="false">IF(J99="","",IF(AND('Daily Count Sheet'!$H$3=Q99,MOD('Daily Count Sheet'!$I$3,J99)=R99),1,""))</f>
        <v/>
      </c>
      <c r="T99" s="27" t="str">
        <f aca="false">IF(S99=1,COUNTIF($S$2:S99,1),"")</f>
        <v/>
      </c>
    </row>
    <row r="100" customFormat="false" ht="15" hidden="false" customHeight="false" outlineLevel="0" collapsed="false">
      <c r="H100" s="26"/>
      <c r="I100" s="27" t="str">
        <f aca="false">IF(A100="","",IF(H100&lt;&gt;"",UPPER(TRIM(H100)),IFERROR(CHOOSE(VALUE(E100)+1,"A","B","C","D"),IF(OR(LEFT(UPPER(TRIM(E100)),1)="F",UPPER(TRIM(E100))="A"),"A",IF(OR(LEFT(UPPER(TRIM(E100)),1)="M",UPPER(TRIM(E100))="B"),"B",IF(OR(LEFT(UPPER(TRIM(E100)),2)="SL",UPPER(TRIM(E100))="C"),"C",IF(OR(LEFT(UPPER(TRIM(E100)),1)="D",UPPER(TRIM(E100))="D"),"D","")))))))</f>
        <v/>
      </c>
      <c r="J100" s="27" t="str">
        <f aca="false">IF(I100="","",IF(AND(I100="D",Settings!$B$6&lt;&gt;"Yes"),"",IFERROR(INDEX(Settings!$C$9:$C$12,MATCH(I100,Settings!$A$9:$A$12,0)),"")))</f>
        <v/>
      </c>
      <c r="K100" s="27" t="str">
        <f aca="false">IF(J100="","",COUNTIF($I$2:I100,I100))</f>
        <v/>
      </c>
      <c r="L100" s="27" t="str">
        <f aca="false">IF(J100="","",CHOOSE(Q100+1,"Tue","Wed","Thu","Fri"))</f>
        <v/>
      </c>
      <c r="M100" s="27" t="str">
        <f aca="false">IF(J100="","",IF(J100=1,"Every week",R100+1&amp;" of "&amp;J100))</f>
        <v/>
      </c>
      <c r="N100" s="28" t="str">
        <f aca="false">IF(J100="","",Settings!$B$4+R100*7+Q100)</f>
        <v/>
      </c>
      <c r="O100" s="28" t="str">
        <f aca="true">IF(J100="","",N100+MAX(0,ROUNDUP((TODAY()-N100)/(J100*7),0))*J100*7)</f>
        <v/>
      </c>
      <c r="P100" s="27" t="str">
        <f aca="false">IF(J100="","",MOD(K100-1,J100*4))</f>
        <v/>
      </c>
      <c r="Q100" s="27" t="str">
        <f aca="false">IF(J100="","",MOD(P100,4))</f>
        <v/>
      </c>
      <c r="R100" s="27" t="str">
        <f aca="false">IF(J100="","",INT(P100/4))</f>
        <v/>
      </c>
      <c r="S100" s="27" t="str">
        <f aca="false">IF(J100="","",IF(AND('Daily Count Sheet'!$H$3=Q100,MOD('Daily Count Sheet'!$I$3,J100)=R100),1,""))</f>
        <v/>
      </c>
      <c r="T100" s="27" t="str">
        <f aca="false">IF(S100=1,COUNTIF($S$2:S100,1),"")</f>
        <v/>
      </c>
    </row>
    <row r="101" customFormat="false" ht="15" hidden="false" customHeight="false" outlineLevel="0" collapsed="false">
      <c r="H101" s="26"/>
      <c r="I101" s="27" t="str">
        <f aca="false">IF(A101="","",IF(H101&lt;&gt;"",UPPER(TRIM(H101)),IFERROR(CHOOSE(VALUE(E101)+1,"A","B","C","D"),IF(OR(LEFT(UPPER(TRIM(E101)),1)="F",UPPER(TRIM(E101))="A"),"A",IF(OR(LEFT(UPPER(TRIM(E101)),1)="M",UPPER(TRIM(E101))="B"),"B",IF(OR(LEFT(UPPER(TRIM(E101)),2)="SL",UPPER(TRIM(E101))="C"),"C",IF(OR(LEFT(UPPER(TRIM(E101)),1)="D",UPPER(TRIM(E101))="D"),"D","")))))))</f>
        <v/>
      </c>
      <c r="J101" s="27" t="str">
        <f aca="false">IF(I101="","",IF(AND(I101="D",Settings!$B$6&lt;&gt;"Yes"),"",IFERROR(INDEX(Settings!$C$9:$C$12,MATCH(I101,Settings!$A$9:$A$12,0)),"")))</f>
        <v/>
      </c>
      <c r="K101" s="27" t="str">
        <f aca="false">IF(J101="","",COUNTIF($I$2:I101,I101))</f>
        <v/>
      </c>
      <c r="L101" s="27" t="str">
        <f aca="false">IF(J101="","",CHOOSE(Q101+1,"Tue","Wed","Thu","Fri"))</f>
        <v/>
      </c>
      <c r="M101" s="27" t="str">
        <f aca="false">IF(J101="","",IF(J101=1,"Every week",R101+1&amp;" of "&amp;J101))</f>
        <v/>
      </c>
      <c r="N101" s="28" t="str">
        <f aca="false">IF(J101="","",Settings!$B$4+R101*7+Q101)</f>
        <v/>
      </c>
      <c r="O101" s="28" t="str">
        <f aca="true">IF(J101="","",N101+MAX(0,ROUNDUP((TODAY()-N101)/(J101*7),0))*J101*7)</f>
        <v/>
      </c>
      <c r="P101" s="27" t="str">
        <f aca="false">IF(J101="","",MOD(K101-1,J101*4))</f>
        <v/>
      </c>
      <c r="Q101" s="27" t="str">
        <f aca="false">IF(J101="","",MOD(P101,4))</f>
        <v/>
      </c>
      <c r="R101" s="27" t="str">
        <f aca="false">IF(J101="","",INT(P101/4))</f>
        <v/>
      </c>
      <c r="S101" s="27" t="str">
        <f aca="false">IF(J101="","",IF(AND('Daily Count Sheet'!$H$3=Q101,MOD('Daily Count Sheet'!$I$3,J101)=R101),1,""))</f>
        <v/>
      </c>
      <c r="T101" s="27" t="str">
        <f aca="false">IF(S101=1,COUNTIF($S$2:S101,1),"")</f>
        <v/>
      </c>
    </row>
    <row r="102" customFormat="false" ht="15" hidden="false" customHeight="false" outlineLevel="0" collapsed="false">
      <c r="H102" s="26"/>
      <c r="I102" s="27" t="str">
        <f aca="false">IF(A102="","",IF(H102&lt;&gt;"",UPPER(TRIM(H102)),IFERROR(CHOOSE(VALUE(E102)+1,"A","B","C","D"),IF(OR(LEFT(UPPER(TRIM(E102)),1)="F",UPPER(TRIM(E102))="A"),"A",IF(OR(LEFT(UPPER(TRIM(E102)),1)="M",UPPER(TRIM(E102))="B"),"B",IF(OR(LEFT(UPPER(TRIM(E102)),2)="SL",UPPER(TRIM(E102))="C"),"C",IF(OR(LEFT(UPPER(TRIM(E102)),1)="D",UPPER(TRIM(E102))="D"),"D","")))))))</f>
        <v/>
      </c>
      <c r="J102" s="27" t="str">
        <f aca="false">IF(I102="","",IF(AND(I102="D",Settings!$B$6&lt;&gt;"Yes"),"",IFERROR(INDEX(Settings!$C$9:$C$12,MATCH(I102,Settings!$A$9:$A$12,0)),"")))</f>
        <v/>
      </c>
      <c r="K102" s="27" t="str">
        <f aca="false">IF(J102="","",COUNTIF($I$2:I102,I102))</f>
        <v/>
      </c>
      <c r="L102" s="27" t="str">
        <f aca="false">IF(J102="","",CHOOSE(Q102+1,"Tue","Wed","Thu","Fri"))</f>
        <v/>
      </c>
      <c r="M102" s="27" t="str">
        <f aca="false">IF(J102="","",IF(J102=1,"Every week",R102+1&amp;" of "&amp;J102))</f>
        <v/>
      </c>
      <c r="N102" s="28" t="str">
        <f aca="false">IF(J102="","",Settings!$B$4+R102*7+Q102)</f>
        <v/>
      </c>
      <c r="O102" s="28" t="str">
        <f aca="true">IF(J102="","",N102+MAX(0,ROUNDUP((TODAY()-N102)/(J102*7),0))*J102*7)</f>
        <v/>
      </c>
      <c r="P102" s="27" t="str">
        <f aca="false">IF(J102="","",MOD(K102-1,J102*4))</f>
        <v/>
      </c>
      <c r="Q102" s="27" t="str">
        <f aca="false">IF(J102="","",MOD(P102,4))</f>
        <v/>
      </c>
      <c r="R102" s="27" t="str">
        <f aca="false">IF(J102="","",INT(P102/4))</f>
        <v/>
      </c>
      <c r="S102" s="27" t="str">
        <f aca="false">IF(J102="","",IF(AND('Daily Count Sheet'!$H$3=Q102,MOD('Daily Count Sheet'!$I$3,J102)=R102),1,""))</f>
        <v/>
      </c>
      <c r="T102" s="27" t="str">
        <f aca="false">IF(S102=1,COUNTIF($S$2:S102,1),"")</f>
        <v/>
      </c>
    </row>
    <row r="103" customFormat="false" ht="15" hidden="false" customHeight="false" outlineLevel="0" collapsed="false">
      <c r="H103" s="26"/>
      <c r="I103" s="27" t="str">
        <f aca="false">IF(A103="","",IF(H103&lt;&gt;"",UPPER(TRIM(H103)),IFERROR(CHOOSE(VALUE(E103)+1,"A","B","C","D"),IF(OR(LEFT(UPPER(TRIM(E103)),1)="F",UPPER(TRIM(E103))="A"),"A",IF(OR(LEFT(UPPER(TRIM(E103)),1)="M",UPPER(TRIM(E103))="B"),"B",IF(OR(LEFT(UPPER(TRIM(E103)),2)="SL",UPPER(TRIM(E103))="C"),"C",IF(OR(LEFT(UPPER(TRIM(E103)),1)="D",UPPER(TRIM(E103))="D"),"D","")))))))</f>
        <v/>
      </c>
      <c r="J103" s="27" t="str">
        <f aca="false">IF(I103="","",IF(AND(I103="D",Settings!$B$6&lt;&gt;"Yes"),"",IFERROR(INDEX(Settings!$C$9:$C$12,MATCH(I103,Settings!$A$9:$A$12,0)),"")))</f>
        <v/>
      </c>
      <c r="K103" s="27" t="str">
        <f aca="false">IF(J103="","",COUNTIF($I$2:I103,I103))</f>
        <v/>
      </c>
      <c r="L103" s="27" t="str">
        <f aca="false">IF(J103="","",CHOOSE(Q103+1,"Tue","Wed","Thu","Fri"))</f>
        <v/>
      </c>
      <c r="M103" s="27" t="str">
        <f aca="false">IF(J103="","",IF(J103=1,"Every week",R103+1&amp;" of "&amp;J103))</f>
        <v/>
      </c>
      <c r="N103" s="28" t="str">
        <f aca="false">IF(J103="","",Settings!$B$4+R103*7+Q103)</f>
        <v/>
      </c>
      <c r="O103" s="28" t="str">
        <f aca="true">IF(J103="","",N103+MAX(0,ROUNDUP((TODAY()-N103)/(J103*7),0))*J103*7)</f>
        <v/>
      </c>
      <c r="P103" s="27" t="str">
        <f aca="false">IF(J103="","",MOD(K103-1,J103*4))</f>
        <v/>
      </c>
      <c r="Q103" s="27" t="str">
        <f aca="false">IF(J103="","",MOD(P103,4))</f>
        <v/>
      </c>
      <c r="R103" s="27" t="str">
        <f aca="false">IF(J103="","",INT(P103/4))</f>
        <v/>
      </c>
      <c r="S103" s="27" t="str">
        <f aca="false">IF(J103="","",IF(AND('Daily Count Sheet'!$H$3=Q103,MOD('Daily Count Sheet'!$I$3,J103)=R103),1,""))</f>
        <v/>
      </c>
      <c r="T103" s="27" t="str">
        <f aca="false">IF(S103=1,COUNTIF($S$2:S103,1),"")</f>
        <v/>
      </c>
    </row>
    <row r="104" customFormat="false" ht="15" hidden="false" customHeight="false" outlineLevel="0" collapsed="false">
      <c r="H104" s="26"/>
      <c r="I104" s="27" t="str">
        <f aca="false">IF(A104="","",IF(H104&lt;&gt;"",UPPER(TRIM(H104)),IFERROR(CHOOSE(VALUE(E104)+1,"A","B","C","D"),IF(OR(LEFT(UPPER(TRIM(E104)),1)="F",UPPER(TRIM(E104))="A"),"A",IF(OR(LEFT(UPPER(TRIM(E104)),1)="M",UPPER(TRIM(E104))="B"),"B",IF(OR(LEFT(UPPER(TRIM(E104)),2)="SL",UPPER(TRIM(E104))="C"),"C",IF(OR(LEFT(UPPER(TRIM(E104)),1)="D",UPPER(TRIM(E104))="D"),"D","")))))))</f>
        <v/>
      </c>
      <c r="J104" s="27" t="str">
        <f aca="false">IF(I104="","",IF(AND(I104="D",Settings!$B$6&lt;&gt;"Yes"),"",IFERROR(INDEX(Settings!$C$9:$C$12,MATCH(I104,Settings!$A$9:$A$12,0)),"")))</f>
        <v/>
      </c>
      <c r="K104" s="27" t="str">
        <f aca="false">IF(J104="","",COUNTIF($I$2:I104,I104))</f>
        <v/>
      </c>
      <c r="L104" s="27" t="str">
        <f aca="false">IF(J104="","",CHOOSE(Q104+1,"Tue","Wed","Thu","Fri"))</f>
        <v/>
      </c>
      <c r="M104" s="27" t="str">
        <f aca="false">IF(J104="","",IF(J104=1,"Every week",R104+1&amp;" of "&amp;J104))</f>
        <v/>
      </c>
      <c r="N104" s="28" t="str">
        <f aca="false">IF(J104="","",Settings!$B$4+R104*7+Q104)</f>
        <v/>
      </c>
      <c r="O104" s="28" t="str">
        <f aca="true">IF(J104="","",N104+MAX(0,ROUNDUP((TODAY()-N104)/(J104*7),0))*J104*7)</f>
        <v/>
      </c>
      <c r="P104" s="27" t="str">
        <f aca="false">IF(J104="","",MOD(K104-1,J104*4))</f>
        <v/>
      </c>
      <c r="Q104" s="27" t="str">
        <f aca="false">IF(J104="","",MOD(P104,4))</f>
        <v/>
      </c>
      <c r="R104" s="27" t="str">
        <f aca="false">IF(J104="","",INT(P104/4))</f>
        <v/>
      </c>
      <c r="S104" s="27" t="str">
        <f aca="false">IF(J104="","",IF(AND('Daily Count Sheet'!$H$3=Q104,MOD('Daily Count Sheet'!$I$3,J104)=R104),1,""))</f>
        <v/>
      </c>
      <c r="T104" s="27" t="str">
        <f aca="false">IF(S104=1,COUNTIF($S$2:S104,1),"")</f>
        <v/>
      </c>
    </row>
    <row r="105" customFormat="false" ht="15" hidden="false" customHeight="false" outlineLevel="0" collapsed="false">
      <c r="H105" s="26"/>
      <c r="I105" s="27" t="str">
        <f aca="false">IF(A105="","",IF(H105&lt;&gt;"",UPPER(TRIM(H105)),IFERROR(CHOOSE(VALUE(E105)+1,"A","B","C","D"),IF(OR(LEFT(UPPER(TRIM(E105)),1)="F",UPPER(TRIM(E105))="A"),"A",IF(OR(LEFT(UPPER(TRIM(E105)),1)="M",UPPER(TRIM(E105))="B"),"B",IF(OR(LEFT(UPPER(TRIM(E105)),2)="SL",UPPER(TRIM(E105))="C"),"C",IF(OR(LEFT(UPPER(TRIM(E105)),1)="D",UPPER(TRIM(E105))="D"),"D","")))))))</f>
        <v/>
      </c>
      <c r="J105" s="27" t="str">
        <f aca="false">IF(I105="","",IF(AND(I105="D",Settings!$B$6&lt;&gt;"Yes"),"",IFERROR(INDEX(Settings!$C$9:$C$12,MATCH(I105,Settings!$A$9:$A$12,0)),"")))</f>
        <v/>
      </c>
      <c r="K105" s="27" t="str">
        <f aca="false">IF(J105="","",COUNTIF($I$2:I105,I105))</f>
        <v/>
      </c>
      <c r="L105" s="27" t="str">
        <f aca="false">IF(J105="","",CHOOSE(Q105+1,"Tue","Wed","Thu","Fri"))</f>
        <v/>
      </c>
      <c r="M105" s="27" t="str">
        <f aca="false">IF(J105="","",IF(J105=1,"Every week",R105+1&amp;" of "&amp;J105))</f>
        <v/>
      </c>
      <c r="N105" s="28" t="str">
        <f aca="false">IF(J105="","",Settings!$B$4+R105*7+Q105)</f>
        <v/>
      </c>
      <c r="O105" s="28" t="str">
        <f aca="true">IF(J105="","",N105+MAX(0,ROUNDUP((TODAY()-N105)/(J105*7),0))*J105*7)</f>
        <v/>
      </c>
      <c r="P105" s="27" t="str">
        <f aca="false">IF(J105="","",MOD(K105-1,J105*4))</f>
        <v/>
      </c>
      <c r="Q105" s="27" t="str">
        <f aca="false">IF(J105="","",MOD(P105,4))</f>
        <v/>
      </c>
      <c r="R105" s="27" t="str">
        <f aca="false">IF(J105="","",INT(P105/4))</f>
        <v/>
      </c>
      <c r="S105" s="27" t="str">
        <f aca="false">IF(J105="","",IF(AND('Daily Count Sheet'!$H$3=Q105,MOD('Daily Count Sheet'!$I$3,J105)=R105),1,""))</f>
        <v/>
      </c>
      <c r="T105" s="27" t="str">
        <f aca="false">IF(S105=1,COUNTIF($S$2:S105,1),"")</f>
        <v/>
      </c>
    </row>
    <row r="106" customFormat="false" ht="15" hidden="false" customHeight="false" outlineLevel="0" collapsed="false">
      <c r="H106" s="26"/>
      <c r="I106" s="27" t="str">
        <f aca="false">IF(A106="","",IF(H106&lt;&gt;"",UPPER(TRIM(H106)),IFERROR(CHOOSE(VALUE(E106)+1,"A","B","C","D"),IF(OR(LEFT(UPPER(TRIM(E106)),1)="F",UPPER(TRIM(E106))="A"),"A",IF(OR(LEFT(UPPER(TRIM(E106)),1)="M",UPPER(TRIM(E106))="B"),"B",IF(OR(LEFT(UPPER(TRIM(E106)),2)="SL",UPPER(TRIM(E106))="C"),"C",IF(OR(LEFT(UPPER(TRIM(E106)),1)="D",UPPER(TRIM(E106))="D"),"D","")))))))</f>
        <v/>
      </c>
      <c r="J106" s="27" t="str">
        <f aca="false">IF(I106="","",IF(AND(I106="D",Settings!$B$6&lt;&gt;"Yes"),"",IFERROR(INDEX(Settings!$C$9:$C$12,MATCH(I106,Settings!$A$9:$A$12,0)),"")))</f>
        <v/>
      </c>
      <c r="K106" s="27" t="str">
        <f aca="false">IF(J106="","",COUNTIF($I$2:I106,I106))</f>
        <v/>
      </c>
      <c r="L106" s="27" t="str">
        <f aca="false">IF(J106="","",CHOOSE(Q106+1,"Tue","Wed","Thu","Fri"))</f>
        <v/>
      </c>
      <c r="M106" s="27" t="str">
        <f aca="false">IF(J106="","",IF(J106=1,"Every week",R106+1&amp;" of "&amp;J106))</f>
        <v/>
      </c>
      <c r="N106" s="28" t="str">
        <f aca="false">IF(J106="","",Settings!$B$4+R106*7+Q106)</f>
        <v/>
      </c>
      <c r="O106" s="28" t="str">
        <f aca="true">IF(J106="","",N106+MAX(0,ROUNDUP((TODAY()-N106)/(J106*7),0))*J106*7)</f>
        <v/>
      </c>
      <c r="P106" s="27" t="str">
        <f aca="false">IF(J106="","",MOD(K106-1,J106*4))</f>
        <v/>
      </c>
      <c r="Q106" s="27" t="str">
        <f aca="false">IF(J106="","",MOD(P106,4))</f>
        <v/>
      </c>
      <c r="R106" s="27" t="str">
        <f aca="false">IF(J106="","",INT(P106/4))</f>
        <v/>
      </c>
      <c r="S106" s="27" t="str">
        <f aca="false">IF(J106="","",IF(AND('Daily Count Sheet'!$H$3=Q106,MOD('Daily Count Sheet'!$I$3,J106)=R106),1,""))</f>
        <v/>
      </c>
      <c r="T106" s="27" t="str">
        <f aca="false">IF(S106=1,COUNTIF($S$2:S106,1),"")</f>
        <v/>
      </c>
    </row>
    <row r="107" customFormat="false" ht="15" hidden="false" customHeight="false" outlineLevel="0" collapsed="false">
      <c r="H107" s="26"/>
      <c r="I107" s="27" t="str">
        <f aca="false">IF(A107="","",IF(H107&lt;&gt;"",UPPER(TRIM(H107)),IFERROR(CHOOSE(VALUE(E107)+1,"A","B","C","D"),IF(OR(LEFT(UPPER(TRIM(E107)),1)="F",UPPER(TRIM(E107))="A"),"A",IF(OR(LEFT(UPPER(TRIM(E107)),1)="M",UPPER(TRIM(E107))="B"),"B",IF(OR(LEFT(UPPER(TRIM(E107)),2)="SL",UPPER(TRIM(E107))="C"),"C",IF(OR(LEFT(UPPER(TRIM(E107)),1)="D",UPPER(TRIM(E107))="D"),"D","")))))))</f>
        <v/>
      </c>
      <c r="J107" s="27" t="str">
        <f aca="false">IF(I107="","",IF(AND(I107="D",Settings!$B$6&lt;&gt;"Yes"),"",IFERROR(INDEX(Settings!$C$9:$C$12,MATCH(I107,Settings!$A$9:$A$12,0)),"")))</f>
        <v/>
      </c>
      <c r="K107" s="27" t="str">
        <f aca="false">IF(J107="","",COUNTIF($I$2:I107,I107))</f>
        <v/>
      </c>
      <c r="L107" s="27" t="str">
        <f aca="false">IF(J107="","",CHOOSE(Q107+1,"Tue","Wed","Thu","Fri"))</f>
        <v/>
      </c>
      <c r="M107" s="27" t="str">
        <f aca="false">IF(J107="","",IF(J107=1,"Every week",R107+1&amp;" of "&amp;J107))</f>
        <v/>
      </c>
      <c r="N107" s="28" t="str">
        <f aca="false">IF(J107="","",Settings!$B$4+R107*7+Q107)</f>
        <v/>
      </c>
      <c r="O107" s="28" t="str">
        <f aca="true">IF(J107="","",N107+MAX(0,ROUNDUP((TODAY()-N107)/(J107*7),0))*J107*7)</f>
        <v/>
      </c>
      <c r="P107" s="27" t="str">
        <f aca="false">IF(J107="","",MOD(K107-1,J107*4))</f>
        <v/>
      </c>
      <c r="Q107" s="27" t="str">
        <f aca="false">IF(J107="","",MOD(P107,4))</f>
        <v/>
      </c>
      <c r="R107" s="27" t="str">
        <f aca="false">IF(J107="","",INT(P107/4))</f>
        <v/>
      </c>
      <c r="S107" s="27" t="str">
        <f aca="false">IF(J107="","",IF(AND('Daily Count Sheet'!$H$3=Q107,MOD('Daily Count Sheet'!$I$3,J107)=R107),1,""))</f>
        <v/>
      </c>
      <c r="T107" s="27" t="str">
        <f aca="false">IF(S107=1,COUNTIF($S$2:S107,1),"")</f>
        <v/>
      </c>
    </row>
    <row r="108" customFormat="false" ht="15" hidden="false" customHeight="false" outlineLevel="0" collapsed="false">
      <c r="H108" s="26"/>
      <c r="I108" s="27" t="str">
        <f aca="false">IF(A108="","",IF(H108&lt;&gt;"",UPPER(TRIM(H108)),IFERROR(CHOOSE(VALUE(E108)+1,"A","B","C","D"),IF(OR(LEFT(UPPER(TRIM(E108)),1)="F",UPPER(TRIM(E108))="A"),"A",IF(OR(LEFT(UPPER(TRIM(E108)),1)="M",UPPER(TRIM(E108))="B"),"B",IF(OR(LEFT(UPPER(TRIM(E108)),2)="SL",UPPER(TRIM(E108))="C"),"C",IF(OR(LEFT(UPPER(TRIM(E108)),1)="D",UPPER(TRIM(E108))="D"),"D","")))))))</f>
        <v/>
      </c>
      <c r="J108" s="27" t="str">
        <f aca="false">IF(I108="","",IF(AND(I108="D",Settings!$B$6&lt;&gt;"Yes"),"",IFERROR(INDEX(Settings!$C$9:$C$12,MATCH(I108,Settings!$A$9:$A$12,0)),"")))</f>
        <v/>
      </c>
      <c r="K108" s="27" t="str">
        <f aca="false">IF(J108="","",COUNTIF($I$2:I108,I108))</f>
        <v/>
      </c>
      <c r="L108" s="27" t="str">
        <f aca="false">IF(J108="","",CHOOSE(Q108+1,"Tue","Wed","Thu","Fri"))</f>
        <v/>
      </c>
      <c r="M108" s="27" t="str">
        <f aca="false">IF(J108="","",IF(J108=1,"Every week",R108+1&amp;" of "&amp;J108))</f>
        <v/>
      </c>
      <c r="N108" s="28" t="str">
        <f aca="false">IF(J108="","",Settings!$B$4+R108*7+Q108)</f>
        <v/>
      </c>
      <c r="O108" s="28" t="str">
        <f aca="true">IF(J108="","",N108+MAX(0,ROUNDUP((TODAY()-N108)/(J108*7),0))*J108*7)</f>
        <v/>
      </c>
      <c r="P108" s="27" t="str">
        <f aca="false">IF(J108="","",MOD(K108-1,J108*4))</f>
        <v/>
      </c>
      <c r="Q108" s="27" t="str">
        <f aca="false">IF(J108="","",MOD(P108,4))</f>
        <v/>
      </c>
      <c r="R108" s="27" t="str">
        <f aca="false">IF(J108="","",INT(P108/4))</f>
        <v/>
      </c>
      <c r="S108" s="27" t="str">
        <f aca="false">IF(J108="","",IF(AND('Daily Count Sheet'!$H$3=Q108,MOD('Daily Count Sheet'!$I$3,J108)=R108),1,""))</f>
        <v/>
      </c>
      <c r="T108" s="27" t="str">
        <f aca="false">IF(S108=1,COUNTIF($S$2:S108,1),"")</f>
        <v/>
      </c>
    </row>
    <row r="109" customFormat="false" ht="15" hidden="false" customHeight="false" outlineLevel="0" collapsed="false">
      <c r="H109" s="26"/>
      <c r="I109" s="27" t="str">
        <f aca="false">IF(A109="","",IF(H109&lt;&gt;"",UPPER(TRIM(H109)),IFERROR(CHOOSE(VALUE(E109)+1,"A","B","C","D"),IF(OR(LEFT(UPPER(TRIM(E109)),1)="F",UPPER(TRIM(E109))="A"),"A",IF(OR(LEFT(UPPER(TRIM(E109)),1)="M",UPPER(TRIM(E109))="B"),"B",IF(OR(LEFT(UPPER(TRIM(E109)),2)="SL",UPPER(TRIM(E109))="C"),"C",IF(OR(LEFT(UPPER(TRIM(E109)),1)="D",UPPER(TRIM(E109))="D"),"D","")))))))</f>
        <v/>
      </c>
      <c r="J109" s="27" t="str">
        <f aca="false">IF(I109="","",IF(AND(I109="D",Settings!$B$6&lt;&gt;"Yes"),"",IFERROR(INDEX(Settings!$C$9:$C$12,MATCH(I109,Settings!$A$9:$A$12,0)),"")))</f>
        <v/>
      </c>
      <c r="K109" s="27" t="str">
        <f aca="false">IF(J109="","",COUNTIF($I$2:I109,I109))</f>
        <v/>
      </c>
      <c r="L109" s="27" t="str">
        <f aca="false">IF(J109="","",CHOOSE(Q109+1,"Tue","Wed","Thu","Fri"))</f>
        <v/>
      </c>
      <c r="M109" s="27" t="str">
        <f aca="false">IF(J109="","",IF(J109=1,"Every week",R109+1&amp;" of "&amp;J109))</f>
        <v/>
      </c>
      <c r="N109" s="28" t="str">
        <f aca="false">IF(J109="","",Settings!$B$4+R109*7+Q109)</f>
        <v/>
      </c>
      <c r="O109" s="28" t="str">
        <f aca="true">IF(J109="","",N109+MAX(0,ROUNDUP((TODAY()-N109)/(J109*7),0))*J109*7)</f>
        <v/>
      </c>
      <c r="P109" s="27" t="str">
        <f aca="false">IF(J109="","",MOD(K109-1,J109*4))</f>
        <v/>
      </c>
      <c r="Q109" s="27" t="str">
        <f aca="false">IF(J109="","",MOD(P109,4))</f>
        <v/>
      </c>
      <c r="R109" s="27" t="str">
        <f aca="false">IF(J109="","",INT(P109/4))</f>
        <v/>
      </c>
      <c r="S109" s="27" t="str">
        <f aca="false">IF(J109="","",IF(AND('Daily Count Sheet'!$H$3=Q109,MOD('Daily Count Sheet'!$I$3,J109)=R109),1,""))</f>
        <v/>
      </c>
      <c r="T109" s="27" t="str">
        <f aca="false">IF(S109=1,COUNTIF($S$2:S109,1),"")</f>
        <v/>
      </c>
    </row>
    <row r="110" customFormat="false" ht="15" hidden="false" customHeight="false" outlineLevel="0" collapsed="false">
      <c r="H110" s="26"/>
      <c r="I110" s="27" t="str">
        <f aca="false">IF(A110="","",IF(H110&lt;&gt;"",UPPER(TRIM(H110)),IFERROR(CHOOSE(VALUE(E110)+1,"A","B","C","D"),IF(OR(LEFT(UPPER(TRIM(E110)),1)="F",UPPER(TRIM(E110))="A"),"A",IF(OR(LEFT(UPPER(TRIM(E110)),1)="M",UPPER(TRIM(E110))="B"),"B",IF(OR(LEFT(UPPER(TRIM(E110)),2)="SL",UPPER(TRIM(E110))="C"),"C",IF(OR(LEFT(UPPER(TRIM(E110)),1)="D",UPPER(TRIM(E110))="D"),"D","")))))))</f>
        <v/>
      </c>
      <c r="J110" s="27" t="str">
        <f aca="false">IF(I110="","",IF(AND(I110="D",Settings!$B$6&lt;&gt;"Yes"),"",IFERROR(INDEX(Settings!$C$9:$C$12,MATCH(I110,Settings!$A$9:$A$12,0)),"")))</f>
        <v/>
      </c>
      <c r="K110" s="27" t="str">
        <f aca="false">IF(J110="","",COUNTIF($I$2:I110,I110))</f>
        <v/>
      </c>
      <c r="L110" s="27" t="str">
        <f aca="false">IF(J110="","",CHOOSE(Q110+1,"Tue","Wed","Thu","Fri"))</f>
        <v/>
      </c>
      <c r="M110" s="27" t="str">
        <f aca="false">IF(J110="","",IF(J110=1,"Every week",R110+1&amp;" of "&amp;J110))</f>
        <v/>
      </c>
      <c r="N110" s="28" t="str">
        <f aca="false">IF(J110="","",Settings!$B$4+R110*7+Q110)</f>
        <v/>
      </c>
      <c r="O110" s="28" t="str">
        <f aca="true">IF(J110="","",N110+MAX(0,ROUNDUP((TODAY()-N110)/(J110*7),0))*J110*7)</f>
        <v/>
      </c>
      <c r="P110" s="27" t="str">
        <f aca="false">IF(J110="","",MOD(K110-1,J110*4))</f>
        <v/>
      </c>
      <c r="Q110" s="27" t="str">
        <f aca="false">IF(J110="","",MOD(P110,4))</f>
        <v/>
      </c>
      <c r="R110" s="27" t="str">
        <f aca="false">IF(J110="","",INT(P110/4))</f>
        <v/>
      </c>
      <c r="S110" s="27" t="str">
        <f aca="false">IF(J110="","",IF(AND('Daily Count Sheet'!$H$3=Q110,MOD('Daily Count Sheet'!$I$3,J110)=R110),1,""))</f>
        <v/>
      </c>
      <c r="T110" s="27" t="str">
        <f aca="false">IF(S110=1,COUNTIF($S$2:S110,1),"")</f>
        <v/>
      </c>
    </row>
    <row r="111" customFormat="false" ht="15" hidden="false" customHeight="false" outlineLevel="0" collapsed="false">
      <c r="H111" s="26"/>
      <c r="I111" s="27" t="str">
        <f aca="false">IF(A111="","",IF(H111&lt;&gt;"",UPPER(TRIM(H111)),IFERROR(CHOOSE(VALUE(E111)+1,"A","B","C","D"),IF(OR(LEFT(UPPER(TRIM(E111)),1)="F",UPPER(TRIM(E111))="A"),"A",IF(OR(LEFT(UPPER(TRIM(E111)),1)="M",UPPER(TRIM(E111))="B"),"B",IF(OR(LEFT(UPPER(TRIM(E111)),2)="SL",UPPER(TRIM(E111))="C"),"C",IF(OR(LEFT(UPPER(TRIM(E111)),1)="D",UPPER(TRIM(E111))="D"),"D","")))))))</f>
        <v/>
      </c>
      <c r="J111" s="27" t="str">
        <f aca="false">IF(I111="","",IF(AND(I111="D",Settings!$B$6&lt;&gt;"Yes"),"",IFERROR(INDEX(Settings!$C$9:$C$12,MATCH(I111,Settings!$A$9:$A$12,0)),"")))</f>
        <v/>
      </c>
      <c r="K111" s="27" t="str">
        <f aca="false">IF(J111="","",COUNTIF($I$2:I111,I111))</f>
        <v/>
      </c>
      <c r="L111" s="27" t="str">
        <f aca="false">IF(J111="","",CHOOSE(Q111+1,"Tue","Wed","Thu","Fri"))</f>
        <v/>
      </c>
      <c r="M111" s="27" t="str">
        <f aca="false">IF(J111="","",IF(J111=1,"Every week",R111+1&amp;" of "&amp;J111))</f>
        <v/>
      </c>
      <c r="N111" s="28" t="str">
        <f aca="false">IF(J111="","",Settings!$B$4+R111*7+Q111)</f>
        <v/>
      </c>
      <c r="O111" s="28" t="str">
        <f aca="true">IF(J111="","",N111+MAX(0,ROUNDUP((TODAY()-N111)/(J111*7),0))*J111*7)</f>
        <v/>
      </c>
      <c r="P111" s="27" t="str">
        <f aca="false">IF(J111="","",MOD(K111-1,J111*4))</f>
        <v/>
      </c>
      <c r="Q111" s="27" t="str">
        <f aca="false">IF(J111="","",MOD(P111,4))</f>
        <v/>
      </c>
      <c r="R111" s="27" t="str">
        <f aca="false">IF(J111="","",INT(P111/4))</f>
        <v/>
      </c>
      <c r="S111" s="27" t="str">
        <f aca="false">IF(J111="","",IF(AND('Daily Count Sheet'!$H$3=Q111,MOD('Daily Count Sheet'!$I$3,J111)=R111),1,""))</f>
        <v/>
      </c>
      <c r="T111" s="27" t="str">
        <f aca="false">IF(S111=1,COUNTIF($S$2:S111,1),"")</f>
        <v/>
      </c>
    </row>
    <row r="112" customFormat="false" ht="15" hidden="false" customHeight="false" outlineLevel="0" collapsed="false">
      <c r="H112" s="26"/>
      <c r="I112" s="27" t="str">
        <f aca="false">IF(A112="","",IF(H112&lt;&gt;"",UPPER(TRIM(H112)),IFERROR(CHOOSE(VALUE(E112)+1,"A","B","C","D"),IF(OR(LEFT(UPPER(TRIM(E112)),1)="F",UPPER(TRIM(E112))="A"),"A",IF(OR(LEFT(UPPER(TRIM(E112)),1)="M",UPPER(TRIM(E112))="B"),"B",IF(OR(LEFT(UPPER(TRIM(E112)),2)="SL",UPPER(TRIM(E112))="C"),"C",IF(OR(LEFT(UPPER(TRIM(E112)),1)="D",UPPER(TRIM(E112))="D"),"D","")))))))</f>
        <v/>
      </c>
      <c r="J112" s="27" t="str">
        <f aca="false">IF(I112="","",IF(AND(I112="D",Settings!$B$6&lt;&gt;"Yes"),"",IFERROR(INDEX(Settings!$C$9:$C$12,MATCH(I112,Settings!$A$9:$A$12,0)),"")))</f>
        <v/>
      </c>
      <c r="K112" s="27" t="str">
        <f aca="false">IF(J112="","",COUNTIF($I$2:I112,I112))</f>
        <v/>
      </c>
      <c r="L112" s="27" t="str">
        <f aca="false">IF(J112="","",CHOOSE(Q112+1,"Tue","Wed","Thu","Fri"))</f>
        <v/>
      </c>
      <c r="M112" s="27" t="str">
        <f aca="false">IF(J112="","",IF(J112=1,"Every week",R112+1&amp;" of "&amp;J112))</f>
        <v/>
      </c>
      <c r="N112" s="28" t="str">
        <f aca="false">IF(J112="","",Settings!$B$4+R112*7+Q112)</f>
        <v/>
      </c>
      <c r="O112" s="28" t="str">
        <f aca="true">IF(J112="","",N112+MAX(0,ROUNDUP((TODAY()-N112)/(J112*7),0))*J112*7)</f>
        <v/>
      </c>
      <c r="P112" s="27" t="str">
        <f aca="false">IF(J112="","",MOD(K112-1,J112*4))</f>
        <v/>
      </c>
      <c r="Q112" s="27" t="str">
        <f aca="false">IF(J112="","",MOD(P112,4))</f>
        <v/>
      </c>
      <c r="R112" s="27" t="str">
        <f aca="false">IF(J112="","",INT(P112/4))</f>
        <v/>
      </c>
      <c r="S112" s="27" t="str">
        <f aca="false">IF(J112="","",IF(AND('Daily Count Sheet'!$H$3=Q112,MOD('Daily Count Sheet'!$I$3,J112)=R112),1,""))</f>
        <v/>
      </c>
      <c r="T112" s="27" t="str">
        <f aca="false">IF(S112=1,COUNTIF($S$2:S112,1),"")</f>
        <v/>
      </c>
    </row>
    <row r="113" customFormat="false" ht="15" hidden="false" customHeight="false" outlineLevel="0" collapsed="false">
      <c r="H113" s="26"/>
      <c r="I113" s="27" t="str">
        <f aca="false">IF(A113="","",IF(H113&lt;&gt;"",UPPER(TRIM(H113)),IFERROR(CHOOSE(VALUE(E113)+1,"A","B","C","D"),IF(OR(LEFT(UPPER(TRIM(E113)),1)="F",UPPER(TRIM(E113))="A"),"A",IF(OR(LEFT(UPPER(TRIM(E113)),1)="M",UPPER(TRIM(E113))="B"),"B",IF(OR(LEFT(UPPER(TRIM(E113)),2)="SL",UPPER(TRIM(E113))="C"),"C",IF(OR(LEFT(UPPER(TRIM(E113)),1)="D",UPPER(TRIM(E113))="D"),"D","")))))))</f>
        <v/>
      </c>
      <c r="J113" s="27" t="str">
        <f aca="false">IF(I113="","",IF(AND(I113="D",Settings!$B$6&lt;&gt;"Yes"),"",IFERROR(INDEX(Settings!$C$9:$C$12,MATCH(I113,Settings!$A$9:$A$12,0)),"")))</f>
        <v/>
      </c>
      <c r="K113" s="27" t="str">
        <f aca="false">IF(J113="","",COUNTIF($I$2:I113,I113))</f>
        <v/>
      </c>
      <c r="L113" s="27" t="str">
        <f aca="false">IF(J113="","",CHOOSE(Q113+1,"Tue","Wed","Thu","Fri"))</f>
        <v/>
      </c>
      <c r="M113" s="27" t="str">
        <f aca="false">IF(J113="","",IF(J113=1,"Every week",R113+1&amp;" of "&amp;J113))</f>
        <v/>
      </c>
      <c r="N113" s="28" t="str">
        <f aca="false">IF(J113="","",Settings!$B$4+R113*7+Q113)</f>
        <v/>
      </c>
      <c r="O113" s="28" t="str">
        <f aca="true">IF(J113="","",N113+MAX(0,ROUNDUP((TODAY()-N113)/(J113*7),0))*J113*7)</f>
        <v/>
      </c>
      <c r="P113" s="27" t="str">
        <f aca="false">IF(J113="","",MOD(K113-1,J113*4))</f>
        <v/>
      </c>
      <c r="Q113" s="27" t="str">
        <f aca="false">IF(J113="","",MOD(P113,4))</f>
        <v/>
      </c>
      <c r="R113" s="27" t="str">
        <f aca="false">IF(J113="","",INT(P113/4))</f>
        <v/>
      </c>
      <c r="S113" s="27" t="str">
        <f aca="false">IF(J113="","",IF(AND('Daily Count Sheet'!$H$3=Q113,MOD('Daily Count Sheet'!$I$3,J113)=R113),1,""))</f>
        <v/>
      </c>
      <c r="T113" s="27" t="str">
        <f aca="false">IF(S113=1,COUNTIF($S$2:S113,1),"")</f>
        <v/>
      </c>
    </row>
    <row r="114" customFormat="false" ht="15" hidden="false" customHeight="false" outlineLevel="0" collapsed="false">
      <c r="H114" s="26"/>
      <c r="I114" s="27" t="str">
        <f aca="false">IF(A114="","",IF(H114&lt;&gt;"",UPPER(TRIM(H114)),IFERROR(CHOOSE(VALUE(E114)+1,"A","B","C","D"),IF(OR(LEFT(UPPER(TRIM(E114)),1)="F",UPPER(TRIM(E114))="A"),"A",IF(OR(LEFT(UPPER(TRIM(E114)),1)="M",UPPER(TRIM(E114))="B"),"B",IF(OR(LEFT(UPPER(TRIM(E114)),2)="SL",UPPER(TRIM(E114))="C"),"C",IF(OR(LEFT(UPPER(TRIM(E114)),1)="D",UPPER(TRIM(E114))="D"),"D","")))))))</f>
        <v/>
      </c>
      <c r="J114" s="27" t="str">
        <f aca="false">IF(I114="","",IF(AND(I114="D",Settings!$B$6&lt;&gt;"Yes"),"",IFERROR(INDEX(Settings!$C$9:$C$12,MATCH(I114,Settings!$A$9:$A$12,0)),"")))</f>
        <v/>
      </c>
      <c r="K114" s="27" t="str">
        <f aca="false">IF(J114="","",COUNTIF($I$2:I114,I114))</f>
        <v/>
      </c>
      <c r="L114" s="27" t="str">
        <f aca="false">IF(J114="","",CHOOSE(Q114+1,"Tue","Wed","Thu","Fri"))</f>
        <v/>
      </c>
      <c r="M114" s="27" t="str">
        <f aca="false">IF(J114="","",IF(J114=1,"Every week",R114+1&amp;" of "&amp;J114))</f>
        <v/>
      </c>
      <c r="N114" s="28" t="str">
        <f aca="false">IF(J114="","",Settings!$B$4+R114*7+Q114)</f>
        <v/>
      </c>
      <c r="O114" s="28" t="str">
        <f aca="true">IF(J114="","",N114+MAX(0,ROUNDUP((TODAY()-N114)/(J114*7),0))*J114*7)</f>
        <v/>
      </c>
      <c r="P114" s="27" t="str">
        <f aca="false">IF(J114="","",MOD(K114-1,J114*4))</f>
        <v/>
      </c>
      <c r="Q114" s="27" t="str">
        <f aca="false">IF(J114="","",MOD(P114,4))</f>
        <v/>
      </c>
      <c r="R114" s="27" t="str">
        <f aca="false">IF(J114="","",INT(P114/4))</f>
        <v/>
      </c>
      <c r="S114" s="27" t="str">
        <f aca="false">IF(J114="","",IF(AND('Daily Count Sheet'!$H$3=Q114,MOD('Daily Count Sheet'!$I$3,J114)=R114),1,""))</f>
        <v/>
      </c>
      <c r="T114" s="27" t="str">
        <f aca="false">IF(S114=1,COUNTIF($S$2:S114,1),"")</f>
        <v/>
      </c>
    </row>
    <row r="115" customFormat="false" ht="15" hidden="false" customHeight="false" outlineLevel="0" collapsed="false">
      <c r="H115" s="26"/>
      <c r="I115" s="27" t="str">
        <f aca="false">IF(A115="","",IF(H115&lt;&gt;"",UPPER(TRIM(H115)),IFERROR(CHOOSE(VALUE(E115)+1,"A","B","C","D"),IF(OR(LEFT(UPPER(TRIM(E115)),1)="F",UPPER(TRIM(E115))="A"),"A",IF(OR(LEFT(UPPER(TRIM(E115)),1)="M",UPPER(TRIM(E115))="B"),"B",IF(OR(LEFT(UPPER(TRIM(E115)),2)="SL",UPPER(TRIM(E115))="C"),"C",IF(OR(LEFT(UPPER(TRIM(E115)),1)="D",UPPER(TRIM(E115))="D"),"D","")))))))</f>
        <v/>
      </c>
      <c r="J115" s="27" t="str">
        <f aca="false">IF(I115="","",IF(AND(I115="D",Settings!$B$6&lt;&gt;"Yes"),"",IFERROR(INDEX(Settings!$C$9:$C$12,MATCH(I115,Settings!$A$9:$A$12,0)),"")))</f>
        <v/>
      </c>
      <c r="K115" s="27" t="str">
        <f aca="false">IF(J115="","",COUNTIF($I$2:I115,I115))</f>
        <v/>
      </c>
      <c r="L115" s="27" t="str">
        <f aca="false">IF(J115="","",CHOOSE(Q115+1,"Tue","Wed","Thu","Fri"))</f>
        <v/>
      </c>
      <c r="M115" s="27" t="str">
        <f aca="false">IF(J115="","",IF(J115=1,"Every week",R115+1&amp;" of "&amp;J115))</f>
        <v/>
      </c>
      <c r="N115" s="28" t="str">
        <f aca="false">IF(J115="","",Settings!$B$4+R115*7+Q115)</f>
        <v/>
      </c>
      <c r="O115" s="28" t="str">
        <f aca="true">IF(J115="","",N115+MAX(0,ROUNDUP((TODAY()-N115)/(J115*7),0))*J115*7)</f>
        <v/>
      </c>
      <c r="P115" s="27" t="str">
        <f aca="false">IF(J115="","",MOD(K115-1,J115*4))</f>
        <v/>
      </c>
      <c r="Q115" s="27" t="str">
        <f aca="false">IF(J115="","",MOD(P115,4))</f>
        <v/>
      </c>
      <c r="R115" s="27" t="str">
        <f aca="false">IF(J115="","",INT(P115/4))</f>
        <v/>
      </c>
      <c r="S115" s="27" t="str">
        <f aca="false">IF(J115="","",IF(AND('Daily Count Sheet'!$H$3=Q115,MOD('Daily Count Sheet'!$I$3,J115)=R115),1,""))</f>
        <v/>
      </c>
      <c r="T115" s="27" t="str">
        <f aca="false">IF(S115=1,COUNTIF($S$2:S115,1),"")</f>
        <v/>
      </c>
    </row>
    <row r="116" customFormat="false" ht="15" hidden="false" customHeight="false" outlineLevel="0" collapsed="false">
      <c r="H116" s="26"/>
      <c r="I116" s="27" t="str">
        <f aca="false">IF(A116="","",IF(H116&lt;&gt;"",UPPER(TRIM(H116)),IFERROR(CHOOSE(VALUE(E116)+1,"A","B","C","D"),IF(OR(LEFT(UPPER(TRIM(E116)),1)="F",UPPER(TRIM(E116))="A"),"A",IF(OR(LEFT(UPPER(TRIM(E116)),1)="M",UPPER(TRIM(E116))="B"),"B",IF(OR(LEFT(UPPER(TRIM(E116)),2)="SL",UPPER(TRIM(E116))="C"),"C",IF(OR(LEFT(UPPER(TRIM(E116)),1)="D",UPPER(TRIM(E116))="D"),"D","")))))))</f>
        <v/>
      </c>
      <c r="J116" s="27" t="str">
        <f aca="false">IF(I116="","",IF(AND(I116="D",Settings!$B$6&lt;&gt;"Yes"),"",IFERROR(INDEX(Settings!$C$9:$C$12,MATCH(I116,Settings!$A$9:$A$12,0)),"")))</f>
        <v/>
      </c>
      <c r="K116" s="27" t="str">
        <f aca="false">IF(J116="","",COUNTIF($I$2:I116,I116))</f>
        <v/>
      </c>
      <c r="L116" s="27" t="str">
        <f aca="false">IF(J116="","",CHOOSE(Q116+1,"Tue","Wed","Thu","Fri"))</f>
        <v/>
      </c>
      <c r="M116" s="27" t="str">
        <f aca="false">IF(J116="","",IF(J116=1,"Every week",R116+1&amp;" of "&amp;J116))</f>
        <v/>
      </c>
      <c r="N116" s="28" t="str">
        <f aca="false">IF(J116="","",Settings!$B$4+R116*7+Q116)</f>
        <v/>
      </c>
      <c r="O116" s="28" t="str">
        <f aca="true">IF(J116="","",N116+MAX(0,ROUNDUP((TODAY()-N116)/(J116*7),0))*J116*7)</f>
        <v/>
      </c>
      <c r="P116" s="27" t="str">
        <f aca="false">IF(J116="","",MOD(K116-1,J116*4))</f>
        <v/>
      </c>
      <c r="Q116" s="27" t="str">
        <f aca="false">IF(J116="","",MOD(P116,4))</f>
        <v/>
      </c>
      <c r="R116" s="27" t="str">
        <f aca="false">IF(J116="","",INT(P116/4))</f>
        <v/>
      </c>
      <c r="S116" s="27" t="str">
        <f aca="false">IF(J116="","",IF(AND('Daily Count Sheet'!$H$3=Q116,MOD('Daily Count Sheet'!$I$3,J116)=R116),1,""))</f>
        <v/>
      </c>
      <c r="T116" s="27" t="str">
        <f aca="false">IF(S116=1,COUNTIF($S$2:S116,1),"")</f>
        <v/>
      </c>
    </row>
    <row r="117" customFormat="false" ht="15" hidden="false" customHeight="false" outlineLevel="0" collapsed="false">
      <c r="H117" s="26"/>
      <c r="I117" s="27" t="str">
        <f aca="false">IF(A117="","",IF(H117&lt;&gt;"",UPPER(TRIM(H117)),IFERROR(CHOOSE(VALUE(E117)+1,"A","B","C","D"),IF(OR(LEFT(UPPER(TRIM(E117)),1)="F",UPPER(TRIM(E117))="A"),"A",IF(OR(LEFT(UPPER(TRIM(E117)),1)="M",UPPER(TRIM(E117))="B"),"B",IF(OR(LEFT(UPPER(TRIM(E117)),2)="SL",UPPER(TRIM(E117))="C"),"C",IF(OR(LEFT(UPPER(TRIM(E117)),1)="D",UPPER(TRIM(E117))="D"),"D","")))))))</f>
        <v/>
      </c>
      <c r="J117" s="27" t="str">
        <f aca="false">IF(I117="","",IF(AND(I117="D",Settings!$B$6&lt;&gt;"Yes"),"",IFERROR(INDEX(Settings!$C$9:$C$12,MATCH(I117,Settings!$A$9:$A$12,0)),"")))</f>
        <v/>
      </c>
      <c r="K117" s="27" t="str">
        <f aca="false">IF(J117="","",COUNTIF($I$2:I117,I117))</f>
        <v/>
      </c>
      <c r="L117" s="27" t="str">
        <f aca="false">IF(J117="","",CHOOSE(Q117+1,"Tue","Wed","Thu","Fri"))</f>
        <v/>
      </c>
      <c r="M117" s="27" t="str">
        <f aca="false">IF(J117="","",IF(J117=1,"Every week",R117+1&amp;" of "&amp;J117))</f>
        <v/>
      </c>
      <c r="N117" s="28" t="str">
        <f aca="false">IF(J117="","",Settings!$B$4+R117*7+Q117)</f>
        <v/>
      </c>
      <c r="O117" s="28" t="str">
        <f aca="true">IF(J117="","",N117+MAX(0,ROUNDUP((TODAY()-N117)/(J117*7),0))*J117*7)</f>
        <v/>
      </c>
      <c r="P117" s="27" t="str">
        <f aca="false">IF(J117="","",MOD(K117-1,J117*4))</f>
        <v/>
      </c>
      <c r="Q117" s="27" t="str">
        <f aca="false">IF(J117="","",MOD(P117,4))</f>
        <v/>
      </c>
      <c r="R117" s="27" t="str">
        <f aca="false">IF(J117="","",INT(P117/4))</f>
        <v/>
      </c>
      <c r="S117" s="27" t="str">
        <f aca="false">IF(J117="","",IF(AND('Daily Count Sheet'!$H$3=Q117,MOD('Daily Count Sheet'!$I$3,J117)=R117),1,""))</f>
        <v/>
      </c>
      <c r="T117" s="27" t="str">
        <f aca="false">IF(S117=1,COUNTIF($S$2:S117,1),"")</f>
        <v/>
      </c>
    </row>
    <row r="118" customFormat="false" ht="15" hidden="false" customHeight="false" outlineLevel="0" collapsed="false">
      <c r="H118" s="26"/>
      <c r="I118" s="27" t="str">
        <f aca="false">IF(A118="","",IF(H118&lt;&gt;"",UPPER(TRIM(H118)),IFERROR(CHOOSE(VALUE(E118)+1,"A","B","C","D"),IF(OR(LEFT(UPPER(TRIM(E118)),1)="F",UPPER(TRIM(E118))="A"),"A",IF(OR(LEFT(UPPER(TRIM(E118)),1)="M",UPPER(TRIM(E118))="B"),"B",IF(OR(LEFT(UPPER(TRIM(E118)),2)="SL",UPPER(TRIM(E118))="C"),"C",IF(OR(LEFT(UPPER(TRIM(E118)),1)="D",UPPER(TRIM(E118))="D"),"D","")))))))</f>
        <v/>
      </c>
      <c r="J118" s="27" t="str">
        <f aca="false">IF(I118="","",IF(AND(I118="D",Settings!$B$6&lt;&gt;"Yes"),"",IFERROR(INDEX(Settings!$C$9:$C$12,MATCH(I118,Settings!$A$9:$A$12,0)),"")))</f>
        <v/>
      </c>
      <c r="K118" s="27" t="str">
        <f aca="false">IF(J118="","",COUNTIF($I$2:I118,I118))</f>
        <v/>
      </c>
      <c r="L118" s="27" t="str">
        <f aca="false">IF(J118="","",CHOOSE(Q118+1,"Tue","Wed","Thu","Fri"))</f>
        <v/>
      </c>
      <c r="M118" s="27" t="str">
        <f aca="false">IF(J118="","",IF(J118=1,"Every week",R118+1&amp;" of "&amp;J118))</f>
        <v/>
      </c>
      <c r="N118" s="28" t="str">
        <f aca="false">IF(J118="","",Settings!$B$4+R118*7+Q118)</f>
        <v/>
      </c>
      <c r="O118" s="28" t="str">
        <f aca="true">IF(J118="","",N118+MAX(0,ROUNDUP((TODAY()-N118)/(J118*7),0))*J118*7)</f>
        <v/>
      </c>
      <c r="P118" s="27" t="str">
        <f aca="false">IF(J118="","",MOD(K118-1,J118*4))</f>
        <v/>
      </c>
      <c r="Q118" s="27" t="str">
        <f aca="false">IF(J118="","",MOD(P118,4))</f>
        <v/>
      </c>
      <c r="R118" s="27" t="str">
        <f aca="false">IF(J118="","",INT(P118/4))</f>
        <v/>
      </c>
      <c r="S118" s="27" t="str">
        <f aca="false">IF(J118="","",IF(AND('Daily Count Sheet'!$H$3=Q118,MOD('Daily Count Sheet'!$I$3,J118)=R118),1,""))</f>
        <v/>
      </c>
      <c r="T118" s="27" t="str">
        <f aca="false">IF(S118=1,COUNTIF($S$2:S118,1),"")</f>
        <v/>
      </c>
    </row>
    <row r="119" customFormat="false" ht="15" hidden="false" customHeight="false" outlineLevel="0" collapsed="false">
      <c r="H119" s="26"/>
      <c r="I119" s="27" t="str">
        <f aca="false">IF(A119="","",IF(H119&lt;&gt;"",UPPER(TRIM(H119)),IFERROR(CHOOSE(VALUE(E119)+1,"A","B","C","D"),IF(OR(LEFT(UPPER(TRIM(E119)),1)="F",UPPER(TRIM(E119))="A"),"A",IF(OR(LEFT(UPPER(TRIM(E119)),1)="M",UPPER(TRIM(E119))="B"),"B",IF(OR(LEFT(UPPER(TRIM(E119)),2)="SL",UPPER(TRIM(E119))="C"),"C",IF(OR(LEFT(UPPER(TRIM(E119)),1)="D",UPPER(TRIM(E119))="D"),"D","")))))))</f>
        <v/>
      </c>
      <c r="J119" s="27" t="str">
        <f aca="false">IF(I119="","",IF(AND(I119="D",Settings!$B$6&lt;&gt;"Yes"),"",IFERROR(INDEX(Settings!$C$9:$C$12,MATCH(I119,Settings!$A$9:$A$12,0)),"")))</f>
        <v/>
      </c>
      <c r="K119" s="27" t="str">
        <f aca="false">IF(J119="","",COUNTIF($I$2:I119,I119))</f>
        <v/>
      </c>
      <c r="L119" s="27" t="str">
        <f aca="false">IF(J119="","",CHOOSE(Q119+1,"Tue","Wed","Thu","Fri"))</f>
        <v/>
      </c>
      <c r="M119" s="27" t="str">
        <f aca="false">IF(J119="","",IF(J119=1,"Every week",R119+1&amp;" of "&amp;J119))</f>
        <v/>
      </c>
      <c r="N119" s="28" t="str">
        <f aca="false">IF(J119="","",Settings!$B$4+R119*7+Q119)</f>
        <v/>
      </c>
      <c r="O119" s="28" t="str">
        <f aca="true">IF(J119="","",N119+MAX(0,ROUNDUP((TODAY()-N119)/(J119*7),0))*J119*7)</f>
        <v/>
      </c>
      <c r="P119" s="27" t="str">
        <f aca="false">IF(J119="","",MOD(K119-1,J119*4))</f>
        <v/>
      </c>
      <c r="Q119" s="27" t="str">
        <f aca="false">IF(J119="","",MOD(P119,4))</f>
        <v/>
      </c>
      <c r="R119" s="27" t="str">
        <f aca="false">IF(J119="","",INT(P119/4))</f>
        <v/>
      </c>
      <c r="S119" s="27" t="str">
        <f aca="false">IF(J119="","",IF(AND('Daily Count Sheet'!$H$3=Q119,MOD('Daily Count Sheet'!$I$3,J119)=R119),1,""))</f>
        <v/>
      </c>
      <c r="T119" s="27" t="str">
        <f aca="false">IF(S119=1,COUNTIF($S$2:S119,1),"")</f>
        <v/>
      </c>
    </row>
    <row r="120" customFormat="false" ht="15" hidden="false" customHeight="false" outlineLevel="0" collapsed="false">
      <c r="H120" s="26"/>
      <c r="I120" s="27" t="str">
        <f aca="false">IF(A120="","",IF(H120&lt;&gt;"",UPPER(TRIM(H120)),IFERROR(CHOOSE(VALUE(E120)+1,"A","B","C","D"),IF(OR(LEFT(UPPER(TRIM(E120)),1)="F",UPPER(TRIM(E120))="A"),"A",IF(OR(LEFT(UPPER(TRIM(E120)),1)="M",UPPER(TRIM(E120))="B"),"B",IF(OR(LEFT(UPPER(TRIM(E120)),2)="SL",UPPER(TRIM(E120))="C"),"C",IF(OR(LEFT(UPPER(TRIM(E120)),1)="D",UPPER(TRIM(E120))="D"),"D","")))))))</f>
        <v/>
      </c>
      <c r="J120" s="27" t="str">
        <f aca="false">IF(I120="","",IF(AND(I120="D",Settings!$B$6&lt;&gt;"Yes"),"",IFERROR(INDEX(Settings!$C$9:$C$12,MATCH(I120,Settings!$A$9:$A$12,0)),"")))</f>
        <v/>
      </c>
      <c r="K120" s="27" t="str">
        <f aca="false">IF(J120="","",COUNTIF($I$2:I120,I120))</f>
        <v/>
      </c>
      <c r="L120" s="27" t="str">
        <f aca="false">IF(J120="","",CHOOSE(Q120+1,"Tue","Wed","Thu","Fri"))</f>
        <v/>
      </c>
      <c r="M120" s="27" t="str">
        <f aca="false">IF(J120="","",IF(J120=1,"Every week",R120+1&amp;" of "&amp;J120))</f>
        <v/>
      </c>
      <c r="N120" s="28" t="str">
        <f aca="false">IF(J120="","",Settings!$B$4+R120*7+Q120)</f>
        <v/>
      </c>
      <c r="O120" s="28" t="str">
        <f aca="true">IF(J120="","",N120+MAX(0,ROUNDUP((TODAY()-N120)/(J120*7),0))*J120*7)</f>
        <v/>
      </c>
      <c r="P120" s="27" t="str">
        <f aca="false">IF(J120="","",MOD(K120-1,J120*4))</f>
        <v/>
      </c>
      <c r="Q120" s="27" t="str">
        <f aca="false">IF(J120="","",MOD(P120,4))</f>
        <v/>
      </c>
      <c r="R120" s="27" t="str">
        <f aca="false">IF(J120="","",INT(P120/4))</f>
        <v/>
      </c>
      <c r="S120" s="27" t="str">
        <f aca="false">IF(J120="","",IF(AND('Daily Count Sheet'!$H$3=Q120,MOD('Daily Count Sheet'!$I$3,J120)=R120),1,""))</f>
        <v/>
      </c>
      <c r="T120" s="27" t="str">
        <f aca="false">IF(S120=1,COUNTIF($S$2:S120,1),"")</f>
        <v/>
      </c>
    </row>
    <row r="121" customFormat="false" ht="15" hidden="false" customHeight="false" outlineLevel="0" collapsed="false">
      <c r="H121" s="26"/>
      <c r="I121" s="27" t="str">
        <f aca="false">IF(A121="","",IF(H121&lt;&gt;"",UPPER(TRIM(H121)),IFERROR(CHOOSE(VALUE(E121)+1,"A","B","C","D"),IF(OR(LEFT(UPPER(TRIM(E121)),1)="F",UPPER(TRIM(E121))="A"),"A",IF(OR(LEFT(UPPER(TRIM(E121)),1)="M",UPPER(TRIM(E121))="B"),"B",IF(OR(LEFT(UPPER(TRIM(E121)),2)="SL",UPPER(TRIM(E121))="C"),"C",IF(OR(LEFT(UPPER(TRIM(E121)),1)="D",UPPER(TRIM(E121))="D"),"D","")))))))</f>
        <v/>
      </c>
      <c r="J121" s="27" t="str">
        <f aca="false">IF(I121="","",IF(AND(I121="D",Settings!$B$6&lt;&gt;"Yes"),"",IFERROR(INDEX(Settings!$C$9:$C$12,MATCH(I121,Settings!$A$9:$A$12,0)),"")))</f>
        <v/>
      </c>
      <c r="K121" s="27" t="str">
        <f aca="false">IF(J121="","",COUNTIF($I$2:I121,I121))</f>
        <v/>
      </c>
      <c r="L121" s="27" t="str">
        <f aca="false">IF(J121="","",CHOOSE(Q121+1,"Tue","Wed","Thu","Fri"))</f>
        <v/>
      </c>
      <c r="M121" s="27" t="str">
        <f aca="false">IF(J121="","",IF(J121=1,"Every week",R121+1&amp;" of "&amp;J121))</f>
        <v/>
      </c>
      <c r="N121" s="28" t="str">
        <f aca="false">IF(J121="","",Settings!$B$4+R121*7+Q121)</f>
        <v/>
      </c>
      <c r="O121" s="28" t="str">
        <f aca="true">IF(J121="","",N121+MAX(0,ROUNDUP((TODAY()-N121)/(J121*7),0))*J121*7)</f>
        <v/>
      </c>
      <c r="P121" s="27" t="str">
        <f aca="false">IF(J121="","",MOD(K121-1,J121*4))</f>
        <v/>
      </c>
      <c r="Q121" s="27" t="str">
        <f aca="false">IF(J121="","",MOD(P121,4))</f>
        <v/>
      </c>
      <c r="R121" s="27" t="str">
        <f aca="false">IF(J121="","",INT(P121/4))</f>
        <v/>
      </c>
      <c r="S121" s="27" t="str">
        <f aca="false">IF(J121="","",IF(AND('Daily Count Sheet'!$H$3=Q121,MOD('Daily Count Sheet'!$I$3,J121)=R121),1,""))</f>
        <v/>
      </c>
      <c r="T121" s="27" t="str">
        <f aca="false">IF(S121=1,COUNTIF($S$2:S121,1),"")</f>
        <v/>
      </c>
    </row>
    <row r="122" customFormat="false" ht="15" hidden="false" customHeight="false" outlineLevel="0" collapsed="false">
      <c r="H122" s="26"/>
      <c r="I122" s="27" t="str">
        <f aca="false">IF(A122="","",IF(H122&lt;&gt;"",UPPER(TRIM(H122)),IFERROR(CHOOSE(VALUE(E122)+1,"A","B","C","D"),IF(OR(LEFT(UPPER(TRIM(E122)),1)="F",UPPER(TRIM(E122))="A"),"A",IF(OR(LEFT(UPPER(TRIM(E122)),1)="M",UPPER(TRIM(E122))="B"),"B",IF(OR(LEFT(UPPER(TRIM(E122)),2)="SL",UPPER(TRIM(E122))="C"),"C",IF(OR(LEFT(UPPER(TRIM(E122)),1)="D",UPPER(TRIM(E122))="D"),"D","")))))))</f>
        <v/>
      </c>
      <c r="J122" s="27" t="str">
        <f aca="false">IF(I122="","",IF(AND(I122="D",Settings!$B$6&lt;&gt;"Yes"),"",IFERROR(INDEX(Settings!$C$9:$C$12,MATCH(I122,Settings!$A$9:$A$12,0)),"")))</f>
        <v/>
      </c>
      <c r="K122" s="27" t="str">
        <f aca="false">IF(J122="","",COUNTIF($I$2:I122,I122))</f>
        <v/>
      </c>
      <c r="L122" s="27" t="str">
        <f aca="false">IF(J122="","",CHOOSE(Q122+1,"Tue","Wed","Thu","Fri"))</f>
        <v/>
      </c>
      <c r="M122" s="27" t="str">
        <f aca="false">IF(J122="","",IF(J122=1,"Every week",R122+1&amp;" of "&amp;J122))</f>
        <v/>
      </c>
      <c r="N122" s="28" t="str">
        <f aca="false">IF(J122="","",Settings!$B$4+R122*7+Q122)</f>
        <v/>
      </c>
      <c r="O122" s="28" t="str">
        <f aca="true">IF(J122="","",N122+MAX(0,ROUNDUP((TODAY()-N122)/(J122*7),0))*J122*7)</f>
        <v/>
      </c>
      <c r="P122" s="27" t="str">
        <f aca="false">IF(J122="","",MOD(K122-1,J122*4))</f>
        <v/>
      </c>
      <c r="Q122" s="27" t="str">
        <f aca="false">IF(J122="","",MOD(P122,4))</f>
        <v/>
      </c>
      <c r="R122" s="27" t="str">
        <f aca="false">IF(J122="","",INT(P122/4))</f>
        <v/>
      </c>
      <c r="S122" s="27" t="str">
        <f aca="false">IF(J122="","",IF(AND('Daily Count Sheet'!$H$3=Q122,MOD('Daily Count Sheet'!$I$3,J122)=R122),1,""))</f>
        <v/>
      </c>
      <c r="T122" s="27" t="str">
        <f aca="false">IF(S122=1,COUNTIF($S$2:S122,1),"")</f>
        <v/>
      </c>
    </row>
    <row r="123" customFormat="false" ht="15" hidden="false" customHeight="false" outlineLevel="0" collapsed="false">
      <c r="H123" s="26"/>
      <c r="I123" s="27" t="str">
        <f aca="false">IF(A123="","",IF(H123&lt;&gt;"",UPPER(TRIM(H123)),IFERROR(CHOOSE(VALUE(E123)+1,"A","B","C","D"),IF(OR(LEFT(UPPER(TRIM(E123)),1)="F",UPPER(TRIM(E123))="A"),"A",IF(OR(LEFT(UPPER(TRIM(E123)),1)="M",UPPER(TRIM(E123))="B"),"B",IF(OR(LEFT(UPPER(TRIM(E123)),2)="SL",UPPER(TRIM(E123))="C"),"C",IF(OR(LEFT(UPPER(TRIM(E123)),1)="D",UPPER(TRIM(E123))="D"),"D","")))))))</f>
        <v/>
      </c>
      <c r="J123" s="27" t="str">
        <f aca="false">IF(I123="","",IF(AND(I123="D",Settings!$B$6&lt;&gt;"Yes"),"",IFERROR(INDEX(Settings!$C$9:$C$12,MATCH(I123,Settings!$A$9:$A$12,0)),"")))</f>
        <v/>
      </c>
      <c r="K123" s="27" t="str">
        <f aca="false">IF(J123="","",COUNTIF($I$2:I123,I123))</f>
        <v/>
      </c>
      <c r="L123" s="27" t="str">
        <f aca="false">IF(J123="","",CHOOSE(Q123+1,"Tue","Wed","Thu","Fri"))</f>
        <v/>
      </c>
      <c r="M123" s="27" t="str">
        <f aca="false">IF(J123="","",IF(J123=1,"Every week",R123+1&amp;" of "&amp;J123))</f>
        <v/>
      </c>
      <c r="N123" s="28" t="str">
        <f aca="false">IF(J123="","",Settings!$B$4+R123*7+Q123)</f>
        <v/>
      </c>
      <c r="O123" s="28" t="str">
        <f aca="true">IF(J123="","",N123+MAX(0,ROUNDUP((TODAY()-N123)/(J123*7),0))*J123*7)</f>
        <v/>
      </c>
      <c r="P123" s="27" t="str">
        <f aca="false">IF(J123="","",MOD(K123-1,J123*4))</f>
        <v/>
      </c>
      <c r="Q123" s="27" t="str">
        <f aca="false">IF(J123="","",MOD(P123,4))</f>
        <v/>
      </c>
      <c r="R123" s="27" t="str">
        <f aca="false">IF(J123="","",INT(P123/4))</f>
        <v/>
      </c>
      <c r="S123" s="27" t="str">
        <f aca="false">IF(J123="","",IF(AND('Daily Count Sheet'!$H$3=Q123,MOD('Daily Count Sheet'!$I$3,J123)=R123),1,""))</f>
        <v/>
      </c>
      <c r="T123" s="27" t="str">
        <f aca="false">IF(S123=1,COUNTIF($S$2:S123,1),"")</f>
        <v/>
      </c>
    </row>
    <row r="124" customFormat="false" ht="15" hidden="false" customHeight="false" outlineLevel="0" collapsed="false">
      <c r="H124" s="26"/>
      <c r="I124" s="27" t="str">
        <f aca="false">IF(A124="","",IF(H124&lt;&gt;"",UPPER(TRIM(H124)),IFERROR(CHOOSE(VALUE(E124)+1,"A","B","C","D"),IF(OR(LEFT(UPPER(TRIM(E124)),1)="F",UPPER(TRIM(E124))="A"),"A",IF(OR(LEFT(UPPER(TRIM(E124)),1)="M",UPPER(TRIM(E124))="B"),"B",IF(OR(LEFT(UPPER(TRIM(E124)),2)="SL",UPPER(TRIM(E124))="C"),"C",IF(OR(LEFT(UPPER(TRIM(E124)),1)="D",UPPER(TRIM(E124))="D"),"D","")))))))</f>
        <v/>
      </c>
      <c r="J124" s="27" t="str">
        <f aca="false">IF(I124="","",IF(AND(I124="D",Settings!$B$6&lt;&gt;"Yes"),"",IFERROR(INDEX(Settings!$C$9:$C$12,MATCH(I124,Settings!$A$9:$A$12,0)),"")))</f>
        <v/>
      </c>
      <c r="K124" s="27" t="str">
        <f aca="false">IF(J124="","",COUNTIF($I$2:I124,I124))</f>
        <v/>
      </c>
      <c r="L124" s="27" t="str">
        <f aca="false">IF(J124="","",CHOOSE(Q124+1,"Tue","Wed","Thu","Fri"))</f>
        <v/>
      </c>
      <c r="M124" s="27" t="str">
        <f aca="false">IF(J124="","",IF(J124=1,"Every week",R124+1&amp;" of "&amp;J124))</f>
        <v/>
      </c>
      <c r="N124" s="28" t="str">
        <f aca="false">IF(J124="","",Settings!$B$4+R124*7+Q124)</f>
        <v/>
      </c>
      <c r="O124" s="28" t="str">
        <f aca="true">IF(J124="","",N124+MAX(0,ROUNDUP((TODAY()-N124)/(J124*7),0))*J124*7)</f>
        <v/>
      </c>
      <c r="P124" s="27" t="str">
        <f aca="false">IF(J124="","",MOD(K124-1,J124*4))</f>
        <v/>
      </c>
      <c r="Q124" s="27" t="str">
        <f aca="false">IF(J124="","",MOD(P124,4))</f>
        <v/>
      </c>
      <c r="R124" s="27" t="str">
        <f aca="false">IF(J124="","",INT(P124/4))</f>
        <v/>
      </c>
      <c r="S124" s="27" t="str">
        <f aca="false">IF(J124="","",IF(AND('Daily Count Sheet'!$H$3=Q124,MOD('Daily Count Sheet'!$I$3,J124)=R124),1,""))</f>
        <v/>
      </c>
      <c r="T124" s="27" t="str">
        <f aca="false">IF(S124=1,COUNTIF($S$2:S124,1),"")</f>
        <v/>
      </c>
    </row>
    <row r="125" customFormat="false" ht="15" hidden="false" customHeight="false" outlineLevel="0" collapsed="false">
      <c r="H125" s="26"/>
      <c r="I125" s="27" t="str">
        <f aca="false">IF(A125="","",IF(H125&lt;&gt;"",UPPER(TRIM(H125)),IFERROR(CHOOSE(VALUE(E125)+1,"A","B","C","D"),IF(OR(LEFT(UPPER(TRIM(E125)),1)="F",UPPER(TRIM(E125))="A"),"A",IF(OR(LEFT(UPPER(TRIM(E125)),1)="M",UPPER(TRIM(E125))="B"),"B",IF(OR(LEFT(UPPER(TRIM(E125)),2)="SL",UPPER(TRIM(E125))="C"),"C",IF(OR(LEFT(UPPER(TRIM(E125)),1)="D",UPPER(TRIM(E125))="D"),"D","")))))))</f>
        <v/>
      </c>
      <c r="J125" s="27" t="str">
        <f aca="false">IF(I125="","",IF(AND(I125="D",Settings!$B$6&lt;&gt;"Yes"),"",IFERROR(INDEX(Settings!$C$9:$C$12,MATCH(I125,Settings!$A$9:$A$12,0)),"")))</f>
        <v/>
      </c>
      <c r="K125" s="27" t="str">
        <f aca="false">IF(J125="","",COUNTIF($I$2:I125,I125))</f>
        <v/>
      </c>
      <c r="L125" s="27" t="str">
        <f aca="false">IF(J125="","",CHOOSE(Q125+1,"Tue","Wed","Thu","Fri"))</f>
        <v/>
      </c>
      <c r="M125" s="27" t="str">
        <f aca="false">IF(J125="","",IF(J125=1,"Every week",R125+1&amp;" of "&amp;J125))</f>
        <v/>
      </c>
      <c r="N125" s="28" t="str">
        <f aca="false">IF(J125="","",Settings!$B$4+R125*7+Q125)</f>
        <v/>
      </c>
      <c r="O125" s="28" t="str">
        <f aca="true">IF(J125="","",N125+MAX(0,ROUNDUP((TODAY()-N125)/(J125*7),0))*J125*7)</f>
        <v/>
      </c>
      <c r="P125" s="27" t="str">
        <f aca="false">IF(J125="","",MOD(K125-1,J125*4))</f>
        <v/>
      </c>
      <c r="Q125" s="27" t="str">
        <f aca="false">IF(J125="","",MOD(P125,4))</f>
        <v/>
      </c>
      <c r="R125" s="27" t="str">
        <f aca="false">IF(J125="","",INT(P125/4))</f>
        <v/>
      </c>
      <c r="S125" s="27" t="str">
        <f aca="false">IF(J125="","",IF(AND('Daily Count Sheet'!$H$3=Q125,MOD('Daily Count Sheet'!$I$3,J125)=R125),1,""))</f>
        <v/>
      </c>
      <c r="T125" s="27" t="str">
        <f aca="false">IF(S125=1,COUNTIF($S$2:S125,1),"")</f>
        <v/>
      </c>
    </row>
    <row r="126" customFormat="false" ht="15" hidden="false" customHeight="false" outlineLevel="0" collapsed="false">
      <c r="H126" s="26"/>
      <c r="I126" s="27" t="str">
        <f aca="false">IF(A126="","",IF(H126&lt;&gt;"",UPPER(TRIM(H126)),IFERROR(CHOOSE(VALUE(E126)+1,"A","B","C","D"),IF(OR(LEFT(UPPER(TRIM(E126)),1)="F",UPPER(TRIM(E126))="A"),"A",IF(OR(LEFT(UPPER(TRIM(E126)),1)="M",UPPER(TRIM(E126))="B"),"B",IF(OR(LEFT(UPPER(TRIM(E126)),2)="SL",UPPER(TRIM(E126))="C"),"C",IF(OR(LEFT(UPPER(TRIM(E126)),1)="D",UPPER(TRIM(E126))="D"),"D","")))))))</f>
        <v/>
      </c>
      <c r="J126" s="27" t="str">
        <f aca="false">IF(I126="","",IF(AND(I126="D",Settings!$B$6&lt;&gt;"Yes"),"",IFERROR(INDEX(Settings!$C$9:$C$12,MATCH(I126,Settings!$A$9:$A$12,0)),"")))</f>
        <v/>
      </c>
      <c r="K126" s="27" t="str">
        <f aca="false">IF(J126="","",COUNTIF($I$2:I126,I126))</f>
        <v/>
      </c>
      <c r="L126" s="27" t="str">
        <f aca="false">IF(J126="","",CHOOSE(Q126+1,"Tue","Wed","Thu","Fri"))</f>
        <v/>
      </c>
      <c r="M126" s="27" t="str">
        <f aca="false">IF(J126="","",IF(J126=1,"Every week",R126+1&amp;" of "&amp;J126))</f>
        <v/>
      </c>
      <c r="N126" s="28" t="str">
        <f aca="false">IF(J126="","",Settings!$B$4+R126*7+Q126)</f>
        <v/>
      </c>
      <c r="O126" s="28" t="str">
        <f aca="true">IF(J126="","",N126+MAX(0,ROUNDUP((TODAY()-N126)/(J126*7),0))*J126*7)</f>
        <v/>
      </c>
      <c r="P126" s="27" t="str">
        <f aca="false">IF(J126="","",MOD(K126-1,J126*4))</f>
        <v/>
      </c>
      <c r="Q126" s="27" t="str">
        <f aca="false">IF(J126="","",MOD(P126,4))</f>
        <v/>
      </c>
      <c r="R126" s="27" t="str">
        <f aca="false">IF(J126="","",INT(P126/4))</f>
        <v/>
      </c>
      <c r="S126" s="27" t="str">
        <f aca="false">IF(J126="","",IF(AND('Daily Count Sheet'!$H$3=Q126,MOD('Daily Count Sheet'!$I$3,J126)=R126),1,""))</f>
        <v/>
      </c>
      <c r="T126" s="27" t="str">
        <f aca="false">IF(S126=1,COUNTIF($S$2:S126,1),"")</f>
        <v/>
      </c>
    </row>
    <row r="127" customFormat="false" ht="15" hidden="false" customHeight="false" outlineLevel="0" collapsed="false">
      <c r="H127" s="26"/>
      <c r="I127" s="27" t="str">
        <f aca="false">IF(A127="","",IF(H127&lt;&gt;"",UPPER(TRIM(H127)),IFERROR(CHOOSE(VALUE(E127)+1,"A","B","C","D"),IF(OR(LEFT(UPPER(TRIM(E127)),1)="F",UPPER(TRIM(E127))="A"),"A",IF(OR(LEFT(UPPER(TRIM(E127)),1)="M",UPPER(TRIM(E127))="B"),"B",IF(OR(LEFT(UPPER(TRIM(E127)),2)="SL",UPPER(TRIM(E127))="C"),"C",IF(OR(LEFT(UPPER(TRIM(E127)),1)="D",UPPER(TRIM(E127))="D"),"D","")))))))</f>
        <v/>
      </c>
      <c r="J127" s="27" t="str">
        <f aca="false">IF(I127="","",IF(AND(I127="D",Settings!$B$6&lt;&gt;"Yes"),"",IFERROR(INDEX(Settings!$C$9:$C$12,MATCH(I127,Settings!$A$9:$A$12,0)),"")))</f>
        <v/>
      </c>
      <c r="K127" s="27" t="str">
        <f aca="false">IF(J127="","",COUNTIF($I$2:I127,I127))</f>
        <v/>
      </c>
      <c r="L127" s="27" t="str">
        <f aca="false">IF(J127="","",CHOOSE(Q127+1,"Tue","Wed","Thu","Fri"))</f>
        <v/>
      </c>
      <c r="M127" s="27" t="str">
        <f aca="false">IF(J127="","",IF(J127=1,"Every week",R127+1&amp;" of "&amp;J127))</f>
        <v/>
      </c>
      <c r="N127" s="28" t="str">
        <f aca="false">IF(J127="","",Settings!$B$4+R127*7+Q127)</f>
        <v/>
      </c>
      <c r="O127" s="28" t="str">
        <f aca="true">IF(J127="","",N127+MAX(0,ROUNDUP((TODAY()-N127)/(J127*7),0))*J127*7)</f>
        <v/>
      </c>
      <c r="P127" s="27" t="str">
        <f aca="false">IF(J127="","",MOD(K127-1,J127*4))</f>
        <v/>
      </c>
      <c r="Q127" s="27" t="str">
        <f aca="false">IF(J127="","",MOD(P127,4))</f>
        <v/>
      </c>
      <c r="R127" s="27" t="str">
        <f aca="false">IF(J127="","",INT(P127/4))</f>
        <v/>
      </c>
      <c r="S127" s="27" t="str">
        <f aca="false">IF(J127="","",IF(AND('Daily Count Sheet'!$H$3=Q127,MOD('Daily Count Sheet'!$I$3,J127)=R127),1,""))</f>
        <v/>
      </c>
      <c r="T127" s="27" t="str">
        <f aca="false">IF(S127=1,COUNTIF($S$2:S127,1),"")</f>
        <v/>
      </c>
    </row>
    <row r="128" customFormat="false" ht="15" hidden="false" customHeight="false" outlineLevel="0" collapsed="false">
      <c r="H128" s="26"/>
      <c r="I128" s="27" t="str">
        <f aca="false">IF(A128="","",IF(H128&lt;&gt;"",UPPER(TRIM(H128)),IFERROR(CHOOSE(VALUE(E128)+1,"A","B","C","D"),IF(OR(LEFT(UPPER(TRIM(E128)),1)="F",UPPER(TRIM(E128))="A"),"A",IF(OR(LEFT(UPPER(TRIM(E128)),1)="M",UPPER(TRIM(E128))="B"),"B",IF(OR(LEFT(UPPER(TRIM(E128)),2)="SL",UPPER(TRIM(E128))="C"),"C",IF(OR(LEFT(UPPER(TRIM(E128)),1)="D",UPPER(TRIM(E128))="D"),"D","")))))))</f>
        <v/>
      </c>
      <c r="J128" s="27" t="str">
        <f aca="false">IF(I128="","",IF(AND(I128="D",Settings!$B$6&lt;&gt;"Yes"),"",IFERROR(INDEX(Settings!$C$9:$C$12,MATCH(I128,Settings!$A$9:$A$12,0)),"")))</f>
        <v/>
      </c>
      <c r="K128" s="27" t="str">
        <f aca="false">IF(J128="","",COUNTIF($I$2:I128,I128))</f>
        <v/>
      </c>
      <c r="L128" s="27" t="str">
        <f aca="false">IF(J128="","",CHOOSE(Q128+1,"Tue","Wed","Thu","Fri"))</f>
        <v/>
      </c>
      <c r="M128" s="27" t="str">
        <f aca="false">IF(J128="","",IF(J128=1,"Every week",R128+1&amp;" of "&amp;J128))</f>
        <v/>
      </c>
      <c r="N128" s="28" t="str">
        <f aca="false">IF(J128="","",Settings!$B$4+R128*7+Q128)</f>
        <v/>
      </c>
      <c r="O128" s="28" t="str">
        <f aca="true">IF(J128="","",N128+MAX(0,ROUNDUP((TODAY()-N128)/(J128*7),0))*J128*7)</f>
        <v/>
      </c>
      <c r="P128" s="27" t="str">
        <f aca="false">IF(J128="","",MOD(K128-1,J128*4))</f>
        <v/>
      </c>
      <c r="Q128" s="27" t="str">
        <f aca="false">IF(J128="","",MOD(P128,4))</f>
        <v/>
      </c>
      <c r="R128" s="27" t="str">
        <f aca="false">IF(J128="","",INT(P128/4))</f>
        <v/>
      </c>
      <c r="S128" s="27" t="str">
        <f aca="false">IF(J128="","",IF(AND('Daily Count Sheet'!$H$3=Q128,MOD('Daily Count Sheet'!$I$3,J128)=R128),1,""))</f>
        <v/>
      </c>
      <c r="T128" s="27" t="str">
        <f aca="false">IF(S128=1,COUNTIF($S$2:S128,1),"")</f>
        <v/>
      </c>
    </row>
    <row r="129" customFormat="false" ht="15" hidden="false" customHeight="false" outlineLevel="0" collapsed="false">
      <c r="H129" s="26"/>
      <c r="I129" s="27" t="str">
        <f aca="false">IF(A129="","",IF(H129&lt;&gt;"",UPPER(TRIM(H129)),IFERROR(CHOOSE(VALUE(E129)+1,"A","B","C","D"),IF(OR(LEFT(UPPER(TRIM(E129)),1)="F",UPPER(TRIM(E129))="A"),"A",IF(OR(LEFT(UPPER(TRIM(E129)),1)="M",UPPER(TRIM(E129))="B"),"B",IF(OR(LEFT(UPPER(TRIM(E129)),2)="SL",UPPER(TRIM(E129))="C"),"C",IF(OR(LEFT(UPPER(TRIM(E129)),1)="D",UPPER(TRIM(E129))="D"),"D","")))))))</f>
        <v/>
      </c>
      <c r="J129" s="27" t="str">
        <f aca="false">IF(I129="","",IF(AND(I129="D",Settings!$B$6&lt;&gt;"Yes"),"",IFERROR(INDEX(Settings!$C$9:$C$12,MATCH(I129,Settings!$A$9:$A$12,0)),"")))</f>
        <v/>
      </c>
      <c r="K129" s="27" t="str">
        <f aca="false">IF(J129="","",COUNTIF($I$2:I129,I129))</f>
        <v/>
      </c>
      <c r="L129" s="27" t="str">
        <f aca="false">IF(J129="","",CHOOSE(Q129+1,"Tue","Wed","Thu","Fri"))</f>
        <v/>
      </c>
      <c r="M129" s="27" t="str">
        <f aca="false">IF(J129="","",IF(J129=1,"Every week",R129+1&amp;" of "&amp;J129))</f>
        <v/>
      </c>
      <c r="N129" s="28" t="str">
        <f aca="false">IF(J129="","",Settings!$B$4+R129*7+Q129)</f>
        <v/>
      </c>
      <c r="O129" s="28" t="str">
        <f aca="true">IF(J129="","",N129+MAX(0,ROUNDUP((TODAY()-N129)/(J129*7),0))*J129*7)</f>
        <v/>
      </c>
      <c r="P129" s="27" t="str">
        <f aca="false">IF(J129="","",MOD(K129-1,J129*4))</f>
        <v/>
      </c>
      <c r="Q129" s="27" t="str">
        <f aca="false">IF(J129="","",MOD(P129,4))</f>
        <v/>
      </c>
      <c r="R129" s="27" t="str">
        <f aca="false">IF(J129="","",INT(P129/4))</f>
        <v/>
      </c>
      <c r="S129" s="27" t="str">
        <f aca="false">IF(J129="","",IF(AND('Daily Count Sheet'!$H$3=Q129,MOD('Daily Count Sheet'!$I$3,J129)=R129),1,""))</f>
        <v/>
      </c>
      <c r="T129" s="27" t="str">
        <f aca="false">IF(S129=1,COUNTIF($S$2:S129,1),"")</f>
        <v/>
      </c>
    </row>
    <row r="130" customFormat="false" ht="15" hidden="false" customHeight="false" outlineLevel="0" collapsed="false">
      <c r="H130" s="26"/>
      <c r="I130" s="27" t="str">
        <f aca="false">IF(A130="","",IF(H130&lt;&gt;"",UPPER(TRIM(H130)),IFERROR(CHOOSE(VALUE(E130)+1,"A","B","C","D"),IF(OR(LEFT(UPPER(TRIM(E130)),1)="F",UPPER(TRIM(E130))="A"),"A",IF(OR(LEFT(UPPER(TRIM(E130)),1)="M",UPPER(TRIM(E130))="B"),"B",IF(OR(LEFT(UPPER(TRIM(E130)),2)="SL",UPPER(TRIM(E130))="C"),"C",IF(OR(LEFT(UPPER(TRIM(E130)),1)="D",UPPER(TRIM(E130))="D"),"D","")))))))</f>
        <v/>
      </c>
      <c r="J130" s="27" t="str">
        <f aca="false">IF(I130="","",IF(AND(I130="D",Settings!$B$6&lt;&gt;"Yes"),"",IFERROR(INDEX(Settings!$C$9:$C$12,MATCH(I130,Settings!$A$9:$A$12,0)),"")))</f>
        <v/>
      </c>
      <c r="K130" s="27" t="str">
        <f aca="false">IF(J130="","",COUNTIF($I$2:I130,I130))</f>
        <v/>
      </c>
      <c r="L130" s="27" t="str">
        <f aca="false">IF(J130="","",CHOOSE(Q130+1,"Tue","Wed","Thu","Fri"))</f>
        <v/>
      </c>
      <c r="M130" s="27" t="str">
        <f aca="false">IF(J130="","",IF(J130=1,"Every week",R130+1&amp;" of "&amp;J130))</f>
        <v/>
      </c>
      <c r="N130" s="28" t="str">
        <f aca="false">IF(J130="","",Settings!$B$4+R130*7+Q130)</f>
        <v/>
      </c>
      <c r="O130" s="28" t="str">
        <f aca="true">IF(J130="","",N130+MAX(0,ROUNDUP((TODAY()-N130)/(J130*7),0))*J130*7)</f>
        <v/>
      </c>
      <c r="P130" s="27" t="str">
        <f aca="false">IF(J130="","",MOD(K130-1,J130*4))</f>
        <v/>
      </c>
      <c r="Q130" s="27" t="str">
        <f aca="false">IF(J130="","",MOD(P130,4))</f>
        <v/>
      </c>
      <c r="R130" s="27" t="str">
        <f aca="false">IF(J130="","",INT(P130/4))</f>
        <v/>
      </c>
      <c r="S130" s="27" t="str">
        <f aca="false">IF(J130="","",IF(AND('Daily Count Sheet'!$H$3=Q130,MOD('Daily Count Sheet'!$I$3,J130)=R130),1,""))</f>
        <v/>
      </c>
      <c r="T130" s="27" t="str">
        <f aca="false">IF(S130=1,COUNTIF($S$2:S130,1),"")</f>
        <v/>
      </c>
    </row>
    <row r="131" customFormat="false" ht="15" hidden="false" customHeight="false" outlineLevel="0" collapsed="false">
      <c r="H131" s="26"/>
      <c r="I131" s="27" t="str">
        <f aca="false">IF(A131="","",IF(H131&lt;&gt;"",UPPER(TRIM(H131)),IFERROR(CHOOSE(VALUE(E131)+1,"A","B","C","D"),IF(OR(LEFT(UPPER(TRIM(E131)),1)="F",UPPER(TRIM(E131))="A"),"A",IF(OR(LEFT(UPPER(TRIM(E131)),1)="M",UPPER(TRIM(E131))="B"),"B",IF(OR(LEFT(UPPER(TRIM(E131)),2)="SL",UPPER(TRIM(E131))="C"),"C",IF(OR(LEFT(UPPER(TRIM(E131)),1)="D",UPPER(TRIM(E131))="D"),"D","")))))))</f>
        <v/>
      </c>
      <c r="J131" s="27" t="str">
        <f aca="false">IF(I131="","",IF(AND(I131="D",Settings!$B$6&lt;&gt;"Yes"),"",IFERROR(INDEX(Settings!$C$9:$C$12,MATCH(I131,Settings!$A$9:$A$12,0)),"")))</f>
        <v/>
      </c>
      <c r="K131" s="27" t="str">
        <f aca="false">IF(J131="","",COUNTIF($I$2:I131,I131))</f>
        <v/>
      </c>
      <c r="L131" s="27" t="str">
        <f aca="false">IF(J131="","",CHOOSE(Q131+1,"Tue","Wed","Thu","Fri"))</f>
        <v/>
      </c>
      <c r="M131" s="27" t="str">
        <f aca="false">IF(J131="","",IF(J131=1,"Every week",R131+1&amp;" of "&amp;J131))</f>
        <v/>
      </c>
      <c r="N131" s="28" t="str">
        <f aca="false">IF(J131="","",Settings!$B$4+R131*7+Q131)</f>
        <v/>
      </c>
      <c r="O131" s="28" t="str">
        <f aca="true">IF(J131="","",N131+MAX(0,ROUNDUP((TODAY()-N131)/(J131*7),0))*J131*7)</f>
        <v/>
      </c>
      <c r="P131" s="27" t="str">
        <f aca="false">IF(J131="","",MOD(K131-1,J131*4))</f>
        <v/>
      </c>
      <c r="Q131" s="27" t="str">
        <f aca="false">IF(J131="","",MOD(P131,4))</f>
        <v/>
      </c>
      <c r="R131" s="27" t="str">
        <f aca="false">IF(J131="","",INT(P131/4))</f>
        <v/>
      </c>
      <c r="S131" s="27" t="str">
        <f aca="false">IF(J131="","",IF(AND('Daily Count Sheet'!$H$3=Q131,MOD('Daily Count Sheet'!$I$3,J131)=R131),1,""))</f>
        <v/>
      </c>
      <c r="T131" s="27" t="str">
        <f aca="false">IF(S131=1,COUNTIF($S$2:S131,1),"")</f>
        <v/>
      </c>
    </row>
    <row r="132" customFormat="false" ht="15" hidden="false" customHeight="false" outlineLevel="0" collapsed="false">
      <c r="H132" s="26"/>
      <c r="I132" s="27" t="str">
        <f aca="false">IF(A132="","",IF(H132&lt;&gt;"",UPPER(TRIM(H132)),IFERROR(CHOOSE(VALUE(E132)+1,"A","B","C","D"),IF(OR(LEFT(UPPER(TRIM(E132)),1)="F",UPPER(TRIM(E132))="A"),"A",IF(OR(LEFT(UPPER(TRIM(E132)),1)="M",UPPER(TRIM(E132))="B"),"B",IF(OR(LEFT(UPPER(TRIM(E132)),2)="SL",UPPER(TRIM(E132))="C"),"C",IF(OR(LEFT(UPPER(TRIM(E132)),1)="D",UPPER(TRIM(E132))="D"),"D","")))))))</f>
        <v/>
      </c>
      <c r="J132" s="27" t="str">
        <f aca="false">IF(I132="","",IF(AND(I132="D",Settings!$B$6&lt;&gt;"Yes"),"",IFERROR(INDEX(Settings!$C$9:$C$12,MATCH(I132,Settings!$A$9:$A$12,0)),"")))</f>
        <v/>
      </c>
      <c r="K132" s="27" t="str">
        <f aca="false">IF(J132="","",COUNTIF($I$2:I132,I132))</f>
        <v/>
      </c>
      <c r="L132" s="27" t="str">
        <f aca="false">IF(J132="","",CHOOSE(Q132+1,"Tue","Wed","Thu","Fri"))</f>
        <v/>
      </c>
      <c r="M132" s="27" t="str">
        <f aca="false">IF(J132="","",IF(J132=1,"Every week",R132+1&amp;" of "&amp;J132))</f>
        <v/>
      </c>
      <c r="N132" s="28" t="str">
        <f aca="false">IF(J132="","",Settings!$B$4+R132*7+Q132)</f>
        <v/>
      </c>
      <c r="O132" s="28" t="str">
        <f aca="true">IF(J132="","",N132+MAX(0,ROUNDUP((TODAY()-N132)/(J132*7),0))*J132*7)</f>
        <v/>
      </c>
      <c r="P132" s="27" t="str">
        <f aca="false">IF(J132="","",MOD(K132-1,J132*4))</f>
        <v/>
      </c>
      <c r="Q132" s="27" t="str">
        <f aca="false">IF(J132="","",MOD(P132,4))</f>
        <v/>
      </c>
      <c r="R132" s="27" t="str">
        <f aca="false">IF(J132="","",INT(P132/4))</f>
        <v/>
      </c>
      <c r="S132" s="27" t="str">
        <f aca="false">IF(J132="","",IF(AND('Daily Count Sheet'!$H$3=Q132,MOD('Daily Count Sheet'!$I$3,J132)=R132),1,""))</f>
        <v/>
      </c>
      <c r="T132" s="27" t="str">
        <f aca="false">IF(S132=1,COUNTIF($S$2:S132,1),"")</f>
        <v/>
      </c>
    </row>
    <row r="133" customFormat="false" ht="15" hidden="false" customHeight="false" outlineLevel="0" collapsed="false">
      <c r="H133" s="26"/>
      <c r="I133" s="27" t="str">
        <f aca="false">IF(A133="","",IF(H133&lt;&gt;"",UPPER(TRIM(H133)),IFERROR(CHOOSE(VALUE(E133)+1,"A","B","C","D"),IF(OR(LEFT(UPPER(TRIM(E133)),1)="F",UPPER(TRIM(E133))="A"),"A",IF(OR(LEFT(UPPER(TRIM(E133)),1)="M",UPPER(TRIM(E133))="B"),"B",IF(OR(LEFT(UPPER(TRIM(E133)),2)="SL",UPPER(TRIM(E133))="C"),"C",IF(OR(LEFT(UPPER(TRIM(E133)),1)="D",UPPER(TRIM(E133))="D"),"D","")))))))</f>
        <v/>
      </c>
      <c r="J133" s="27" t="str">
        <f aca="false">IF(I133="","",IF(AND(I133="D",Settings!$B$6&lt;&gt;"Yes"),"",IFERROR(INDEX(Settings!$C$9:$C$12,MATCH(I133,Settings!$A$9:$A$12,0)),"")))</f>
        <v/>
      </c>
      <c r="K133" s="27" t="str">
        <f aca="false">IF(J133="","",COUNTIF($I$2:I133,I133))</f>
        <v/>
      </c>
      <c r="L133" s="27" t="str">
        <f aca="false">IF(J133="","",CHOOSE(Q133+1,"Tue","Wed","Thu","Fri"))</f>
        <v/>
      </c>
      <c r="M133" s="27" t="str">
        <f aca="false">IF(J133="","",IF(J133=1,"Every week",R133+1&amp;" of "&amp;J133))</f>
        <v/>
      </c>
      <c r="N133" s="28" t="str">
        <f aca="false">IF(J133="","",Settings!$B$4+R133*7+Q133)</f>
        <v/>
      </c>
      <c r="O133" s="28" t="str">
        <f aca="true">IF(J133="","",N133+MAX(0,ROUNDUP((TODAY()-N133)/(J133*7),0))*J133*7)</f>
        <v/>
      </c>
      <c r="P133" s="27" t="str">
        <f aca="false">IF(J133="","",MOD(K133-1,J133*4))</f>
        <v/>
      </c>
      <c r="Q133" s="27" t="str">
        <f aca="false">IF(J133="","",MOD(P133,4))</f>
        <v/>
      </c>
      <c r="R133" s="27" t="str">
        <f aca="false">IF(J133="","",INT(P133/4))</f>
        <v/>
      </c>
      <c r="S133" s="27" t="str">
        <f aca="false">IF(J133="","",IF(AND('Daily Count Sheet'!$H$3=Q133,MOD('Daily Count Sheet'!$I$3,J133)=R133),1,""))</f>
        <v/>
      </c>
      <c r="T133" s="27" t="str">
        <f aca="false">IF(S133=1,COUNTIF($S$2:S133,1),"")</f>
        <v/>
      </c>
    </row>
    <row r="134" customFormat="false" ht="15" hidden="false" customHeight="false" outlineLevel="0" collapsed="false">
      <c r="H134" s="26"/>
      <c r="I134" s="27" t="str">
        <f aca="false">IF(A134="","",IF(H134&lt;&gt;"",UPPER(TRIM(H134)),IFERROR(CHOOSE(VALUE(E134)+1,"A","B","C","D"),IF(OR(LEFT(UPPER(TRIM(E134)),1)="F",UPPER(TRIM(E134))="A"),"A",IF(OR(LEFT(UPPER(TRIM(E134)),1)="M",UPPER(TRIM(E134))="B"),"B",IF(OR(LEFT(UPPER(TRIM(E134)),2)="SL",UPPER(TRIM(E134))="C"),"C",IF(OR(LEFT(UPPER(TRIM(E134)),1)="D",UPPER(TRIM(E134))="D"),"D","")))))))</f>
        <v/>
      </c>
      <c r="J134" s="27" t="str">
        <f aca="false">IF(I134="","",IF(AND(I134="D",Settings!$B$6&lt;&gt;"Yes"),"",IFERROR(INDEX(Settings!$C$9:$C$12,MATCH(I134,Settings!$A$9:$A$12,0)),"")))</f>
        <v/>
      </c>
      <c r="K134" s="27" t="str">
        <f aca="false">IF(J134="","",COUNTIF($I$2:I134,I134))</f>
        <v/>
      </c>
      <c r="L134" s="27" t="str">
        <f aca="false">IF(J134="","",CHOOSE(Q134+1,"Tue","Wed","Thu","Fri"))</f>
        <v/>
      </c>
      <c r="M134" s="27" t="str">
        <f aca="false">IF(J134="","",IF(J134=1,"Every week",R134+1&amp;" of "&amp;J134))</f>
        <v/>
      </c>
      <c r="N134" s="28" t="str">
        <f aca="false">IF(J134="","",Settings!$B$4+R134*7+Q134)</f>
        <v/>
      </c>
      <c r="O134" s="28" t="str">
        <f aca="true">IF(J134="","",N134+MAX(0,ROUNDUP((TODAY()-N134)/(J134*7),0))*J134*7)</f>
        <v/>
      </c>
      <c r="P134" s="27" t="str">
        <f aca="false">IF(J134="","",MOD(K134-1,J134*4))</f>
        <v/>
      </c>
      <c r="Q134" s="27" t="str">
        <f aca="false">IF(J134="","",MOD(P134,4))</f>
        <v/>
      </c>
      <c r="R134" s="27" t="str">
        <f aca="false">IF(J134="","",INT(P134/4))</f>
        <v/>
      </c>
      <c r="S134" s="27" t="str">
        <f aca="false">IF(J134="","",IF(AND('Daily Count Sheet'!$H$3=Q134,MOD('Daily Count Sheet'!$I$3,J134)=R134),1,""))</f>
        <v/>
      </c>
      <c r="T134" s="27" t="str">
        <f aca="false">IF(S134=1,COUNTIF($S$2:S134,1),"")</f>
        <v/>
      </c>
    </row>
    <row r="135" customFormat="false" ht="15" hidden="false" customHeight="false" outlineLevel="0" collapsed="false">
      <c r="H135" s="26"/>
      <c r="I135" s="27" t="str">
        <f aca="false">IF(A135="","",IF(H135&lt;&gt;"",UPPER(TRIM(H135)),IFERROR(CHOOSE(VALUE(E135)+1,"A","B","C","D"),IF(OR(LEFT(UPPER(TRIM(E135)),1)="F",UPPER(TRIM(E135))="A"),"A",IF(OR(LEFT(UPPER(TRIM(E135)),1)="M",UPPER(TRIM(E135))="B"),"B",IF(OR(LEFT(UPPER(TRIM(E135)),2)="SL",UPPER(TRIM(E135))="C"),"C",IF(OR(LEFT(UPPER(TRIM(E135)),1)="D",UPPER(TRIM(E135))="D"),"D","")))))))</f>
        <v/>
      </c>
      <c r="J135" s="27" t="str">
        <f aca="false">IF(I135="","",IF(AND(I135="D",Settings!$B$6&lt;&gt;"Yes"),"",IFERROR(INDEX(Settings!$C$9:$C$12,MATCH(I135,Settings!$A$9:$A$12,0)),"")))</f>
        <v/>
      </c>
      <c r="K135" s="27" t="str">
        <f aca="false">IF(J135="","",COUNTIF($I$2:I135,I135))</f>
        <v/>
      </c>
      <c r="L135" s="27" t="str">
        <f aca="false">IF(J135="","",CHOOSE(Q135+1,"Tue","Wed","Thu","Fri"))</f>
        <v/>
      </c>
      <c r="M135" s="27" t="str">
        <f aca="false">IF(J135="","",IF(J135=1,"Every week",R135+1&amp;" of "&amp;J135))</f>
        <v/>
      </c>
      <c r="N135" s="28" t="str">
        <f aca="false">IF(J135="","",Settings!$B$4+R135*7+Q135)</f>
        <v/>
      </c>
      <c r="O135" s="28" t="str">
        <f aca="true">IF(J135="","",N135+MAX(0,ROUNDUP((TODAY()-N135)/(J135*7),0))*J135*7)</f>
        <v/>
      </c>
      <c r="P135" s="27" t="str">
        <f aca="false">IF(J135="","",MOD(K135-1,J135*4))</f>
        <v/>
      </c>
      <c r="Q135" s="27" t="str">
        <f aca="false">IF(J135="","",MOD(P135,4))</f>
        <v/>
      </c>
      <c r="R135" s="27" t="str">
        <f aca="false">IF(J135="","",INT(P135/4))</f>
        <v/>
      </c>
      <c r="S135" s="27" t="str">
        <f aca="false">IF(J135="","",IF(AND('Daily Count Sheet'!$H$3=Q135,MOD('Daily Count Sheet'!$I$3,J135)=R135),1,""))</f>
        <v/>
      </c>
      <c r="T135" s="27" t="str">
        <f aca="false">IF(S135=1,COUNTIF($S$2:S135,1),"")</f>
        <v/>
      </c>
    </row>
    <row r="136" customFormat="false" ht="15" hidden="false" customHeight="false" outlineLevel="0" collapsed="false">
      <c r="H136" s="26"/>
      <c r="I136" s="27" t="str">
        <f aca="false">IF(A136="","",IF(H136&lt;&gt;"",UPPER(TRIM(H136)),IFERROR(CHOOSE(VALUE(E136)+1,"A","B","C","D"),IF(OR(LEFT(UPPER(TRIM(E136)),1)="F",UPPER(TRIM(E136))="A"),"A",IF(OR(LEFT(UPPER(TRIM(E136)),1)="M",UPPER(TRIM(E136))="B"),"B",IF(OR(LEFT(UPPER(TRIM(E136)),2)="SL",UPPER(TRIM(E136))="C"),"C",IF(OR(LEFT(UPPER(TRIM(E136)),1)="D",UPPER(TRIM(E136))="D"),"D","")))))))</f>
        <v/>
      </c>
      <c r="J136" s="27" t="str">
        <f aca="false">IF(I136="","",IF(AND(I136="D",Settings!$B$6&lt;&gt;"Yes"),"",IFERROR(INDEX(Settings!$C$9:$C$12,MATCH(I136,Settings!$A$9:$A$12,0)),"")))</f>
        <v/>
      </c>
      <c r="K136" s="27" t="str">
        <f aca="false">IF(J136="","",COUNTIF($I$2:I136,I136))</f>
        <v/>
      </c>
      <c r="L136" s="27" t="str">
        <f aca="false">IF(J136="","",CHOOSE(Q136+1,"Tue","Wed","Thu","Fri"))</f>
        <v/>
      </c>
      <c r="M136" s="27" t="str">
        <f aca="false">IF(J136="","",IF(J136=1,"Every week",R136+1&amp;" of "&amp;J136))</f>
        <v/>
      </c>
      <c r="N136" s="28" t="str">
        <f aca="false">IF(J136="","",Settings!$B$4+R136*7+Q136)</f>
        <v/>
      </c>
      <c r="O136" s="28" t="str">
        <f aca="true">IF(J136="","",N136+MAX(0,ROUNDUP((TODAY()-N136)/(J136*7),0))*J136*7)</f>
        <v/>
      </c>
      <c r="P136" s="27" t="str">
        <f aca="false">IF(J136="","",MOD(K136-1,J136*4))</f>
        <v/>
      </c>
      <c r="Q136" s="27" t="str">
        <f aca="false">IF(J136="","",MOD(P136,4))</f>
        <v/>
      </c>
      <c r="R136" s="27" t="str">
        <f aca="false">IF(J136="","",INT(P136/4))</f>
        <v/>
      </c>
      <c r="S136" s="27" t="str">
        <f aca="false">IF(J136="","",IF(AND('Daily Count Sheet'!$H$3=Q136,MOD('Daily Count Sheet'!$I$3,J136)=R136),1,""))</f>
        <v/>
      </c>
      <c r="T136" s="27" t="str">
        <f aca="false">IF(S136=1,COUNTIF($S$2:S136,1),"")</f>
        <v/>
      </c>
    </row>
    <row r="137" customFormat="false" ht="15" hidden="false" customHeight="false" outlineLevel="0" collapsed="false">
      <c r="H137" s="26"/>
      <c r="I137" s="27" t="str">
        <f aca="false">IF(A137="","",IF(H137&lt;&gt;"",UPPER(TRIM(H137)),IFERROR(CHOOSE(VALUE(E137)+1,"A","B","C","D"),IF(OR(LEFT(UPPER(TRIM(E137)),1)="F",UPPER(TRIM(E137))="A"),"A",IF(OR(LEFT(UPPER(TRIM(E137)),1)="M",UPPER(TRIM(E137))="B"),"B",IF(OR(LEFT(UPPER(TRIM(E137)),2)="SL",UPPER(TRIM(E137))="C"),"C",IF(OR(LEFT(UPPER(TRIM(E137)),1)="D",UPPER(TRIM(E137))="D"),"D","")))))))</f>
        <v/>
      </c>
      <c r="J137" s="27" t="str">
        <f aca="false">IF(I137="","",IF(AND(I137="D",Settings!$B$6&lt;&gt;"Yes"),"",IFERROR(INDEX(Settings!$C$9:$C$12,MATCH(I137,Settings!$A$9:$A$12,0)),"")))</f>
        <v/>
      </c>
      <c r="K137" s="27" t="str">
        <f aca="false">IF(J137="","",COUNTIF($I$2:I137,I137))</f>
        <v/>
      </c>
      <c r="L137" s="27" t="str">
        <f aca="false">IF(J137="","",CHOOSE(Q137+1,"Tue","Wed","Thu","Fri"))</f>
        <v/>
      </c>
      <c r="M137" s="27" t="str">
        <f aca="false">IF(J137="","",IF(J137=1,"Every week",R137+1&amp;" of "&amp;J137))</f>
        <v/>
      </c>
      <c r="N137" s="28" t="str">
        <f aca="false">IF(J137="","",Settings!$B$4+R137*7+Q137)</f>
        <v/>
      </c>
      <c r="O137" s="28" t="str">
        <f aca="true">IF(J137="","",N137+MAX(0,ROUNDUP((TODAY()-N137)/(J137*7),0))*J137*7)</f>
        <v/>
      </c>
      <c r="P137" s="27" t="str">
        <f aca="false">IF(J137="","",MOD(K137-1,J137*4))</f>
        <v/>
      </c>
      <c r="Q137" s="27" t="str">
        <f aca="false">IF(J137="","",MOD(P137,4))</f>
        <v/>
      </c>
      <c r="R137" s="27" t="str">
        <f aca="false">IF(J137="","",INT(P137/4))</f>
        <v/>
      </c>
      <c r="S137" s="27" t="str">
        <f aca="false">IF(J137="","",IF(AND('Daily Count Sheet'!$H$3=Q137,MOD('Daily Count Sheet'!$I$3,J137)=R137),1,""))</f>
        <v/>
      </c>
      <c r="T137" s="27" t="str">
        <f aca="false">IF(S137=1,COUNTIF($S$2:S137,1),"")</f>
        <v/>
      </c>
    </row>
    <row r="138" customFormat="false" ht="15" hidden="false" customHeight="false" outlineLevel="0" collapsed="false">
      <c r="H138" s="26"/>
      <c r="I138" s="27" t="str">
        <f aca="false">IF(A138="","",IF(H138&lt;&gt;"",UPPER(TRIM(H138)),IFERROR(CHOOSE(VALUE(E138)+1,"A","B","C","D"),IF(OR(LEFT(UPPER(TRIM(E138)),1)="F",UPPER(TRIM(E138))="A"),"A",IF(OR(LEFT(UPPER(TRIM(E138)),1)="M",UPPER(TRIM(E138))="B"),"B",IF(OR(LEFT(UPPER(TRIM(E138)),2)="SL",UPPER(TRIM(E138))="C"),"C",IF(OR(LEFT(UPPER(TRIM(E138)),1)="D",UPPER(TRIM(E138))="D"),"D","")))))))</f>
        <v/>
      </c>
      <c r="J138" s="27" t="str">
        <f aca="false">IF(I138="","",IF(AND(I138="D",Settings!$B$6&lt;&gt;"Yes"),"",IFERROR(INDEX(Settings!$C$9:$C$12,MATCH(I138,Settings!$A$9:$A$12,0)),"")))</f>
        <v/>
      </c>
      <c r="K138" s="27" t="str">
        <f aca="false">IF(J138="","",COUNTIF($I$2:I138,I138))</f>
        <v/>
      </c>
      <c r="L138" s="27" t="str">
        <f aca="false">IF(J138="","",CHOOSE(Q138+1,"Tue","Wed","Thu","Fri"))</f>
        <v/>
      </c>
      <c r="M138" s="27" t="str">
        <f aca="false">IF(J138="","",IF(J138=1,"Every week",R138+1&amp;" of "&amp;J138))</f>
        <v/>
      </c>
      <c r="N138" s="28" t="str">
        <f aca="false">IF(J138="","",Settings!$B$4+R138*7+Q138)</f>
        <v/>
      </c>
      <c r="O138" s="28" t="str">
        <f aca="true">IF(J138="","",N138+MAX(0,ROUNDUP((TODAY()-N138)/(J138*7),0))*J138*7)</f>
        <v/>
      </c>
      <c r="P138" s="27" t="str">
        <f aca="false">IF(J138="","",MOD(K138-1,J138*4))</f>
        <v/>
      </c>
      <c r="Q138" s="27" t="str">
        <f aca="false">IF(J138="","",MOD(P138,4))</f>
        <v/>
      </c>
      <c r="R138" s="27" t="str">
        <f aca="false">IF(J138="","",INT(P138/4))</f>
        <v/>
      </c>
      <c r="S138" s="27" t="str">
        <f aca="false">IF(J138="","",IF(AND('Daily Count Sheet'!$H$3=Q138,MOD('Daily Count Sheet'!$I$3,J138)=R138),1,""))</f>
        <v/>
      </c>
      <c r="T138" s="27" t="str">
        <f aca="false">IF(S138=1,COUNTIF($S$2:S138,1),"")</f>
        <v/>
      </c>
    </row>
    <row r="139" customFormat="false" ht="15" hidden="false" customHeight="false" outlineLevel="0" collapsed="false">
      <c r="H139" s="26"/>
      <c r="I139" s="27" t="str">
        <f aca="false">IF(A139="","",IF(H139&lt;&gt;"",UPPER(TRIM(H139)),IFERROR(CHOOSE(VALUE(E139)+1,"A","B","C","D"),IF(OR(LEFT(UPPER(TRIM(E139)),1)="F",UPPER(TRIM(E139))="A"),"A",IF(OR(LEFT(UPPER(TRIM(E139)),1)="M",UPPER(TRIM(E139))="B"),"B",IF(OR(LEFT(UPPER(TRIM(E139)),2)="SL",UPPER(TRIM(E139))="C"),"C",IF(OR(LEFT(UPPER(TRIM(E139)),1)="D",UPPER(TRIM(E139))="D"),"D","")))))))</f>
        <v/>
      </c>
      <c r="J139" s="27" t="str">
        <f aca="false">IF(I139="","",IF(AND(I139="D",Settings!$B$6&lt;&gt;"Yes"),"",IFERROR(INDEX(Settings!$C$9:$C$12,MATCH(I139,Settings!$A$9:$A$12,0)),"")))</f>
        <v/>
      </c>
      <c r="K139" s="27" t="str">
        <f aca="false">IF(J139="","",COUNTIF($I$2:I139,I139))</f>
        <v/>
      </c>
      <c r="L139" s="27" t="str">
        <f aca="false">IF(J139="","",CHOOSE(Q139+1,"Tue","Wed","Thu","Fri"))</f>
        <v/>
      </c>
      <c r="M139" s="27" t="str">
        <f aca="false">IF(J139="","",IF(J139=1,"Every week",R139+1&amp;" of "&amp;J139))</f>
        <v/>
      </c>
      <c r="N139" s="28" t="str">
        <f aca="false">IF(J139="","",Settings!$B$4+R139*7+Q139)</f>
        <v/>
      </c>
      <c r="O139" s="28" t="str">
        <f aca="true">IF(J139="","",N139+MAX(0,ROUNDUP((TODAY()-N139)/(J139*7),0))*J139*7)</f>
        <v/>
      </c>
      <c r="P139" s="27" t="str">
        <f aca="false">IF(J139="","",MOD(K139-1,J139*4))</f>
        <v/>
      </c>
      <c r="Q139" s="27" t="str">
        <f aca="false">IF(J139="","",MOD(P139,4))</f>
        <v/>
      </c>
      <c r="R139" s="27" t="str">
        <f aca="false">IF(J139="","",INT(P139/4))</f>
        <v/>
      </c>
      <c r="S139" s="27" t="str">
        <f aca="false">IF(J139="","",IF(AND('Daily Count Sheet'!$H$3=Q139,MOD('Daily Count Sheet'!$I$3,J139)=R139),1,""))</f>
        <v/>
      </c>
      <c r="T139" s="27" t="str">
        <f aca="false">IF(S139=1,COUNTIF($S$2:S139,1),"")</f>
        <v/>
      </c>
    </row>
    <row r="140" customFormat="false" ht="15" hidden="false" customHeight="false" outlineLevel="0" collapsed="false">
      <c r="H140" s="26"/>
      <c r="I140" s="27" t="str">
        <f aca="false">IF(A140="","",IF(H140&lt;&gt;"",UPPER(TRIM(H140)),IFERROR(CHOOSE(VALUE(E140)+1,"A","B","C","D"),IF(OR(LEFT(UPPER(TRIM(E140)),1)="F",UPPER(TRIM(E140))="A"),"A",IF(OR(LEFT(UPPER(TRIM(E140)),1)="M",UPPER(TRIM(E140))="B"),"B",IF(OR(LEFT(UPPER(TRIM(E140)),2)="SL",UPPER(TRIM(E140))="C"),"C",IF(OR(LEFT(UPPER(TRIM(E140)),1)="D",UPPER(TRIM(E140))="D"),"D","")))))))</f>
        <v/>
      </c>
      <c r="J140" s="27" t="str">
        <f aca="false">IF(I140="","",IF(AND(I140="D",Settings!$B$6&lt;&gt;"Yes"),"",IFERROR(INDEX(Settings!$C$9:$C$12,MATCH(I140,Settings!$A$9:$A$12,0)),"")))</f>
        <v/>
      </c>
      <c r="K140" s="27" t="str">
        <f aca="false">IF(J140="","",COUNTIF($I$2:I140,I140))</f>
        <v/>
      </c>
      <c r="L140" s="27" t="str">
        <f aca="false">IF(J140="","",CHOOSE(Q140+1,"Tue","Wed","Thu","Fri"))</f>
        <v/>
      </c>
      <c r="M140" s="27" t="str">
        <f aca="false">IF(J140="","",IF(J140=1,"Every week",R140+1&amp;" of "&amp;J140))</f>
        <v/>
      </c>
      <c r="N140" s="28" t="str">
        <f aca="false">IF(J140="","",Settings!$B$4+R140*7+Q140)</f>
        <v/>
      </c>
      <c r="O140" s="28" t="str">
        <f aca="true">IF(J140="","",N140+MAX(0,ROUNDUP((TODAY()-N140)/(J140*7),0))*J140*7)</f>
        <v/>
      </c>
      <c r="P140" s="27" t="str">
        <f aca="false">IF(J140="","",MOD(K140-1,J140*4))</f>
        <v/>
      </c>
      <c r="Q140" s="27" t="str">
        <f aca="false">IF(J140="","",MOD(P140,4))</f>
        <v/>
      </c>
      <c r="R140" s="27" t="str">
        <f aca="false">IF(J140="","",INT(P140/4))</f>
        <v/>
      </c>
      <c r="S140" s="27" t="str">
        <f aca="false">IF(J140="","",IF(AND('Daily Count Sheet'!$H$3=Q140,MOD('Daily Count Sheet'!$I$3,J140)=R140),1,""))</f>
        <v/>
      </c>
      <c r="T140" s="27" t="str">
        <f aca="false">IF(S140=1,COUNTIF($S$2:S140,1),"")</f>
        <v/>
      </c>
    </row>
    <row r="141" customFormat="false" ht="15" hidden="false" customHeight="false" outlineLevel="0" collapsed="false">
      <c r="H141" s="26"/>
      <c r="I141" s="27" t="str">
        <f aca="false">IF(A141="","",IF(H141&lt;&gt;"",UPPER(TRIM(H141)),IFERROR(CHOOSE(VALUE(E141)+1,"A","B","C","D"),IF(OR(LEFT(UPPER(TRIM(E141)),1)="F",UPPER(TRIM(E141))="A"),"A",IF(OR(LEFT(UPPER(TRIM(E141)),1)="M",UPPER(TRIM(E141))="B"),"B",IF(OR(LEFT(UPPER(TRIM(E141)),2)="SL",UPPER(TRIM(E141))="C"),"C",IF(OR(LEFT(UPPER(TRIM(E141)),1)="D",UPPER(TRIM(E141))="D"),"D","")))))))</f>
        <v/>
      </c>
      <c r="J141" s="27" t="str">
        <f aca="false">IF(I141="","",IF(AND(I141="D",Settings!$B$6&lt;&gt;"Yes"),"",IFERROR(INDEX(Settings!$C$9:$C$12,MATCH(I141,Settings!$A$9:$A$12,0)),"")))</f>
        <v/>
      </c>
      <c r="K141" s="27" t="str">
        <f aca="false">IF(J141="","",COUNTIF($I$2:I141,I141))</f>
        <v/>
      </c>
      <c r="L141" s="27" t="str">
        <f aca="false">IF(J141="","",CHOOSE(Q141+1,"Tue","Wed","Thu","Fri"))</f>
        <v/>
      </c>
      <c r="M141" s="27" t="str">
        <f aca="false">IF(J141="","",IF(J141=1,"Every week",R141+1&amp;" of "&amp;J141))</f>
        <v/>
      </c>
      <c r="N141" s="28" t="str">
        <f aca="false">IF(J141="","",Settings!$B$4+R141*7+Q141)</f>
        <v/>
      </c>
      <c r="O141" s="28" t="str">
        <f aca="true">IF(J141="","",N141+MAX(0,ROUNDUP((TODAY()-N141)/(J141*7),0))*J141*7)</f>
        <v/>
      </c>
      <c r="P141" s="27" t="str">
        <f aca="false">IF(J141="","",MOD(K141-1,J141*4))</f>
        <v/>
      </c>
      <c r="Q141" s="27" t="str">
        <f aca="false">IF(J141="","",MOD(P141,4))</f>
        <v/>
      </c>
      <c r="R141" s="27" t="str">
        <f aca="false">IF(J141="","",INT(P141/4))</f>
        <v/>
      </c>
      <c r="S141" s="27" t="str">
        <f aca="false">IF(J141="","",IF(AND('Daily Count Sheet'!$H$3=Q141,MOD('Daily Count Sheet'!$I$3,J141)=R141),1,""))</f>
        <v/>
      </c>
      <c r="T141" s="27" t="str">
        <f aca="false">IF(S141=1,COUNTIF($S$2:S141,1),"")</f>
        <v/>
      </c>
    </row>
    <row r="142" customFormat="false" ht="15" hidden="false" customHeight="false" outlineLevel="0" collapsed="false">
      <c r="H142" s="26"/>
      <c r="I142" s="27" t="str">
        <f aca="false">IF(A142="","",IF(H142&lt;&gt;"",UPPER(TRIM(H142)),IFERROR(CHOOSE(VALUE(E142)+1,"A","B","C","D"),IF(OR(LEFT(UPPER(TRIM(E142)),1)="F",UPPER(TRIM(E142))="A"),"A",IF(OR(LEFT(UPPER(TRIM(E142)),1)="M",UPPER(TRIM(E142))="B"),"B",IF(OR(LEFT(UPPER(TRIM(E142)),2)="SL",UPPER(TRIM(E142))="C"),"C",IF(OR(LEFT(UPPER(TRIM(E142)),1)="D",UPPER(TRIM(E142))="D"),"D","")))))))</f>
        <v/>
      </c>
      <c r="J142" s="27" t="str">
        <f aca="false">IF(I142="","",IF(AND(I142="D",Settings!$B$6&lt;&gt;"Yes"),"",IFERROR(INDEX(Settings!$C$9:$C$12,MATCH(I142,Settings!$A$9:$A$12,0)),"")))</f>
        <v/>
      </c>
      <c r="K142" s="27" t="str">
        <f aca="false">IF(J142="","",COUNTIF($I$2:I142,I142))</f>
        <v/>
      </c>
      <c r="L142" s="27" t="str">
        <f aca="false">IF(J142="","",CHOOSE(Q142+1,"Tue","Wed","Thu","Fri"))</f>
        <v/>
      </c>
      <c r="M142" s="27" t="str">
        <f aca="false">IF(J142="","",IF(J142=1,"Every week",R142+1&amp;" of "&amp;J142))</f>
        <v/>
      </c>
      <c r="N142" s="28" t="str">
        <f aca="false">IF(J142="","",Settings!$B$4+R142*7+Q142)</f>
        <v/>
      </c>
      <c r="O142" s="28" t="str">
        <f aca="true">IF(J142="","",N142+MAX(0,ROUNDUP((TODAY()-N142)/(J142*7),0))*J142*7)</f>
        <v/>
      </c>
      <c r="P142" s="27" t="str">
        <f aca="false">IF(J142="","",MOD(K142-1,J142*4))</f>
        <v/>
      </c>
      <c r="Q142" s="27" t="str">
        <f aca="false">IF(J142="","",MOD(P142,4))</f>
        <v/>
      </c>
      <c r="R142" s="27" t="str">
        <f aca="false">IF(J142="","",INT(P142/4))</f>
        <v/>
      </c>
      <c r="S142" s="27" t="str">
        <f aca="false">IF(J142="","",IF(AND('Daily Count Sheet'!$H$3=Q142,MOD('Daily Count Sheet'!$I$3,J142)=R142),1,""))</f>
        <v/>
      </c>
      <c r="T142" s="27" t="str">
        <f aca="false">IF(S142=1,COUNTIF($S$2:S142,1),"")</f>
        <v/>
      </c>
    </row>
    <row r="143" customFormat="false" ht="15" hidden="false" customHeight="false" outlineLevel="0" collapsed="false">
      <c r="H143" s="26"/>
      <c r="I143" s="27" t="str">
        <f aca="false">IF(A143="","",IF(H143&lt;&gt;"",UPPER(TRIM(H143)),IFERROR(CHOOSE(VALUE(E143)+1,"A","B","C","D"),IF(OR(LEFT(UPPER(TRIM(E143)),1)="F",UPPER(TRIM(E143))="A"),"A",IF(OR(LEFT(UPPER(TRIM(E143)),1)="M",UPPER(TRIM(E143))="B"),"B",IF(OR(LEFT(UPPER(TRIM(E143)),2)="SL",UPPER(TRIM(E143))="C"),"C",IF(OR(LEFT(UPPER(TRIM(E143)),1)="D",UPPER(TRIM(E143))="D"),"D","")))))))</f>
        <v/>
      </c>
      <c r="J143" s="27" t="str">
        <f aca="false">IF(I143="","",IF(AND(I143="D",Settings!$B$6&lt;&gt;"Yes"),"",IFERROR(INDEX(Settings!$C$9:$C$12,MATCH(I143,Settings!$A$9:$A$12,0)),"")))</f>
        <v/>
      </c>
      <c r="K143" s="27" t="str">
        <f aca="false">IF(J143="","",COUNTIF($I$2:I143,I143))</f>
        <v/>
      </c>
      <c r="L143" s="27" t="str">
        <f aca="false">IF(J143="","",CHOOSE(Q143+1,"Tue","Wed","Thu","Fri"))</f>
        <v/>
      </c>
      <c r="M143" s="27" t="str">
        <f aca="false">IF(J143="","",IF(J143=1,"Every week",R143+1&amp;" of "&amp;J143))</f>
        <v/>
      </c>
      <c r="N143" s="28" t="str">
        <f aca="false">IF(J143="","",Settings!$B$4+R143*7+Q143)</f>
        <v/>
      </c>
      <c r="O143" s="28" t="str">
        <f aca="true">IF(J143="","",N143+MAX(0,ROUNDUP((TODAY()-N143)/(J143*7),0))*J143*7)</f>
        <v/>
      </c>
      <c r="P143" s="27" t="str">
        <f aca="false">IF(J143="","",MOD(K143-1,J143*4))</f>
        <v/>
      </c>
      <c r="Q143" s="27" t="str">
        <f aca="false">IF(J143="","",MOD(P143,4))</f>
        <v/>
      </c>
      <c r="R143" s="27" t="str">
        <f aca="false">IF(J143="","",INT(P143/4))</f>
        <v/>
      </c>
      <c r="S143" s="27" t="str">
        <f aca="false">IF(J143="","",IF(AND('Daily Count Sheet'!$H$3=Q143,MOD('Daily Count Sheet'!$I$3,J143)=R143),1,""))</f>
        <v/>
      </c>
      <c r="T143" s="27" t="str">
        <f aca="false">IF(S143=1,COUNTIF($S$2:S143,1),"")</f>
        <v/>
      </c>
    </row>
    <row r="144" customFormat="false" ht="15" hidden="false" customHeight="false" outlineLevel="0" collapsed="false">
      <c r="H144" s="26"/>
      <c r="I144" s="27" t="str">
        <f aca="false">IF(A144="","",IF(H144&lt;&gt;"",UPPER(TRIM(H144)),IFERROR(CHOOSE(VALUE(E144)+1,"A","B","C","D"),IF(OR(LEFT(UPPER(TRIM(E144)),1)="F",UPPER(TRIM(E144))="A"),"A",IF(OR(LEFT(UPPER(TRIM(E144)),1)="M",UPPER(TRIM(E144))="B"),"B",IF(OR(LEFT(UPPER(TRIM(E144)),2)="SL",UPPER(TRIM(E144))="C"),"C",IF(OR(LEFT(UPPER(TRIM(E144)),1)="D",UPPER(TRIM(E144))="D"),"D","")))))))</f>
        <v/>
      </c>
      <c r="J144" s="27" t="str">
        <f aca="false">IF(I144="","",IF(AND(I144="D",Settings!$B$6&lt;&gt;"Yes"),"",IFERROR(INDEX(Settings!$C$9:$C$12,MATCH(I144,Settings!$A$9:$A$12,0)),"")))</f>
        <v/>
      </c>
      <c r="K144" s="27" t="str">
        <f aca="false">IF(J144="","",COUNTIF($I$2:I144,I144))</f>
        <v/>
      </c>
      <c r="L144" s="27" t="str">
        <f aca="false">IF(J144="","",CHOOSE(Q144+1,"Tue","Wed","Thu","Fri"))</f>
        <v/>
      </c>
      <c r="M144" s="27" t="str">
        <f aca="false">IF(J144="","",IF(J144=1,"Every week",R144+1&amp;" of "&amp;J144))</f>
        <v/>
      </c>
      <c r="N144" s="28" t="str">
        <f aca="false">IF(J144="","",Settings!$B$4+R144*7+Q144)</f>
        <v/>
      </c>
      <c r="O144" s="28" t="str">
        <f aca="true">IF(J144="","",N144+MAX(0,ROUNDUP((TODAY()-N144)/(J144*7),0))*J144*7)</f>
        <v/>
      </c>
      <c r="P144" s="27" t="str">
        <f aca="false">IF(J144="","",MOD(K144-1,J144*4))</f>
        <v/>
      </c>
      <c r="Q144" s="27" t="str">
        <f aca="false">IF(J144="","",MOD(P144,4))</f>
        <v/>
      </c>
      <c r="R144" s="27" t="str">
        <f aca="false">IF(J144="","",INT(P144/4))</f>
        <v/>
      </c>
      <c r="S144" s="27" t="str">
        <f aca="false">IF(J144="","",IF(AND('Daily Count Sheet'!$H$3=Q144,MOD('Daily Count Sheet'!$I$3,J144)=R144),1,""))</f>
        <v/>
      </c>
      <c r="T144" s="27" t="str">
        <f aca="false">IF(S144=1,COUNTIF($S$2:S144,1),"")</f>
        <v/>
      </c>
    </row>
    <row r="145" customFormat="false" ht="15" hidden="false" customHeight="false" outlineLevel="0" collapsed="false">
      <c r="H145" s="26"/>
      <c r="I145" s="27" t="str">
        <f aca="false">IF(A145="","",IF(H145&lt;&gt;"",UPPER(TRIM(H145)),IFERROR(CHOOSE(VALUE(E145)+1,"A","B","C","D"),IF(OR(LEFT(UPPER(TRIM(E145)),1)="F",UPPER(TRIM(E145))="A"),"A",IF(OR(LEFT(UPPER(TRIM(E145)),1)="M",UPPER(TRIM(E145))="B"),"B",IF(OR(LEFT(UPPER(TRIM(E145)),2)="SL",UPPER(TRIM(E145))="C"),"C",IF(OR(LEFT(UPPER(TRIM(E145)),1)="D",UPPER(TRIM(E145))="D"),"D","")))))))</f>
        <v/>
      </c>
      <c r="J145" s="27" t="str">
        <f aca="false">IF(I145="","",IF(AND(I145="D",Settings!$B$6&lt;&gt;"Yes"),"",IFERROR(INDEX(Settings!$C$9:$C$12,MATCH(I145,Settings!$A$9:$A$12,0)),"")))</f>
        <v/>
      </c>
      <c r="K145" s="27" t="str">
        <f aca="false">IF(J145="","",COUNTIF($I$2:I145,I145))</f>
        <v/>
      </c>
      <c r="L145" s="27" t="str">
        <f aca="false">IF(J145="","",CHOOSE(Q145+1,"Tue","Wed","Thu","Fri"))</f>
        <v/>
      </c>
      <c r="M145" s="27" t="str">
        <f aca="false">IF(J145="","",IF(J145=1,"Every week",R145+1&amp;" of "&amp;J145))</f>
        <v/>
      </c>
      <c r="N145" s="28" t="str">
        <f aca="false">IF(J145="","",Settings!$B$4+R145*7+Q145)</f>
        <v/>
      </c>
      <c r="O145" s="28" t="str">
        <f aca="true">IF(J145="","",N145+MAX(0,ROUNDUP((TODAY()-N145)/(J145*7),0))*J145*7)</f>
        <v/>
      </c>
      <c r="P145" s="27" t="str">
        <f aca="false">IF(J145="","",MOD(K145-1,J145*4))</f>
        <v/>
      </c>
      <c r="Q145" s="27" t="str">
        <f aca="false">IF(J145="","",MOD(P145,4))</f>
        <v/>
      </c>
      <c r="R145" s="27" t="str">
        <f aca="false">IF(J145="","",INT(P145/4))</f>
        <v/>
      </c>
      <c r="S145" s="27" t="str">
        <f aca="false">IF(J145="","",IF(AND('Daily Count Sheet'!$H$3=Q145,MOD('Daily Count Sheet'!$I$3,J145)=R145),1,""))</f>
        <v/>
      </c>
      <c r="T145" s="27" t="str">
        <f aca="false">IF(S145=1,COUNTIF($S$2:S145,1),"")</f>
        <v/>
      </c>
    </row>
    <row r="146" customFormat="false" ht="15" hidden="false" customHeight="false" outlineLevel="0" collapsed="false">
      <c r="H146" s="26"/>
      <c r="I146" s="27" t="str">
        <f aca="false">IF(A146="","",IF(H146&lt;&gt;"",UPPER(TRIM(H146)),IFERROR(CHOOSE(VALUE(E146)+1,"A","B","C","D"),IF(OR(LEFT(UPPER(TRIM(E146)),1)="F",UPPER(TRIM(E146))="A"),"A",IF(OR(LEFT(UPPER(TRIM(E146)),1)="M",UPPER(TRIM(E146))="B"),"B",IF(OR(LEFT(UPPER(TRIM(E146)),2)="SL",UPPER(TRIM(E146))="C"),"C",IF(OR(LEFT(UPPER(TRIM(E146)),1)="D",UPPER(TRIM(E146))="D"),"D","")))))))</f>
        <v/>
      </c>
      <c r="J146" s="27" t="str">
        <f aca="false">IF(I146="","",IF(AND(I146="D",Settings!$B$6&lt;&gt;"Yes"),"",IFERROR(INDEX(Settings!$C$9:$C$12,MATCH(I146,Settings!$A$9:$A$12,0)),"")))</f>
        <v/>
      </c>
      <c r="K146" s="27" t="str">
        <f aca="false">IF(J146="","",COUNTIF($I$2:I146,I146))</f>
        <v/>
      </c>
      <c r="L146" s="27" t="str">
        <f aca="false">IF(J146="","",CHOOSE(Q146+1,"Tue","Wed","Thu","Fri"))</f>
        <v/>
      </c>
      <c r="M146" s="27" t="str">
        <f aca="false">IF(J146="","",IF(J146=1,"Every week",R146+1&amp;" of "&amp;J146))</f>
        <v/>
      </c>
      <c r="N146" s="28" t="str">
        <f aca="false">IF(J146="","",Settings!$B$4+R146*7+Q146)</f>
        <v/>
      </c>
      <c r="O146" s="28" t="str">
        <f aca="true">IF(J146="","",N146+MAX(0,ROUNDUP((TODAY()-N146)/(J146*7),0))*J146*7)</f>
        <v/>
      </c>
      <c r="P146" s="27" t="str">
        <f aca="false">IF(J146="","",MOD(K146-1,J146*4))</f>
        <v/>
      </c>
      <c r="Q146" s="27" t="str">
        <f aca="false">IF(J146="","",MOD(P146,4))</f>
        <v/>
      </c>
      <c r="R146" s="27" t="str">
        <f aca="false">IF(J146="","",INT(P146/4))</f>
        <v/>
      </c>
      <c r="S146" s="27" t="str">
        <f aca="false">IF(J146="","",IF(AND('Daily Count Sheet'!$H$3=Q146,MOD('Daily Count Sheet'!$I$3,J146)=R146),1,""))</f>
        <v/>
      </c>
      <c r="T146" s="27" t="str">
        <f aca="false">IF(S146=1,COUNTIF($S$2:S146,1),"")</f>
        <v/>
      </c>
    </row>
    <row r="147" customFormat="false" ht="15" hidden="false" customHeight="false" outlineLevel="0" collapsed="false">
      <c r="H147" s="26"/>
      <c r="I147" s="27" t="str">
        <f aca="false">IF(A147="","",IF(H147&lt;&gt;"",UPPER(TRIM(H147)),IFERROR(CHOOSE(VALUE(E147)+1,"A","B","C","D"),IF(OR(LEFT(UPPER(TRIM(E147)),1)="F",UPPER(TRIM(E147))="A"),"A",IF(OR(LEFT(UPPER(TRIM(E147)),1)="M",UPPER(TRIM(E147))="B"),"B",IF(OR(LEFT(UPPER(TRIM(E147)),2)="SL",UPPER(TRIM(E147))="C"),"C",IF(OR(LEFT(UPPER(TRIM(E147)),1)="D",UPPER(TRIM(E147))="D"),"D","")))))))</f>
        <v/>
      </c>
      <c r="J147" s="27" t="str">
        <f aca="false">IF(I147="","",IF(AND(I147="D",Settings!$B$6&lt;&gt;"Yes"),"",IFERROR(INDEX(Settings!$C$9:$C$12,MATCH(I147,Settings!$A$9:$A$12,0)),"")))</f>
        <v/>
      </c>
      <c r="K147" s="27" t="str">
        <f aca="false">IF(J147="","",COUNTIF($I$2:I147,I147))</f>
        <v/>
      </c>
      <c r="L147" s="27" t="str">
        <f aca="false">IF(J147="","",CHOOSE(Q147+1,"Tue","Wed","Thu","Fri"))</f>
        <v/>
      </c>
      <c r="M147" s="27" t="str">
        <f aca="false">IF(J147="","",IF(J147=1,"Every week",R147+1&amp;" of "&amp;J147))</f>
        <v/>
      </c>
      <c r="N147" s="28" t="str">
        <f aca="false">IF(J147="","",Settings!$B$4+R147*7+Q147)</f>
        <v/>
      </c>
      <c r="O147" s="28" t="str">
        <f aca="true">IF(J147="","",N147+MAX(0,ROUNDUP((TODAY()-N147)/(J147*7),0))*J147*7)</f>
        <v/>
      </c>
      <c r="P147" s="27" t="str">
        <f aca="false">IF(J147="","",MOD(K147-1,J147*4))</f>
        <v/>
      </c>
      <c r="Q147" s="27" t="str">
        <f aca="false">IF(J147="","",MOD(P147,4))</f>
        <v/>
      </c>
      <c r="R147" s="27" t="str">
        <f aca="false">IF(J147="","",INT(P147/4))</f>
        <v/>
      </c>
      <c r="S147" s="27" t="str">
        <f aca="false">IF(J147="","",IF(AND('Daily Count Sheet'!$H$3=Q147,MOD('Daily Count Sheet'!$I$3,J147)=R147),1,""))</f>
        <v/>
      </c>
      <c r="T147" s="27" t="str">
        <f aca="false">IF(S147=1,COUNTIF($S$2:S147,1),"")</f>
        <v/>
      </c>
    </row>
    <row r="148" customFormat="false" ht="15" hidden="false" customHeight="false" outlineLevel="0" collapsed="false">
      <c r="H148" s="26"/>
      <c r="I148" s="27" t="str">
        <f aca="false">IF(A148="","",IF(H148&lt;&gt;"",UPPER(TRIM(H148)),IFERROR(CHOOSE(VALUE(E148)+1,"A","B","C","D"),IF(OR(LEFT(UPPER(TRIM(E148)),1)="F",UPPER(TRIM(E148))="A"),"A",IF(OR(LEFT(UPPER(TRIM(E148)),1)="M",UPPER(TRIM(E148))="B"),"B",IF(OR(LEFT(UPPER(TRIM(E148)),2)="SL",UPPER(TRIM(E148))="C"),"C",IF(OR(LEFT(UPPER(TRIM(E148)),1)="D",UPPER(TRIM(E148))="D"),"D","")))))))</f>
        <v/>
      </c>
      <c r="J148" s="27" t="str">
        <f aca="false">IF(I148="","",IF(AND(I148="D",Settings!$B$6&lt;&gt;"Yes"),"",IFERROR(INDEX(Settings!$C$9:$C$12,MATCH(I148,Settings!$A$9:$A$12,0)),"")))</f>
        <v/>
      </c>
      <c r="K148" s="27" t="str">
        <f aca="false">IF(J148="","",COUNTIF($I$2:I148,I148))</f>
        <v/>
      </c>
      <c r="L148" s="27" t="str">
        <f aca="false">IF(J148="","",CHOOSE(Q148+1,"Tue","Wed","Thu","Fri"))</f>
        <v/>
      </c>
      <c r="M148" s="27" t="str">
        <f aca="false">IF(J148="","",IF(J148=1,"Every week",R148+1&amp;" of "&amp;J148))</f>
        <v/>
      </c>
      <c r="N148" s="28" t="str">
        <f aca="false">IF(J148="","",Settings!$B$4+R148*7+Q148)</f>
        <v/>
      </c>
      <c r="O148" s="28" t="str">
        <f aca="true">IF(J148="","",N148+MAX(0,ROUNDUP((TODAY()-N148)/(J148*7),0))*J148*7)</f>
        <v/>
      </c>
      <c r="P148" s="27" t="str">
        <f aca="false">IF(J148="","",MOD(K148-1,J148*4))</f>
        <v/>
      </c>
      <c r="Q148" s="27" t="str">
        <f aca="false">IF(J148="","",MOD(P148,4))</f>
        <v/>
      </c>
      <c r="R148" s="27" t="str">
        <f aca="false">IF(J148="","",INT(P148/4))</f>
        <v/>
      </c>
      <c r="S148" s="27" t="str">
        <f aca="false">IF(J148="","",IF(AND('Daily Count Sheet'!$H$3=Q148,MOD('Daily Count Sheet'!$I$3,J148)=R148),1,""))</f>
        <v/>
      </c>
      <c r="T148" s="27" t="str">
        <f aca="false">IF(S148=1,COUNTIF($S$2:S148,1),"")</f>
        <v/>
      </c>
    </row>
    <row r="149" customFormat="false" ht="15" hidden="false" customHeight="false" outlineLevel="0" collapsed="false">
      <c r="H149" s="26"/>
      <c r="I149" s="27" t="str">
        <f aca="false">IF(A149="","",IF(H149&lt;&gt;"",UPPER(TRIM(H149)),IFERROR(CHOOSE(VALUE(E149)+1,"A","B","C","D"),IF(OR(LEFT(UPPER(TRIM(E149)),1)="F",UPPER(TRIM(E149))="A"),"A",IF(OR(LEFT(UPPER(TRIM(E149)),1)="M",UPPER(TRIM(E149))="B"),"B",IF(OR(LEFT(UPPER(TRIM(E149)),2)="SL",UPPER(TRIM(E149))="C"),"C",IF(OR(LEFT(UPPER(TRIM(E149)),1)="D",UPPER(TRIM(E149))="D"),"D","")))))))</f>
        <v/>
      </c>
      <c r="J149" s="27" t="str">
        <f aca="false">IF(I149="","",IF(AND(I149="D",Settings!$B$6&lt;&gt;"Yes"),"",IFERROR(INDEX(Settings!$C$9:$C$12,MATCH(I149,Settings!$A$9:$A$12,0)),"")))</f>
        <v/>
      </c>
      <c r="K149" s="27" t="str">
        <f aca="false">IF(J149="","",COUNTIF($I$2:I149,I149))</f>
        <v/>
      </c>
      <c r="L149" s="27" t="str">
        <f aca="false">IF(J149="","",CHOOSE(Q149+1,"Tue","Wed","Thu","Fri"))</f>
        <v/>
      </c>
      <c r="M149" s="27" t="str">
        <f aca="false">IF(J149="","",IF(J149=1,"Every week",R149+1&amp;" of "&amp;J149))</f>
        <v/>
      </c>
      <c r="N149" s="28" t="str">
        <f aca="false">IF(J149="","",Settings!$B$4+R149*7+Q149)</f>
        <v/>
      </c>
      <c r="O149" s="28" t="str">
        <f aca="true">IF(J149="","",N149+MAX(0,ROUNDUP((TODAY()-N149)/(J149*7),0))*J149*7)</f>
        <v/>
      </c>
      <c r="P149" s="27" t="str">
        <f aca="false">IF(J149="","",MOD(K149-1,J149*4))</f>
        <v/>
      </c>
      <c r="Q149" s="27" t="str">
        <f aca="false">IF(J149="","",MOD(P149,4))</f>
        <v/>
      </c>
      <c r="R149" s="27" t="str">
        <f aca="false">IF(J149="","",INT(P149/4))</f>
        <v/>
      </c>
      <c r="S149" s="27" t="str">
        <f aca="false">IF(J149="","",IF(AND('Daily Count Sheet'!$H$3=Q149,MOD('Daily Count Sheet'!$I$3,J149)=R149),1,""))</f>
        <v/>
      </c>
      <c r="T149" s="27" t="str">
        <f aca="false">IF(S149=1,COUNTIF($S$2:S149,1),"")</f>
        <v/>
      </c>
    </row>
    <row r="150" customFormat="false" ht="15" hidden="false" customHeight="false" outlineLevel="0" collapsed="false">
      <c r="H150" s="26"/>
      <c r="I150" s="27" t="str">
        <f aca="false">IF(A150="","",IF(H150&lt;&gt;"",UPPER(TRIM(H150)),IFERROR(CHOOSE(VALUE(E150)+1,"A","B","C","D"),IF(OR(LEFT(UPPER(TRIM(E150)),1)="F",UPPER(TRIM(E150))="A"),"A",IF(OR(LEFT(UPPER(TRIM(E150)),1)="M",UPPER(TRIM(E150))="B"),"B",IF(OR(LEFT(UPPER(TRIM(E150)),2)="SL",UPPER(TRIM(E150))="C"),"C",IF(OR(LEFT(UPPER(TRIM(E150)),1)="D",UPPER(TRIM(E150))="D"),"D","")))))))</f>
        <v/>
      </c>
      <c r="J150" s="27" t="str">
        <f aca="false">IF(I150="","",IF(AND(I150="D",Settings!$B$6&lt;&gt;"Yes"),"",IFERROR(INDEX(Settings!$C$9:$C$12,MATCH(I150,Settings!$A$9:$A$12,0)),"")))</f>
        <v/>
      </c>
      <c r="K150" s="27" t="str">
        <f aca="false">IF(J150="","",COUNTIF($I$2:I150,I150))</f>
        <v/>
      </c>
      <c r="L150" s="27" t="str">
        <f aca="false">IF(J150="","",CHOOSE(Q150+1,"Tue","Wed","Thu","Fri"))</f>
        <v/>
      </c>
      <c r="M150" s="27" t="str">
        <f aca="false">IF(J150="","",IF(J150=1,"Every week",R150+1&amp;" of "&amp;J150))</f>
        <v/>
      </c>
      <c r="N150" s="28" t="str">
        <f aca="false">IF(J150="","",Settings!$B$4+R150*7+Q150)</f>
        <v/>
      </c>
      <c r="O150" s="28" t="str">
        <f aca="true">IF(J150="","",N150+MAX(0,ROUNDUP((TODAY()-N150)/(J150*7),0))*J150*7)</f>
        <v/>
      </c>
      <c r="P150" s="27" t="str">
        <f aca="false">IF(J150="","",MOD(K150-1,J150*4))</f>
        <v/>
      </c>
      <c r="Q150" s="27" t="str">
        <f aca="false">IF(J150="","",MOD(P150,4))</f>
        <v/>
      </c>
      <c r="R150" s="27" t="str">
        <f aca="false">IF(J150="","",INT(P150/4))</f>
        <v/>
      </c>
      <c r="S150" s="27" t="str">
        <f aca="false">IF(J150="","",IF(AND('Daily Count Sheet'!$H$3=Q150,MOD('Daily Count Sheet'!$I$3,J150)=R150),1,""))</f>
        <v/>
      </c>
      <c r="T150" s="27" t="str">
        <f aca="false">IF(S150=1,COUNTIF($S$2:S150,1),"")</f>
        <v/>
      </c>
    </row>
    <row r="151" customFormat="false" ht="15" hidden="false" customHeight="false" outlineLevel="0" collapsed="false">
      <c r="H151" s="26"/>
      <c r="I151" s="27" t="str">
        <f aca="false">IF(A151="","",IF(H151&lt;&gt;"",UPPER(TRIM(H151)),IFERROR(CHOOSE(VALUE(E151)+1,"A","B","C","D"),IF(OR(LEFT(UPPER(TRIM(E151)),1)="F",UPPER(TRIM(E151))="A"),"A",IF(OR(LEFT(UPPER(TRIM(E151)),1)="M",UPPER(TRIM(E151))="B"),"B",IF(OR(LEFT(UPPER(TRIM(E151)),2)="SL",UPPER(TRIM(E151))="C"),"C",IF(OR(LEFT(UPPER(TRIM(E151)),1)="D",UPPER(TRIM(E151))="D"),"D","")))))))</f>
        <v/>
      </c>
      <c r="J151" s="27" t="str">
        <f aca="false">IF(I151="","",IF(AND(I151="D",Settings!$B$6&lt;&gt;"Yes"),"",IFERROR(INDEX(Settings!$C$9:$C$12,MATCH(I151,Settings!$A$9:$A$12,0)),"")))</f>
        <v/>
      </c>
      <c r="K151" s="27" t="str">
        <f aca="false">IF(J151="","",COUNTIF($I$2:I151,I151))</f>
        <v/>
      </c>
      <c r="L151" s="27" t="str">
        <f aca="false">IF(J151="","",CHOOSE(Q151+1,"Tue","Wed","Thu","Fri"))</f>
        <v/>
      </c>
      <c r="M151" s="27" t="str">
        <f aca="false">IF(J151="","",IF(J151=1,"Every week",R151+1&amp;" of "&amp;J151))</f>
        <v/>
      </c>
      <c r="N151" s="28" t="str">
        <f aca="false">IF(J151="","",Settings!$B$4+R151*7+Q151)</f>
        <v/>
      </c>
      <c r="O151" s="28" t="str">
        <f aca="true">IF(J151="","",N151+MAX(0,ROUNDUP((TODAY()-N151)/(J151*7),0))*J151*7)</f>
        <v/>
      </c>
      <c r="P151" s="27" t="str">
        <f aca="false">IF(J151="","",MOD(K151-1,J151*4))</f>
        <v/>
      </c>
      <c r="Q151" s="27" t="str">
        <f aca="false">IF(J151="","",MOD(P151,4))</f>
        <v/>
      </c>
      <c r="R151" s="27" t="str">
        <f aca="false">IF(J151="","",INT(P151/4))</f>
        <v/>
      </c>
      <c r="S151" s="27" t="str">
        <f aca="false">IF(J151="","",IF(AND('Daily Count Sheet'!$H$3=Q151,MOD('Daily Count Sheet'!$I$3,J151)=R151),1,""))</f>
        <v/>
      </c>
      <c r="T151" s="27" t="str">
        <f aca="false">IF(S151=1,COUNTIF($S$2:S151,1),"")</f>
        <v/>
      </c>
    </row>
    <row r="152" customFormat="false" ht="15" hidden="false" customHeight="false" outlineLevel="0" collapsed="false">
      <c r="H152" s="26"/>
      <c r="I152" s="27" t="str">
        <f aca="false">IF(A152="","",IF(H152&lt;&gt;"",UPPER(TRIM(H152)),IFERROR(CHOOSE(VALUE(E152)+1,"A","B","C","D"),IF(OR(LEFT(UPPER(TRIM(E152)),1)="F",UPPER(TRIM(E152))="A"),"A",IF(OR(LEFT(UPPER(TRIM(E152)),1)="M",UPPER(TRIM(E152))="B"),"B",IF(OR(LEFT(UPPER(TRIM(E152)),2)="SL",UPPER(TRIM(E152))="C"),"C",IF(OR(LEFT(UPPER(TRIM(E152)),1)="D",UPPER(TRIM(E152))="D"),"D","")))))))</f>
        <v/>
      </c>
      <c r="J152" s="27" t="str">
        <f aca="false">IF(I152="","",IF(AND(I152="D",Settings!$B$6&lt;&gt;"Yes"),"",IFERROR(INDEX(Settings!$C$9:$C$12,MATCH(I152,Settings!$A$9:$A$12,0)),"")))</f>
        <v/>
      </c>
      <c r="K152" s="27" t="str">
        <f aca="false">IF(J152="","",COUNTIF($I$2:I152,I152))</f>
        <v/>
      </c>
      <c r="L152" s="27" t="str">
        <f aca="false">IF(J152="","",CHOOSE(Q152+1,"Tue","Wed","Thu","Fri"))</f>
        <v/>
      </c>
      <c r="M152" s="27" t="str">
        <f aca="false">IF(J152="","",IF(J152=1,"Every week",R152+1&amp;" of "&amp;J152))</f>
        <v/>
      </c>
      <c r="N152" s="28" t="str">
        <f aca="false">IF(J152="","",Settings!$B$4+R152*7+Q152)</f>
        <v/>
      </c>
      <c r="O152" s="28" t="str">
        <f aca="true">IF(J152="","",N152+MAX(0,ROUNDUP((TODAY()-N152)/(J152*7),0))*J152*7)</f>
        <v/>
      </c>
      <c r="P152" s="27" t="str">
        <f aca="false">IF(J152="","",MOD(K152-1,J152*4))</f>
        <v/>
      </c>
      <c r="Q152" s="27" t="str">
        <f aca="false">IF(J152="","",MOD(P152,4))</f>
        <v/>
      </c>
      <c r="R152" s="27" t="str">
        <f aca="false">IF(J152="","",INT(P152/4))</f>
        <v/>
      </c>
      <c r="S152" s="27" t="str">
        <f aca="false">IF(J152="","",IF(AND('Daily Count Sheet'!$H$3=Q152,MOD('Daily Count Sheet'!$I$3,J152)=R152),1,""))</f>
        <v/>
      </c>
      <c r="T152" s="27" t="str">
        <f aca="false">IF(S152=1,COUNTIF($S$2:S152,1),"")</f>
        <v/>
      </c>
    </row>
    <row r="153" customFormat="false" ht="15" hidden="false" customHeight="false" outlineLevel="0" collapsed="false">
      <c r="H153" s="26"/>
      <c r="I153" s="27" t="str">
        <f aca="false">IF(A153="","",IF(H153&lt;&gt;"",UPPER(TRIM(H153)),IFERROR(CHOOSE(VALUE(E153)+1,"A","B","C","D"),IF(OR(LEFT(UPPER(TRIM(E153)),1)="F",UPPER(TRIM(E153))="A"),"A",IF(OR(LEFT(UPPER(TRIM(E153)),1)="M",UPPER(TRIM(E153))="B"),"B",IF(OR(LEFT(UPPER(TRIM(E153)),2)="SL",UPPER(TRIM(E153))="C"),"C",IF(OR(LEFT(UPPER(TRIM(E153)),1)="D",UPPER(TRIM(E153))="D"),"D","")))))))</f>
        <v/>
      </c>
      <c r="J153" s="27" t="str">
        <f aca="false">IF(I153="","",IF(AND(I153="D",Settings!$B$6&lt;&gt;"Yes"),"",IFERROR(INDEX(Settings!$C$9:$C$12,MATCH(I153,Settings!$A$9:$A$12,0)),"")))</f>
        <v/>
      </c>
      <c r="K153" s="27" t="str">
        <f aca="false">IF(J153="","",COUNTIF($I$2:I153,I153))</f>
        <v/>
      </c>
      <c r="L153" s="27" t="str">
        <f aca="false">IF(J153="","",CHOOSE(Q153+1,"Tue","Wed","Thu","Fri"))</f>
        <v/>
      </c>
      <c r="M153" s="27" t="str">
        <f aca="false">IF(J153="","",IF(J153=1,"Every week",R153+1&amp;" of "&amp;J153))</f>
        <v/>
      </c>
      <c r="N153" s="28" t="str">
        <f aca="false">IF(J153="","",Settings!$B$4+R153*7+Q153)</f>
        <v/>
      </c>
      <c r="O153" s="28" t="str">
        <f aca="true">IF(J153="","",N153+MAX(0,ROUNDUP((TODAY()-N153)/(J153*7),0))*J153*7)</f>
        <v/>
      </c>
      <c r="P153" s="27" t="str">
        <f aca="false">IF(J153="","",MOD(K153-1,J153*4))</f>
        <v/>
      </c>
      <c r="Q153" s="27" t="str">
        <f aca="false">IF(J153="","",MOD(P153,4))</f>
        <v/>
      </c>
      <c r="R153" s="27" t="str">
        <f aca="false">IF(J153="","",INT(P153/4))</f>
        <v/>
      </c>
      <c r="S153" s="27" t="str">
        <f aca="false">IF(J153="","",IF(AND('Daily Count Sheet'!$H$3=Q153,MOD('Daily Count Sheet'!$I$3,J153)=R153),1,""))</f>
        <v/>
      </c>
      <c r="T153" s="27" t="str">
        <f aca="false">IF(S153=1,COUNTIF($S$2:S153,1),"")</f>
        <v/>
      </c>
    </row>
    <row r="154" customFormat="false" ht="15" hidden="false" customHeight="false" outlineLevel="0" collapsed="false">
      <c r="H154" s="26"/>
      <c r="I154" s="27" t="str">
        <f aca="false">IF(A154="","",IF(H154&lt;&gt;"",UPPER(TRIM(H154)),IFERROR(CHOOSE(VALUE(E154)+1,"A","B","C","D"),IF(OR(LEFT(UPPER(TRIM(E154)),1)="F",UPPER(TRIM(E154))="A"),"A",IF(OR(LEFT(UPPER(TRIM(E154)),1)="M",UPPER(TRIM(E154))="B"),"B",IF(OR(LEFT(UPPER(TRIM(E154)),2)="SL",UPPER(TRIM(E154))="C"),"C",IF(OR(LEFT(UPPER(TRIM(E154)),1)="D",UPPER(TRIM(E154))="D"),"D","")))))))</f>
        <v/>
      </c>
      <c r="J154" s="27" t="str">
        <f aca="false">IF(I154="","",IF(AND(I154="D",Settings!$B$6&lt;&gt;"Yes"),"",IFERROR(INDEX(Settings!$C$9:$C$12,MATCH(I154,Settings!$A$9:$A$12,0)),"")))</f>
        <v/>
      </c>
      <c r="K154" s="27" t="str">
        <f aca="false">IF(J154="","",COUNTIF($I$2:I154,I154))</f>
        <v/>
      </c>
      <c r="L154" s="27" t="str">
        <f aca="false">IF(J154="","",CHOOSE(Q154+1,"Tue","Wed","Thu","Fri"))</f>
        <v/>
      </c>
      <c r="M154" s="27" t="str">
        <f aca="false">IF(J154="","",IF(J154=1,"Every week",R154+1&amp;" of "&amp;J154))</f>
        <v/>
      </c>
      <c r="N154" s="28" t="str">
        <f aca="false">IF(J154="","",Settings!$B$4+R154*7+Q154)</f>
        <v/>
      </c>
      <c r="O154" s="28" t="str">
        <f aca="true">IF(J154="","",N154+MAX(0,ROUNDUP((TODAY()-N154)/(J154*7),0))*J154*7)</f>
        <v/>
      </c>
      <c r="P154" s="27" t="str">
        <f aca="false">IF(J154="","",MOD(K154-1,J154*4))</f>
        <v/>
      </c>
      <c r="Q154" s="27" t="str">
        <f aca="false">IF(J154="","",MOD(P154,4))</f>
        <v/>
      </c>
      <c r="R154" s="27" t="str">
        <f aca="false">IF(J154="","",INT(P154/4))</f>
        <v/>
      </c>
      <c r="S154" s="27" t="str">
        <f aca="false">IF(J154="","",IF(AND('Daily Count Sheet'!$H$3=Q154,MOD('Daily Count Sheet'!$I$3,J154)=R154),1,""))</f>
        <v/>
      </c>
      <c r="T154" s="27" t="str">
        <f aca="false">IF(S154=1,COUNTIF($S$2:S154,1),"")</f>
        <v/>
      </c>
    </row>
    <row r="155" customFormat="false" ht="15" hidden="false" customHeight="false" outlineLevel="0" collapsed="false">
      <c r="H155" s="26"/>
      <c r="I155" s="27" t="str">
        <f aca="false">IF(A155="","",IF(H155&lt;&gt;"",UPPER(TRIM(H155)),IFERROR(CHOOSE(VALUE(E155)+1,"A","B","C","D"),IF(OR(LEFT(UPPER(TRIM(E155)),1)="F",UPPER(TRIM(E155))="A"),"A",IF(OR(LEFT(UPPER(TRIM(E155)),1)="M",UPPER(TRIM(E155))="B"),"B",IF(OR(LEFT(UPPER(TRIM(E155)),2)="SL",UPPER(TRIM(E155))="C"),"C",IF(OR(LEFT(UPPER(TRIM(E155)),1)="D",UPPER(TRIM(E155))="D"),"D","")))))))</f>
        <v/>
      </c>
      <c r="J155" s="27" t="str">
        <f aca="false">IF(I155="","",IF(AND(I155="D",Settings!$B$6&lt;&gt;"Yes"),"",IFERROR(INDEX(Settings!$C$9:$C$12,MATCH(I155,Settings!$A$9:$A$12,0)),"")))</f>
        <v/>
      </c>
      <c r="K155" s="27" t="str">
        <f aca="false">IF(J155="","",COUNTIF($I$2:I155,I155))</f>
        <v/>
      </c>
      <c r="L155" s="27" t="str">
        <f aca="false">IF(J155="","",CHOOSE(Q155+1,"Tue","Wed","Thu","Fri"))</f>
        <v/>
      </c>
      <c r="M155" s="27" t="str">
        <f aca="false">IF(J155="","",IF(J155=1,"Every week",R155+1&amp;" of "&amp;J155))</f>
        <v/>
      </c>
      <c r="N155" s="28" t="str">
        <f aca="false">IF(J155="","",Settings!$B$4+R155*7+Q155)</f>
        <v/>
      </c>
      <c r="O155" s="28" t="str">
        <f aca="true">IF(J155="","",N155+MAX(0,ROUNDUP((TODAY()-N155)/(J155*7),0))*J155*7)</f>
        <v/>
      </c>
      <c r="P155" s="27" t="str">
        <f aca="false">IF(J155="","",MOD(K155-1,J155*4))</f>
        <v/>
      </c>
      <c r="Q155" s="27" t="str">
        <f aca="false">IF(J155="","",MOD(P155,4))</f>
        <v/>
      </c>
      <c r="R155" s="27" t="str">
        <f aca="false">IF(J155="","",INT(P155/4))</f>
        <v/>
      </c>
      <c r="S155" s="27" t="str">
        <f aca="false">IF(J155="","",IF(AND('Daily Count Sheet'!$H$3=Q155,MOD('Daily Count Sheet'!$I$3,J155)=R155),1,""))</f>
        <v/>
      </c>
      <c r="T155" s="27" t="str">
        <f aca="false">IF(S155=1,COUNTIF($S$2:S155,1),"")</f>
        <v/>
      </c>
    </row>
    <row r="156" customFormat="false" ht="15" hidden="false" customHeight="false" outlineLevel="0" collapsed="false">
      <c r="H156" s="26"/>
      <c r="I156" s="27" t="str">
        <f aca="false">IF(A156="","",IF(H156&lt;&gt;"",UPPER(TRIM(H156)),IFERROR(CHOOSE(VALUE(E156)+1,"A","B","C","D"),IF(OR(LEFT(UPPER(TRIM(E156)),1)="F",UPPER(TRIM(E156))="A"),"A",IF(OR(LEFT(UPPER(TRIM(E156)),1)="M",UPPER(TRIM(E156))="B"),"B",IF(OR(LEFT(UPPER(TRIM(E156)),2)="SL",UPPER(TRIM(E156))="C"),"C",IF(OR(LEFT(UPPER(TRIM(E156)),1)="D",UPPER(TRIM(E156))="D"),"D","")))))))</f>
        <v/>
      </c>
      <c r="J156" s="27" t="str">
        <f aca="false">IF(I156="","",IF(AND(I156="D",Settings!$B$6&lt;&gt;"Yes"),"",IFERROR(INDEX(Settings!$C$9:$C$12,MATCH(I156,Settings!$A$9:$A$12,0)),"")))</f>
        <v/>
      </c>
      <c r="K156" s="27" t="str">
        <f aca="false">IF(J156="","",COUNTIF($I$2:I156,I156))</f>
        <v/>
      </c>
      <c r="L156" s="27" t="str">
        <f aca="false">IF(J156="","",CHOOSE(Q156+1,"Tue","Wed","Thu","Fri"))</f>
        <v/>
      </c>
      <c r="M156" s="27" t="str">
        <f aca="false">IF(J156="","",IF(J156=1,"Every week",R156+1&amp;" of "&amp;J156))</f>
        <v/>
      </c>
      <c r="N156" s="28" t="str">
        <f aca="false">IF(J156="","",Settings!$B$4+R156*7+Q156)</f>
        <v/>
      </c>
      <c r="O156" s="28" t="str">
        <f aca="true">IF(J156="","",N156+MAX(0,ROUNDUP((TODAY()-N156)/(J156*7),0))*J156*7)</f>
        <v/>
      </c>
      <c r="P156" s="27" t="str">
        <f aca="false">IF(J156="","",MOD(K156-1,J156*4))</f>
        <v/>
      </c>
      <c r="Q156" s="27" t="str">
        <f aca="false">IF(J156="","",MOD(P156,4))</f>
        <v/>
      </c>
      <c r="R156" s="27" t="str">
        <f aca="false">IF(J156="","",INT(P156/4))</f>
        <v/>
      </c>
      <c r="S156" s="27" t="str">
        <f aca="false">IF(J156="","",IF(AND('Daily Count Sheet'!$H$3=Q156,MOD('Daily Count Sheet'!$I$3,J156)=R156),1,""))</f>
        <v/>
      </c>
      <c r="T156" s="27" t="str">
        <f aca="false">IF(S156=1,COUNTIF($S$2:S156,1),"")</f>
        <v/>
      </c>
    </row>
    <row r="157" customFormat="false" ht="15" hidden="false" customHeight="false" outlineLevel="0" collapsed="false">
      <c r="H157" s="26"/>
      <c r="I157" s="27" t="str">
        <f aca="false">IF(A157="","",IF(H157&lt;&gt;"",UPPER(TRIM(H157)),IFERROR(CHOOSE(VALUE(E157)+1,"A","B","C","D"),IF(OR(LEFT(UPPER(TRIM(E157)),1)="F",UPPER(TRIM(E157))="A"),"A",IF(OR(LEFT(UPPER(TRIM(E157)),1)="M",UPPER(TRIM(E157))="B"),"B",IF(OR(LEFT(UPPER(TRIM(E157)),2)="SL",UPPER(TRIM(E157))="C"),"C",IF(OR(LEFT(UPPER(TRIM(E157)),1)="D",UPPER(TRIM(E157))="D"),"D","")))))))</f>
        <v/>
      </c>
      <c r="J157" s="27" t="str">
        <f aca="false">IF(I157="","",IF(AND(I157="D",Settings!$B$6&lt;&gt;"Yes"),"",IFERROR(INDEX(Settings!$C$9:$C$12,MATCH(I157,Settings!$A$9:$A$12,0)),"")))</f>
        <v/>
      </c>
      <c r="K157" s="27" t="str">
        <f aca="false">IF(J157="","",COUNTIF($I$2:I157,I157))</f>
        <v/>
      </c>
      <c r="L157" s="27" t="str">
        <f aca="false">IF(J157="","",CHOOSE(Q157+1,"Tue","Wed","Thu","Fri"))</f>
        <v/>
      </c>
      <c r="M157" s="27" t="str">
        <f aca="false">IF(J157="","",IF(J157=1,"Every week",R157+1&amp;" of "&amp;J157))</f>
        <v/>
      </c>
      <c r="N157" s="28" t="str">
        <f aca="false">IF(J157="","",Settings!$B$4+R157*7+Q157)</f>
        <v/>
      </c>
      <c r="O157" s="28" t="str">
        <f aca="true">IF(J157="","",N157+MAX(0,ROUNDUP((TODAY()-N157)/(J157*7),0))*J157*7)</f>
        <v/>
      </c>
      <c r="P157" s="27" t="str">
        <f aca="false">IF(J157="","",MOD(K157-1,J157*4))</f>
        <v/>
      </c>
      <c r="Q157" s="27" t="str">
        <f aca="false">IF(J157="","",MOD(P157,4))</f>
        <v/>
      </c>
      <c r="R157" s="27" t="str">
        <f aca="false">IF(J157="","",INT(P157/4))</f>
        <v/>
      </c>
      <c r="S157" s="27" t="str">
        <f aca="false">IF(J157="","",IF(AND('Daily Count Sheet'!$H$3=Q157,MOD('Daily Count Sheet'!$I$3,J157)=R157),1,""))</f>
        <v/>
      </c>
      <c r="T157" s="27" t="str">
        <f aca="false">IF(S157=1,COUNTIF($S$2:S157,1),"")</f>
        <v/>
      </c>
    </row>
    <row r="158" customFormat="false" ht="15" hidden="false" customHeight="false" outlineLevel="0" collapsed="false">
      <c r="H158" s="26"/>
      <c r="I158" s="27" t="str">
        <f aca="false">IF(A158="","",IF(H158&lt;&gt;"",UPPER(TRIM(H158)),IFERROR(CHOOSE(VALUE(E158)+1,"A","B","C","D"),IF(OR(LEFT(UPPER(TRIM(E158)),1)="F",UPPER(TRIM(E158))="A"),"A",IF(OR(LEFT(UPPER(TRIM(E158)),1)="M",UPPER(TRIM(E158))="B"),"B",IF(OR(LEFT(UPPER(TRIM(E158)),2)="SL",UPPER(TRIM(E158))="C"),"C",IF(OR(LEFT(UPPER(TRIM(E158)),1)="D",UPPER(TRIM(E158))="D"),"D","")))))))</f>
        <v/>
      </c>
      <c r="J158" s="27" t="str">
        <f aca="false">IF(I158="","",IF(AND(I158="D",Settings!$B$6&lt;&gt;"Yes"),"",IFERROR(INDEX(Settings!$C$9:$C$12,MATCH(I158,Settings!$A$9:$A$12,0)),"")))</f>
        <v/>
      </c>
      <c r="K158" s="27" t="str">
        <f aca="false">IF(J158="","",COUNTIF($I$2:I158,I158))</f>
        <v/>
      </c>
      <c r="L158" s="27" t="str">
        <f aca="false">IF(J158="","",CHOOSE(Q158+1,"Tue","Wed","Thu","Fri"))</f>
        <v/>
      </c>
      <c r="M158" s="27" t="str">
        <f aca="false">IF(J158="","",IF(J158=1,"Every week",R158+1&amp;" of "&amp;J158))</f>
        <v/>
      </c>
      <c r="N158" s="28" t="str">
        <f aca="false">IF(J158="","",Settings!$B$4+R158*7+Q158)</f>
        <v/>
      </c>
      <c r="O158" s="28" t="str">
        <f aca="true">IF(J158="","",N158+MAX(0,ROUNDUP((TODAY()-N158)/(J158*7),0))*J158*7)</f>
        <v/>
      </c>
      <c r="P158" s="27" t="str">
        <f aca="false">IF(J158="","",MOD(K158-1,J158*4))</f>
        <v/>
      </c>
      <c r="Q158" s="27" t="str">
        <f aca="false">IF(J158="","",MOD(P158,4))</f>
        <v/>
      </c>
      <c r="R158" s="27" t="str">
        <f aca="false">IF(J158="","",INT(P158/4))</f>
        <v/>
      </c>
      <c r="S158" s="27" t="str">
        <f aca="false">IF(J158="","",IF(AND('Daily Count Sheet'!$H$3=Q158,MOD('Daily Count Sheet'!$I$3,J158)=R158),1,""))</f>
        <v/>
      </c>
      <c r="T158" s="27" t="str">
        <f aca="false">IF(S158=1,COUNTIF($S$2:S158,1),"")</f>
        <v/>
      </c>
    </row>
    <row r="159" customFormat="false" ht="15" hidden="false" customHeight="false" outlineLevel="0" collapsed="false">
      <c r="H159" s="26"/>
      <c r="I159" s="27" t="str">
        <f aca="false">IF(A159="","",IF(H159&lt;&gt;"",UPPER(TRIM(H159)),IFERROR(CHOOSE(VALUE(E159)+1,"A","B","C","D"),IF(OR(LEFT(UPPER(TRIM(E159)),1)="F",UPPER(TRIM(E159))="A"),"A",IF(OR(LEFT(UPPER(TRIM(E159)),1)="M",UPPER(TRIM(E159))="B"),"B",IF(OR(LEFT(UPPER(TRIM(E159)),2)="SL",UPPER(TRIM(E159))="C"),"C",IF(OR(LEFT(UPPER(TRIM(E159)),1)="D",UPPER(TRIM(E159))="D"),"D","")))))))</f>
        <v/>
      </c>
      <c r="J159" s="27" t="str">
        <f aca="false">IF(I159="","",IF(AND(I159="D",Settings!$B$6&lt;&gt;"Yes"),"",IFERROR(INDEX(Settings!$C$9:$C$12,MATCH(I159,Settings!$A$9:$A$12,0)),"")))</f>
        <v/>
      </c>
      <c r="K159" s="27" t="str">
        <f aca="false">IF(J159="","",COUNTIF($I$2:I159,I159))</f>
        <v/>
      </c>
      <c r="L159" s="27" t="str">
        <f aca="false">IF(J159="","",CHOOSE(Q159+1,"Tue","Wed","Thu","Fri"))</f>
        <v/>
      </c>
      <c r="M159" s="27" t="str">
        <f aca="false">IF(J159="","",IF(J159=1,"Every week",R159+1&amp;" of "&amp;J159))</f>
        <v/>
      </c>
      <c r="N159" s="28" t="str">
        <f aca="false">IF(J159="","",Settings!$B$4+R159*7+Q159)</f>
        <v/>
      </c>
      <c r="O159" s="28" t="str">
        <f aca="true">IF(J159="","",N159+MAX(0,ROUNDUP((TODAY()-N159)/(J159*7),0))*J159*7)</f>
        <v/>
      </c>
      <c r="P159" s="27" t="str">
        <f aca="false">IF(J159="","",MOD(K159-1,J159*4))</f>
        <v/>
      </c>
      <c r="Q159" s="27" t="str">
        <f aca="false">IF(J159="","",MOD(P159,4))</f>
        <v/>
      </c>
      <c r="R159" s="27" t="str">
        <f aca="false">IF(J159="","",INT(P159/4))</f>
        <v/>
      </c>
      <c r="S159" s="27" t="str">
        <f aca="false">IF(J159="","",IF(AND('Daily Count Sheet'!$H$3=Q159,MOD('Daily Count Sheet'!$I$3,J159)=R159),1,""))</f>
        <v/>
      </c>
      <c r="T159" s="27" t="str">
        <f aca="false">IF(S159=1,COUNTIF($S$2:S159,1),"")</f>
        <v/>
      </c>
    </row>
    <row r="160" customFormat="false" ht="15" hidden="false" customHeight="false" outlineLevel="0" collapsed="false">
      <c r="H160" s="26"/>
      <c r="I160" s="27" t="str">
        <f aca="false">IF(A160="","",IF(H160&lt;&gt;"",UPPER(TRIM(H160)),IFERROR(CHOOSE(VALUE(E160)+1,"A","B","C","D"),IF(OR(LEFT(UPPER(TRIM(E160)),1)="F",UPPER(TRIM(E160))="A"),"A",IF(OR(LEFT(UPPER(TRIM(E160)),1)="M",UPPER(TRIM(E160))="B"),"B",IF(OR(LEFT(UPPER(TRIM(E160)),2)="SL",UPPER(TRIM(E160))="C"),"C",IF(OR(LEFT(UPPER(TRIM(E160)),1)="D",UPPER(TRIM(E160))="D"),"D","")))))))</f>
        <v/>
      </c>
      <c r="J160" s="27" t="str">
        <f aca="false">IF(I160="","",IF(AND(I160="D",Settings!$B$6&lt;&gt;"Yes"),"",IFERROR(INDEX(Settings!$C$9:$C$12,MATCH(I160,Settings!$A$9:$A$12,0)),"")))</f>
        <v/>
      </c>
      <c r="K160" s="27" t="str">
        <f aca="false">IF(J160="","",COUNTIF($I$2:I160,I160))</f>
        <v/>
      </c>
      <c r="L160" s="27" t="str">
        <f aca="false">IF(J160="","",CHOOSE(Q160+1,"Tue","Wed","Thu","Fri"))</f>
        <v/>
      </c>
      <c r="M160" s="27" t="str">
        <f aca="false">IF(J160="","",IF(J160=1,"Every week",R160+1&amp;" of "&amp;J160))</f>
        <v/>
      </c>
      <c r="N160" s="28" t="str">
        <f aca="false">IF(J160="","",Settings!$B$4+R160*7+Q160)</f>
        <v/>
      </c>
      <c r="O160" s="28" t="str">
        <f aca="true">IF(J160="","",N160+MAX(0,ROUNDUP((TODAY()-N160)/(J160*7),0))*J160*7)</f>
        <v/>
      </c>
      <c r="P160" s="27" t="str">
        <f aca="false">IF(J160="","",MOD(K160-1,J160*4))</f>
        <v/>
      </c>
      <c r="Q160" s="27" t="str">
        <f aca="false">IF(J160="","",MOD(P160,4))</f>
        <v/>
      </c>
      <c r="R160" s="27" t="str">
        <f aca="false">IF(J160="","",INT(P160/4))</f>
        <v/>
      </c>
      <c r="S160" s="27" t="str">
        <f aca="false">IF(J160="","",IF(AND('Daily Count Sheet'!$H$3=Q160,MOD('Daily Count Sheet'!$I$3,J160)=R160),1,""))</f>
        <v/>
      </c>
      <c r="T160" s="27" t="str">
        <f aca="false">IF(S160=1,COUNTIF($S$2:S160,1),"")</f>
        <v/>
      </c>
    </row>
    <row r="161" customFormat="false" ht="15" hidden="false" customHeight="false" outlineLevel="0" collapsed="false">
      <c r="H161" s="26"/>
      <c r="I161" s="27" t="str">
        <f aca="false">IF(A161="","",IF(H161&lt;&gt;"",UPPER(TRIM(H161)),IFERROR(CHOOSE(VALUE(E161)+1,"A","B","C","D"),IF(OR(LEFT(UPPER(TRIM(E161)),1)="F",UPPER(TRIM(E161))="A"),"A",IF(OR(LEFT(UPPER(TRIM(E161)),1)="M",UPPER(TRIM(E161))="B"),"B",IF(OR(LEFT(UPPER(TRIM(E161)),2)="SL",UPPER(TRIM(E161))="C"),"C",IF(OR(LEFT(UPPER(TRIM(E161)),1)="D",UPPER(TRIM(E161))="D"),"D","")))))))</f>
        <v/>
      </c>
      <c r="J161" s="27" t="str">
        <f aca="false">IF(I161="","",IF(AND(I161="D",Settings!$B$6&lt;&gt;"Yes"),"",IFERROR(INDEX(Settings!$C$9:$C$12,MATCH(I161,Settings!$A$9:$A$12,0)),"")))</f>
        <v/>
      </c>
      <c r="K161" s="27" t="str">
        <f aca="false">IF(J161="","",COUNTIF($I$2:I161,I161))</f>
        <v/>
      </c>
      <c r="L161" s="27" t="str">
        <f aca="false">IF(J161="","",CHOOSE(Q161+1,"Tue","Wed","Thu","Fri"))</f>
        <v/>
      </c>
      <c r="M161" s="27" t="str">
        <f aca="false">IF(J161="","",IF(J161=1,"Every week",R161+1&amp;" of "&amp;J161))</f>
        <v/>
      </c>
      <c r="N161" s="28" t="str">
        <f aca="false">IF(J161="","",Settings!$B$4+R161*7+Q161)</f>
        <v/>
      </c>
      <c r="O161" s="28" t="str">
        <f aca="true">IF(J161="","",N161+MAX(0,ROUNDUP((TODAY()-N161)/(J161*7),0))*J161*7)</f>
        <v/>
      </c>
      <c r="P161" s="27" t="str">
        <f aca="false">IF(J161="","",MOD(K161-1,J161*4))</f>
        <v/>
      </c>
      <c r="Q161" s="27" t="str">
        <f aca="false">IF(J161="","",MOD(P161,4))</f>
        <v/>
      </c>
      <c r="R161" s="27" t="str">
        <f aca="false">IF(J161="","",INT(P161/4))</f>
        <v/>
      </c>
      <c r="S161" s="27" t="str">
        <f aca="false">IF(J161="","",IF(AND('Daily Count Sheet'!$H$3=Q161,MOD('Daily Count Sheet'!$I$3,J161)=R161),1,""))</f>
        <v/>
      </c>
      <c r="T161" s="27" t="str">
        <f aca="false">IF(S161=1,COUNTIF($S$2:S161,1),"")</f>
        <v/>
      </c>
    </row>
    <row r="162" customFormat="false" ht="15" hidden="false" customHeight="false" outlineLevel="0" collapsed="false">
      <c r="H162" s="26"/>
      <c r="I162" s="27" t="str">
        <f aca="false">IF(A162="","",IF(H162&lt;&gt;"",UPPER(TRIM(H162)),IFERROR(CHOOSE(VALUE(E162)+1,"A","B","C","D"),IF(OR(LEFT(UPPER(TRIM(E162)),1)="F",UPPER(TRIM(E162))="A"),"A",IF(OR(LEFT(UPPER(TRIM(E162)),1)="M",UPPER(TRIM(E162))="B"),"B",IF(OR(LEFT(UPPER(TRIM(E162)),2)="SL",UPPER(TRIM(E162))="C"),"C",IF(OR(LEFT(UPPER(TRIM(E162)),1)="D",UPPER(TRIM(E162))="D"),"D","")))))))</f>
        <v/>
      </c>
      <c r="J162" s="27" t="str">
        <f aca="false">IF(I162="","",IF(AND(I162="D",Settings!$B$6&lt;&gt;"Yes"),"",IFERROR(INDEX(Settings!$C$9:$C$12,MATCH(I162,Settings!$A$9:$A$12,0)),"")))</f>
        <v/>
      </c>
      <c r="K162" s="27" t="str">
        <f aca="false">IF(J162="","",COUNTIF($I$2:I162,I162))</f>
        <v/>
      </c>
      <c r="L162" s="27" t="str">
        <f aca="false">IF(J162="","",CHOOSE(Q162+1,"Tue","Wed","Thu","Fri"))</f>
        <v/>
      </c>
      <c r="M162" s="27" t="str">
        <f aca="false">IF(J162="","",IF(J162=1,"Every week",R162+1&amp;" of "&amp;J162))</f>
        <v/>
      </c>
      <c r="N162" s="28" t="str">
        <f aca="false">IF(J162="","",Settings!$B$4+R162*7+Q162)</f>
        <v/>
      </c>
      <c r="O162" s="28" t="str">
        <f aca="true">IF(J162="","",N162+MAX(0,ROUNDUP((TODAY()-N162)/(J162*7),0))*J162*7)</f>
        <v/>
      </c>
      <c r="P162" s="27" t="str">
        <f aca="false">IF(J162="","",MOD(K162-1,J162*4))</f>
        <v/>
      </c>
      <c r="Q162" s="27" t="str">
        <f aca="false">IF(J162="","",MOD(P162,4))</f>
        <v/>
      </c>
      <c r="R162" s="27" t="str">
        <f aca="false">IF(J162="","",INT(P162/4))</f>
        <v/>
      </c>
      <c r="S162" s="27" t="str">
        <f aca="false">IF(J162="","",IF(AND('Daily Count Sheet'!$H$3=Q162,MOD('Daily Count Sheet'!$I$3,J162)=R162),1,""))</f>
        <v/>
      </c>
      <c r="T162" s="27" t="str">
        <f aca="false">IF(S162=1,COUNTIF($S$2:S162,1),"")</f>
        <v/>
      </c>
    </row>
    <row r="163" customFormat="false" ht="15" hidden="false" customHeight="false" outlineLevel="0" collapsed="false">
      <c r="H163" s="26"/>
      <c r="I163" s="27" t="str">
        <f aca="false">IF(A163="","",IF(H163&lt;&gt;"",UPPER(TRIM(H163)),IFERROR(CHOOSE(VALUE(E163)+1,"A","B","C","D"),IF(OR(LEFT(UPPER(TRIM(E163)),1)="F",UPPER(TRIM(E163))="A"),"A",IF(OR(LEFT(UPPER(TRIM(E163)),1)="M",UPPER(TRIM(E163))="B"),"B",IF(OR(LEFT(UPPER(TRIM(E163)),2)="SL",UPPER(TRIM(E163))="C"),"C",IF(OR(LEFT(UPPER(TRIM(E163)),1)="D",UPPER(TRIM(E163))="D"),"D","")))))))</f>
        <v/>
      </c>
      <c r="J163" s="27" t="str">
        <f aca="false">IF(I163="","",IF(AND(I163="D",Settings!$B$6&lt;&gt;"Yes"),"",IFERROR(INDEX(Settings!$C$9:$C$12,MATCH(I163,Settings!$A$9:$A$12,0)),"")))</f>
        <v/>
      </c>
      <c r="K163" s="27" t="str">
        <f aca="false">IF(J163="","",COUNTIF($I$2:I163,I163))</f>
        <v/>
      </c>
      <c r="L163" s="27" t="str">
        <f aca="false">IF(J163="","",CHOOSE(Q163+1,"Tue","Wed","Thu","Fri"))</f>
        <v/>
      </c>
      <c r="M163" s="27" t="str">
        <f aca="false">IF(J163="","",IF(J163=1,"Every week",R163+1&amp;" of "&amp;J163))</f>
        <v/>
      </c>
      <c r="N163" s="28" t="str">
        <f aca="false">IF(J163="","",Settings!$B$4+R163*7+Q163)</f>
        <v/>
      </c>
      <c r="O163" s="28" t="str">
        <f aca="true">IF(J163="","",N163+MAX(0,ROUNDUP((TODAY()-N163)/(J163*7),0))*J163*7)</f>
        <v/>
      </c>
      <c r="P163" s="27" t="str">
        <f aca="false">IF(J163="","",MOD(K163-1,J163*4))</f>
        <v/>
      </c>
      <c r="Q163" s="27" t="str">
        <f aca="false">IF(J163="","",MOD(P163,4))</f>
        <v/>
      </c>
      <c r="R163" s="27" t="str">
        <f aca="false">IF(J163="","",INT(P163/4))</f>
        <v/>
      </c>
      <c r="S163" s="27" t="str">
        <f aca="false">IF(J163="","",IF(AND('Daily Count Sheet'!$H$3=Q163,MOD('Daily Count Sheet'!$I$3,J163)=R163),1,""))</f>
        <v/>
      </c>
      <c r="T163" s="27" t="str">
        <f aca="false">IF(S163=1,COUNTIF($S$2:S163,1),"")</f>
        <v/>
      </c>
    </row>
    <row r="164" customFormat="false" ht="15" hidden="false" customHeight="false" outlineLevel="0" collapsed="false">
      <c r="H164" s="26"/>
      <c r="I164" s="27" t="str">
        <f aca="false">IF(A164="","",IF(H164&lt;&gt;"",UPPER(TRIM(H164)),IFERROR(CHOOSE(VALUE(E164)+1,"A","B","C","D"),IF(OR(LEFT(UPPER(TRIM(E164)),1)="F",UPPER(TRIM(E164))="A"),"A",IF(OR(LEFT(UPPER(TRIM(E164)),1)="M",UPPER(TRIM(E164))="B"),"B",IF(OR(LEFT(UPPER(TRIM(E164)),2)="SL",UPPER(TRIM(E164))="C"),"C",IF(OR(LEFT(UPPER(TRIM(E164)),1)="D",UPPER(TRIM(E164))="D"),"D","")))))))</f>
        <v/>
      </c>
      <c r="J164" s="27" t="str">
        <f aca="false">IF(I164="","",IF(AND(I164="D",Settings!$B$6&lt;&gt;"Yes"),"",IFERROR(INDEX(Settings!$C$9:$C$12,MATCH(I164,Settings!$A$9:$A$12,0)),"")))</f>
        <v/>
      </c>
      <c r="K164" s="27" t="str">
        <f aca="false">IF(J164="","",COUNTIF($I$2:I164,I164))</f>
        <v/>
      </c>
      <c r="L164" s="27" t="str">
        <f aca="false">IF(J164="","",CHOOSE(Q164+1,"Tue","Wed","Thu","Fri"))</f>
        <v/>
      </c>
      <c r="M164" s="27" t="str">
        <f aca="false">IF(J164="","",IF(J164=1,"Every week",R164+1&amp;" of "&amp;J164))</f>
        <v/>
      </c>
      <c r="N164" s="28" t="str">
        <f aca="false">IF(J164="","",Settings!$B$4+R164*7+Q164)</f>
        <v/>
      </c>
      <c r="O164" s="28" t="str">
        <f aca="true">IF(J164="","",N164+MAX(0,ROUNDUP((TODAY()-N164)/(J164*7),0))*J164*7)</f>
        <v/>
      </c>
      <c r="P164" s="27" t="str">
        <f aca="false">IF(J164="","",MOD(K164-1,J164*4))</f>
        <v/>
      </c>
      <c r="Q164" s="27" t="str">
        <f aca="false">IF(J164="","",MOD(P164,4))</f>
        <v/>
      </c>
      <c r="R164" s="27" t="str">
        <f aca="false">IF(J164="","",INT(P164/4))</f>
        <v/>
      </c>
      <c r="S164" s="27" t="str">
        <f aca="false">IF(J164="","",IF(AND('Daily Count Sheet'!$H$3=Q164,MOD('Daily Count Sheet'!$I$3,J164)=R164),1,""))</f>
        <v/>
      </c>
      <c r="T164" s="27" t="str">
        <f aca="false">IF(S164=1,COUNTIF($S$2:S164,1),"")</f>
        <v/>
      </c>
    </row>
    <row r="165" customFormat="false" ht="15" hidden="false" customHeight="false" outlineLevel="0" collapsed="false">
      <c r="H165" s="26"/>
      <c r="I165" s="27" t="str">
        <f aca="false">IF(A165="","",IF(H165&lt;&gt;"",UPPER(TRIM(H165)),IFERROR(CHOOSE(VALUE(E165)+1,"A","B","C","D"),IF(OR(LEFT(UPPER(TRIM(E165)),1)="F",UPPER(TRIM(E165))="A"),"A",IF(OR(LEFT(UPPER(TRIM(E165)),1)="M",UPPER(TRIM(E165))="B"),"B",IF(OR(LEFT(UPPER(TRIM(E165)),2)="SL",UPPER(TRIM(E165))="C"),"C",IF(OR(LEFT(UPPER(TRIM(E165)),1)="D",UPPER(TRIM(E165))="D"),"D","")))))))</f>
        <v/>
      </c>
      <c r="J165" s="27" t="str">
        <f aca="false">IF(I165="","",IF(AND(I165="D",Settings!$B$6&lt;&gt;"Yes"),"",IFERROR(INDEX(Settings!$C$9:$C$12,MATCH(I165,Settings!$A$9:$A$12,0)),"")))</f>
        <v/>
      </c>
      <c r="K165" s="27" t="str">
        <f aca="false">IF(J165="","",COUNTIF($I$2:I165,I165))</f>
        <v/>
      </c>
      <c r="L165" s="27" t="str">
        <f aca="false">IF(J165="","",CHOOSE(Q165+1,"Tue","Wed","Thu","Fri"))</f>
        <v/>
      </c>
      <c r="M165" s="27" t="str">
        <f aca="false">IF(J165="","",IF(J165=1,"Every week",R165+1&amp;" of "&amp;J165))</f>
        <v/>
      </c>
      <c r="N165" s="28" t="str">
        <f aca="false">IF(J165="","",Settings!$B$4+R165*7+Q165)</f>
        <v/>
      </c>
      <c r="O165" s="28" t="str">
        <f aca="true">IF(J165="","",N165+MAX(0,ROUNDUP((TODAY()-N165)/(J165*7),0))*J165*7)</f>
        <v/>
      </c>
      <c r="P165" s="27" t="str">
        <f aca="false">IF(J165="","",MOD(K165-1,J165*4))</f>
        <v/>
      </c>
      <c r="Q165" s="27" t="str">
        <f aca="false">IF(J165="","",MOD(P165,4))</f>
        <v/>
      </c>
      <c r="R165" s="27" t="str">
        <f aca="false">IF(J165="","",INT(P165/4))</f>
        <v/>
      </c>
      <c r="S165" s="27" t="str">
        <f aca="false">IF(J165="","",IF(AND('Daily Count Sheet'!$H$3=Q165,MOD('Daily Count Sheet'!$I$3,J165)=R165),1,""))</f>
        <v/>
      </c>
      <c r="T165" s="27" t="str">
        <f aca="false">IF(S165=1,COUNTIF($S$2:S165,1),"")</f>
        <v/>
      </c>
    </row>
    <row r="166" customFormat="false" ht="15" hidden="false" customHeight="false" outlineLevel="0" collapsed="false">
      <c r="H166" s="26"/>
      <c r="I166" s="27" t="str">
        <f aca="false">IF(A166="","",IF(H166&lt;&gt;"",UPPER(TRIM(H166)),IFERROR(CHOOSE(VALUE(E166)+1,"A","B","C","D"),IF(OR(LEFT(UPPER(TRIM(E166)),1)="F",UPPER(TRIM(E166))="A"),"A",IF(OR(LEFT(UPPER(TRIM(E166)),1)="M",UPPER(TRIM(E166))="B"),"B",IF(OR(LEFT(UPPER(TRIM(E166)),2)="SL",UPPER(TRIM(E166))="C"),"C",IF(OR(LEFT(UPPER(TRIM(E166)),1)="D",UPPER(TRIM(E166))="D"),"D","")))))))</f>
        <v/>
      </c>
      <c r="J166" s="27" t="str">
        <f aca="false">IF(I166="","",IF(AND(I166="D",Settings!$B$6&lt;&gt;"Yes"),"",IFERROR(INDEX(Settings!$C$9:$C$12,MATCH(I166,Settings!$A$9:$A$12,0)),"")))</f>
        <v/>
      </c>
      <c r="K166" s="27" t="str">
        <f aca="false">IF(J166="","",COUNTIF($I$2:I166,I166))</f>
        <v/>
      </c>
      <c r="L166" s="27" t="str">
        <f aca="false">IF(J166="","",CHOOSE(Q166+1,"Tue","Wed","Thu","Fri"))</f>
        <v/>
      </c>
      <c r="M166" s="27" t="str">
        <f aca="false">IF(J166="","",IF(J166=1,"Every week",R166+1&amp;" of "&amp;J166))</f>
        <v/>
      </c>
      <c r="N166" s="28" t="str">
        <f aca="false">IF(J166="","",Settings!$B$4+R166*7+Q166)</f>
        <v/>
      </c>
      <c r="O166" s="28" t="str">
        <f aca="true">IF(J166="","",N166+MAX(0,ROUNDUP((TODAY()-N166)/(J166*7),0))*J166*7)</f>
        <v/>
      </c>
      <c r="P166" s="27" t="str">
        <f aca="false">IF(J166="","",MOD(K166-1,J166*4))</f>
        <v/>
      </c>
      <c r="Q166" s="27" t="str">
        <f aca="false">IF(J166="","",MOD(P166,4))</f>
        <v/>
      </c>
      <c r="R166" s="27" t="str">
        <f aca="false">IF(J166="","",INT(P166/4))</f>
        <v/>
      </c>
      <c r="S166" s="27" t="str">
        <f aca="false">IF(J166="","",IF(AND('Daily Count Sheet'!$H$3=Q166,MOD('Daily Count Sheet'!$I$3,J166)=R166),1,""))</f>
        <v/>
      </c>
      <c r="T166" s="27" t="str">
        <f aca="false">IF(S166=1,COUNTIF($S$2:S166,1),"")</f>
        <v/>
      </c>
    </row>
    <row r="167" customFormat="false" ht="15" hidden="false" customHeight="false" outlineLevel="0" collapsed="false">
      <c r="H167" s="26"/>
      <c r="I167" s="27" t="str">
        <f aca="false">IF(A167="","",IF(H167&lt;&gt;"",UPPER(TRIM(H167)),IFERROR(CHOOSE(VALUE(E167)+1,"A","B","C","D"),IF(OR(LEFT(UPPER(TRIM(E167)),1)="F",UPPER(TRIM(E167))="A"),"A",IF(OR(LEFT(UPPER(TRIM(E167)),1)="M",UPPER(TRIM(E167))="B"),"B",IF(OR(LEFT(UPPER(TRIM(E167)),2)="SL",UPPER(TRIM(E167))="C"),"C",IF(OR(LEFT(UPPER(TRIM(E167)),1)="D",UPPER(TRIM(E167))="D"),"D","")))))))</f>
        <v/>
      </c>
      <c r="J167" s="27" t="str">
        <f aca="false">IF(I167="","",IF(AND(I167="D",Settings!$B$6&lt;&gt;"Yes"),"",IFERROR(INDEX(Settings!$C$9:$C$12,MATCH(I167,Settings!$A$9:$A$12,0)),"")))</f>
        <v/>
      </c>
      <c r="K167" s="27" t="str">
        <f aca="false">IF(J167="","",COUNTIF($I$2:I167,I167))</f>
        <v/>
      </c>
      <c r="L167" s="27" t="str">
        <f aca="false">IF(J167="","",CHOOSE(Q167+1,"Tue","Wed","Thu","Fri"))</f>
        <v/>
      </c>
      <c r="M167" s="27" t="str">
        <f aca="false">IF(J167="","",IF(J167=1,"Every week",R167+1&amp;" of "&amp;J167))</f>
        <v/>
      </c>
      <c r="N167" s="28" t="str">
        <f aca="false">IF(J167="","",Settings!$B$4+R167*7+Q167)</f>
        <v/>
      </c>
      <c r="O167" s="28" t="str">
        <f aca="true">IF(J167="","",N167+MAX(0,ROUNDUP((TODAY()-N167)/(J167*7),0))*J167*7)</f>
        <v/>
      </c>
      <c r="P167" s="27" t="str">
        <f aca="false">IF(J167="","",MOD(K167-1,J167*4))</f>
        <v/>
      </c>
      <c r="Q167" s="27" t="str">
        <f aca="false">IF(J167="","",MOD(P167,4))</f>
        <v/>
      </c>
      <c r="R167" s="27" t="str">
        <f aca="false">IF(J167="","",INT(P167/4))</f>
        <v/>
      </c>
      <c r="S167" s="27" t="str">
        <f aca="false">IF(J167="","",IF(AND('Daily Count Sheet'!$H$3=Q167,MOD('Daily Count Sheet'!$I$3,J167)=R167),1,""))</f>
        <v/>
      </c>
      <c r="T167" s="27" t="str">
        <f aca="false">IF(S167=1,COUNTIF($S$2:S167,1),"")</f>
        <v/>
      </c>
    </row>
    <row r="168" customFormat="false" ht="15" hidden="false" customHeight="false" outlineLevel="0" collapsed="false">
      <c r="H168" s="26"/>
      <c r="I168" s="27" t="str">
        <f aca="false">IF(A168="","",IF(H168&lt;&gt;"",UPPER(TRIM(H168)),IFERROR(CHOOSE(VALUE(E168)+1,"A","B","C","D"),IF(OR(LEFT(UPPER(TRIM(E168)),1)="F",UPPER(TRIM(E168))="A"),"A",IF(OR(LEFT(UPPER(TRIM(E168)),1)="M",UPPER(TRIM(E168))="B"),"B",IF(OR(LEFT(UPPER(TRIM(E168)),2)="SL",UPPER(TRIM(E168))="C"),"C",IF(OR(LEFT(UPPER(TRIM(E168)),1)="D",UPPER(TRIM(E168))="D"),"D","")))))))</f>
        <v/>
      </c>
      <c r="J168" s="27" t="str">
        <f aca="false">IF(I168="","",IF(AND(I168="D",Settings!$B$6&lt;&gt;"Yes"),"",IFERROR(INDEX(Settings!$C$9:$C$12,MATCH(I168,Settings!$A$9:$A$12,0)),"")))</f>
        <v/>
      </c>
      <c r="K168" s="27" t="str">
        <f aca="false">IF(J168="","",COUNTIF($I$2:I168,I168))</f>
        <v/>
      </c>
      <c r="L168" s="27" t="str">
        <f aca="false">IF(J168="","",CHOOSE(Q168+1,"Tue","Wed","Thu","Fri"))</f>
        <v/>
      </c>
      <c r="M168" s="27" t="str">
        <f aca="false">IF(J168="","",IF(J168=1,"Every week",R168+1&amp;" of "&amp;J168))</f>
        <v/>
      </c>
      <c r="N168" s="28" t="str">
        <f aca="false">IF(J168="","",Settings!$B$4+R168*7+Q168)</f>
        <v/>
      </c>
      <c r="O168" s="28" t="str">
        <f aca="true">IF(J168="","",N168+MAX(0,ROUNDUP((TODAY()-N168)/(J168*7),0))*J168*7)</f>
        <v/>
      </c>
      <c r="P168" s="27" t="str">
        <f aca="false">IF(J168="","",MOD(K168-1,J168*4))</f>
        <v/>
      </c>
      <c r="Q168" s="27" t="str">
        <f aca="false">IF(J168="","",MOD(P168,4))</f>
        <v/>
      </c>
      <c r="R168" s="27" t="str">
        <f aca="false">IF(J168="","",INT(P168/4))</f>
        <v/>
      </c>
      <c r="S168" s="27" t="str">
        <f aca="false">IF(J168="","",IF(AND('Daily Count Sheet'!$H$3=Q168,MOD('Daily Count Sheet'!$I$3,J168)=R168),1,""))</f>
        <v/>
      </c>
      <c r="T168" s="27" t="str">
        <f aca="false">IF(S168=1,COUNTIF($S$2:S168,1),"")</f>
        <v/>
      </c>
    </row>
    <row r="169" customFormat="false" ht="15" hidden="false" customHeight="false" outlineLevel="0" collapsed="false">
      <c r="H169" s="26"/>
      <c r="I169" s="27" t="str">
        <f aca="false">IF(A169="","",IF(H169&lt;&gt;"",UPPER(TRIM(H169)),IFERROR(CHOOSE(VALUE(E169)+1,"A","B","C","D"),IF(OR(LEFT(UPPER(TRIM(E169)),1)="F",UPPER(TRIM(E169))="A"),"A",IF(OR(LEFT(UPPER(TRIM(E169)),1)="M",UPPER(TRIM(E169))="B"),"B",IF(OR(LEFT(UPPER(TRIM(E169)),2)="SL",UPPER(TRIM(E169))="C"),"C",IF(OR(LEFT(UPPER(TRIM(E169)),1)="D",UPPER(TRIM(E169))="D"),"D","")))))))</f>
        <v/>
      </c>
      <c r="J169" s="27" t="str">
        <f aca="false">IF(I169="","",IF(AND(I169="D",Settings!$B$6&lt;&gt;"Yes"),"",IFERROR(INDEX(Settings!$C$9:$C$12,MATCH(I169,Settings!$A$9:$A$12,0)),"")))</f>
        <v/>
      </c>
      <c r="K169" s="27" t="str">
        <f aca="false">IF(J169="","",COUNTIF($I$2:I169,I169))</f>
        <v/>
      </c>
      <c r="L169" s="27" t="str">
        <f aca="false">IF(J169="","",CHOOSE(Q169+1,"Tue","Wed","Thu","Fri"))</f>
        <v/>
      </c>
      <c r="M169" s="27" t="str">
        <f aca="false">IF(J169="","",IF(J169=1,"Every week",R169+1&amp;" of "&amp;J169))</f>
        <v/>
      </c>
      <c r="N169" s="28" t="str">
        <f aca="false">IF(J169="","",Settings!$B$4+R169*7+Q169)</f>
        <v/>
      </c>
      <c r="O169" s="28" t="str">
        <f aca="true">IF(J169="","",N169+MAX(0,ROUNDUP((TODAY()-N169)/(J169*7),0))*J169*7)</f>
        <v/>
      </c>
      <c r="P169" s="27" t="str">
        <f aca="false">IF(J169="","",MOD(K169-1,J169*4))</f>
        <v/>
      </c>
      <c r="Q169" s="27" t="str">
        <f aca="false">IF(J169="","",MOD(P169,4))</f>
        <v/>
      </c>
      <c r="R169" s="27" t="str">
        <f aca="false">IF(J169="","",INT(P169/4))</f>
        <v/>
      </c>
      <c r="S169" s="27" t="str">
        <f aca="false">IF(J169="","",IF(AND('Daily Count Sheet'!$H$3=Q169,MOD('Daily Count Sheet'!$I$3,J169)=R169),1,""))</f>
        <v/>
      </c>
      <c r="T169" s="27" t="str">
        <f aca="false">IF(S169=1,COUNTIF($S$2:S169,1),"")</f>
        <v/>
      </c>
    </row>
    <row r="170" customFormat="false" ht="15" hidden="false" customHeight="false" outlineLevel="0" collapsed="false">
      <c r="H170" s="26"/>
      <c r="I170" s="27" t="str">
        <f aca="false">IF(A170="","",IF(H170&lt;&gt;"",UPPER(TRIM(H170)),IFERROR(CHOOSE(VALUE(E170)+1,"A","B","C","D"),IF(OR(LEFT(UPPER(TRIM(E170)),1)="F",UPPER(TRIM(E170))="A"),"A",IF(OR(LEFT(UPPER(TRIM(E170)),1)="M",UPPER(TRIM(E170))="B"),"B",IF(OR(LEFT(UPPER(TRIM(E170)),2)="SL",UPPER(TRIM(E170))="C"),"C",IF(OR(LEFT(UPPER(TRIM(E170)),1)="D",UPPER(TRIM(E170))="D"),"D","")))))))</f>
        <v/>
      </c>
      <c r="J170" s="27" t="str">
        <f aca="false">IF(I170="","",IF(AND(I170="D",Settings!$B$6&lt;&gt;"Yes"),"",IFERROR(INDEX(Settings!$C$9:$C$12,MATCH(I170,Settings!$A$9:$A$12,0)),"")))</f>
        <v/>
      </c>
      <c r="K170" s="27" t="str">
        <f aca="false">IF(J170="","",COUNTIF($I$2:I170,I170))</f>
        <v/>
      </c>
      <c r="L170" s="27" t="str">
        <f aca="false">IF(J170="","",CHOOSE(Q170+1,"Tue","Wed","Thu","Fri"))</f>
        <v/>
      </c>
      <c r="M170" s="27" t="str">
        <f aca="false">IF(J170="","",IF(J170=1,"Every week",R170+1&amp;" of "&amp;J170))</f>
        <v/>
      </c>
      <c r="N170" s="28" t="str">
        <f aca="false">IF(J170="","",Settings!$B$4+R170*7+Q170)</f>
        <v/>
      </c>
      <c r="O170" s="28" t="str">
        <f aca="true">IF(J170="","",N170+MAX(0,ROUNDUP((TODAY()-N170)/(J170*7),0))*J170*7)</f>
        <v/>
      </c>
      <c r="P170" s="27" t="str">
        <f aca="false">IF(J170="","",MOD(K170-1,J170*4))</f>
        <v/>
      </c>
      <c r="Q170" s="27" t="str">
        <f aca="false">IF(J170="","",MOD(P170,4))</f>
        <v/>
      </c>
      <c r="R170" s="27" t="str">
        <f aca="false">IF(J170="","",INT(P170/4))</f>
        <v/>
      </c>
      <c r="S170" s="27" t="str">
        <f aca="false">IF(J170="","",IF(AND('Daily Count Sheet'!$H$3=Q170,MOD('Daily Count Sheet'!$I$3,J170)=R170),1,""))</f>
        <v/>
      </c>
      <c r="T170" s="27" t="str">
        <f aca="false">IF(S170=1,COUNTIF($S$2:S170,1),"")</f>
        <v/>
      </c>
    </row>
    <row r="171" customFormat="false" ht="15" hidden="false" customHeight="false" outlineLevel="0" collapsed="false">
      <c r="H171" s="26"/>
      <c r="I171" s="27" t="str">
        <f aca="false">IF(A171="","",IF(H171&lt;&gt;"",UPPER(TRIM(H171)),IFERROR(CHOOSE(VALUE(E171)+1,"A","B","C","D"),IF(OR(LEFT(UPPER(TRIM(E171)),1)="F",UPPER(TRIM(E171))="A"),"A",IF(OR(LEFT(UPPER(TRIM(E171)),1)="M",UPPER(TRIM(E171))="B"),"B",IF(OR(LEFT(UPPER(TRIM(E171)),2)="SL",UPPER(TRIM(E171))="C"),"C",IF(OR(LEFT(UPPER(TRIM(E171)),1)="D",UPPER(TRIM(E171))="D"),"D","")))))))</f>
        <v/>
      </c>
      <c r="J171" s="27" t="str">
        <f aca="false">IF(I171="","",IF(AND(I171="D",Settings!$B$6&lt;&gt;"Yes"),"",IFERROR(INDEX(Settings!$C$9:$C$12,MATCH(I171,Settings!$A$9:$A$12,0)),"")))</f>
        <v/>
      </c>
      <c r="K171" s="27" t="str">
        <f aca="false">IF(J171="","",COUNTIF($I$2:I171,I171))</f>
        <v/>
      </c>
      <c r="L171" s="27" t="str">
        <f aca="false">IF(J171="","",CHOOSE(Q171+1,"Tue","Wed","Thu","Fri"))</f>
        <v/>
      </c>
      <c r="M171" s="27" t="str">
        <f aca="false">IF(J171="","",IF(J171=1,"Every week",R171+1&amp;" of "&amp;J171))</f>
        <v/>
      </c>
      <c r="N171" s="28" t="str">
        <f aca="false">IF(J171="","",Settings!$B$4+R171*7+Q171)</f>
        <v/>
      </c>
      <c r="O171" s="28" t="str">
        <f aca="true">IF(J171="","",N171+MAX(0,ROUNDUP((TODAY()-N171)/(J171*7),0))*J171*7)</f>
        <v/>
      </c>
      <c r="P171" s="27" t="str">
        <f aca="false">IF(J171="","",MOD(K171-1,J171*4))</f>
        <v/>
      </c>
      <c r="Q171" s="27" t="str">
        <f aca="false">IF(J171="","",MOD(P171,4))</f>
        <v/>
      </c>
      <c r="R171" s="27" t="str">
        <f aca="false">IF(J171="","",INT(P171/4))</f>
        <v/>
      </c>
      <c r="S171" s="27" t="str">
        <f aca="false">IF(J171="","",IF(AND('Daily Count Sheet'!$H$3=Q171,MOD('Daily Count Sheet'!$I$3,J171)=R171),1,""))</f>
        <v/>
      </c>
      <c r="T171" s="27" t="str">
        <f aca="false">IF(S171=1,COUNTIF($S$2:S171,1),"")</f>
        <v/>
      </c>
    </row>
    <row r="172" customFormat="false" ht="15" hidden="false" customHeight="false" outlineLevel="0" collapsed="false">
      <c r="H172" s="26"/>
      <c r="I172" s="27" t="str">
        <f aca="false">IF(A172="","",IF(H172&lt;&gt;"",UPPER(TRIM(H172)),IFERROR(CHOOSE(VALUE(E172)+1,"A","B","C","D"),IF(OR(LEFT(UPPER(TRIM(E172)),1)="F",UPPER(TRIM(E172))="A"),"A",IF(OR(LEFT(UPPER(TRIM(E172)),1)="M",UPPER(TRIM(E172))="B"),"B",IF(OR(LEFT(UPPER(TRIM(E172)),2)="SL",UPPER(TRIM(E172))="C"),"C",IF(OR(LEFT(UPPER(TRIM(E172)),1)="D",UPPER(TRIM(E172))="D"),"D","")))))))</f>
        <v/>
      </c>
      <c r="J172" s="27" t="str">
        <f aca="false">IF(I172="","",IF(AND(I172="D",Settings!$B$6&lt;&gt;"Yes"),"",IFERROR(INDEX(Settings!$C$9:$C$12,MATCH(I172,Settings!$A$9:$A$12,0)),"")))</f>
        <v/>
      </c>
      <c r="K172" s="27" t="str">
        <f aca="false">IF(J172="","",COUNTIF($I$2:I172,I172))</f>
        <v/>
      </c>
      <c r="L172" s="27" t="str">
        <f aca="false">IF(J172="","",CHOOSE(Q172+1,"Tue","Wed","Thu","Fri"))</f>
        <v/>
      </c>
      <c r="M172" s="27" t="str">
        <f aca="false">IF(J172="","",IF(J172=1,"Every week",R172+1&amp;" of "&amp;J172))</f>
        <v/>
      </c>
      <c r="N172" s="28" t="str">
        <f aca="false">IF(J172="","",Settings!$B$4+R172*7+Q172)</f>
        <v/>
      </c>
      <c r="O172" s="28" t="str">
        <f aca="true">IF(J172="","",N172+MAX(0,ROUNDUP((TODAY()-N172)/(J172*7),0))*J172*7)</f>
        <v/>
      </c>
      <c r="P172" s="27" t="str">
        <f aca="false">IF(J172="","",MOD(K172-1,J172*4))</f>
        <v/>
      </c>
      <c r="Q172" s="27" t="str">
        <f aca="false">IF(J172="","",MOD(P172,4))</f>
        <v/>
      </c>
      <c r="R172" s="27" t="str">
        <f aca="false">IF(J172="","",INT(P172/4))</f>
        <v/>
      </c>
      <c r="S172" s="27" t="str">
        <f aca="false">IF(J172="","",IF(AND('Daily Count Sheet'!$H$3=Q172,MOD('Daily Count Sheet'!$I$3,J172)=R172),1,""))</f>
        <v/>
      </c>
      <c r="T172" s="27" t="str">
        <f aca="false">IF(S172=1,COUNTIF($S$2:S172,1),"")</f>
        <v/>
      </c>
    </row>
    <row r="173" customFormat="false" ht="15" hidden="false" customHeight="false" outlineLevel="0" collapsed="false">
      <c r="H173" s="26"/>
      <c r="I173" s="27" t="str">
        <f aca="false">IF(A173="","",IF(H173&lt;&gt;"",UPPER(TRIM(H173)),IFERROR(CHOOSE(VALUE(E173)+1,"A","B","C","D"),IF(OR(LEFT(UPPER(TRIM(E173)),1)="F",UPPER(TRIM(E173))="A"),"A",IF(OR(LEFT(UPPER(TRIM(E173)),1)="M",UPPER(TRIM(E173))="B"),"B",IF(OR(LEFT(UPPER(TRIM(E173)),2)="SL",UPPER(TRIM(E173))="C"),"C",IF(OR(LEFT(UPPER(TRIM(E173)),1)="D",UPPER(TRIM(E173))="D"),"D","")))))))</f>
        <v/>
      </c>
      <c r="J173" s="27" t="str">
        <f aca="false">IF(I173="","",IF(AND(I173="D",Settings!$B$6&lt;&gt;"Yes"),"",IFERROR(INDEX(Settings!$C$9:$C$12,MATCH(I173,Settings!$A$9:$A$12,0)),"")))</f>
        <v/>
      </c>
      <c r="K173" s="27" t="str">
        <f aca="false">IF(J173="","",COUNTIF($I$2:I173,I173))</f>
        <v/>
      </c>
      <c r="L173" s="27" t="str">
        <f aca="false">IF(J173="","",CHOOSE(Q173+1,"Tue","Wed","Thu","Fri"))</f>
        <v/>
      </c>
      <c r="M173" s="27" t="str">
        <f aca="false">IF(J173="","",IF(J173=1,"Every week",R173+1&amp;" of "&amp;J173))</f>
        <v/>
      </c>
      <c r="N173" s="28" t="str">
        <f aca="false">IF(J173="","",Settings!$B$4+R173*7+Q173)</f>
        <v/>
      </c>
      <c r="O173" s="28" t="str">
        <f aca="true">IF(J173="","",N173+MAX(0,ROUNDUP((TODAY()-N173)/(J173*7),0))*J173*7)</f>
        <v/>
      </c>
      <c r="P173" s="27" t="str">
        <f aca="false">IF(J173="","",MOD(K173-1,J173*4))</f>
        <v/>
      </c>
      <c r="Q173" s="27" t="str">
        <f aca="false">IF(J173="","",MOD(P173,4))</f>
        <v/>
      </c>
      <c r="R173" s="27" t="str">
        <f aca="false">IF(J173="","",INT(P173/4))</f>
        <v/>
      </c>
      <c r="S173" s="27" t="str">
        <f aca="false">IF(J173="","",IF(AND('Daily Count Sheet'!$H$3=Q173,MOD('Daily Count Sheet'!$I$3,J173)=R173),1,""))</f>
        <v/>
      </c>
      <c r="T173" s="27" t="str">
        <f aca="false">IF(S173=1,COUNTIF($S$2:S173,1),"")</f>
        <v/>
      </c>
    </row>
    <row r="174" customFormat="false" ht="15" hidden="false" customHeight="false" outlineLevel="0" collapsed="false">
      <c r="H174" s="26"/>
      <c r="I174" s="27" t="str">
        <f aca="false">IF(A174="","",IF(H174&lt;&gt;"",UPPER(TRIM(H174)),IFERROR(CHOOSE(VALUE(E174)+1,"A","B","C","D"),IF(OR(LEFT(UPPER(TRIM(E174)),1)="F",UPPER(TRIM(E174))="A"),"A",IF(OR(LEFT(UPPER(TRIM(E174)),1)="M",UPPER(TRIM(E174))="B"),"B",IF(OR(LEFT(UPPER(TRIM(E174)),2)="SL",UPPER(TRIM(E174))="C"),"C",IF(OR(LEFT(UPPER(TRIM(E174)),1)="D",UPPER(TRIM(E174))="D"),"D","")))))))</f>
        <v/>
      </c>
      <c r="J174" s="27" t="str">
        <f aca="false">IF(I174="","",IF(AND(I174="D",Settings!$B$6&lt;&gt;"Yes"),"",IFERROR(INDEX(Settings!$C$9:$C$12,MATCH(I174,Settings!$A$9:$A$12,0)),"")))</f>
        <v/>
      </c>
      <c r="K174" s="27" t="str">
        <f aca="false">IF(J174="","",COUNTIF($I$2:I174,I174))</f>
        <v/>
      </c>
      <c r="L174" s="27" t="str">
        <f aca="false">IF(J174="","",CHOOSE(Q174+1,"Tue","Wed","Thu","Fri"))</f>
        <v/>
      </c>
      <c r="M174" s="27" t="str">
        <f aca="false">IF(J174="","",IF(J174=1,"Every week",R174+1&amp;" of "&amp;J174))</f>
        <v/>
      </c>
      <c r="N174" s="28" t="str">
        <f aca="false">IF(J174="","",Settings!$B$4+R174*7+Q174)</f>
        <v/>
      </c>
      <c r="O174" s="28" t="str">
        <f aca="true">IF(J174="","",N174+MAX(0,ROUNDUP((TODAY()-N174)/(J174*7),0))*J174*7)</f>
        <v/>
      </c>
      <c r="P174" s="27" t="str">
        <f aca="false">IF(J174="","",MOD(K174-1,J174*4))</f>
        <v/>
      </c>
      <c r="Q174" s="27" t="str">
        <f aca="false">IF(J174="","",MOD(P174,4))</f>
        <v/>
      </c>
      <c r="R174" s="27" t="str">
        <f aca="false">IF(J174="","",INT(P174/4))</f>
        <v/>
      </c>
      <c r="S174" s="27" t="str">
        <f aca="false">IF(J174="","",IF(AND('Daily Count Sheet'!$H$3=Q174,MOD('Daily Count Sheet'!$I$3,J174)=R174),1,""))</f>
        <v/>
      </c>
      <c r="T174" s="27" t="str">
        <f aca="false">IF(S174=1,COUNTIF($S$2:S174,1),"")</f>
        <v/>
      </c>
    </row>
    <row r="175" customFormat="false" ht="15" hidden="false" customHeight="false" outlineLevel="0" collapsed="false">
      <c r="H175" s="26"/>
      <c r="I175" s="27" t="str">
        <f aca="false">IF(A175="","",IF(H175&lt;&gt;"",UPPER(TRIM(H175)),IFERROR(CHOOSE(VALUE(E175)+1,"A","B","C","D"),IF(OR(LEFT(UPPER(TRIM(E175)),1)="F",UPPER(TRIM(E175))="A"),"A",IF(OR(LEFT(UPPER(TRIM(E175)),1)="M",UPPER(TRIM(E175))="B"),"B",IF(OR(LEFT(UPPER(TRIM(E175)),2)="SL",UPPER(TRIM(E175))="C"),"C",IF(OR(LEFT(UPPER(TRIM(E175)),1)="D",UPPER(TRIM(E175))="D"),"D","")))))))</f>
        <v/>
      </c>
      <c r="J175" s="27" t="str">
        <f aca="false">IF(I175="","",IF(AND(I175="D",Settings!$B$6&lt;&gt;"Yes"),"",IFERROR(INDEX(Settings!$C$9:$C$12,MATCH(I175,Settings!$A$9:$A$12,0)),"")))</f>
        <v/>
      </c>
      <c r="K175" s="27" t="str">
        <f aca="false">IF(J175="","",COUNTIF($I$2:I175,I175))</f>
        <v/>
      </c>
      <c r="L175" s="27" t="str">
        <f aca="false">IF(J175="","",CHOOSE(Q175+1,"Tue","Wed","Thu","Fri"))</f>
        <v/>
      </c>
      <c r="M175" s="27" t="str">
        <f aca="false">IF(J175="","",IF(J175=1,"Every week",R175+1&amp;" of "&amp;J175))</f>
        <v/>
      </c>
      <c r="N175" s="28" t="str">
        <f aca="false">IF(J175="","",Settings!$B$4+R175*7+Q175)</f>
        <v/>
      </c>
      <c r="O175" s="28" t="str">
        <f aca="true">IF(J175="","",N175+MAX(0,ROUNDUP((TODAY()-N175)/(J175*7),0))*J175*7)</f>
        <v/>
      </c>
      <c r="P175" s="27" t="str">
        <f aca="false">IF(J175="","",MOD(K175-1,J175*4))</f>
        <v/>
      </c>
      <c r="Q175" s="27" t="str">
        <f aca="false">IF(J175="","",MOD(P175,4))</f>
        <v/>
      </c>
      <c r="R175" s="27" t="str">
        <f aca="false">IF(J175="","",INT(P175/4))</f>
        <v/>
      </c>
      <c r="S175" s="27" t="str">
        <f aca="false">IF(J175="","",IF(AND('Daily Count Sheet'!$H$3=Q175,MOD('Daily Count Sheet'!$I$3,J175)=R175),1,""))</f>
        <v/>
      </c>
      <c r="T175" s="27" t="str">
        <f aca="false">IF(S175=1,COUNTIF($S$2:S175,1),"")</f>
        <v/>
      </c>
    </row>
    <row r="176" customFormat="false" ht="15" hidden="false" customHeight="false" outlineLevel="0" collapsed="false">
      <c r="H176" s="26"/>
      <c r="I176" s="27" t="str">
        <f aca="false">IF(A176="","",IF(H176&lt;&gt;"",UPPER(TRIM(H176)),IFERROR(CHOOSE(VALUE(E176)+1,"A","B","C","D"),IF(OR(LEFT(UPPER(TRIM(E176)),1)="F",UPPER(TRIM(E176))="A"),"A",IF(OR(LEFT(UPPER(TRIM(E176)),1)="M",UPPER(TRIM(E176))="B"),"B",IF(OR(LEFT(UPPER(TRIM(E176)),2)="SL",UPPER(TRIM(E176))="C"),"C",IF(OR(LEFT(UPPER(TRIM(E176)),1)="D",UPPER(TRIM(E176))="D"),"D","")))))))</f>
        <v/>
      </c>
      <c r="J176" s="27" t="str">
        <f aca="false">IF(I176="","",IF(AND(I176="D",Settings!$B$6&lt;&gt;"Yes"),"",IFERROR(INDEX(Settings!$C$9:$C$12,MATCH(I176,Settings!$A$9:$A$12,0)),"")))</f>
        <v/>
      </c>
      <c r="K176" s="27" t="str">
        <f aca="false">IF(J176="","",COUNTIF($I$2:I176,I176))</f>
        <v/>
      </c>
      <c r="L176" s="27" t="str">
        <f aca="false">IF(J176="","",CHOOSE(Q176+1,"Tue","Wed","Thu","Fri"))</f>
        <v/>
      </c>
      <c r="M176" s="27" t="str">
        <f aca="false">IF(J176="","",IF(J176=1,"Every week",R176+1&amp;" of "&amp;J176))</f>
        <v/>
      </c>
      <c r="N176" s="28" t="str">
        <f aca="false">IF(J176="","",Settings!$B$4+R176*7+Q176)</f>
        <v/>
      </c>
      <c r="O176" s="28" t="str">
        <f aca="true">IF(J176="","",N176+MAX(0,ROUNDUP((TODAY()-N176)/(J176*7),0))*J176*7)</f>
        <v/>
      </c>
      <c r="P176" s="27" t="str">
        <f aca="false">IF(J176="","",MOD(K176-1,J176*4))</f>
        <v/>
      </c>
      <c r="Q176" s="27" t="str">
        <f aca="false">IF(J176="","",MOD(P176,4))</f>
        <v/>
      </c>
      <c r="R176" s="27" t="str">
        <f aca="false">IF(J176="","",INT(P176/4))</f>
        <v/>
      </c>
      <c r="S176" s="27" t="str">
        <f aca="false">IF(J176="","",IF(AND('Daily Count Sheet'!$H$3=Q176,MOD('Daily Count Sheet'!$I$3,J176)=R176),1,""))</f>
        <v/>
      </c>
      <c r="T176" s="27" t="str">
        <f aca="false">IF(S176=1,COUNTIF($S$2:S176,1),"")</f>
        <v/>
      </c>
    </row>
    <row r="177" customFormat="false" ht="15" hidden="false" customHeight="false" outlineLevel="0" collapsed="false">
      <c r="H177" s="26"/>
      <c r="I177" s="27" t="str">
        <f aca="false">IF(A177="","",IF(H177&lt;&gt;"",UPPER(TRIM(H177)),IFERROR(CHOOSE(VALUE(E177)+1,"A","B","C","D"),IF(OR(LEFT(UPPER(TRIM(E177)),1)="F",UPPER(TRIM(E177))="A"),"A",IF(OR(LEFT(UPPER(TRIM(E177)),1)="M",UPPER(TRIM(E177))="B"),"B",IF(OR(LEFT(UPPER(TRIM(E177)),2)="SL",UPPER(TRIM(E177))="C"),"C",IF(OR(LEFT(UPPER(TRIM(E177)),1)="D",UPPER(TRIM(E177))="D"),"D","")))))))</f>
        <v/>
      </c>
      <c r="J177" s="27" t="str">
        <f aca="false">IF(I177="","",IF(AND(I177="D",Settings!$B$6&lt;&gt;"Yes"),"",IFERROR(INDEX(Settings!$C$9:$C$12,MATCH(I177,Settings!$A$9:$A$12,0)),"")))</f>
        <v/>
      </c>
      <c r="K177" s="27" t="str">
        <f aca="false">IF(J177="","",COUNTIF($I$2:I177,I177))</f>
        <v/>
      </c>
      <c r="L177" s="27" t="str">
        <f aca="false">IF(J177="","",CHOOSE(Q177+1,"Tue","Wed","Thu","Fri"))</f>
        <v/>
      </c>
      <c r="M177" s="27" t="str">
        <f aca="false">IF(J177="","",IF(J177=1,"Every week",R177+1&amp;" of "&amp;J177))</f>
        <v/>
      </c>
      <c r="N177" s="28" t="str">
        <f aca="false">IF(J177="","",Settings!$B$4+R177*7+Q177)</f>
        <v/>
      </c>
      <c r="O177" s="28" t="str">
        <f aca="true">IF(J177="","",N177+MAX(0,ROUNDUP((TODAY()-N177)/(J177*7),0))*J177*7)</f>
        <v/>
      </c>
      <c r="P177" s="27" t="str">
        <f aca="false">IF(J177="","",MOD(K177-1,J177*4))</f>
        <v/>
      </c>
      <c r="Q177" s="27" t="str">
        <f aca="false">IF(J177="","",MOD(P177,4))</f>
        <v/>
      </c>
      <c r="R177" s="27" t="str">
        <f aca="false">IF(J177="","",INT(P177/4))</f>
        <v/>
      </c>
      <c r="S177" s="27" t="str">
        <f aca="false">IF(J177="","",IF(AND('Daily Count Sheet'!$H$3=Q177,MOD('Daily Count Sheet'!$I$3,J177)=R177),1,""))</f>
        <v/>
      </c>
      <c r="T177" s="27" t="str">
        <f aca="false">IF(S177=1,COUNTIF($S$2:S177,1),"")</f>
        <v/>
      </c>
    </row>
    <row r="178" customFormat="false" ht="15" hidden="false" customHeight="false" outlineLevel="0" collapsed="false">
      <c r="H178" s="26"/>
      <c r="I178" s="27" t="str">
        <f aca="false">IF(A178="","",IF(H178&lt;&gt;"",UPPER(TRIM(H178)),IFERROR(CHOOSE(VALUE(E178)+1,"A","B","C","D"),IF(OR(LEFT(UPPER(TRIM(E178)),1)="F",UPPER(TRIM(E178))="A"),"A",IF(OR(LEFT(UPPER(TRIM(E178)),1)="M",UPPER(TRIM(E178))="B"),"B",IF(OR(LEFT(UPPER(TRIM(E178)),2)="SL",UPPER(TRIM(E178))="C"),"C",IF(OR(LEFT(UPPER(TRIM(E178)),1)="D",UPPER(TRIM(E178))="D"),"D","")))))))</f>
        <v/>
      </c>
      <c r="J178" s="27" t="str">
        <f aca="false">IF(I178="","",IF(AND(I178="D",Settings!$B$6&lt;&gt;"Yes"),"",IFERROR(INDEX(Settings!$C$9:$C$12,MATCH(I178,Settings!$A$9:$A$12,0)),"")))</f>
        <v/>
      </c>
      <c r="K178" s="27" t="str">
        <f aca="false">IF(J178="","",COUNTIF($I$2:I178,I178))</f>
        <v/>
      </c>
      <c r="L178" s="27" t="str">
        <f aca="false">IF(J178="","",CHOOSE(Q178+1,"Tue","Wed","Thu","Fri"))</f>
        <v/>
      </c>
      <c r="M178" s="27" t="str">
        <f aca="false">IF(J178="","",IF(J178=1,"Every week",R178+1&amp;" of "&amp;J178))</f>
        <v/>
      </c>
      <c r="N178" s="28" t="str">
        <f aca="false">IF(J178="","",Settings!$B$4+R178*7+Q178)</f>
        <v/>
      </c>
      <c r="O178" s="28" t="str">
        <f aca="true">IF(J178="","",N178+MAX(0,ROUNDUP((TODAY()-N178)/(J178*7),0))*J178*7)</f>
        <v/>
      </c>
      <c r="P178" s="27" t="str">
        <f aca="false">IF(J178="","",MOD(K178-1,J178*4))</f>
        <v/>
      </c>
      <c r="Q178" s="27" t="str">
        <f aca="false">IF(J178="","",MOD(P178,4))</f>
        <v/>
      </c>
      <c r="R178" s="27" t="str">
        <f aca="false">IF(J178="","",INT(P178/4))</f>
        <v/>
      </c>
      <c r="S178" s="27" t="str">
        <f aca="false">IF(J178="","",IF(AND('Daily Count Sheet'!$H$3=Q178,MOD('Daily Count Sheet'!$I$3,J178)=R178),1,""))</f>
        <v/>
      </c>
      <c r="T178" s="27" t="str">
        <f aca="false">IF(S178=1,COUNTIF($S$2:S178,1),"")</f>
        <v/>
      </c>
    </row>
    <row r="179" customFormat="false" ht="15" hidden="false" customHeight="false" outlineLevel="0" collapsed="false">
      <c r="H179" s="26"/>
      <c r="I179" s="27" t="str">
        <f aca="false">IF(A179="","",IF(H179&lt;&gt;"",UPPER(TRIM(H179)),IFERROR(CHOOSE(VALUE(E179)+1,"A","B","C","D"),IF(OR(LEFT(UPPER(TRIM(E179)),1)="F",UPPER(TRIM(E179))="A"),"A",IF(OR(LEFT(UPPER(TRIM(E179)),1)="M",UPPER(TRIM(E179))="B"),"B",IF(OR(LEFT(UPPER(TRIM(E179)),2)="SL",UPPER(TRIM(E179))="C"),"C",IF(OR(LEFT(UPPER(TRIM(E179)),1)="D",UPPER(TRIM(E179))="D"),"D","")))))))</f>
        <v/>
      </c>
      <c r="J179" s="27" t="str">
        <f aca="false">IF(I179="","",IF(AND(I179="D",Settings!$B$6&lt;&gt;"Yes"),"",IFERROR(INDEX(Settings!$C$9:$C$12,MATCH(I179,Settings!$A$9:$A$12,0)),"")))</f>
        <v/>
      </c>
      <c r="K179" s="27" t="str">
        <f aca="false">IF(J179="","",COUNTIF($I$2:I179,I179))</f>
        <v/>
      </c>
      <c r="L179" s="27" t="str">
        <f aca="false">IF(J179="","",CHOOSE(Q179+1,"Tue","Wed","Thu","Fri"))</f>
        <v/>
      </c>
      <c r="M179" s="27" t="str">
        <f aca="false">IF(J179="","",IF(J179=1,"Every week",R179+1&amp;" of "&amp;J179))</f>
        <v/>
      </c>
      <c r="N179" s="28" t="str">
        <f aca="false">IF(J179="","",Settings!$B$4+R179*7+Q179)</f>
        <v/>
      </c>
      <c r="O179" s="28" t="str">
        <f aca="true">IF(J179="","",N179+MAX(0,ROUNDUP((TODAY()-N179)/(J179*7),0))*J179*7)</f>
        <v/>
      </c>
      <c r="P179" s="27" t="str">
        <f aca="false">IF(J179="","",MOD(K179-1,J179*4))</f>
        <v/>
      </c>
      <c r="Q179" s="27" t="str">
        <f aca="false">IF(J179="","",MOD(P179,4))</f>
        <v/>
      </c>
      <c r="R179" s="27" t="str">
        <f aca="false">IF(J179="","",INT(P179/4))</f>
        <v/>
      </c>
      <c r="S179" s="27" t="str">
        <f aca="false">IF(J179="","",IF(AND('Daily Count Sheet'!$H$3=Q179,MOD('Daily Count Sheet'!$I$3,J179)=R179),1,""))</f>
        <v/>
      </c>
      <c r="T179" s="27" t="str">
        <f aca="false">IF(S179=1,COUNTIF($S$2:S179,1),"")</f>
        <v/>
      </c>
    </row>
    <row r="180" customFormat="false" ht="15" hidden="false" customHeight="false" outlineLevel="0" collapsed="false">
      <c r="H180" s="26"/>
      <c r="I180" s="27" t="str">
        <f aca="false">IF(A180="","",IF(H180&lt;&gt;"",UPPER(TRIM(H180)),IFERROR(CHOOSE(VALUE(E180)+1,"A","B","C","D"),IF(OR(LEFT(UPPER(TRIM(E180)),1)="F",UPPER(TRIM(E180))="A"),"A",IF(OR(LEFT(UPPER(TRIM(E180)),1)="M",UPPER(TRIM(E180))="B"),"B",IF(OR(LEFT(UPPER(TRIM(E180)),2)="SL",UPPER(TRIM(E180))="C"),"C",IF(OR(LEFT(UPPER(TRIM(E180)),1)="D",UPPER(TRIM(E180))="D"),"D","")))))))</f>
        <v/>
      </c>
      <c r="J180" s="27" t="str">
        <f aca="false">IF(I180="","",IF(AND(I180="D",Settings!$B$6&lt;&gt;"Yes"),"",IFERROR(INDEX(Settings!$C$9:$C$12,MATCH(I180,Settings!$A$9:$A$12,0)),"")))</f>
        <v/>
      </c>
      <c r="K180" s="27" t="str">
        <f aca="false">IF(J180="","",COUNTIF($I$2:I180,I180))</f>
        <v/>
      </c>
      <c r="L180" s="27" t="str">
        <f aca="false">IF(J180="","",CHOOSE(Q180+1,"Tue","Wed","Thu","Fri"))</f>
        <v/>
      </c>
      <c r="M180" s="27" t="str">
        <f aca="false">IF(J180="","",IF(J180=1,"Every week",R180+1&amp;" of "&amp;J180))</f>
        <v/>
      </c>
      <c r="N180" s="28" t="str">
        <f aca="false">IF(J180="","",Settings!$B$4+R180*7+Q180)</f>
        <v/>
      </c>
      <c r="O180" s="28" t="str">
        <f aca="true">IF(J180="","",N180+MAX(0,ROUNDUP((TODAY()-N180)/(J180*7),0))*J180*7)</f>
        <v/>
      </c>
      <c r="P180" s="27" t="str">
        <f aca="false">IF(J180="","",MOD(K180-1,J180*4))</f>
        <v/>
      </c>
      <c r="Q180" s="27" t="str">
        <f aca="false">IF(J180="","",MOD(P180,4))</f>
        <v/>
      </c>
      <c r="R180" s="27" t="str">
        <f aca="false">IF(J180="","",INT(P180/4))</f>
        <v/>
      </c>
      <c r="S180" s="27" t="str">
        <f aca="false">IF(J180="","",IF(AND('Daily Count Sheet'!$H$3=Q180,MOD('Daily Count Sheet'!$I$3,J180)=R180),1,""))</f>
        <v/>
      </c>
      <c r="T180" s="27" t="str">
        <f aca="false">IF(S180=1,COUNTIF($S$2:S180,1),"")</f>
        <v/>
      </c>
    </row>
    <row r="181" customFormat="false" ht="15" hidden="false" customHeight="false" outlineLevel="0" collapsed="false">
      <c r="H181" s="26"/>
      <c r="I181" s="27" t="str">
        <f aca="false">IF(A181="","",IF(H181&lt;&gt;"",UPPER(TRIM(H181)),IFERROR(CHOOSE(VALUE(E181)+1,"A","B","C","D"),IF(OR(LEFT(UPPER(TRIM(E181)),1)="F",UPPER(TRIM(E181))="A"),"A",IF(OR(LEFT(UPPER(TRIM(E181)),1)="M",UPPER(TRIM(E181))="B"),"B",IF(OR(LEFT(UPPER(TRIM(E181)),2)="SL",UPPER(TRIM(E181))="C"),"C",IF(OR(LEFT(UPPER(TRIM(E181)),1)="D",UPPER(TRIM(E181))="D"),"D","")))))))</f>
        <v/>
      </c>
      <c r="J181" s="27" t="str">
        <f aca="false">IF(I181="","",IF(AND(I181="D",Settings!$B$6&lt;&gt;"Yes"),"",IFERROR(INDEX(Settings!$C$9:$C$12,MATCH(I181,Settings!$A$9:$A$12,0)),"")))</f>
        <v/>
      </c>
      <c r="K181" s="27" t="str">
        <f aca="false">IF(J181="","",COUNTIF($I$2:I181,I181))</f>
        <v/>
      </c>
      <c r="L181" s="27" t="str">
        <f aca="false">IF(J181="","",CHOOSE(Q181+1,"Tue","Wed","Thu","Fri"))</f>
        <v/>
      </c>
      <c r="M181" s="27" t="str">
        <f aca="false">IF(J181="","",IF(J181=1,"Every week",R181+1&amp;" of "&amp;J181))</f>
        <v/>
      </c>
      <c r="N181" s="28" t="str">
        <f aca="false">IF(J181="","",Settings!$B$4+R181*7+Q181)</f>
        <v/>
      </c>
      <c r="O181" s="28" t="str">
        <f aca="true">IF(J181="","",N181+MAX(0,ROUNDUP((TODAY()-N181)/(J181*7),0))*J181*7)</f>
        <v/>
      </c>
      <c r="P181" s="27" t="str">
        <f aca="false">IF(J181="","",MOD(K181-1,J181*4))</f>
        <v/>
      </c>
      <c r="Q181" s="27" t="str">
        <f aca="false">IF(J181="","",MOD(P181,4))</f>
        <v/>
      </c>
      <c r="R181" s="27" t="str">
        <f aca="false">IF(J181="","",INT(P181/4))</f>
        <v/>
      </c>
      <c r="S181" s="27" t="str">
        <f aca="false">IF(J181="","",IF(AND('Daily Count Sheet'!$H$3=Q181,MOD('Daily Count Sheet'!$I$3,J181)=R181),1,""))</f>
        <v/>
      </c>
      <c r="T181" s="27" t="str">
        <f aca="false">IF(S181=1,COUNTIF($S$2:S181,1),"")</f>
        <v/>
      </c>
    </row>
    <row r="182" customFormat="false" ht="15" hidden="false" customHeight="false" outlineLevel="0" collapsed="false">
      <c r="H182" s="26"/>
      <c r="I182" s="27" t="str">
        <f aca="false">IF(A182="","",IF(H182&lt;&gt;"",UPPER(TRIM(H182)),IFERROR(CHOOSE(VALUE(E182)+1,"A","B","C","D"),IF(OR(LEFT(UPPER(TRIM(E182)),1)="F",UPPER(TRIM(E182))="A"),"A",IF(OR(LEFT(UPPER(TRIM(E182)),1)="M",UPPER(TRIM(E182))="B"),"B",IF(OR(LEFT(UPPER(TRIM(E182)),2)="SL",UPPER(TRIM(E182))="C"),"C",IF(OR(LEFT(UPPER(TRIM(E182)),1)="D",UPPER(TRIM(E182))="D"),"D","")))))))</f>
        <v/>
      </c>
      <c r="J182" s="27" t="str">
        <f aca="false">IF(I182="","",IF(AND(I182="D",Settings!$B$6&lt;&gt;"Yes"),"",IFERROR(INDEX(Settings!$C$9:$C$12,MATCH(I182,Settings!$A$9:$A$12,0)),"")))</f>
        <v/>
      </c>
      <c r="K182" s="27" t="str">
        <f aca="false">IF(J182="","",COUNTIF($I$2:I182,I182))</f>
        <v/>
      </c>
      <c r="L182" s="27" t="str">
        <f aca="false">IF(J182="","",CHOOSE(Q182+1,"Tue","Wed","Thu","Fri"))</f>
        <v/>
      </c>
      <c r="M182" s="27" t="str">
        <f aca="false">IF(J182="","",IF(J182=1,"Every week",R182+1&amp;" of "&amp;J182))</f>
        <v/>
      </c>
      <c r="N182" s="28" t="str">
        <f aca="false">IF(J182="","",Settings!$B$4+R182*7+Q182)</f>
        <v/>
      </c>
      <c r="O182" s="28" t="str">
        <f aca="true">IF(J182="","",N182+MAX(0,ROUNDUP((TODAY()-N182)/(J182*7),0))*J182*7)</f>
        <v/>
      </c>
      <c r="P182" s="27" t="str">
        <f aca="false">IF(J182="","",MOD(K182-1,J182*4))</f>
        <v/>
      </c>
      <c r="Q182" s="27" t="str">
        <f aca="false">IF(J182="","",MOD(P182,4))</f>
        <v/>
      </c>
      <c r="R182" s="27" t="str">
        <f aca="false">IF(J182="","",INT(P182/4))</f>
        <v/>
      </c>
      <c r="S182" s="27" t="str">
        <f aca="false">IF(J182="","",IF(AND('Daily Count Sheet'!$H$3=Q182,MOD('Daily Count Sheet'!$I$3,J182)=R182),1,""))</f>
        <v/>
      </c>
      <c r="T182" s="27" t="str">
        <f aca="false">IF(S182=1,COUNTIF($S$2:S182,1),"")</f>
        <v/>
      </c>
    </row>
    <row r="183" customFormat="false" ht="15" hidden="false" customHeight="false" outlineLevel="0" collapsed="false">
      <c r="H183" s="26"/>
      <c r="I183" s="27" t="str">
        <f aca="false">IF(A183="","",IF(H183&lt;&gt;"",UPPER(TRIM(H183)),IFERROR(CHOOSE(VALUE(E183)+1,"A","B","C","D"),IF(OR(LEFT(UPPER(TRIM(E183)),1)="F",UPPER(TRIM(E183))="A"),"A",IF(OR(LEFT(UPPER(TRIM(E183)),1)="M",UPPER(TRIM(E183))="B"),"B",IF(OR(LEFT(UPPER(TRIM(E183)),2)="SL",UPPER(TRIM(E183))="C"),"C",IF(OR(LEFT(UPPER(TRIM(E183)),1)="D",UPPER(TRIM(E183))="D"),"D","")))))))</f>
        <v/>
      </c>
      <c r="J183" s="27" t="str">
        <f aca="false">IF(I183="","",IF(AND(I183="D",Settings!$B$6&lt;&gt;"Yes"),"",IFERROR(INDEX(Settings!$C$9:$C$12,MATCH(I183,Settings!$A$9:$A$12,0)),"")))</f>
        <v/>
      </c>
      <c r="K183" s="27" t="str">
        <f aca="false">IF(J183="","",COUNTIF($I$2:I183,I183))</f>
        <v/>
      </c>
      <c r="L183" s="27" t="str">
        <f aca="false">IF(J183="","",CHOOSE(Q183+1,"Tue","Wed","Thu","Fri"))</f>
        <v/>
      </c>
      <c r="M183" s="27" t="str">
        <f aca="false">IF(J183="","",IF(J183=1,"Every week",R183+1&amp;" of "&amp;J183))</f>
        <v/>
      </c>
      <c r="N183" s="28" t="str">
        <f aca="false">IF(J183="","",Settings!$B$4+R183*7+Q183)</f>
        <v/>
      </c>
      <c r="O183" s="28" t="str">
        <f aca="true">IF(J183="","",N183+MAX(0,ROUNDUP((TODAY()-N183)/(J183*7),0))*J183*7)</f>
        <v/>
      </c>
      <c r="P183" s="27" t="str">
        <f aca="false">IF(J183="","",MOD(K183-1,J183*4))</f>
        <v/>
      </c>
      <c r="Q183" s="27" t="str">
        <f aca="false">IF(J183="","",MOD(P183,4))</f>
        <v/>
      </c>
      <c r="R183" s="27" t="str">
        <f aca="false">IF(J183="","",INT(P183/4))</f>
        <v/>
      </c>
      <c r="S183" s="27" t="str">
        <f aca="false">IF(J183="","",IF(AND('Daily Count Sheet'!$H$3=Q183,MOD('Daily Count Sheet'!$I$3,J183)=R183),1,""))</f>
        <v/>
      </c>
      <c r="T183" s="27" t="str">
        <f aca="false">IF(S183=1,COUNTIF($S$2:S183,1),"")</f>
        <v/>
      </c>
    </row>
    <row r="184" customFormat="false" ht="15" hidden="false" customHeight="false" outlineLevel="0" collapsed="false">
      <c r="H184" s="26"/>
      <c r="I184" s="27" t="str">
        <f aca="false">IF(A184="","",IF(H184&lt;&gt;"",UPPER(TRIM(H184)),IFERROR(CHOOSE(VALUE(E184)+1,"A","B","C","D"),IF(OR(LEFT(UPPER(TRIM(E184)),1)="F",UPPER(TRIM(E184))="A"),"A",IF(OR(LEFT(UPPER(TRIM(E184)),1)="M",UPPER(TRIM(E184))="B"),"B",IF(OR(LEFT(UPPER(TRIM(E184)),2)="SL",UPPER(TRIM(E184))="C"),"C",IF(OR(LEFT(UPPER(TRIM(E184)),1)="D",UPPER(TRIM(E184))="D"),"D","")))))))</f>
        <v/>
      </c>
      <c r="J184" s="27" t="str">
        <f aca="false">IF(I184="","",IF(AND(I184="D",Settings!$B$6&lt;&gt;"Yes"),"",IFERROR(INDEX(Settings!$C$9:$C$12,MATCH(I184,Settings!$A$9:$A$12,0)),"")))</f>
        <v/>
      </c>
      <c r="K184" s="27" t="str">
        <f aca="false">IF(J184="","",COUNTIF($I$2:I184,I184))</f>
        <v/>
      </c>
      <c r="L184" s="27" t="str">
        <f aca="false">IF(J184="","",CHOOSE(Q184+1,"Tue","Wed","Thu","Fri"))</f>
        <v/>
      </c>
      <c r="M184" s="27" t="str">
        <f aca="false">IF(J184="","",IF(J184=1,"Every week",R184+1&amp;" of "&amp;J184))</f>
        <v/>
      </c>
      <c r="N184" s="28" t="str">
        <f aca="false">IF(J184="","",Settings!$B$4+R184*7+Q184)</f>
        <v/>
      </c>
      <c r="O184" s="28" t="str">
        <f aca="true">IF(J184="","",N184+MAX(0,ROUNDUP((TODAY()-N184)/(J184*7),0))*J184*7)</f>
        <v/>
      </c>
      <c r="P184" s="27" t="str">
        <f aca="false">IF(J184="","",MOD(K184-1,J184*4))</f>
        <v/>
      </c>
      <c r="Q184" s="27" t="str">
        <f aca="false">IF(J184="","",MOD(P184,4))</f>
        <v/>
      </c>
      <c r="R184" s="27" t="str">
        <f aca="false">IF(J184="","",INT(P184/4))</f>
        <v/>
      </c>
      <c r="S184" s="27" t="str">
        <f aca="false">IF(J184="","",IF(AND('Daily Count Sheet'!$H$3=Q184,MOD('Daily Count Sheet'!$I$3,J184)=R184),1,""))</f>
        <v/>
      </c>
      <c r="T184" s="27" t="str">
        <f aca="false">IF(S184=1,COUNTIF($S$2:S184,1),"")</f>
        <v/>
      </c>
    </row>
    <row r="185" customFormat="false" ht="15" hidden="false" customHeight="false" outlineLevel="0" collapsed="false">
      <c r="H185" s="26"/>
      <c r="I185" s="27" t="str">
        <f aca="false">IF(A185="","",IF(H185&lt;&gt;"",UPPER(TRIM(H185)),IFERROR(CHOOSE(VALUE(E185)+1,"A","B","C","D"),IF(OR(LEFT(UPPER(TRIM(E185)),1)="F",UPPER(TRIM(E185))="A"),"A",IF(OR(LEFT(UPPER(TRIM(E185)),1)="M",UPPER(TRIM(E185))="B"),"B",IF(OR(LEFT(UPPER(TRIM(E185)),2)="SL",UPPER(TRIM(E185))="C"),"C",IF(OR(LEFT(UPPER(TRIM(E185)),1)="D",UPPER(TRIM(E185))="D"),"D","")))))))</f>
        <v/>
      </c>
      <c r="J185" s="27" t="str">
        <f aca="false">IF(I185="","",IF(AND(I185="D",Settings!$B$6&lt;&gt;"Yes"),"",IFERROR(INDEX(Settings!$C$9:$C$12,MATCH(I185,Settings!$A$9:$A$12,0)),"")))</f>
        <v/>
      </c>
      <c r="K185" s="27" t="str">
        <f aca="false">IF(J185="","",COUNTIF($I$2:I185,I185))</f>
        <v/>
      </c>
      <c r="L185" s="27" t="str">
        <f aca="false">IF(J185="","",CHOOSE(Q185+1,"Tue","Wed","Thu","Fri"))</f>
        <v/>
      </c>
      <c r="M185" s="27" t="str">
        <f aca="false">IF(J185="","",IF(J185=1,"Every week",R185+1&amp;" of "&amp;J185))</f>
        <v/>
      </c>
      <c r="N185" s="28" t="str">
        <f aca="false">IF(J185="","",Settings!$B$4+R185*7+Q185)</f>
        <v/>
      </c>
      <c r="O185" s="28" t="str">
        <f aca="true">IF(J185="","",N185+MAX(0,ROUNDUP((TODAY()-N185)/(J185*7),0))*J185*7)</f>
        <v/>
      </c>
      <c r="P185" s="27" t="str">
        <f aca="false">IF(J185="","",MOD(K185-1,J185*4))</f>
        <v/>
      </c>
      <c r="Q185" s="27" t="str">
        <f aca="false">IF(J185="","",MOD(P185,4))</f>
        <v/>
      </c>
      <c r="R185" s="27" t="str">
        <f aca="false">IF(J185="","",INT(P185/4))</f>
        <v/>
      </c>
      <c r="S185" s="27" t="str">
        <f aca="false">IF(J185="","",IF(AND('Daily Count Sheet'!$H$3=Q185,MOD('Daily Count Sheet'!$I$3,J185)=R185),1,""))</f>
        <v/>
      </c>
      <c r="T185" s="27" t="str">
        <f aca="false">IF(S185=1,COUNTIF($S$2:S185,1),"")</f>
        <v/>
      </c>
    </row>
    <row r="186" customFormat="false" ht="15" hidden="false" customHeight="false" outlineLevel="0" collapsed="false">
      <c r="H186" s="26"/>
      <c r="I186" s="27" t="str">
        <f aca="false">IF(A186="","",IF(H186&lt;&gt;"",UPPER(TRIM(H186)),IFERROR(CHOOSE(VALUE(E186)+1,"A","B","C","D"),IF(OR(LEFT(UPPER(TRIM(E186)),1)="F",UPPER(TRIM(E186))="A"),"A",IF(OR(LEFT(UPPER(TRIM(E186)),1)="M",UPPER(TRIM(E186))="B"),"B",IF(OR(LEFT(UPPER(TRIM(E186)),2)="SL",UPPER(TRIM(E186))="C"),"C",IF(OR(LEFT(UPPER(TRIM(E186)),1)="D",UPPER(TRIM(E186))="D"),"D","")))))))</f>
        <v/>
      </c>
      <c r="J186" s="27" t="str">
        <f aca="false">IF(I186="","",IF(AND(I186="D",Settings!$B$6&lt;&gt;"Yes"),"",IFERROR(INDEX(Settings!$C$9:$C$12,MATCH(I186,Settings!$A$9:$A$12,0)),"")))</f>
        <v/>
      </c>
      <c r="K186" s="27" t="str">
        <f aca="false">IF(J186="","",COUNTIF($I$2:I186,I186))</f>
        <v/>
      </c>
      <c r="L186" s="27" t="str">
        <f aca="false">IF(J186="","",CHOOSE(Q186+1,"Tue","Wed","Thu","Fri"))</f>
        <v/>
      </c>
      <c r="M186" s="27" t="str">
        <f aca="false">IF(J186="","",IF(J186=1,"Every week",R186+1&amp;" of "&amp;J186))</f>
        <v/>
      </c>
      <c r="N186" s="28" t="str">
        <f aca="false">IF(J186="","",Settings!$B$4+R186*7+Q186)</f>
        <v/>
      </c>
      <c r="O186" s="28" t="str">
        <f aca="true">IF(J186="","",N186+MAX(0,ROUNDUP((TODAY()-N186)/(J186*7),0))*J186*7)</f>
        <v/>
      </c>
      <c r="P186" s="27" t="str">
        <f aca="false">IF(J186="","",MOD(K186-1,J186*4))</f>
        <v/>
      </c>
      <c r="Q186" s="27" t="str">
        <f aca="false">IF(J186="","",MOD(P186,4))</f>
        <v/>
      </c>
      <c r="R186" s="27" t="str">
        <f aca="false">IF(J186="","",INT(P186/4))</f>
        <v/>
      </c>
      <c r="S186" s="27" t="str">
        <f aca="false">IF(J186="","",IF(AND('Daily Count Sheet'!$H$3=Q186,MOD('Daily Count Sheet'!$I$3,J186)=R186),1,""))</f>
        <v/>
      </c>
      <c r="T186" s="27" t="str">
        <f aca="false">IF(S186=1,COUNTIF($S$2:S186,1),"")</f>
        <v/>
      </c>
    </row>
    <row r="187" customFormat="false" ht="15" hidden="false" customHeight="false" outlineLevel="0" collapsed="false">
      <c r="H187" s="26"/>
      <c r="I187" s="27" t="str">
        <f aca="false">IF(A187="","",IF(H187&lt;&gt;"",UPPER(TRIM(H187)),IFERROR(CHOOSE(VALUE(E187)+1,"A","B","C","D"),IF(OR(LEFT(UPPER(TRIM(E187)),1)="F",UPPER(TRIM(E187))="A"),"A",IF(OR(LEFT(UPPER(TRIM(E187)),1)="M",UPPER(TRIM(E187))="B"),"B",IF(OR(LEFT(UPPER(TRIM(E187)),2)="SL",UPPER(TRIM(E187))="C"),"C",IF(OR(LEFT(UPPER(TRIM(E187)),1)="D",UPPER(TRIM(E187))="D"),"D","")))))))</f>
        <v/>
      </c>
      <c r="J187" s="27" t="str">
        <f aca="false">IF(I187="","",IF(AND(I187="D",Settings!$B$6&lt;&gt;"Yes"),"",IFERROR(INDEX(Settings!$C$9:$C$12,MATCH(I187,Settings!$A$9:$A$12,0)),"")))</f>
        <v/>
      </c>
      <c r="K187" s="27" t="str">
        <f aca="false">IF(J187="","",COUNTIF($I$2:I187,I187))</f>
        <v/>
      </c>
      <c r="L187" s="27" t="str">
        <f aca="false">IF(J187="","",CHOOSE(Q187+1,"Tue","Wed","Thu","Fri"))</f>
        <v/>
      </c>
      <c r="M187" s="27" t="str">
        <f aca="false">IF(J187="","",IF(J187=1,"Every week",R187+1&amp;" of "&amp;J187))</f>
        <v/>
      </c>
      <c r="N187" s="28" t="str">
        <f aca="false">IF(J187="","",Settings!$B$4+R187*7+Q187)</f>
        <v/>
      </c>
      <c r="O187" s="28" t="str">
        <f aca="true">IF(J187="","",N187+MAX(0,ROUNDUP((TODAY()-N187)/(J187*7),0))*J187*7)</f>
        <v/>
      </c>
      <c r="P187" s="27" t="str">
        <f aca="false">IF(J187="","",MOD(K187-1,J187*4))</f>
        <v/>
      </c>
      <c r="Q187" s="27" t="str">
        <f aca="false">IF(J187="","",MOD(P187,4))</f>
        <v/>
      </c>
      <c r="R187" s="27" t="str">
        <f aca="false">IF(J187="","",INT(P187/4))</f>
        <v/>
      </c>
      <c r="S187" s="27" t="str">
        <f aca="false">IF(J187="","",IF(AND('Daily Count Sheet'!$H$3=Q187,MOD('Daily Count Sheet'!$I$3,J187)=R187),1,""))</f>
        <v/>
      </c>
      <c r="T187" s="27" t="str">
        <f aca="false">IF(S187=1,COUNTIF($S$2:S187,1),"")</f>
        <v/>
      </c>
    </row>
    <row r="188" customFormat="false" ht="15" hidden="false" customHeight="false" outlineLevel="0" collapsed="false">
      <c r="H188" s="26"/>
      <c r="I188" s="27" t="str">
        <f aca="false">IF(A188="","",IF(H188&lt;&gt;"",UPPER(TRIM(H188)),IFERROR(CHOOSE(VALUE(E188)+1,"A","B","C","D"),IF(OR(LEFT(UPPER(TRIM(E188)),1)="F",UPPER(TRIM(E188))="A"),"A",IF(OR(LEFT(UPPER(TRIM(E188)),1)="M",UPPER(TRIM(E188))="B"),"B",IF(OR(LEFT(UPPER(TRIM(E188)),2)="SL",UPPER(TRIM(E188))="C"),"C",IF(OR(LEFT(UPPER(TRIM(E188)),1)="D",UPPER(TRIM(E188))="D"),"D","")))))))</f>
        <v/>
      </c>
      <c r="J188" s="27" t="str">
        <f aca="false">IF(I188="","",IF(AND(I188="D",Settings!$B$6&lt;&gt;"Yes"),"",IFERROR(INDEX(Settings!$C$9:$C$12,MATCH(I188,Settings!$A$9:$A$12,0)),"")))</f>
        <v/>
      </c>
      <c r="K188" s="27" t="str">
        <f aca="false">IF(J188="","",COUNTIF($I$2:I188,I188))</f>
        <v/>
      </c>
      <c r="L188" s="27" t="str">
        <f aca="false">IF(J188="","",CHOOSE(Q188+1,"Tue","Wed","Thu","Fri"))</f>
        <v/>
      </c>
      <c r="M188" s="27" t="str">
        <f aca="false">IF(J188="","",IF(J188=1,"Every week",R188+1&amp;" of "&amp;J188))</f>
        <v/>
      </c>
      <c r="N188" s="28" t="str">
        <f aca="false">IF(J188="","",Settings!$B$4+R188*7+Q188)</f>
        <v/>
      </c>
      <c r="O188" s="28" t="str">
        <f aca="true">IF(J188="","",N188+MAX(0,ROUNDUP((TODAY()-N188)/(J188*7),0))*J188*7)</f>
        <v/>
      </c>
      <c r="P188" s="27" t="str">
        <f aca="false">IF(J188="","",MOD(K188-1,J188*4))</f>
        <v/>
      </c>
      <c r="Q188" s="27" t="str">
        <f aca="false">IF(J188="","",MOD(P188,4))</f>
        <v/>
      </c>
      <c r="R188" s="27" t="str">
        <f aca="false">IF(J188="","",INT(P188/4))</f>
        <v/>
      </c>
      <c r="S188" s="27" t="str">
        <f aca="false">IF(J188="","",IF(AND('Daily Count Sheet'!$H$3=Q188,MOD('Daily Count Sheet'!$I$3,J188)=R188),1,""))</f>
        <v/>
      </c>
      <c r="T188" s="27" t="str">
        <f aca="false">IF(S188=1,COUNTIF($S$2:S188,1),"")</f>
        <v/>
      </c>
    </row>
    <row r="189" customFormat="false" ht="15" hidden="false" customHeight="false" outlineLevel="0" collapsed="false">
      <c r="H189" s="26"/>
      <c r="I189" s="27" t="str">
        <f aca="false">IF(A189="","",IF(H189&lt;&gt;"",UPPER(TRIM(H189)),IFERROR(CHOOSE(VALUE(E189)+1,"A","B","C","D"),IF(OR(LEFT(UPPER(TRIM(E189)),1)="F",UPPER(TRIM(E189))="A"),"A",IF(OR(LEFT(UPPER(TRIM(E189)),1)="M",UPPER(TRIM(E189))="B"),"B",IF(OR(LEFT(UPPER(TRIM(E189)),2)="SL",UPPER(TRIM(E189))="C"),"C",IF(OR(LEFT(UPPER(TRIM(E189)),1)="D",UPPER(TRIM(E189))="D"),"D","")))))))</f>
        <v/>
      </c>
      <c r="J189" s="27" t="str">
        <f aca="false">IF(I189="","",IF(AND(I189="D",Settings!$B$6&lt;&gt;"Yes"),"",IFERROR(INDEX(Settings!$C$9:$C$12,MATCH(I189,Settings!$A$9:$A$12,0)),"")))</f>
        <v/>
      </c>
      <c r="K189" s="27" t="str">
        <f aca="false">IF(J189="","",COUNTIF($I$2:I189,I189))</f>
        <v/>
      </c>
      <c r="L189" s="27" t="str">
        <f aca="false">IF(J189="","",CHOOSE(Q189+1,"Tue","Wed","Thu","Fri"))</f>
        <v/>
      </c>
      <c r="M189" s="27" t="str">
        <f aca="false">IF(J189="","",IF(J189=1,"Every week",R189+1&amp;" of "&amp;J189))</f>
        <v/>
      </c>
      <c r="N189" s="28" t="str">
        <f aca="false">IF(J189="","",Settings!$B$4+R189*7+Q189)</f>
        <v/>
      </c>
      <c r="O189" s="28" t="str">
        <f aca="true">IF(J189="","",N189+MAX(0,ROUNDUP((TODAY()-N189)/(J189*7),0))*J189*7)</f>
        <v/>
      </c>
      <c r="P189" s="27" t="str">
        <f aca="false">IF(J189="","",MOD(K189-1,J189*4))</f>
        <v/>
      </c>
      <c r="Q189" s="27" t="str">
        <f aca="false">IF(J189="","",MOD(P189,4))</f>
        <v/>
      </c>
      <c r="R189" s="27" t="str">
        <f aca="false">IF(J189="","",INT(P189/4))</f>
        <v/>
      </c>
      <c r="S189" s="27" t="str">
        <f aca="false">IF(J189="","",IF(AND('Daily Count Sheet'!$H$3=Q189,MOD('Daily Count Sheet'!$I$3,J189)=R189),1,""))</f>
        <v/>
      </c>
      <c r="T189" s="27" t="str">
        <f aca="false">IF(S189=1,COUNTIF($S$2:S189,1),"")</f>
        <v/>
      </c>
    </row>
    <row r="190" customFormat="false" ht="15" hidden="false" customHeight="false" outlineLevel="0" collapsed="false">
      <c r="H190" s="26"/>
      <c r="I190" s="27" t="str">
        <f aca="false">IF(A190="","",IF(H190&lt;&gt;"",UPPER(TRIM(H190)),IFERROR(CHOOSE(VALUE(E190)+1,"A","B","C","D"),IF(OR(LEFT(UPPER(TRIM(E190)),1)="F",UPPER(TRIM(E190))="A"),"A",IF(OR(LEFT(UPPER(TRIM(E190)),1)="M",UPPER(TRIM(E190))="B"),"B",IF(OR(LEFT(UPPER(TRIM(E190)),2)="SL",UPPER(TRIM(E190))="C"),"C",IF(OR(LEFT(UPPER(TRIM(E190)),1)="D",UPPER(TRIM(E190))="D"),"D","")))))))</f>
        <v/>
      </c>
      <c r="J190" s="27" t="str">
        <f aca="false">IF(I190="","",IF(AND(I190="D",Settings!$B$6&lt;&gt;"Yes"),"",IFERROR(INDEX(Settings!$C$9:$C$12,MATCH(I190,Settings!$A$9:$A$12,0)),"")))</f>
        <v/>
      </c>
      <c r="K190" s="27" t="str">
        <f aca="false">IF(J190="","",COUNTIF($I$2:I190,I190))</f>
        <v/>
      </c>
      <c r="L190" s="27" t="str">
        <f aca="false">IF(J190="","",CHOOSE(Q190+1,"Tue","Wed","Thu","Fri"))</f>
        <v/>
      </c>
      <c r="M190" s="27" t="str">
        <f aca="false">IF(J190="","",IF(J190=1,"Every week",R190+1&amp;" of "&amp;J190))</f>
        <v/>
      </c>
      <c r="N190" s="28" t="str">
        <f aca="false">IF(J190="","",Settings!$B$4+R190*7+Q190)</f>
        <v/>
      </c>
      <c r="O190" s="28" t="str">
        <f aca="true">IF(J190="","",N190+MAX(0,ROUNDUP((TODAY()-N190)/(J190*7),0))*J190*7)</f>
        <v/>
      </c>
      <c r="P190" s="27" t="str">
        <f aca="false">IF(J190="","",MOD(K190-1,J190*4))</f>
        <v/>
      </c>
      <c r="Q190" s="27" t="str">
        <f aca="false">IF(J190="","",MOD(P190,4))</f>
        <v/>
      </c>
      <c r="R190" s="27" t="str">
        <f aca="false">IF(J190="","",INT(P190/4))</f>
        <v/>
      </c>
      <c r="S190" s="27" t="str">
        <f aca="false">IF(J190="","",IF(AND('Daily Count Sheet'!$H$3=Q190,MOD('Daily Count Sheet'!$I$3,J190)=R190),1,""))</f>
        <v/>
      </c>
      <c r="T190" s="27" t="str">
        <f aca="false">IF(S190=1,COUNTIF($S$2:S190,1),"")</f>
        <v/>
      </c>
    </row>
    <row r="191" customFormat="false" ht="15" hidden="false" customHeight="false" outlineLevel="0" collapsed="false">
      <c r="H191" s="26"/>
      <c r="I191" s="27" t="str">
        <f aca="false">IF(A191="","",IF(H191&lt;&gt;"",UPPER(TRIM(H191)),IFERROR(CHOOSE(VALUE(E191)+1,"A","B","C","D"),IF(OR(LEFT(UPPER(TRIM(E191)),1)="F",UPPER(TRIM(E191))="A"),"A",IF(OR(LEFT(UPPER(TRIM(E191)),1)="M",UPPER(TRIM(E191))="B"),"B",IF(OR(LEFT(UPPER(TRIM(E191)),2)="SL",UPPER(TRIM(E191))="C"),"C",IF(OR(LEFT(UPPER(TRIM(E191)),1)="D",UPPER(TRIM(E191))="D"),"D","")))))))</f>
        <v/>
      </c>
      <c r="J191" s="27" t="str">
        <f aca="false">IF(I191="","",IF(AND(I191="D",Settings!$B$6&lt;&gt;"Yes"),"",IFERROR(INDEX(Settings!$C$9:$C$12,MATCH(I191,Settings!$A$9:$A$12,0)),"")))</f>
        <v/>
      </c>
      <c r="K191" s="27" t="str">
        <f aca="false">IF(J191="","",COUNTIF($I$2:I191,I191))</f>
        <v/>
      </c>
      <c r="L191" s="27" t="str">
        <f aca="false">IF(J191="","",CHOOSE(Q191+1,"Tue","Wed","Thu","Fri"))</f>
        <v/>
      </c>
      <c r="M191" s="27" t="str">
        <f aca="false">IF(J191="","",IF(J191=1,"Every week",R191+1&amp;" of "&amp;J191))</f>
        <v/>
      </c>
      <c r="N191" s="28" t="str">
        <f aca="false">IF(J191="","",Settings!$B$4+R191*7+Q191)</f>
        <v/>
      </c>
      <c r="O191" s="28" t="str">
        <f aca="true">IF(J191="","",N191+MAX(0,ROUNDUP((TODAY()-N191)/(J191*7),0))*J191*7)</f>
        <v/>
      </c>
      <c r="P191" s="27" t="str">
        <f aca="false">IF(J191="","",MOD(K191-1,J191*4))</f>
        <v/>
      </c>
      <c r="Q191" s="27" t="str">
        <f aca="false">IF(J191="","",MOD(P191,4))</f>
        <v/>
      </c>
      <c r="R191" s="27" t="str">
        <f aca="false">IF(J191="","",INT(P191/4))</f>
        <v/>
      </c>
      <c r="S191" s="27" t="str">
        <f aca="false">IF(J191="","",IF(AND('Daily Count Sheet'!$H$3=Q191,MOD('Daily Count Sheet'!$I$3,J191)=R191),1,""))</f>
        <v/>
      </c>
      <c r="T191" s="27" t="str">
        <f aca="false">IF(S191=1,COUNTIF($S$2:S191,1),"")</f>
        <v/>
      </c>
    </row>
    <row r="192" customFormat="false" ht="15" hidden="false" customHeight="false" outlineLevel="0" collapsed="false">
      <c r="H192" s="26"/>
      <c r="I192" s="27" t="str">
        <f aca="false">IF(A192="","",IF(H192&lt;&gt;"",UPPER(TRIM(H192)),IFERROR(CHOOSE(VALUE(E192)+1,"A","B","C","D"),IF(OR(LEFT(UPPER(TRIM(E192)),1)="F",UPPER(TRIM(E192))="A"),"A",IF(OR(LEFT(UPPER(TRIM(E192)),1)="M",UPPER(TRIM(E192))="B"),"B",IF(OR(LEFT(UPPER(TRIM(E192)),2)="SL",UPPER(TRIM(E192))="C"),"C",IF(OR(LEFT(UPPER(TRIM(E192)),1)="D",UPPER(TRIM(E192))="D"),"D","")))))))</f>
        <v/>
      </c>
      <c r="J192" s="27" t="str">
        <f aca="false">IF(I192="","",IF(AND(I192="D",Settings!$B$6&lt;&gt;"Yes"),"",IFERROR(INDEX(Settings!$C$9:$C$12,MATCH(I192,Settings!$A$9:$A$12,0)),"")))</f>
        <v/>
      </c>
      <c r="K192" s="27" t="str">
        <f aca="false">IF(J192="","",COUNTIF($I$2:I192,I192))</f>
        <v/>
      </c>
      <c r="L192" s="27" t="str">
        <f aca="false">IF(J192="","",CHOOSE(Q192+1,"Tue","Wed","Thu","Fri"))</f>
        <v/>
      </c>
      <c r="M192" s="27" t="str">
        <f aca="false">IF(J192="","",IF(J192=1,"Every week",R192+1&amp;" of "&amp;J192))</f>
        <v/>
      </c>
      <c r="N192" s="28" t="str">
        <f aca="false">IF(J192="","",Settings!$B$4+R192*7+Q192)</f>
        <v/>
      </c>
      <c r="O192" s="28" t="str">
        <f aca="true">IF(J192="","",N192+MAX(0,ROUNDUP((TODAY()-N192)/(J192*7),0))*J192*7)</f>
        <v/>
      </c>
      <c r="P192" s="27" t="str">
        <f aca="false">IF(J192="","",MOD(K192-1,J192*4))</f>
        <v/>
      </c>
      <c r="Q192" s="27" t="str">
        <f aca="false">IF(J192="","",MOD(P192,4))</f>
        <v/>
      </c>
      <c r="R192" s="27" t="str">
        <f aca="false">IF(J192="","",INT(P192/4))</f>
        <v/>
      </c>
      <c r="S192" s="27" t="str">
        <f aca="false">IF(J192="","",IF(AND('Daily Count Sheet'!$H$3=Q192,MOD('Daily Count Sheet'!$I$3,J192)=R192),1,""))</f>
        <v/>
      </c>
      <c r="T192" s="27" t="str">
        <f aca="false">IF(S192=1,COUNTIF($S$2:S192,1),"")</f>
        <v/>
      </c>
    </row>
    <row r="193" customFormat="false" ht="15" hidden="false" customHeight="false" outlineLevel="0" collapsed="false">
      <c r="H193" s="26"/>
      <c r="I193" s="27" t="str">
        <f aca="false">IF(A193="","",IF(H193&lt;&gt;"",UPPER(TRIM(H193)),IFERROR(CHOOSE(VALUE(E193)+1,"A","B","C","D"),IF(OR(LEFT(UPPER(TRIM(E193)),1)="F",UPPER(TRIM(E193))="A"),"A",IF(OR(LEFT(UPPER(TRIM(E193)),1)="M",UPPER(TRIM(E193))="B"),"B",IF(OR(LEFT(UPPER(TRIM(E193)),2)="SL",UPPER(TRIM(E193))="C"),"C",IF(OR(LEFT(UPPER(TRIM(E193)),1)="D",UPPER(TRIM(E193))="D"),"D","")))))))</f>
        <v/>
      </c>
      <c r="J193" s="27" t="str">
        <f aca="false">IF(I193="","",IF(AND(I193="D",Settings!$B$6&lt;&gt;"Yes"),"",IFERROR(INDEX(Settings!$C$9:$C$12,MATCH(I193,Settings!$A$9:$A$12,0)),"")))</f>
        <v/>
      </c>
      <c r="K193" s="27" t="str">
        <f aca="false">IF(J193="","",COUNTIF($I$2:I193,I193))</f>
        <v/>
      </c>
      <c r="L193" s="27" t="str">
        <f aca="false">IF(J193="","",CHOOSE(Q193+1,"Tue","Wed","Thu","Fri"))</f>
        <v/>
      </c>
      <c r="M193" s="27" t="str">
        <f aca="false">IF(J193="","",IF(J193=1,"Every week",R193+1&amp;" of "&amp;J193))</f>
        <v/>
      </c>
      <c r="N193" s="28" t="str">
        <f aca="false">IF(J193="","",Settings!$B$4+R193*7+Q193)</f>
        <v/>
      </c>
      <c r="O193" s="28" t="str">
        <f aca="true">IF(J193="","",N193+MAX(0,ROUNDUP((TODAY()-N193)/(J193*7),0))*J193*7)</f>
        <v/>
      </c>
      <c r="P193" s="27" t="str">
        <f aca="false">IF(J193="","",MOD(K193-1,J193*4))</f>
        <v/>
      </c>
      <c r="Q193" s="27" t="str">
        <f aca="false">IF(J193="","",MOD(P193,4))</f>
        <v/>
      </c>
      <c r="R193" s="27" t="str">
        <f aca="false">IF(J193="","",INT(P193/4))</f>
        <v/>
      </c>
      <c r="S193" s="27" t="str">
        <f aca="false">IF(J193="","",IF(AND('Daily Count Sheet'!$H$3=Q193,MOD('Daily Count Sheet'!$I$3,J193)=R193),1,""))</f>
        <v/>
      </c>
      <c r="T193" s="27" t="str">
        <f aca="false">IF(S193=1,COUNTIF($S$2:S193,1),"")</f>
        <v/>
      </c>
    </row>
    <row r="194" customFormat="false" ht="15" hidden="false" customHeight="false" outlineLevel="0" collapsed="false">
      <c r="H194" s="26"/>
      <c r="I194" s="27" t="str">
        <f aca="false">IF(A194="","",IF(H194&lt;&gt;"",UPPER(TRIM(H194)),IFERROR(CHOOSE(VALUE(E194)+1,"A","B","C","D"),IF(OR(LEFT(UPPER(TRIM(E194)),1)="F",UPPER(TRIM(E194))="A"),"A",IF(OR(LEFT(UPPER(TRIM(E194)),1)="M",UPPER(TRIM(E194))="B"),"B",IF(OR(LEFT(UPPER(TRIM(E194)),2)="SL",UPPER(TRIM(E194))="C"),"C",IF(OR(LEFT(UPPER(TRIM(E194)),1)="D",UPPER(TRIM(E194))="D"),"D","")))))))</f>
        <v/>
      </c>
      <c r="J194" s="27" t="str">
        <f aca="false">IF(I194="","",IF(AND(I194="D",Settings!$B$6&lt;&gt;"Yes"),"",IFERROR(INDEX(Settings!$C$9:$C$12,MATCH(I194,Settings!$A$9:$A$12,0)),"")))</f>
        <v/>
      </c>
      <c r="K194" s="27" t="str">
        <f aca="false">IF(J194="","",COUNTIF($I$2:I194,I194))</f>
        <v/>
      </c>
      <c r="L194" s="27" t="str">
        <f aca="false">IF(J194="","",CHOOSE(Q194+1,"Tue","Wed","Thu","Fri"))</f>
        <v/>
      </c>
      <c r="M194" s="27" t="str">
        <f aca="false">IF(J194="","",IF(J194=1,"Every week",R194+1&amp;" of "&amp;J194))</f>
        <v/>
      </c>
      <c r="N194" s="28" t="str">
        <f aca="false">IF(J194="","",Settings!$B$4+R194*7+Q194)</f>
        <v/>
      </c>
      <c r="O194" s="28" t="str">
        <f aca="true">IF(J194="","",N194+MAX(0,ROUNDUP((TODAY()-N194)/(J194*7),0))*J194*7)</f>
        <v/>
      </c>
      <c r="P194" s="27" t="str">
        <f aca="false">IF(J194="","",MOD(K194-1,J194*4))</f>
        <v/>
      </c>
      <c r="Q194" s="27" t="str">
        <f aca="false">IF(J194="","",MOD(P194,4))</f>
        <v/>
      </c>
      <c r="R194" s="27" t="str">
        <f aca="false">IF(J194="","",INT(P194/4))</f>
        <v/>
      </c>
      <c r="S194" s="27" t="str">
        <f aca="false">IF(J194="","",IF(AND('Daily Count Sheet'!$H$3=Q194,MOD('Daily Count Sheet'!$I$3,J194)=R194),1,""))</f>
        <v/>
      </c>
      <c r="T194" s="27" t="str">
        <f aca="false">IF(S194=1,COUNTIF($S$2:S194,1),"")</f>
        <v/>
      </c>
    </row>
    <row r="195" customFormat="false" ht="15" hidden="false" customHeight="false" outlineLevel="0" collapsed="false">
      <c r="H195" s="26"/>
      <c r="I195" s="27" t="str">
        <f aca="false">IF(A195="","",IF(H195&lt;&gt;"",UPPER(TRIM(H195)),IFERROR(CHOOSE(VALUE(E195)+1,"A","B","C","D"),IF(OR(LEFT(UPPER(TRIM(E195)),1)="F",UPPER(TRIM(E195))="A"),"A",IF(OR(LEFT(UPPER(TRIM(E195)),1)="M",UPPER(TRIM(E195))="B"),"B",IF(OR(LEFT(UPPER(TRIM(E195)),2)="SL",UPPER(TRIM(E195))="C"),"C",IF(OR(LEFT(UPPER(TRIM(E195)),1)="D",UPPER(TRIM(E195))="D"),"D","")))))))</f>
        <v/>
      </c>
      <c r="J195" s="27" t="str">
        <f aca="false">IF(I195="","",IF(AND(I195="D",Settings!$B$6&lt;&gt;"Yes"),"",IFERROR(INDEX(Settings!$C$9:$C$12,MATCH(I195,Settings!$A$9:$A$12,0)),"")))</f>
        <v/>
      </c>
      <c r="K195" s="27" t="str">
        <f aca="false">IF(J195="","",COUNTIF($I$2:I195,I195))</f>
        <v/>
      </c>
      <c r="L195" s="27" t="str">
        <f aca="false">IF(J195="","",CHOOSE(Q195+1,"Tue","Wed","Thu","Fri"))</f>
        <v/>
      </c>
      <c r="M195" s="27" t="str">
        <f aca="false">IF(J195="","",IF(J195=1,"Every week",R195+1&amp;" of "&amp;J195))</f>
        <v/>
      </c>
      <c r="N195" s="28" t="str">
        <f aca="false">IF(J195="","",Settings!$B$4+R195*7+Q195)</f>
        <v/>
      </c>
      <c r="O195" s="28" t="str">
        <f aca="true">IF(J195="","",N195+MAX(0,ROUNDUP((TODAY()-N195)/(J195*7),0))*J195*7)</f>
        <v/>
      </c>
      <c r="P195" s="27" t="str">
        <f aca="false">IF(J195="","",MOD(K195-1,J195*4))</f>
        <v/>
      </c>
      <c r="Q195" s="27" t="str">
        <f aca="false">IF(J195="","",MOD(P195,4))</f>
        <v/>
      </c>
      <c r="R195" s="27" t="str">
        <f aca="false">IF(J195="","",INT(P195/4))</f>
        <v/>
      </c>
      <c r="S195" s="27" t="str">
        <f aca="false">IF(J195="","",IF(AND('Daily Count Sheet'!$H$3=Q195,MOD('Daily Count Sheet'!$I$3,J195)=R195),1,""))</f>
        <v/>
      </c>
      <c r="T195" s="27" t="str">
        <f aca="false">IF(S195=1,COUNTIF($S$2:S195,1),"")</f>
        <v/>
      </c>
    </row>
    <row r="196" customFormat="false" ht="15" hidden="false" customHeight="false" outlineLevel="0" collapsed="false">
      <c r="H196" s="26"/>
      <c r="I196" s="27" t="str">
        <f aca="false">IF(A196="","",IF(H196&lt;&gt;"",UPPER(TRIM(H196)),IFERROR(CHOOSE(VALUE(E196)+1,"A","B","C","D"),IF(OR(LEFT(UPPER(TRIM(E196)),1)="F",UPPER(TRIM(E196))="A"),"A",IF(OR(LEFT(UPPER(TRIM(E196)),1)="M",UPPER(TRIM(E196))="B"),"B",IF(OR(LEFT(UPPER(TRIM(E196)),2)="SL",UPPER(TRIM(E196))="C"),"C",IF(OR(LEFT(UPPER(TRIM(E196)),1)="D",UPPER(TRIM(E196))="D"),"D","")))))))</f>
        <v/>
      </c>
      <c r="J196" s="27" t="str">
        <f aca="false">IF(I196="","",IF(AND(I196="D",Settings!$B$6&lt;&gt;"Yes"),"",IFERROR(INDEX(Settings!$C$9:$C$12,MATCH(I196,Settings!$A$9:$A$12,0)),"")))</f>
        <v/>
      </c>
      <c r="K196" s="27" t="str">
        <f aca="false">IF(J196="","",COUNTIF($I$2:I196,I196))</f>
        <v/>
      </c>
      <c r="L196" s="27" t="str">
        <f aca="false">IF(J196="","",CHOOSE(Q196+1,"Tue","Wed","Thu","Fri"))</f>
        <v/>
      </c>
      <c r="M196" s="27" t="str">
        <f aca="false">IF(J196="","",IF(J196=1,"Every week",R196+1&amp;" of "&amp;J196))</f>
        <v/>
      </c>
      <c r="N196" s="28" t="str">
        <f aca="false">IF(J196="","",Settings!$B$4+R196*7+Q196)</f>
        <v/>
      </c>
      <c r="O196" s="28" t="str">
        <f aca="true">IF(J196="","",N196+MAX(0,ROUNDUP((TODAY()-N196)/(J196*7),0))*J196*7)</f>
        <v/>
      </c>
      <c r="P196" s="27" t="str">
        <f aca="false">IF(J196="","",MOD(K196-1,J196*4))</f>
        <v/>
      </c>
      <c r="Q196" s="27" t="str">
        <f aca="false">IF(J196="","",MOD(P196,4))</f>
        <v/>
      </c>
      <c r="R196" s="27" t="str">
        <f aca="false">IF(J196="","",INT(P196/4))</f>
        <v/>
      </c>
      <c r="S196" s="27" t="str">
        <f aca="false">IF(J196="","",IF(AND('Daily Count Sheet'!$H$3=Q196,MOD('Daily Count Sheet'!$I$3,J196)=R196),1,""))</f>
        <v/>
      </c>
      <c r="T196" s="27" t="str">
        <f aca="false">IF(S196=1,COUNTIF($S$2:S196,1),"")</f>
        <v/>
      </c>
    </row>
    <row r="197" customFormat="false" ht="15" hidden="false" customHeight="false" outlineLevel="0" collapsed="false">
      <c r="H197" s="26"/>
      <c r="I197" s="27" t="str">
        <f aca="false">IF(A197="","",IF(H197&lt;&gt;"",UPPER(TRIM(H197)),IFERROR(CHOOSE(VALUE(E197)+1,"A","B","C","D"),IF(OR(LEFT(UPPER(TRIM(E197)),1)="F",UPPER(TRIM(E197))="A"),"A",IF(OR(LEFT(UPPER(TRIM(E197)),1)="M",UPPER(TRIM(E197))="B"),"B",IF(OR(LEFT(UPPER(TRIM(E197)),2)="SL",UPPER(TRIM(E197))="C"),"C",IF(OR(LEFT(UPPER(TRIM(E197)),1)="D",UPPER(TRIM(E197))="D"),"D","")))))))</f>
        <v/>
      </c>
      <c r="J197" s="27" t="str">
        <f aca="false">IF(I197="","",IF(AND(I197="D",Settings!$B$6&lt;&gt;"Yes"),"",IFERROR(INDEX(Settings!$C$9:$C$12,MATCH(I197,Settings!$A$9:$A$12,0)),"")))</f>
        <v/>
      </c>
      <c r="K197" s="27" t="str">
        <f aca="false">IF(J197="","",COUNTIF($I$2:I197,I197))</f>
        <v/>
      </c>
      <c r="L197" s="27" t="str">
        <f aca="false">IF(J197="","",CHOOSE(Q197+1,"Tue","Wed","Thu","Fri"))</f>
        <v/>
      </c>
      <c r="M197" s="27" t="str">
        <f aca="false">IF(J197="","",IF(J197=1,"Every week",R197+1&amp;" of "&amp;J197))</f>
        <v/>
      </c>
      <c r="N197" s="28" t="str">
        <f aca="false">IF(J197="","",Settings!$B$4+R197*7+Q197)</f>
        <v/>
      </c>
      <c r="O197" s="28" t="str">
        <f aca="true">IF(J197="","",N197+MAX(0,ROUNDUP((TODAY()-N197)/(J197*7),0))*J197*7)</f>
        <v/>
      </c>
      <c r="P197" s="27" t="str">
        <f aca="false">IF(J197="","",MOD(K197-1,J197*4))</f>
        <v/>
      </c>
      <c r="Q197" s="27" t="str">
        <f aca="false">IF(J197="","",MOD(P197,4))</f>
        <v/>
      </c>
      <c r="R197" s="27" t="str">
        <f aca="false">IF(J197="","",INT(P197/4))</f>
        <v/>
      </c>
      <c r="S197" s="27" t="str">
        <f aca="false">IF(J197="","",IF(AND('Daily Count Sheet'!$H$3=Q197,MOD('Daily Count Sheet'!$I$3,J197)=R197),1,""))</f>
        <v/>
      </c>
      <c r="T197" s="27" t="str">
        <f aca="false">IF(S197=1,COUNTIF($S$2:S197,1),"")</f>
        <v/>
      </c>
    </row>
    <row r="198" customFormat="false" ht="15" hidden="false" customHeight="false" outlineLevel="0" collapsed="false">
      <c r="H198" s="26"/>
      <c r="I198" s="27" t="str">
        <f aca="false">IF(A198="","",IF(H198&lt;&gt;"",UPPER(TRIM(H198)),IFERROR(CHOOSE(VALUE(E198)+1,"A","B","C","D"),IF(OR(LEFT(UPPER(TRIM(E198)),1)="F",UPPER(TRIM(E198))="A"),"A",IF(OR(LEFT(UPPER(TRIM(E198)),1)="M",UPPER(TRIM(E198))="B"),"B",IF(OR(LEFT(UPPER(TRIM(E198)),2)="SL",UPPER(TRIM(E198))="C"),"C",IF(OR(LEFT(UPPER(TRIM(E198)),1)="D",UPPER(TRIM(E198))="D"),"D","")))))))</f>
        <v/>
      </c>
      <c r="J198" s="27" t="str">
        <f aca="false">IF(I198="","",IF(AND(I198="D",Settings!$B$6&lt;&gt;"Yes"),"",IFERROR(INDEX(Settings!$C$9:$C$12,MATCH(I198,Settings!$A$9:$A$12,0)),"")))</f>
        <v/>
      </c>
      <c r="K198" s="27" t="str">
        <f aca="false">IF(J198="","",COUNTIF($I$2:I198,I198))</f>
        <v/>
      </c>
      <c r="L198" s="27" t="str">
        <f aca="false">IF(J198="","",CHOOSE(Q198+1,"Tue","Wed","Thu","Fri"))</f>
        <v/>
      </c>
      <c r="M198" s="27" t="str">
        <f aca="false">IF(J198="","",IF(J198=1,"Every week",R198+1&amp;" of "&amp;J198))</f>
        <v/>
      </c>
      <c r="N198" s="28" t="str">
        <f aca="false">IF(J198="","",Settings!$B$4+R198*7+Q198)</f>
        <v/>
      </c>
      <c r="O198" s="28" t="str">
        <f aca="true">IF(J198="","",N198+MAX(0,ROUNDUP((TODAY()-N198)/(J198*7),0))*J198*7)</f>
        <v/>
      </c>
      <c r="P198" s="27" t="str">
        <f aca="false">IF(J198="","",MOD(K198-1,J198*4))</f>
        <v/>
      </c>
      <c r="Q198" s="27" t="str">
        <f aca="false">IF(J198="","",MOD(P198,4))</f>
        <v/>
      </c>
      <c r="R198" s="27" t="str">
        <f aca="false">IF(J198="","",INT(P198/4))</f>
        <v/>
      </c>
      <c r="S198" s="27" t="str">
        <f aca="false">IF(J198="","",IF(AND('Daily Count Sheet'!$H$3=Q198,MOD('Daily Count Sheet'!$I$3,J198)=R198),1,""))</f>
        <v/>
      </c>
      <c r="T198" s="27" t="str">
        <f aca="false">IF(S198=1,COUNTIF($S$2:S198,1),"")</f>
        <v/>
      </c>
    </row>
    <row r="199" customFormat="false" ht="15" hidden="false" customHeight="false" outlineLevel="0" collapsed="false">
      <c r="H199" s="26"/>
      <c r="I199" s="27" t="str">
        <f aca="false">IF(A199="","",IF(H199&lt;&gt;"",UPPER(TRIM(H199)),IFERROR(CHOOSE(VALUE(E199)+1,"A","B","C","D"),IF(OR(LEFT(UPPER(TRIM(E199)),1)="F",UPPER(TRIM(E199))="A"),"A",IF(OR(LEFT(UPPER(TRIM(E199)),1)="M",UPPER(TRIM(E199))="B"),"B",IF(OR(LEFT(UPPER(TRIM(E199)),2)="SL",UPPER(TRIM(E199))="C"),"C",IF(OR(LEFT(UPPER(TRIM(E199)),1)="D",UPPER(TRIM(E199))="D"),"D","")))))))</f>
        <v/>
      </c>
      <c r="J199" s="27" t="str">
        <f aca="false">IF(I199="","",IF(AND(I199="D",Settings!$B$6&lt;&gt;"Yes"),"",IFERROR(INDEX(Settings!$C$9:$C$12,MATCH(I199,Settings!$A$9:$A$12,0)),"")))</f>
        <v/>
      </c>
      <c r="K199" s="27" t="str">
        <f aca="false">IF(J199="","",COUNTIF($I$2:I199,I199))</f>
        <v/>
      </c>
      <c r="L199" s="27" t="str">
        <f aca="false">IF(J199="","",CHOOSE(Q199+1,"Tue","Wed","Thu","Fri"))</f>
        <v/>
      </c>
      <c r="M199" s="27" t="str">
        <f aca="false">IF(J199="","",IF(J199=1,"Every week",R199+1&amp;" of "&amp;J199))</f>
        <v/>
      </c>
      <c r="N199" s="28" t="str">
        <f aca="false">IF(J199="","",Settings!$B$4+R199*7+Q199)</f>
        <v/>
      </c>
      <c r="O199" s="28" t="str">
        <f aca="true">IF(J199="","",N199+MAX(0,ROUNDUP((TODAY()-N199)/(J199*7),0))*J199*7)</f>
        <v/>
      </c>
      <c r="P199" s="27" t="str">
        <f aca="false">IF(J199="","",MOD(K199-1,J199*4))</f>
        <v/>
      </c>
      <c r="Q199" s="27" t="str">
        <f aca="false">IF(J199="","",MOD(P199,4))</f>
        <v/>
      </c>
      <c r="R199" s="27" t="str">
        <f aca="false">IF(J199="","",INT(P199/4))</f>
        <v/>
      </c>
      <c r="S199" s="27" t="str">
        <f aca="false">IF(J199="","",IF(AND('Daily Count Sheet'!$H$3=Q199,MOD('Daily Count Sheet'!$I$3,J199)=R199),1,""))</f>
        <v/>
      </c>
      <c r="T199" s="27" t="str">
        <f aca="false">IF(S199=1,COUNTIF($S$2:S199,1),"")</f>
        <v/>
      </c>
    </row>
    <row r="200" customFormat="false" ht="15" hidden="false" customHeight="false" outlineLevel="0" collapsed="false">
      <c r="H200" s="26"/>
      <c r="I200" s="27" t="str">
        <f aca="false">IF(A200="","",IF(H200&lt;&gt;"",UPPER(TRIM(H200)),IFERROR(CHOOSE(VALUE(E200)+1,"A","B","C","D"),IF(OR(LEFT(UPPER(TRIM(E200)),1)="F",UPPER(TRIM(E200))="A"),"A",IF(OR(LEFT(UPPER(TRIM(E200)),1)="M",UPPER(TRIM(E200))="B"),"B",IF(OR(LEFT(UPPER(TRIM(E200)),2)="SL",UPPER(TRIM(E200))="C"),"C",IF(OR(LEFT(UPPER(TRIM(E200)),1)="D",UPPER(TRIM(E200))="D"),"D","")))))))</f>
        <v/>
      </c>
      <c r="J200" s="27" t="str">
        <f aca="false">IF(I200="","",IF(AND(I200="D",Settings!$B$6&lt;&gt;"Yes"),"",IFERROR(INDEX(Settings!$C$9:$C$12,MATCH(I200,Settings!$A$9:$A$12,0)),"")))</f>
        <v/>
      </c>
      <c r="K200" s="27" t="str">
        <f aca="false">IF(J200="","",COUNTIF($I$2:I200,I200))</f>
        <v/>
      </c>
      <c r="L200" s="27" t="str">
        <f aca="false">IF(J200="","",CHOOSE(Q200+1,"Tue","Wed","Thu","Fri"))</f>
        <v/>
      </c>
      <c r="M200" s="27" t="str">
        <f aca="false">IF(J200="","",IF(J200=1,"Every week",R200+1&amp;" of "&amp;J200))</f>
        <v/>
      </c>
      <c r="N200" s="28" t="str">
        <f aca="false">IF(J200="","",Settings!$B$4+R200*7+Q200)</f>
        <v/>
      </c>
      <c r="O200" s="28" t="str">
        <f aca="true">IF(J200="","",N200+MAX(0,ROUNDUP((TODAY()-N200)/(J200*7),0))*J200*7)</f>
        <v/>
      </c>
      <c r="P200" s="27" t="str">
        <f aca="false">IF(J200="","",MOD(K200-1,J200*4))</f>
        <v/>
      </c>
      <c r="Q200" s="27" t="str">
        <f aca="false">IF(J200="","",MOD(P200,4))</f>
        <v/>
      </c>
      <c r="R200" s="27" t="str">
        <f aca="false">IF(J200="","",INT(P200/4))</f>
        <v/>
      </c>
      <c r="S200" s="27" t="str">
        <f aca="false">IF(J200="","",IF(AND('Daily Count Sheet'!$H$3=Q200,MOD('Daily Count Sheet'!$I$3,J200)=R200),1,""))</f>
        <v/>
      </c>
      <c r="T200" s="27" t="str">
        <f aca="false">IF(S200=1,COUNTIF($S$2:S200,1),"")</f>
        <v/>
      </c>
    </row>
    <row r="201" customFormat="false" ht="15" hidden="false" customHeight="false" outlineLevel="0" collapsed="false">
      <c r="H201" s="26"/>
      <c r="I201" s="27" t="str">
        <f aca="false">IF(A201="","",IF(H201&lt;&gt;"",UPPER(TRIM(H201)),IFERROR(CHOOSE(VALUE(E201)+1,"A","B","C","D"),IF(OR(LEFT(UPPER(TRIM(E201)),1)="F",UPPER(TRIM(E201))="A"),"A",IF(OR(LEFT(UPPER(TRIM(E201)),1)="M",UPPER(TRIM(E201))="B"),"B",IF(OR(LEFT(UPPER(TRIM(E201)),2)="SL",UPPER(TRIM(E201))="C"),"C",IF(OR(LEFT(UPPER(TRIM(E201)),1)="D",UPPER(TRIM(E201))="D"),"D","")))))))</f>
        <v/>
      </c>
      <c r="J201" s="27" t="str">
        <f aca="false">IF(I201="","",IF(AND(I201="D",Settings!$B$6&lt;&gt;"Yes"),"",IFERROR(INDEX(Settings!$C$9:$C$12,MATCH(I201,Settings!$A$9:$A$12,0)),"")))</f>
        <v/>
      </c>
      <c r="K201" s="27" t="str">
        <f aca="false">IF(J201="","",COUNTIF($I$2:I201,I201))</f>
        <v/>
      </c>
      <c r="L201" s="27" t="str">
        <f aca="false">IF(J201="","",CHOOSE(Q201+1,"Tue","Wed","Thu","Fri"))</f>
        <v/>
      </c>
      <c r="M201" s="27" t="str">
        <f aca="false">IF(J201="","",IF(J201=1,"Every week",R201+1&amp;" of "&amp;J201))</f>
        <v/>
      </c>
      <c r="N201" s="28" t="str">
        <f aca="false">IF(J201="","",Settings!$B$4+R201*7+Q201)</f>
        <v/>
      </c>
      <c r="O201" s="28" t="str">
        <f aca="true">IF(J201="","",N201+MAX(0,ROUNDUP((TODAY()-N201)/(J201*7),0))*J201*7)</f>
        <v/>
      </c>
      <c r="P201" s="27" t="str">
        <f aca="false">IF(J201="","",MOD(K201-1,J201*4))</f>
        <v/>
      </c>
      <c r="Q201" s="27" t="str">
        <f aca="false">IF(J201="","",MOD(P201,4))</f>
        <v/>
      </c>
      <c r="R201" s="27" t="str">
        <f aca="false">IF(J201="","",INT(P201/4))</f>
        <v/>
      </c>
      <c r="S201" s="27" t="str">
        <f aca="false">IF(J201="","",IF(AND('Daily Count Sheet'!$H$3=Q201,MOD('Daily Count Sheet'!$I$3,J201)=R201),1,""))</f>
        <v/>
      </c>
      <c r="T201" s="27" t="str">
        <f aca="false">IF(S201=1,COUNTIF($S$2:S201,1),"")</f>
        <v/>
      </c>
    </row>
    <row r="202" customFormat="false" ht="15" hidden="false" customHeight="false" outlineLevel="0" collapsed="false">
      <c r="H202" s="26"/>
      <c r="I202" s="27" t="str">
        <f aca="false">IF(A202="","",IF(H202&lt;&gt;"",UPPER(TRIM(H202)),IFERROR(CHOOSE(VALUE(E202)+1,"A","B","C","D"),IF(OR(LEFT(UPPER(TRIM(E202)),1)="F",UPPER(TRIM(E202))="A"),"A",IF(OR(LEFT(UPPER(TRIM(E202)),1)="M",UPPER(TRIM(E202))="B"),"B",IF(OR(LEFT(UPPER(TRIM(E202)),2)="SL",UPPER(TRIM(E202))="C"),"C",IF(OR(LEFT(UPPER(TRIM(E202)),1)="D",UPPER(TRIM(E202))="D"),"D","")))))))</f>
        <v/>
      </c>
      <c r="J202" s="27" t="str">
        <f aca="false">IF(I202="","",IF(AND(I202="D",Settings!$B$6&lt;&gt;"Yes"),"",IFERROR(INDEX(Settings!$C$9:$C$12,MATCH(I202,Settings!$A$9:$A$12,0)),"")))</f>
        <v/>
      </c>
      <c r="K202" s="27" t="str">
        <f aca="false">IF(J202="","",COUNTIF($I$2:I202,I202))</f>
        <v/>
      </c>
      <c r="L202" s="27" t="str">
        <f aca="false">IF(J202="","",CHOOSE(Q202+1,"Tue","Wed","Thu","Fri"))</f>
        <v/>
      </c>
      <c r="M202" s="27" t="str">
        <f aca="false">IF(J202="","",IF(J202=1,"Every week",R202+1&amp;" of "&amp;J202))</f>
        <v/>
      </c>
      <c r="N202" s="28" t="str">
        <f aca="false">IF(J202="","",Settings!$B$4+R202*7+Q202)</f>
        <v/>
      </c>
      <c r="O202" s="28" t="str">
        <f aca="true">IF(J202="","",N202+MAX(0,ROUNDUP((TODAY()-N202)/(J202*7),0))*J202*7)</f>
        <v/>
      </c>
      <c r="P202" s="27" t="str">
        <f aca="false">IF(J202="","",MOD(K202-1,J202*4))</f>
        <v/>
      </c>
      <c r="Q202" s="27" t="str">
        <f aca="false">IF(J202="","",MOD(P202,4))</f>
        <v/>
      </c>
      <c r="R202" s="27" t="str">
        <f aca="false">IF(J202="","",INT(P202/4))</f>
        <v/>
      </c>
      <c r="S202" s="27" t="str">
        <f aca="false">IF(J202="","",IF(AND('Daily Count Sheet'!$H$3=Q202,MOD('Daily Count Sheet'!$I$3,J202)=R202),1,""))</f>
        <v/>
      </c>
      <c r="T202" s="27" t="str">
        <f aca="false">IF(S202=1,COUNTIF($S$2:S202,1),"")</f>
        <v/>
      </c>
    </row>
    <row r="203" customFormat="false" ht="15" hidden="false" customHeight="false" outlineLevel="0" collapsed="false">
      <c r="H203" s="26"/>
      <c r="I203" s="27" t="str">
        <f aca="false">IF(A203="","",IF(H203&lt;&gt;"",UPPER(TRIM(H203)),IFERROR(CHOOSE(VALUE(E203)+1,"A","B","C","D"),IF(OR(LEFT(UPPER(TRIM(E203)),1)="F",UPPER(TRIM(E203))="A"),"A",IF(OR(LEFT(UPPER(TRIM(E203)),1)="M",UPPER(TRIM(E203))="B"),"B",IF(OR(LEFT(UPPER(TRIM(E203)),2)="SL",UPPER(TRIM(E203))="C"),"C",IF(OR(LEFT(UPPER(TRIM(E203)),1)="D",UPPER(TRIM(E203))="D"),"D","")))))))</f>
        <v/>
      </c>
      <c r="J203" s="27" t="str">
        <f aca="false">IF(I203="","",IF(AND(I203="D",Settings!$B$6&lt;&gt;"Yes"),"",IFERROR(INDEX(Settings!$C$9:$C$12,MATCH(I203,Settings!$A$9:$A$12,0)),"")))</f>
        <v/>
      </c>
      <c r="K203" s="27" t="str">
        <f aca="false">IF(J203="","",COUNTIF($I$2:I203,I203))</f>
        <v/>
      </c>
      <c r="L203" s="27" t="str">
        <f aca="false">IF(J203="","",CHOOSE(Q203+1,"Tue","Wed","Thu","Fri"))</f>
        <v/>
      </c>
      <c r="M203" s="27" t="str">
        <f aca="false">IF(J203="","",IF(J203=1,"Every week",R203+1&amp;" of "&amp;J203))</f>
        <v/>
      </c>
      <c r="N203" s="28" t="str">
        <f aca="false">IF(J203="","",Settings!$B$4+R203*7+Q203)</f>
        <v/>
      </c>
      <c r="O203" s="28" t="str">
        <f aca="true">IF(J203="","",N203+MAX(0,ROUNDUP((TODAY()-N203)/(J203*7),0))*J203*7)</f>
        <v/>
      </c>
      <c r="P203" s="27" t="str">
        <f aca="false">IF(J203="","",MOD(K203-1,J203*4))</f>
        <v/>
      </c>
      <c r="Q203" s="27" t="str">
        <f aca="false">IF(J203="","",MOD(P203,4))</f>
        <v/>
      </c>
      <c r="R203" s="27" t="str">
        <f aca="false">IF(J203="","",INT(P203/4))</f>
        <v/>
      </c>
      <c r="S203" s="27" t="str">
        <f aca="false">IF(J203="","",IF(AND('Daily Count Sheet'!$H$3=Q203,MOD('Daily Count Sheet'!$I$3,J203)=R203),1,""))</f>
        <v/>
      </c>
      <c r="T203" s="27" t="str">
        <f aca="false">IF(S203=1,COUNTIF($S$2:S203,1),"")</f>
        <v/>
      </c>
    </row>
    <row r="204" customFormat="false" ht="15" hidden="false" customHeight="false" outlineLevel="0" collapsed="false">
      <c r="H204" s="26"/>
      <c r="I204" s="27" t="str">
        <f aca="false">IF(A204="","",IF(H204&lt;&gt;"",UPPER(TRIM(H204)),IFERROR(CHOOSE(VALUE(E204)+1,"A","B","C","D"),IF(OR(LEFT(UPPER(TRIM(E204)),1)="F",UPPER(TRIM(E204))="A"),"A",IF(OR(LEFT(UPPER(TRIM(E204)),1)="M",UPPER(TRIM(E204))="B"),"B",IF(OR(LEFT(UPPER(TRIM(E204)),2)="SL",UPPER(TRIM(E204))="C"),"C",IF(OR(LEFT(UPPER(TRIM(E204)),1)="D",UPPER(TRIM(E204))="D"),"D","")))))))</f>
        <v/>
      </c>
      <c r="J204" s="27" t="str">
        <f aca="false">IF(I204="","",IF(AND(I204="D",Settings!$B$6&lt;&gt;"Yes"),"",IFERROR(INDEX(Settings!$C$9:$C$12,MATCH(I204,Settings!$A$9:$A$12,0)),"")))</f>
        <v/>
      </c>
      <c r="K204" s="27" t="str">
        <f aca="false">IF(J204="","",COUNTIF($I$2:I204,I204))</f>
        <v/>
      </c>
      <c r="L204" s="27" t="str">
        <f aca="false">IF(J204="","",CHOOSE(Q204+1,"Tue","Wed","Thu","Fri"))</f>
        <v/>
      </c>
      <c r="M204" s="27" t="str">
        <f aca="false">IF(J204="","",IF(J204=1,"Every week",R204+1&amp;" of "&amp;J204))</f>
        <v/>
      </c>
      <c r="N204" s="28" t="str">
        <f aca="false">IF(J204="","",Settings!$B$4+R204*7+Q204)</f>
        <v/>
      </c>
      <c r="O204" s="28" t="str">
        <f aca="true">IF(J204="","",N204+MAX(0,ROUNDUP((TODAY()-N204)/(J204*7),0))*J204*7)</f>
        <v/>
      </c>
      <c r="P204" s="27" t="str">
        <f aca="false">IF(J204="","",MOD(K204-1,J204*4))</f>
        <v/>
      </c>
      <c r="Q204" s="27" t="str">
        <f aca="false">IF(J204="","",MOD(P204,4))</f>
        <v/>
      </c>
      <c r="R204" s="27" t="str">
        <f aca="false">IF(J204="","",INT(P204/4))</f>
        <v/>
      </c>
      <c r="S204" s="27" t="str">
        <f aca="false">IF(J204="","",IF(AND('Daily Count Sheet'!$H$3=Q204,MOD('Daily Count Sheet'!$I$3,J204)=R204),1,""))</f>
        <v/>
      </c>
      <c r="T204" s="27" t="str">
        <f aca="false">IF(S204=1,COUNTIF($S$2:S204,1),"")</f>
        <v/>
      </c>
    </row>
    <row r="205" customFormat="false" ht="15" hidden="false" customHeight="false" outlineLevel="0" collapsed="false">
      <c r="H205" s="26"/>
      <c r="I205" s="27" t="str">
        <f aca="false">IF(A205="","",IF(H205&lt;&gt;"",UPPER(TRIM(H205)),IFERROR(CHOOSE(VALUE(E205)+1,"A","B","C","D"),IF(OR(LEFT(UPPER(TRIM(E205)),1)="F",UPPER(TRIM(E205))="A"),"A",IF(OR(LEFT(UPPER(TRIM(E205)),1)="M",UPPER(TRIM(E205))="B"),"B",IF(OR(LEFT(UPPER(TRIM(E205)),2)="SL",UPPER(TRIM(E205))="C"),"C",IF(OR(LEFT(UPPER(TRIM(E205)),1)="D",UPPER(TRIM(E205))="D"),"D","")))))))</f>
        <v/>
      </c>
      <c r="J205" s="27" t="str">
        <f aca="false">IF(I205="","",IF(AND(I205="D",Settings!$B$6&lt;&gt;"Yes"),"",IFERROR(INDEX(Settings!$C$9:$C$12,MATCH(I205,Settings!$A$9:$A$12,0)),"")))</f>
        <v/>
      </c>
      <c r="K205" s="27" t="str">
        <f aca="false">IF(J205="","",COUNTIF($I$2:I205,I205))</f>
        <v/>
      </c>
      <c r="L205" s="27" t="str">
        <f aca="false">IF(J205="","",CHOOSE(Q205+1,"Tue","Wed","Thu","Fri"))</f>
        <v/>
      </c>
      <c r="M205" s="27" t="str">
        <f aca="false">IF(J205="","",IF(J205=1,"Every week",R205+1&amp;" of "&amp;J205))</f>
        <v/>
      </c>
      <c r="N205" s="28" t="str">
        <f aca="false">IF(J205="","",Settings!$B$4+R205*7+Q205)</f>
        <v/>
      </c>
      <c r="O205" s="28" t="str">
        <f aca="true">IF(J205="","",N205+MAX(0,ROUNDUP((TODAY()-N205)/(J205*7),0))*J205*7)</f>
        <v/>
      </c>
      <c r="P205" s="27" t="str">
        <f aca="false">IF(J205="","",MOD(K205-1,J205*4))</f>
        <v/>
      </c>
      <c r="Q205" s="27" t="str">
        <f aca="false">IF(J205="","",MOD(P205,4))</f>
        <v/>
      </c>
      <c r="R205" s="27" t="str">
        <f aca="false">IF(J205="","",INT(P205/4))</f>
        <v/>
      </c>
      <c r="S205" s="27" t="str">
        <f aca="false">IF(J205="","",IF(AND('Daily Count Sheet'!$H$3=Q205,MOD('Daily Count Sheet'!$I$3,J205)=R205),1,""))</f>
        <v/>
      </c>
      <c r="T205" s="27" t="str">
        <f aca="false">IF(S205=1,COUNTIF($S$2:S205,1),"")</f>
        <v/>
      </c>
    </row>
    <row r="206" customFormat="false" ht="15" hidden="false" customHeight="false" outlineLevel="0" collapsed="false">
      <c r="H206" s="26"/>
      <c r="I206" s="27" t="str">
        <f aca="false">IF(A206="","",IF(H206&lt;&gt;"",UPPER(TRIM(H206)),IFERROR(CHOOSE(VALUE(E206)+1,"A","B","C","D"),IF(OR(LEFT(UPPER(TRIM(E206)),1)="F",UPPER(TRIM(E206))="A"),"A",IF(OR(LEFT(UPPER(TRIM(E206)),1)="M",UPPER(TRIM(E206))="B"),"B",IF(OR(LEFT(UPPER(TRIM(E206)),2)="SL",UPPER(TRIM(E206))="C"),"C",IF(OR(LEFT(UPPER(TRIM(E206)),1)="D",UPPER(TRIM(E206))="D"),"D","")))))))</f>
        <v/>
      </c>
      <c r="J206" s="27" t="str">
        <f aca="false">IF(I206="","",IF(AND(I206="D",Settings!$B$6&lt;&gt;"Yes"),"",IFERROR(INDEX(Settings!$C$9:$C$12,MATCH(I206,Settings!$A$9:$A$12,0)),"")))</f>
        <v/>
      </c>
      <c r="K206" s="27" t="str">
        <f aca="false">IF(J206="","",COUNTIF($I$2:I206,I206))</f>
        <v/>
      </c>
      <c r="L206" s="27" t="str">
        <f aca="false">IF(J206="","",CHOOSE(Q206+1,"Tue","Wed","Thu","Fri"))</f>
        <v/>
      </c>
      <c r="M206" s="27" t="str">
        <f aca="false">IF(J206="","",IF(J206=1,"Every week",R206+1&amp;" of "&amp;J206))</f>
        <v/>
      </c>
      <c r="N206" s="28" t="str">
        <f aca="false">IF(J206="","",Settings!$B$4+R206*7+Q206)</f>
        <v/>
      </c>
      <c r="O206" s="28" t="str">
        <f aca="true">IF(J206="","",N206+MAX(0,ROUNDUP((TODAY()-N206)/(J206*7),0))*J206*7)</f>
        <v/>
      </c>
      <c r="P206" s="27" t="str">
        <f aca="false">IF(J206="","",MOD(K206-1,J206*4))</f>
        <v/>
      </c>
      <c r="Q206" s="27" t="str">
        <f aca="false">IF(J206="","",MOD(P206,4))</f>
        <v/>
      </c>
      <c r="R206" s="27" t="str">
        <f aca="false">IF(J206="","",INT(P206/4))</f>
        <v/>
      </c>
      <c r="S206" s="27" t="str">
        <f aca="false">IF(J206="","",IF(AND('Daily Count Sheet'!$H$3=Q206,MOD('Daily Count Sheet'!$I$3,J206)=R206),1,""))</f>
        <v/>
      </c>
      <c r="T206" s="27" t="str">
        <f aca="false">IF(S206=1,COUNTIF($S$2:S206,1),"")</f>
        <v/>
      </c>
    </row>
    <row r="207" customFormat="false" ht="15" hidden="false" customHeight="false" outlineLevel="0" collapsed="false">
      <c r="H207" s="26"/>
      <c r="I207" s="27" t="str">
        <f aca="false">IF(A207="","",IF(H207&lt;&gt;"",UPPER(TRIM(H207)),IFERROR(CHOOSE(VALUE(E207)+1,"A","B","C","D"),IF(OR(LEFT(UPPER(TRIM(E207)),1)="F",UPPER(TRIM(E207))="A"),"A",IF(OR(LEFT(UPPER(TRIM(E207)),1)="M",UPPER(TRIM(E207))="B"),"B",IF(OR(LEFT(UPPER(TRIM(E207)),2)="SL",UPPER(TRIM(E207))="C"),"C",IF(OR(LEFT(UPPER(TRIM(E207)),1)="D",UPPER(TRIM(E207))="D"),"D","")))))))</f>
        <v/>
      </c>
      <c r="J207" s="27" t="str">
        <f aca="false">IF(I207="","",IF(AND(I207="D",Settings!$B$6&lt;&gt;"Yes"),"",IFERROR(INDEX(Settings!$C$9:$C$12,MATCH(I207,Settings!$A$9:$A$12,0)),"")))</f>
        <v/>
      </c>
      <c r="K207" s="27" t="str">
        <f aca="false">IF(J207="","",COUNTIF($I$2:I207,I207))</f>
        <v/>
      </c>
      <c r="L207" s="27" t="str">
        <f aca="false">IF(J207="","",CHOOSE(Q207+1,"Tue","Wed","Thu","Fri"))</f>
        <v/>
      </c>
      <c r="M207" s="27" t="str">
        <f aca="false">IF(J207="","",IF(J207=1,"Every week",R207+1&amp;" of "&amp;J207))</f>
        <v/>
      </c>
      <c r="N207" s="28" t="str">
        <f aca="false">IF(J207="","",Settings!$B$4+R207*7+Q207)</f>
        <v/>
      </c>
      <c r="O207" s="28" t="str">
        <f aca="true">IF(J207="","",N207+MAX(0,ROUNDUP((TODAY()-N207)/(J207*7),0))*J207*7)</f>
        <v/>
      </c>
      <c r="P207" s="27" t="str">
        <f aca="false">IF(J207="","",MOD(K207-1,J207*4))</f>
        <v/>
      </c>
      <c r="Q207" s="27" t="str">
        <f aca="false">IF(J207="","",MOD(P207,4))</f>
        <v/>
      </c>
      <c r="R207" s="27" t="str">
        <f aca="false">IF(J207="","",INT(P207/4))</f>
        <v/>
      </c>
      <c r="S207" s="27" t="str">
        <f aca="false">IF(J207="","",IF(AND('Daily Count Sheet'!$H$3=Q207,MOD('Daily Count Sheet'!$I$3,J207)=R207),1,""))</f>
        <v/>
      </c>
      <c r="T207" s="27" t="str">
        <f aca="false">IF(S207=1,COUNTIF($S$2:S207,1),"")</f>
        <v/>
      </c>
    </row>
    <row r="208" customFormat="false" ht="15" hidden="false" customHeight="false" outlineLevel="0" collapsed="false">
      <c r="H208" s="26"/>
      <c r="I208" s="27" t="str">
        <f aca="false">IF(A208="","",IF(H208&lt;&gt;"",UPPER(TRIM(H208)),IFERROR(CHOOSE(VALUE(E208)+1,"A","B","C","D"),IF(OR(LEFT(UPPER(TRIM(E208)),1)="F",UPPER(TRIM(E208))="A"),"A",IF(OR(LEFT(UPPER(TRIM(E208)),1)="M",UPPER(TRIM(E208))="B"),"B",IF(OR(LEFT(UPPER(TRIM(E208)),2)="SL",UPPER(TRIM(E208))="C"),"C",IF(OR(LEFT(UPPER(TRIM(E208)),1)="D",UPPER(TRIM(E208))="D"),"D","")))))))</f>
        <v/>
      </c>
      <c r="J208" s="27" t="str">
        <f aca="false">IF(I208="","",IF(AND(I208="D",Settings!$B$6&lt;&gt;"Yes"),"",IFERROR(INDEX(Settings!$C$9:$C$12,MATCH(I208,Settings!$A$9:$A$12,0)),"")))</f>
        <v/>
      </c>
      <c r="K208" s="27" t="str">
        <f aca="false">IF(J208="","",COUNTIF($I$2:I208,I208))</f>
        <v/>
      </c>
      <c r="L208" s="27" t="str">
        <f aca="false">IF(J208="","",CHOOSE(Q208+1,"Tue","Wed","Thu","Fri"))</f>
        <v/>
      </c>
      <c r="M208" s="27" t="str">
        <f aca="false">IF(J208="","",IF(J208=1,"Every week",R208+1&amp;" of "&amp;J208))</f>
        <v/>
      </c>
      <c r="N208" s="28" t="str">
        <f aca="false">IF(J208="","",Settings!$B$4+R208*7+Q208)</f>
        <v/>
      </c>
      <c r="O208" s="28" t="str">
        <f aca="true">IF(J208="","",N208+MAX(0,ROUNDUP((TODAY()-N208)/(J208*7),0))*J208*7)</f>
        <v/>
      </c>
      <c r="P208" s="27" t="str">
        <f aca="false">IF(J208="","",MOD(K208-1,J208*4))</f>
        <v/>
      </c>
      <c r="Q208" s="27" t="str">
        <f aca="false">IF(J208="","",MOD(P208,4))</f>
        <v/>
      </c>
      <c r="R208" s="27" t="str">
        <f aca="false">IF(J208="","",INT(P208/4))</f>
        <v/>
      </c>
      <c r="S208" s="27" t="str">
        <f aca="false">IF(J208="","",IF(AND('Daily Count Sheet'!$H$3=Q208,MOD('Daily Count Sheet'!$I$3,J208)=R208),1,""))</f>
        <v/>
      </c>
      <c r="T208" s="27" t="str">
        <f aca="false">IF(S208=1,COUNTIF($S$2:S208,1),"")</f>
        <v/>
      </c>
    </row>
    <row r="209" customFormat="false" ht="15" hidden="false" customHeight="false" outlineLevel="0" collapsed="false">
      <c r="H209" s="26"/>
      <c r="I209" s="27" t="str">
        <f aca="false">IF(A209="","",IF(H209&lt;&gt;"",UPPER(TRIM(H209)),IFERROR(CHOOSE(VALUE(E209)+1,"A","B","C","D"),IF(OR(LEFT(UPPER(TRIM(E209)),1)="F",UPPER(TRIM(E209))="A"),"A",IF(OR(LEFT(UPPER(TRIM(E209)),1)="M",UPPER(TRIM(E209))="B"),"B",IF(OR(LEFT(UPPER(TRIM(E209)),2)="SL",UPPER(TRIM(E209))="C"),"C",IF(OR(LEFT(UPPER(TRIM(E209)),1)="D",UPPER(TRIM(E209))="D"),"D","")))))))</f>
        <v/>
      </c>
      <c r="J209" s="27" t="str">
        <f aca="false">IF(I209="","",IF(AND(I209="D",Settings!$B$6&lt;&gt;"Yes"),"",IFERROR(INDEX(Settings!$C$9:$C$12,MATCH(I209,Settings!$A$9:$A$12,0)),"")))</f>
        <v/>
      </c>
      <c r="K209" s="27" t="str">
        <f aca="false">IF(J209="","",COUNTIF($I$2:I209,I209))</f>
        <v/>
      </c>
      <c r="L209" s="27" t="str">
        <f aca="false">IF(J209="","",CHOOSE(Q209+1,"Tue","Wed","Thu","Fri"))</f>
        <v/>
      </c>
      <c r="M209" s="27" t="str">
        <f aca="false">IF(J209="","",IF(J209=1,"Every week",R209+1&amp;" of "&amp;J209))</f>
        <v/>
      </c>
      <c r="N209" s="28" t="str">
        <f aca="false">IF(J209="","",Settings!$B$4+R209*7+Q209)</f>
        <v/>
      </c>
      <c r="O209" s="28" t="str">
        <f aca="true">IF(J209="","",N209+MAX(0,ROUNDUP((TODAY()-N209)/(J209*7),0))*J209*7)</f>
        <v/>
      </c>
      <c r="P209" s="27" t="str">
        <f aca="false">IF(J209="","",MOD(K209-1,J209*4))</f>
        <v/>
      </c>
      <c r="Q209" s="27" t="str">
        <f aca="false">IF(J209="","",MOD(P209,4))</f>
        <v/>
      </c>
      <c r="R209" s="27" t="str">
        <f aca="false">IF(J209="","",INT(P209/4))</f>
        <v/>
      </c>
      <c r="S209" s="27" t="str">
        <f aca="false">IF(J209="","",IF(AND('Daily Count Sheet'!$H$3=Q209,MOD('Daily Count Sheet'!$I$3,J209)=R209),1,""))</f>
        <v/>
      </c>
      <c r="T209" s="27" t="str">
        <f aca="false">IF(S209=1,COUNTIF($S$2:S209,1),"")</f>
        <v/>
      </c>
    </row>
    <row r="210" customFormat="false" ht="15" hidden="false" customHeight="false" outlineLevel="0" collapsed="false">
      <c r="H210" s="26"/>
      <c r="I210" s="27" t="str">
        <f aca="false">IF(A210="","",IF(H210&lt;&gt;"",UPPER(TRIM(H210)),IFERROR(CHOOSE(VALUE(E210)+1,"A","B","C","D"),IF(OR(LEFT(UPPER(TRIM(E210)),1)="F",UPPER(TRIM(E210))="A"),"A",IF(OR(LEFT(UPPER(TRIM(E210)),1)="M",UPPER(TRIM(E210))="B"),"B",IF(OR(LEFT(UPPER(TRIM(E210)),2)="SL",UPPER(TRIM(E210))="C"),"C",IF(OR(LEFT(UPPER(TRIM(E210)),1)="D",UPPER(TRIM(E210))="D"),"D","")))))))</f>
        <v/>
      </c>
      <c r="J210" s="27" t="str">
        <f aca="false">IF(I210="","",IF(AND(I210="D",Settings!$B$6&lt;&gt;"Yes"),"",IFERROR(INDEX(Settings!$C$9:$C$12,MATCH(I210,Settings!$A$9:$A$12,0)),"")))</f>
        <v/>
      </c>
      <c r="K210" s="27" t="str">
        <f aca="false">IF(J210="","",COUNTIF($I$2:I210,I210))</f>
        <v/>
      </c>
      <c r="L210" s="27" t="str">
        <f aca="false">IF(J210="","",CHOOSE(Q210+1,"Tue","Wed","Thu","Fri"))</f>
        <v/>
      </c>
      <c r="M210" s="27" t="str">
        <f aca="false">IF(J210="","",IF(J210=1,"Every week",R210+1&amp;" of "&amp;J210))</f>
        <v/>
      </c>
      <c r="N210" s="28" t="str">
        <f aca="false">IF(J210="","",Settings!$B$4+R210*7+Q210)</f>
        <v/>
      </c>
      <c r="O210" s="28" t="str">
        <f aca="true">IF(J210="","",N210+MAX(0,ROUNDUP((TODAY()-N210)/(J210*7),0))*J210*7)</f>
        <v/>
      </c>
      <c r="P210" s="27" t="str">
        <f aca="false">IF(J210="","",MOD(K210-1,J210*4))</f>
        <v/>
      </c>
      <c r="Q210" s="27" t="str">
        <f aca="false">IF(J210="","",MOD(P210,4))</f>
        <v/>
      </c>
      <c r="R210" s="27" t="str">
        <f aca="false">IF(J210="","",INT(P210/4))</f>
        <v/>
      </c>
      <c r="S210" s="27" t="str">
        <f aca="false">IF(J210="","",IF(AND('Daily Count Sheet'!$H$3=Q210,MOD('Daily Count Sheet'!$I$3,J210)=R210),1,""))</f>
        <v/>
      </c>
      <c r="T210" s="27" t="str">
        <f aca="false">IF(S210=1,COUNTIF($S$2:S210,1),"")</f>
        <v/>
      </c>
    </row>
    <row r="211" customFormat="false" ht="15" hidden="false" customHeight="false" outlineLevel="0" collapsed="false">
      <c r="H211" s="26"/>
      <c r="I211" s="27" t="str">
        <f aca="false">IF(A211="","",IF(H211&lt;&gt;"",UPPER(TRIM(H211)),IFERROR(CHOOSE(VALUE(E211)+1,"A","B","C","D"),IF(OR(LEFT(UPPER(TRIM(E211)),1)="F",UPPER(TRIM(E211))="A"),"A",IF(OR(LEFT(UPPER(TRIM(E211)),1)="M",UPPER(TRIM(E211))="B"),"B",IF(OR(LEFT(UPPER(TRIM(E211)),2)="SL",UPPER(TRIM(E211))="C"),"C",IF(OR(LEFT(UPPER(TRIM(E211)),1)="D",UPPER(TRIM(E211))="D"),"D","")))))))</f>
        <v/>
      </c>
      <c r="J211" s="27" t="str">
        <f aca="false">IF(I211="","",IF(AND(I211="D",Settings!$B$6&lt;&gt;"Yes"),"",IFERROR(INDEX(Settings!$C$9:$C$12,MATCH(I211,Settings!$A$9:$A$12,0)),"")))</f>
        <v/>
      </c>
      <c r="K211" s="27" t="str">
        <f aca="false">IF(J211="","",COUNTIF($I$2:I211,I211))</f>
        <v/>
      </c>
      <c r="L211" s="27" t="str">
        <f aca="false">IF(J211="","",CHOOSE(Q211+1,"Tue","Wed","Thu","Fri"))</f>
        <v/>
      </c>
      <c r="M211" s="27" t="str">
        <f aca="false">IF(J211="","",IF(J211=1,"Every week",R211+1&amp;" of "&amp;J211))</f>
        <v/>
      </c>
      <c r="N211" s="28" t="str">
        <f aca="false">IF(J211="","",Settings!$B$4+R211*7+Q211)</f>
        <v/>
      </c>
      <c r="O211" s="28" t="str">
        <f aca="true">IF(J211="","",N211+MAX(0,ROUNDUP((TODAY()-N211)/(J211*7),0))*J211*7)</f>
        <v/>
      </c>
      <c r="P211" s="27" t="str">
        <f aca="false">IF(J211="","",MOD(K211-1,J211*4))</f>
        <v/>
      </c>
      <c r="Q211" s="27" t="str">
        <f aca="false">IF(J211="","",MOD(P211,4))</f>
        <v/>
      </c>
      <c r="R211" s="27" t="str">
        <f aca="false">IF(J211="","",INT(P211/4))</f>
        <v/>
      </c>
      <c r="S211" s="27" t="str">
        <f aca="false">IF(J211="","",IF(AND('Daily Count Sheet'!$H$3=Q211,MOD('Daily Count Sheet'!$I$3,J211)=R211),1,""))</f>
        <v/>
      </c>
      <c r="T211" s="27" t="str">
        <f aca="false">IF(S211=1,COUNTIF($S$2:S211,1),"")</f>
        <v/>
      </c>
    </row>
    <row r="212" customFormat="false" ht="15" hidden="false" customHeight="false" outlineLevel="0" collapsed="false">
      <c r="H212" s="26"/>
      <c r="I212" s="27" t="str">
        <f aca="false">IF(A212="","",IF(H212&lt;&gt;"",UPPER(TRIM(H212)),IFERROR(CHOOSE(VALUE(E212)+1,"A","B","C","D"),IF(OR(LEFT(UPPER(TRIM(E212)),1)="F",UPPER(TRIM(E212))="A"),"A",IF(OR(LEFT(UPPER(TRIM(E212)),1)="M",UPPER(TRIM(E212))="B"),"B",IF(OR(LEFT(UPPER(TRIM(E212)),2)="SL",UPPER(TRIM(E212))="C"),"C",IF(OR(LEFT(UPPER(TRIM(E212)),1)="D",UPPER(TRIM(E212))="D"),"D","")))))))</f>
        <v/>
      </c>
      <c r="J212" s="27" t="str">
        <f aca="false">IF(I212="","",IF(AND(I212="D",Settings!$B$6&lt;&gt;"Yes"),"",IFERROR(INDEX(Settings!$C$9:$C$12,MATCH(I212,Settings!$A$9:$A$12,0)),"")))</f>
        <v/>
      </c>
      <c r="K212" s="27" t="str">
        <f aca="false">IF(J212="","",COUNTIF($I$2:I212,I212))</f>
        <v/>
      </c>
      <c r="L212" s="27" t="str">
        <f aca="false">IF(J212="","",CHOOSE(Q212+1,"Tue","Wed","Thu","Fri"))</f>
        <v/>
      </c>
      <c r="M212" s="27" t="str">
        <f aca="false">IF(J212="","",IF(J212=1,"Every week",R212+1&amp;" of "&amp;J212))</f>
        <v/>
      </c>
      <c r="N212" s="28" t="str">
        <f aca="false">IF(J212="","",Settings!$B$4+R212*7+Q212)</f>
        <v/>
      </c>
      <c r="O212" s="28" t="str">
        <f aca="true">IF(J212="","",N212+MAX(0,ROUNDUP((TODAY()-N212)/(J212*7),0))*J212*7)</f>
        <v/>
      </c>
      <c r="P212" s="27" t="str">
        <f aca="false">IF(J212="","",MOD(K212-1,J212*4))</f>
        <v/>
      </c>
      <c r="Q212" s="27" t="str">
        <f aca="false">IF(J212="","",MOD(P212,4))</f>
        <v/>
      </c>
      <c r="R212" s="27" t="str">
        <f aca="false">IF(J212="","",INT(P212/4))</f>
        <v/>
      </c>
      <c r="S212" s="27" t="str">
        <f aca="false">IF(J212="","",IF(AND('Daily Count Sheet'!$H$3=Q212,MOD('Daily Count Sheet'!$I$3,J212)=R212),1,""))</f>
        <v/>
      </c>
      <c r="T212" s="27" t="str">
        <f aca="false">IF(S212=1,COUNTIF($S$2:S212,1),"")</f>
        <v/>
      </c>
    </row>
    <row r="213" customFormat="false" ht="15" hidden="false" customHeight="false" outlineLevel="0" collapsed="false">
      <c r="H213" s="26"/>
      <c r="I213" s="27" t="str">
        <f aca="false">IF(A213="","",IF(H213&lt;&gt;"",UPPER(TRIM(H213)),IFERROR(CHOOSE(VALUE(E213)+1,"A","B","C","D"),IF(OR(LEFT(UPPER(TRIM(E213)),1)="F",UPPER(TRIM(E213))="A"),"A",IF(OR(LEFT(UPPER(TRIM(E213)),1)="M",UPPER(TRIM(E213))="B"),"B",IF(OR(LEFT(UPPER(TRIM(E213)),2)="SL",UPPER(TRIM(E213))="C"),"C",IF(OR(LEFT(UPPER(TRIM(E213)),1)="D",UPPER(TRIM(E213))="D"),"D","")))))))</f>
        <v/>
      </c>
      <c r="J213" s="27" t="str">
        <f aca="false">IF(I213="","",IF(AND(I213="D",Settings!$B$6&lt;&gt;"Yes"),"",IFERROR(INDEX(Settings!$C$9:$C$12,MATCH(I213,Settings!$A$9:$A$12,0)),"")))</f>
        <v/>
      </c>
      <c r="K213" s="27" t="str">
        <f aca="false">IF(J213="","",COUNTIF($I$2:I213,I213))</f>
        <v/>
      </c>
      <c r="L213" s="27" t="str">
        <f aca="false">IF(J213="","",CHOOSE(Q213+1,"Tue","Wed","Thu","Fri"))</f>
        <v/>
      </c>
      <c r="M213" s="27" t="str">
        <f aca="false">IF(J213="","",IF(J213=1,"Every week",R213+1&amp;" of "&amp;J213))</f>
        <v/>
      </c>
      <c r="N213" s="28" t="str">
        <f aca="false">IF(J213="","",Settings!$B$4+R213*7+Q213)</f>
        <v/>
      </c>
      <c r="O213" s="28" t="str">
        <f aca="true">IF(J213="","",N213+MAX(0,ROUNDUP((TODAY()-N213)/(J213*7),0))*J213*7)</f>
        <v/>
      </c>
      <c r="P213" s="27" t="str">
        <f aca="false">IF(J213="","",MOD(K213-1,J213*4))</f>
        <v/>
      </c>
      <c r="Q213" s="27" t="str">
        <f aca="false">IF(J213="","",MOD(P213,4))</f>
        <v/>
      </c>
      <c r="R213" s="27" t="str">
        <f aca="false">IF(J213="","",INT(P213/4))</f>
        <v/>
      </c>
      <c r="S213" s="27" t="str">
        <f aca="false">IF(J213="","",IF(AND('Daily Count Sheet'!$H$3=Q213,MOD('Daily Count Sheet'!$I$3,J213)=R213),1,""))</f>
        <v/>
      </c>
      <c r="T213" s="27" t="str">
        <f aca="false">IF(S213=1,COUNTIF($S$2:S213,1),"")</f>
        <v/>
      </c>
    </row>
    <row r="214" customFormat="false" ht="15" hidden="false" customHeight="false" outlineLevel="0" collapsed="false">
      <c r="H214" s="26"/>
      <c r="I214" s="27" t="str">
        <f aca="false">IF(A214="","",IF(H214&lt;&gt;"",UPPER(TRIM(H214)),IFERROR(CHOOSE(VALUE(E214)+1,"A","B","C","D"),IF(OR(LEFT(UPPER(TRIM(E214)),1)="F",UPPER(TRIM(E214))="A"),"A",IF(OR(LEFT(UPPER(TRIM(E214)),1)="M",UPPER(TRIM(E214))="B"),"B",IF(OR(LEFT(UPPER(TRIM(E214)),2)="SL",UPPER(TRIM(E214))="C"),"C",IF(OR(LEFT(UPPER(TRIM(E214)),1)="D",UPPER(TRIM(E214))="D"),"D","")))))))</f>
        <v/>
      </c>
      <c r="J214" s="27" t="str">
        <f aca="false">IF(I214="","",IF(AND(I214="D",Settings!$B$6&lt;&gt;"Yes"),"",IFERROR(INDEX(Settings!$C$9:$C$12,MATCH(I214,Settings!$A$9:$A$12,0)),"")))</f>
        <v/>
      </c>
      <c r="K214" s="27" t="str">
        <f aca="false">IF(J214="","",COUNTIF($I$2:I214,I214))</f>
        <v/>
      </c>
      <c r="L214" s="27" t="str">
        <f aca="false">IF(J214="","",CHOOSE(Q214+1,"Tue","Wed","Thu","Fri"))</f>
        <v/>
      </c>
      <c r="M214" s="27" t="str">
        <f aca="false">IF(J214="","",IF(J214=1,"Every week",R214+1&amp;" of "&amp;J214))</f>
        <v/>
      </c>
      <c r="N214" s="28" t="str">
        <f aca="false">IF(J214="","",Settings!$B$4+R214*7+Q214)</f>
        <v/>
      </c>
      <c r="O214" s="28" t="str">
        <f aca="true">IF(J214="","",N214+MAX(0,ROUNDUP((TODAY()-N214)/(J214*7),0))*J214*7)</f>
        <v/>
      </c>
      <c r="P214" s="27" t="str">
        <f aca="false">IF(J214="","",MOD(K214-1,J214*4))</f>
        <v/>
      </c>
      <c r="Q214" s="27" t="str">
        <f aca="false">IF(J214="","",MOD(P214,4))</f>
        <v/>
      </c>
      <c r="R214" s="27" t="str">
        <f aca="false">IF(J214="","",INT(P214/4))</f>
        <v/>
      </c>
      <c r="S214" s="27" t="str">
        <f aca="false">IF(J214="","",IF(AND('Daily Count Sheet'!$H$3=Q214,MOD('Daily Count Sheet'!$I$3,J214)=R214),1,""))</f>
        <v/>
      </c>
      <c r="T214" s="27" t="str">
        <f aca="false">IF(S214=1,COUNTIF($S$2:S214,1),"")</f>
        <v/>
      </c>
    </row>
    <row r="215" customFormat="false" ht="15" hidden="false" customHeight="false" outlineLevel="0" collapsed="false">
      <c r="H215" s="26"/>
      <c r="I215" s="27" t="str">
        <f aca="false">IF(A215="","",IF(H215&lt;&gt;"",UPPER(TRIM(H215)),IFERROR(CHOOSE(VALUE(E215)+1,"A","B","C","D"),IF(OR(LEFT(UPPER(TRIM(E215)),1)="F",UPPER(TRIM(E215))="A"),"A",IF(OR(LEFT(UPPER(TRIM(E215)),1)="M",UPPER(TRIM(E215))="B"),"B",IF(OR(LEFT(UPPER(TRIM(E215)),2)="SL",UPPER(TRIM(E215))="C"),"C",IF(OR(LEFT(UPPER(TRIM(E215)),1)="D",UPPER(TRIM(E215))="D"),"D","")))))))</f>
        <v/>
      </c>
      <c r="J215" s="27" t="str">
        <f aca="false">IF(I215="","",IF(AND(I215="D",Settings!$B$6&lt;&gt;"Yes"),"",IFERROR(INDEX(Settings!$C$9:$C$12,MATCH(I215,Settings!$A$9:$A$12,0)),"")))</f>
        <v/>
      </c>
      <c r="K215" s="27" t="str">
        <f aca="false">IF(J215="","",COUNTIF($I$2:I215,I215))</f>
        <v/>
      </c>
      <c r="L215" s="27" t="str">
        <f aca="false">IF(J215="","",CHOOSE(Q215+1,"Tue","Wed","Thu","Fri"))</f>
        <v/>
      </c>
      <c r="M215" s="27" t="str">
        <f aca="false">IF(J215="","",IF(J215=1,"Every week",R215+1&amp;" of "&amp;J215))</f>
        <v/>
      </c>
      <c r="N215" s="28" t="str">
        <f aca="false">IF(J215="","",Settings!$B$4+R215*7+Q215)</f>
        <v/>
      </c>
      <c r="O215" s="28" t="str">
        <f aca="true">IF(J215="","",N215+MAX(0,ROUNDUP((TODAY()-N215)/(J215*7),0))*J215*7)</f>
        <v/>
      </c>
      <c r="P215" s="27" t="str">
        <f aca="false">IF(J215="","",MOD(K215-1,J215*4))</f>
        <v/>
      </c>
      <c r="Q215" s="27" t="str">
        <f aca="false">IF(J215="","",MOD(P215,4))</f>
        <v/>
      </c>
      <c r="R215" s="27" t="str">
        <f aca="false">IF(J215="","",INT(P215/4))</f>
        <v/>
      </c>
      <c r="S215" s="27" t="str">
        <f aca="false">IF(J215="","",IF(AND('Daily Count Sheet'!$H$3=Q215,MOD('Daily Count Sheet'!$I$3,J215)=R215),1,""))</f>
        <v/>
      </c>
      <c r="T215" s="27" t="str">
        <f aca="false">IF(S215=1,COUNTIF($S$2:S215,1),"")</f>
        <v/>
      </c>
    </row>
    <row r="216" customFormat="false" ht="15" hidden="false" customHeight="false" outlineLevel="0" collapsed="false">
      <c r="H216" s="26"/>
      <c r="I216" s="27" t="str">
        <f aca="false">IF(A216="","",IF(H216&lt;&gt;"",UPPER(TRIM(H216)),IFERROR(CHOOSE(VALUE(E216)+1,"A","B","C","D"),IF(OR(LEFT(UPPER(TRIM(E216)),1)="F",UPPER(TRIM(E216))="A"),"A",IF(OR(LEFT(UPPER(TRIM(E216)),1)="M",UPPER(TRIM(E216))="B"),"B",IF(OR(LEFT(UPPER(TRIM(E216)),2)="SL",UPPER(TRIM(E216))="C"),"C",IF(OR(LEFT(UPPER(TRIM(E216)),1)="D",UPPER(TRIM(E216))="D"),"D","")))))))</f>
        <v/>
      </c>
      <c r="J216" s="27" t="str">
        <f aca="false">IF(I216="","",IF(AND(I216="D",Settings!$B$6&lt;&gt;"Yes"),"",IFERROR(INDEX(Settings!$C$9:$C$12,MATCH(I216,Settings!$A$9:$A$12,0)),"")))</f>
        <v/>
      </c>
      <c r="K216" s="27" t="str">
        <f aca="false">IF(J216="","",COUNTIF($I$2:I216,I216))</f>
        <v/>
      </c>
      <c r="L216" s="27" t="str">
        <f aca="false">IF(J216="","",CHOOSE(Q216+1,"Tue","Wed","Thu","Fri"))</f>
        <v/>
      </c>
      <c r="M216" s="27" t="str">
        <f aca="false">IF(J216="","",IF(J216=1,"Every week",R216+1&amp;" of "&amp;J216))</f>
        <v/>
      </c>
      <c r="N216" s="28" t="str">
        <f aca="false">IF(J216="","",Settings!$B$4+R216*7+Q216)</f>
        <v/>
      </c>
      <c r="O216" s="28" t="str">
        <f aca="true">IF(J216="","",N216+MAX(0,ROUNDUP((TODAY()-N216)/(J216*7),0))*J216*7)</f>
        <v/>
      </c>
      <c r="P216" s="27" t="str">
        <f aca="false">IF(J216="","",MOD(K216-1,J216*4))</f>
        <v/>
      </c>
      <c r="Q216" s="27" t="str">
        <f aca="false">IF(J216="","",MOD(P216,4))</f>
        <v/>
      </c>
      <c r="R216" s="27" t="str">
        <f aca="false">IF(J216="","",INT(P216/4))</f>
        <v/>
      </c>
      <c r="S216" s="27" t="str">
        <f aca="false">IF(J216="","",IF(AND('Daily Count Sheet'!$H$3=Q216,MOD('Daily Count Sheet'!$I$3,J216)=R216),1,""))</f>
        <v/>
      </c>
      <c r="T216" s="27" t="str">
        <f aca="false">IF(S216=1,COUNTIF($S$2:S216,1),"")</f>
        <v/>
      </c>
    </row>
    <row r="217" customFormat="false" ht="15" hidden="false" customHeight="false" outlineLevel="0" collapsed="false">
      <c r="H217" s="26"/>
      <c r="I217" s="27" t="str">
        <f aca="false">IF(A217="","",IF(H217&lt;&gt;"",UPPER(TRIM(H217)),IFERROR(CHOOSE(VALUE(E217)+1,"A","B","C","D"),IF(OR(LEFT(UPPER(TRIM(E217)),1)="F",UPPER(TRIM(E217))="A"),"A",IF(OR(LEFT(UPPER(TRIM(E217)),1)="M",UPPER(TRIM(E217))="B"),"B",IF(OR(LEFT(UPPER(TRIM(E217)),2)="SL",UPPER(TRIM(E217))="C"),"C",IF(OR(LEFT(UPPER(TRIM(E217)),1)="D",UPPER(TRIM(E217))="D"),"D","")))))))</f>
        <v/>
      </c>
      <c r="J217" s="27" t="str">
        <f aca="false">IF(I217="","",IF(AND(I217="D",Settings!$B$6&lt;&gt;"Yes"),"",IFERROR(INDEX(Settings!$C$9:$C$12,MATCH(I217,Settings!$A$9:$A$12,0)),"")))</f>
        <v/>
      </c>
      <c r="K217" s="27" t="str">
        <f aca="false">IF(J217="","",COUNTIF($I$2:I217,I217))</f>
        <v/>
      </c>
      <c r="L217" s="27" t="str">
        <f aca="false">IF(J217="","",CHOOSE(Q217+1,"Tue","Wed","Thu","Fri"))</f>
        <v/>
      </c>
      <c r="M217" s="27" t="str">
        <f aca="false">IF(J217="","",IF(J217=1,"Every week",R217+1&amp;" of "&amp;J217))</f>
        <v/>
      </c>
      <c r="N217" s="28" t="str">
        <f aca="false">IF(J217="","",Settings!$B$4+R217*7+Q217)</f>
        <v/>
      </c>
      <c r="O217" s="28" t="str">
        <f aca="true">IF(J217="","",N217+MAX(0,ROUNDUP((TODAY()-N217)/(J217*7),0))*J217*7)</f>
        <v/>
      </c>
      <c r="P217" s="27" t="str">
        <f aca="false">IF(J217="","",MOD(K217-1,J217*4))</f>
        <v/>
      </c>
      <c r="Q217" s="27" t="str">
        <f aca="false">IF(J217="","",MOD(P217,4))</f>
        <v/>
      </c>
      <c r="R217" s="27" t="str">
        <f aca="false">IF(J217="","",INT(P217/4))</f>
        <v/>
      </c>
      <c r="S217" s="27" t="str">
        <f aca="false">IF(J217="","",IF(AND('Daily Count Sheet'!$H$3=Q217,MOD('Daily Count Sheet'!$I$3,J217)=R217),1,""))</f>
        <v/>
      </c>
      <c r="T217" s="27" t="str">
        <f aca="false">IF(S217=1,COUNTIF($S$2:S217,1),"")</f>
        <v/>
      </c>
    </row>
    <row r="218" customFormat="false" ht="15" hidden="false" customHeight="false" outlineLevel="0" collapsed="false">
      <c r="H218" s="26"/>
      <c r="I218" s="27" t="str">
        <f aca="false">IF(A218="","",IF(H218&lt;&gt;"",UPPER(TRIM(H218)),IFERROR(CHOOSE(VALUE(E218)+1,"A","B","C","D"),IF(OR(LEFT(UPPER(TRIM(E218)),1)="F",UPPER(TRIM(E218))="A"),"A",IF(OR(LEFT(UPPER(TRIM(E218)),1)="M",UPPER(TRIM(E218))="B"),"B",IF(OR(LEFT(UPPER(TRIM(E218)),2)="SL",UPPER(TRIM(E218))="C"),"C",IF(OR(LEFT(UPPER(TRIM(E218)),1)="D",UPPER(TRIM(E218))="D"),"D","")))))))</f>
        <v/>
      </c>
      <c r="J218" s="27" t="str">
        <f aca="false">IF(I218="","",IF(AND(I218="D",Settings!$B$6&lt;&gt;"Yes"),"",IFERROR(INDEX(Settings!$C$9:$C$12,MATCH(I218,Settings!$A$9:$A$12,0)),"")))</f>
        <v/>
      </c>
      <c r="K218" s="27" t="str">
        <f aca="false">IF(J218="","",COUNTIF($I$2:I218,I218))</f>
        <v/>
      </c>
      <c r="L218" s="27" t="str">
        <f aca="false">IF(J218="","",CHOOSE(Q218+1,"Tue","Wed","Thu","Fri"))</f>
        <v/>
      </c>
      <c r="M218" s="27" t="str">
        <f aca="false">IF(J218="","",IF(J218=1,"Every week",R218+1&amp;" of "&amp;J218))</f>
        <v/>
      </c>
      <c r="N218" s="28" t="str">
        <f aca="false">IF(J218="","",Settings!$B$4+R218*7+Q218)</f>
        <v/>
      </c>
      <c r="O218" s="28" t="str">
        <f aca="true">IF(J218="","",N218+MAX(0,ROUNDUP((TODAY()-N218)/(J218*7),0))*J218*7)</f>
        <v/>
      </c>
      <c r="P218" s="27" t="str">
        <f aca="false">IF(J218="","",MOD(K218-1,J218*4))</f>
        <v/>
      </c>
      <c r="Q218" s="27" t="str">
        <f aca="false">IF(J218="","",MOD(P218,4))</f>
        <v/>
      </c>
      <c r="R218" s="27" t="str">
        <f aca="false">IF(J218="","",INT(P218/4))</f>
        <v/>
      </c>
      <c r="S218" s="27" t="str">
        <f aca="false">IF(J218="","",IF(AND('Daily Count Sheet'!$H$3=Q218,MOD('Daily Count Sheet'!$I$3,J218)=R218),1,""))</f>
        <v/>
      </c>
      <c r="T218" s="27" t="str">
        <f aca="false">IF(S218=1,COUNTIF($S$2:S218,1),"")</f>
        <v/>
      </c>
    </row>
    <row r="219" customFormat="false" ht="15" hidden="false" customHeight="false" outlineLevel="0" collapsed="false">
      <c r="H219" s="26"/>
      <c r="I219" s="27" t="str">
        <f aca="false">IF(A219="","",IF(H219&lt;&gt;"",UPPER(TRIM(H219)),IFERROR(CHOOSE(VALUE(E219)+1,"A","B","C","D"),IF(OR(LEFT(UPPER(TRIM(E219)),1)="F",UPPER(TRIM(E219))="A"),"A",IF(OR(LEFT(UPPER(TRIM(E219)),1)="M",UPPER(TRIM(E219))="B"),"B",IF(OR(LEFT(UPPER(TRIM(E219)),2)="SL",UPPER(TRIM(E219))="C"),"C",IF(OR(LEFT(UPPER(TRIM(E219)),1)="D",UPPER(TRIM(E219))="D"),"D","")))))))</f>
        <v/>
      </c>
      <c r="J219" s="27" t="str">
        <f aca="false">IF(I219="","",IF(AND(I219="D",Settings!$B$6&lt;&gt;"Yes"),"",IFERROR(INDEX(Settings!$C$9:$C$12,MATCH(I219,Settings!$A$9:$A$12,0)),"")))</f>
        <v/>
      </c>
      <c r="K219" s="27" t="str">
        <f aca="false">IF(J219="","",COUNTIF($I$2:I219,I219))</f>
        <v/>
      </c>
      <c r="L219" s="27" t="str">
        <f aca="false">IF(J219="","",CHOOSE(Q219+1,"Tue","Wed","Thu","Fri"))</f>
        <v/>
      </c>
      <c r="M219" s="27" t="str">
        <f aca="false">IF(J219="","",IF(J219=1,"Every week",R219+1&amp;" of "&amp;J219))</f>
        <v/>
      </c>
      <c r="N219" s="28" t="str">
        <f aca="false">IF(J219="","",Settings!$B$4+R219*7+Q219)</f>
        <v/>
      </c>
      <c r="O219" s="28" t="str">
        <f aca="true">IF(J219="","",N219+MAX(0,ROUNDUP((TODAY()-N219)/(J219*7),0))*J219*7)</f>
        <v/>
      </c>
      <c r="P219" s="27" t="str">
        <f aca="false">IF(J219="","",MOD(K219-1,J219*4))</f>
        <v/>
      </c>
      <c r="Q219" s="27" t="str">
        <f aca="false">IF(J219="","",MOD(P219,4))</f>
        <v/>
      </c>
      <c r="R219" s="27" t="str">
        <f aca="false">IF(J219="","",INT(P219/4))</f>
        <v/>
      </c>
      <c r="S219" s="27" t="str">
        <f aca="false">IF(J219="","",IF(AND('Daily Count Sheet'!$H$3=Q219,MOD('Daily Count Sheet'!$I$3,J219)=R219),1,""))</f>
        <v/>
      </c>
      <c r="T219" s="27" t="str">
        <f aca="false">IF(S219=1,COUNTIF($S$2:S219,1),"")</f>
        <v/>
      </c>
    </row>
    <row r="220" customFormat="false" ht="15" hidden="false" customHeight="false" outlineLevel="0" collapsed="false">
      <c r="H220" s="26"/>
      <c r="I220" s="27" t="str">
        <f aca="false">IF(A220="","",IF(H220&lt;&gt;"",UPPER(TRIM(H220)),IFERROR(CHOOSE(VALUE(E220)+1,"A","B","C","D"),IF(OR(LEFT(UPPER(TRIM(E220)),1)="F",UPPER(TRIM(E220))="A"),"A",IF(OR(LEFT(UPPER(TRIM(E220)),1)="M",UPPER(TRIM(E220))="B"),"B",IF(OR(LEFT(UPPER(TRIM(E220)),2)="SL",UPPER(TRIM(E220))="C"),"C",IF(OR(LEFT(UPPER(TRIM(E220)),1)="D",UPPER(TRIM(E220))="D"),"D","")))))))</f>
        <v/>
      </c>
      <c r="J220" s="27" t="str">
        <f aca="false">IF(I220="","",IF(AND(I220="D",Settings!$B$6&lt;&gt;"Yes"),"",IFERROR(INDEX(Settings!$C$9:$C$12,MATCH(I220,Settings!$A$9:$A$12,0)),"")))</f>
        <v/>
      </c>
      <c r="K220" s="27" t="str">
        <f aca="false">IF(J220="","",COUNTIF($I$2:I220,I220))</f>
        <v/>
      </c>
      <c r="L220" s="27" t="str">
        <f aca="false">IF(J220="","",CHOOSE(Q220+1,"Tue","Wed","Thu","Fri"))</f>
        <v/>
      </c>
      <c r="M220" s="27" t="str">
        <f aca="false">IF(J220="","",IF(J220=1,"Every week",R220+1&amp;" of "&amp;J220))</f>
        <v/>
      </c>
      <c r="N220" s="28" t="str">
        <f aca="false">IF(J220="","",Settings!$B$4+R220*7+Q220)</f>
        <v/>
      </c>
      <c r="O220" s="28" t="str">
        <f aca="true">IF(J220="","",N220+MAX(0,ROUNDUP((TODAY()-N220)/(J220*7),0))*J220*7)</f>
        <v/>
      </c>
      <c r="P220" s="27" t="str">
        <f aca="false">IF(J220="","",MOD(K220-1,J220*4))</f>
        <v/>
      </c>
      <c r="Q220" s="27" t="str">
        <f aca="false">IF(J220="","",MOD(P220,4))</f>
        <v/>
      </c>
      <c r="R220" s="27" t="str">
        <f aca="false">IF(J220="","",INT(P220/4))</f>
        <v/>
      </c>
      <c r="S220" s="27" t="str">
        <f aca="false">IF(J220="","",IF(AND('Daily Count Sheet'!$H$3=Q220,MOD('Daily Count Sheet'!$I$3,J220)=R220),1,""))</f>
        <v/>
      </c>
      <c r="T220" s="27" t="str">
        <f aca="false">IF(S220=1,COUNTIF($S$2:S220,1),"")</f>
        <v/>
      </c>
    </row>
    <row r="221" customFormat="false" ht="15" hidden="false" customHeight="false" outlineLevel="0" collapsed="false">
      <c r="H221" s="26"/>
      <c r="I221" s="27" t="str">
        <f aca="false">IF(A221="","",IF(H221&lt;&gt;"",UPPER(TRIM(H221)),IFERROR(CHOOSE(VALUE(E221)+1,"A","B","C","D"),IF(OR(LEFT(UPPER(TRIM(E221)),1)="F",UPPER(TRIM(E221))="A"),"A",IF(OR(LEFT(UPPER(TRIM(E221)),1)="M",UPPER(TRIM(E221))="B"),"B",IF(OR(LEFT(UPPER(TRIM(E221)),2)="SL",UPPER(TRIM(E221))="C"),"C",IF(OR(LEFT(UPPER(TRIM(E221)),1)="D",UPPER(TRIM(E221))="D"),"D","")))))))</f>
        <v/>
      </c>
      <c r="J221" s="27" t="str">
        <f aca="false">IF(I221="","",IF(AND(I221="D",Settings!$B$6&lt;&gt;"Yes"),"",IFERROR(INDEX(Settings!$C$9:$C$12,MATCH(I221,Settings!$A$9:$A$12,0)),"")))</f>
        <v/>
      </c>
      <c r="K221" s="27" t="str">
        <f aca="false">IF(J221="","",COUNTIF($I$2:I221,I221))</f>
        <v/>
      </c>
      <c r="L221" s="27" t="str">
        <f aca="false">IF(J221="","",CHOOSE(Q221+1,"Tue","Wed","Thu","Fri"))</f>
        <v/>
      </c>
      <c r="M221" s="27" t="str">
        <f aca="false">IF(J221="","",IF(J221=1,"Every week",R221+1&amp;" of "&amp;J221))</f>
        <v/>
      </c>
      <c r="N221" s="28" t="str">
        <f aca="false">IF(J221="","",Settings!$B$4+R221*7+Q221)</f>
        <v/>
      </c>
      <c r="O221" s="28" t="str">
        <f aca="true">IF(J221="","",N221+MAX(0,ROUNDUP((TODAY()-N221)/(J221*7),0))*J221*7)</f>
        <v/>
      </c>
      <c r="P221" s="27" t="str">
        <f aca="false">IF(J221="","",MOD(K221-1,J221*4))</f>
        <v/>
      </c>
      <c r="Q221" s="27" t="str">
        <f aca="false">IF(J221="","",MOD(P221,4))</f>
        <v/>
      </c>
      <c r="R221" s="27" t="str">
        <f aca="false">IF(J221="","",INT(P221/4))</f>
        <v/>
      </c>
      <c r="S221" s="27" t="str">
        <f aca="false">IF(J221="","",IF(AND('Daily Count Sheet'!$H$3=Q221,MOD('Daily Count Sheet'!$I$3,J221)=R221),1,""))</f>
        <v/>
      </c>
      <c r="T221" s="27" t="str">
        <f aca="false">IF(S221=1,COUNTIF($S$2:S221,1),"")</f>
        <v/>
      </c>
    </row>
    <row r="222" customFormat="false" ht="15" hidden="false" customHeight="false" outlineLevel="0" collapsed="false">
      <c r="H222" s="26"/>
      <c r="I222" s="27" t="str">
        <f aca="false">IF(A222="","",IF(H222&lt;&gt;"",UPPER(TRIM(H222)),IFERROR(CHOOSE(VALUE(E222)+1,"A","B","C","D"),IF(OR(LEFT(UPPER(TRIM(E222)),1)="F",UPPER(TRIM(E222))="A"),"A",IF(OR(LEFT(UPPER(TRIM(E222)),1)="M",UPPER(TRIM(E222))="B"),"B",IF(OR(LEFT(UPPER(TRIM(E222)),2)="SL",UPPER(TRIM(E222))="C"),"C",IF(OR(LEFT(UPPER(TRIM(E222)),1)="D",UPPER(TRIM(E222))="D"),"D","")))))))</f>
        <v/>
      </c>
      <c r="J222" s="27" t="str">
        <f aca="false">IF(I222="","",IF(AND(I222="D",Settings!$B$6&lt;&gt;"Yes"),"",IFERROR(INDEX(Settings!$C$9:$C$12,MATCH(I222,Settings!$A$9:$A$12,0)),"")))</f>
        <v/>
      </c>
      <c r="K222" s="27" t="str">
        <f aca="false">IF(J222="","",COUNTIF($I$2:I222,I222))</f>
        <v/>
      </c>
      <c r="L222" s="27" t="str">
        <f aca="false">IF(J222="","",CHOOSE(Q222+1,"Tue","Wed","Thu","Fri"))</f>
        <v/>
      </c>
      <c r="M222" s="27" t="str">
        <f aca="false">IF(J222="","",IF(J222=1,"Every week",R222+1&amp;" of "&amp;J222))</f>
        <v/>
      </c>
      <c r="N222" s="28" t="str">
        <f aca="false">IF(J222="","",Settings!$B$4+R222*7+Q222)</f>
        <v/>
      </c>
      <c r="O222" s="28" t="str">
        <f aca="true">IF(J222="","",N222+MAX(0,ROUNDUP((TODAY()-N222)/(J222*7),0))*J222*7)</f>
        <v/>
      </c>
      <c r="P222" s="27" t="str">
        <f aca="false">IF(J222="","",MOD(K222-1,J222*4))</f>
        <v/>
      </c>
      <c r="Q222" s="27" t="str">
        <f aca="false">IF(J222="","",MOD(P222,4))</f>
        <v/>
      </c>
      <c r="R222" s="27" t="str">
        <f aca="false">IF(J222="","",INT(P222/4))</f>
        <v/>
      </c>
      <c r="S222" s="27" t="str">
        <f aca="false">IF(J222="","",IF(AND('Daily Count Sheet'!$H$3=Q222,MOD('Daily Count Sheet'!$I$3,J222)=R222),1,""))</f>
        <v/>
      </c>
      <c r="T222" s="27" t="str">
        <f aca="false">IF(S222=1,COUNTIF($S$2:S222,1),"")</f>
        <v/>
      </c>
    </row>
    <row r="223" customFormat="false" ht="15" hidden="false" customHeight="false" outlineLevel="0" collapsed="false">
      <c r="H223" s="26"/>
      <c r="I223" s="27" t="str">
        <f aca="false">IF(A223="","",IF(H223&lt;&gt;"",UPPER(TRIM(H223)),IFERROR(CHOOSE(VALUE(E223)+1,"A","B","C","D"),IF(OR(LEFT(UPPER(TRIM(E223)),1)="F",UPPER(TRIM(E223))="A"),"A",IF(OR(LEFT(UPPER(TRIM(E223)),1)="M",UPPER(TRIM(E223))="B"),"B",IF(OR(LEFT(UPPER(TRIM(E223)),2)="SL",UPPER(TRIM(E223))="C"),"C",IF(OR(LEFT(UPPER(TRIM(E223)),1)="D",UPPER(TRIM(E223))="D"),"D","")))))))</f>
        <v/>
      </c>
      <c r="J223" s="27" t="str">
        <f aca="false">IF(I223="","",IF(AND(I223="D",Settings!$B$6&lt;&gt;"Yes"),"",IFERROR(INDEX(Settings!$C$9:$C$12,MATCH(I223,Settings!$A$9:$A$12,0)),"")))</f>
        <v/>
      </c>
      <c r="K223" s="27" t="str">
        <f aca="false">IF(J223="","",COUNTIF($I$2:I223,I223))</f>
        <v/>
      </c>
      <c r="L223" s="27" t="str">
        <f aca="false">IF(J223="","",CHOOSE(Q223+1,"Tue","Wed","Thu","Fri"))</f>
        <v/>
      </c>
      <c r="M223" s="27" t="str">
        <f aca="false">IF(J223="","",IF(J223=1,"Every week",R223+1&amp;" of "&amp;J223))</f>
        <v/>
      </c>
      <c r="N223" s="28" t="str">
        <f aca="false">IF(J223="","",Settings!$B$4+R223*7+Q223)</f>
        <v/>
      </c>
      <c r="O223" s="28" t="str">
        <f aca="true">IF(J223="","",N223+MAX(0,ROUNDUP((TODAY()-N223)/(J223*7),0))*J223*7)</f>
        <v/>
      </c>
      <c r="P223" s="27" t="str">
        <f aca="false">IF(J223="","",MOD(K223-1,J223*4))</f>
        <v/>
      </c>
      <c r="Q223" s="27" t="str">
        <f aca="false">IF(J223="","",MOD(P223,4))</f>
        <v/>
      </c>
      <c r="R223" s="27" t="str">
        <f aca="false">IF(J223="","",INT(P223/4))</f>
        <v/>
      </c>
      <c r="S223" s="27" t="str">
        <f aca="false">IF(J223="","",IF(AND('Daily Count Sheet'!$H$3=Q223,MOD('Daily Count Sheet'!$I$3,J223)=R223),1,""))</f>
        <v/>
      </c>
      <c r="T223" s="27" t="str">
        <f aca="false">IF(S223=1,COUNTIF($S$2:S223,1),"")</f>
        <v/>
      </c>
    </row>
    <row r="224" customFormat="false" ht="15" hidden="false" customHeight="false" outlineLevel="0" collapsed="false">
      <c r="H224" s="26"/>
      <c r="I224" s="27" t="str">
        <f aca="false">IF(A224="","",IF(H224&lt;&gt;"",UPPER(TRIM(H224)),IFERROR(CHOOSE(VALUE(E224)+1,"A","B","C","D"),IF(OR(LEFT(UPPER(TRIM(E224)),1)="F",UPPER(TRIM(E224))="A"),"A",IF(OR(LEFT(UPPER(TRIM(E224)),1)="M",UPPER(TRIM(E224))="B"),"B",IF(OR(LEFT(UPPER(TRIM(E224)),2)="SL",UPPER(TRIM(E224))="C"),"C",IF(OR(LEFT(UPPER(TRIM(E224)),1)="D",UPPER(TRIM(E224))="D"),"D","")))))))</f>
        <v/>
      </c>
      <c r="J224" s="27" t="str">
        <f aca="false">IF(I224="","",IF(AND(I224="D",Settings!$B$6&lt;&gt;"Yes"),"",IFERROR(INDEX(Settings!$C$9:$C$12,MATCH(I224,Settings!$A$9:$A$12,0)),"")))</f>
        <v/>
      </c>
      <c r="K224" s="27" t="str">
        <f aca="false">IF(J224="","",COUNTIF($I$2:I224,I224))</f>
        <v/>
      </c>
      <c r="L224" s="27" t="str">
        <f aca="false">IF(J224="","",CHOOSE(Q224+1,"Tue","Wed","Thu","Fri"))</f>
        <v/>
      </c>
      <c r="M224" s="27" t="str">
        <f aca="false">IF(J224="","",IF(J224=1,"Every week",R224+1&amp;" of "&amp;J224))</f>
        <v/>
      </c>
      <c r="N224" s="28" t="str">
        <f aca="false">IF(J224="","",Settings!$B$4+R224*7+Q224)</f>
        <v/>
      </c>
      <c r="O224" s="28" t="str">
        <f aca="true">IF(J224="","",N224+MAX(0,ROUNDUP((TODAY()-N224)/(J224*7),0))*J224*7)</f>
        <v/>
      </c>
      <c r="P224" s="27" t="str">
        <f aca="false">IF(J224="","",MOD(K224-1,J224*4))</f>
        <v/>
      </c>
      <c r="Q224" s="27" t="str">
        <f aca="false">IF(J224="","",MOD(P224,4))</f>
        <v/>
      </c>
      <c r="R224" s="27" t="str">
        <f aca="false">IF(J224="","",INT(P224/4))</f>
        <v/>
      </c>
      <c r="S224" s="27" t="str">
        <f aca="false">IF(J224="","",IF(AND('Daily Count Sheet'!$H$3=Q224,MOD('Daily Count Sheet'!$I$3,J224)=R224),1,""))</f>
        <v/>
      </c>
      <c r="T224" s="27" t="str">
        <f aca="false">IF(S224=1,COUNTIF($S$2:S224,1),"")</f>
        <v/>
      </c>
    </row>
    <row r="225" customFormat="false" ht="15" hidden="false" customHeight="false" outlineLevel="0" collapsed="false">
      <c r="H225" s="26"/>
      <c r="I225" s="27" t="str">
        <f aca="false">IF(A225="","",IF(H225&lt;&gt;"",UPPER(TRIM(H225)),IFERROR(CHOOSE(VALUE(E225)+1,"A","B","C","D"),IF(OR(LEFT(UPPER(TRIM(E225)),1)="F",UPPER(TRIM(E225))="A"),"A",IF(OR(LEFT(UPPER(TRIM(E225)),1)="M",UPPER(TRIM(E225))="B"),"B",IF(OR(LEFT(UPPER(TRIM(E225)),2)="SL",UPPER(TRIM(E225))="C"),"C",IF(OR(LEFT(UPPER(TRIM(E225)),1)="D",UPPER(TRIM(E225))="D"),"D","")))))))</f>
        <v/>
      </c>
      <c r="J225" s="27" t="str">
        <f aca="false">IF(I225="","",IF(AND(I225="D",Settings!$B$6&lt;&gt;"Yes"),"",IFERROR(INDEX(Settings!$C$9:$C$12,MATCH(I225,Settings!$A$9:$A$12,0)),"")))</f>
        <v/>
      </c>
      <c r="K225" s="27" t="str">
        <f aca="false">IF(J225="","",COUNTIF($I$2:I225,I225))</f>
        <v/>
      </c>
      <c r="L225" s="27" t="str">
        <f aca="false">IF(J225="","",CHOOSE(Q225+1,"Tue","Wed","Thu","Fri"))</f>
        <v/>
      </c>
      <c r="M225" s="27" t="str">
        <f aca="false">IF(J225="","",IF(J225=1,"Every week",R225+1&amp;" of "&amp;J225))</f>
        <v/>
      </c>
      <c r="N225" s="28" t="str">
        <f aca="false">IF(J225="","",Settings!$B$4+R225*7+Q225)</f>
        <v/>
      </c>
      <c r="O225" s="28" t="str">
        <f aca="true">IF(J225="","",N225+MAX(0,ROUNDUP((TODAY()-N225)/(J225*7),0))*J225*7)</f>
        <v/>
      </c>
      <c r="P225" s="27" t="str">
        <f aca="false">IF(J225="","",MOD(K225-1,J225*4))</f>
        <v/>
      </c>
      <c r="Q225" s="27" t="str">
        <f aca="false">IF(J225="","",MOD(P225,4))</f>
        <v/>
      </c>
      <c r="R225" s="27" t="str">
        <f aca="false">IF(J225="","",INT(P225/4))</f>
        <v/>
      </c>
      <c r="S225" s="27" t="str">
        <f aca="false">IF(J225="","",IF(AND('Daily Count Sheet'!$H$3=Q225,MOD('Daily Count Sheet'!$I$3,J225)=R225),1,""))</f>
        <v/>
      </c>
      <c r="T225" s="27" t="str">
        <f aca="false">IF(S225=1,COUNTIF($S$2:S225,1),"")</f>
        <v/>
      </c>
    </row>
    <row r="226" customFormat="false" ht="15" hidden="false" customHeight="false" outlineLevel="0" collapsed="false">
      <c r="H226" s="26"/>
      <c r="I226" s="27" t="str">
        <f aca="false">IF(A226="","",IF(H226&lt;&gt;"",UPPER(TRIM(H226)),IFERROR(CHOOSE(VALUE(E226)+1,"A","B","C","D"),IF(OR(LEFT(UPPER(TRIM(E226)),1)="F",UPPER(TRIM(E226))="A"),"A",IF(OR(LEFT(UPPER(TRIM(E226)),1)="M",UPPER(TRIM(E226))="B"),"B",IF(OR(LEFT(UPPER(TRIM(E226)),2)="SL",UPPER(TRIM(E226))="C"),"C",IF(OR(LEFT(UPPER(TRIM(E226)),1)="D",UPPER(TRIM(E226))="D"),"D","")))))))</f>
        <v/>
      </c>
      <c r="J226" s="27" t="str">
        <f aca="false">IF(I226="","",IF(AND(I226="D",Settings!$B$6&lt;&gt;"Yes"),"",IFERROR(INDEX(Settings!$C$9:$C$12,MATCH(I226,Settings!$A$9:$A$12,0)),"")))</f>
        <v/>
      </c>
      <c r="K226" s="27" t="str">
        <f aca="false">IF(J226="","",COUNTIF($I$2:I226,I226))</f>
        <v/>
      </c>
      <c r="L226" s="27" t="str">
        <f aca="false">IF(J226="","",CHOOSE(Q226+1,"Tue","Wed","Thu","Fri"))</f>
        <v/>
      </c>
      <c r="M226" s="27" t="str">
        <f aca="false">IF(J226="","",IF(J226=1,"Every week",R226+1&amp;" of "&amp;J226))</f>
        <v/>
      </c>
      <c r="N226" s="28" t="str">
        <f aca="false">IF(J226="","",Settings!$B$4+R226*7+Q226)</f>
        <v/>
      </c>
      <c r="O226" s="28" t="str">
        <f aca="true">IF(J226="","",N226+MAX(0,ROUNDUP((TODAY()-N226)/(J226*7),0))*J226*7)</f>
        <v/>
      </c>
      <c r="P226" s="27" t="str">
        <f aca="false">IF(J226="","",MOD(K226-1,J226*4))</f>
        <v/>
      </c>
      <c r="Q226" s="27" t="str">
        <f aca="false">IF(J226="","",MOD(P226,4))</f>
        <v/>
      </c>
      <c r="R226" s="27" t="str">
        <f aca="false">IF(J226="","",INT(P226/4))</f>
        <v/>
      </c>
      <c r="S226" s="27" t="str">
        <f aca="false">IF(J226="","",IF(AND('Daily Count Sheet'!$H$3=Q226,MOD('Daily Count Sheet'!$I$3,J226)=R226),1,""))</f>
        <v/>
      </c>
      <c r="T226" s="27" t="str">
        <f aca="false">IF(S226=1,COUNTIF($S$2:S226,1),"")</f>
        <v/>
      </c>
    </row>
    <row r="227" customFormat="false" ht="15" hidden="false" customHeight="false" outlineLevel="0" collapsed="false">
      <c r="H227" s="26"/>
      <c r="I227" s="27" t="str">
        <f aca="false">IF(A227="","",IF(H227&lt;&gt;"",UPPER(TRIM(H227)),IFERROR(CHOOSE(VALUE(E227)+1,"A","B","C","D"),IF(OR(LEFT(UPPER(TRIM(E227)),1)="F",UPPER(TRIM(E227))="A"),"A",IF(OR(LEFT(UPPER(TRIM(E227)),1)="M",UPPER(TRIM(E227))="B"),"B",IF(OR(LEFT(UPPER(TRIM(E227)),2)="SL",UPPER(TRIM(E227))="C"),"C",IF(OR(LEFT(UPPER(TRIM(E227)),1)="D",UPPER(TRIM(E227))="D"),"D","")))))))</f>
        <v/>
      </c>
      <c r="J227" s="27" t="str">
        <f aca="false">IF(I227="","",IF(AND(I227="D",Settings!$B$6&lt;&gt;"Yes"),"",IFERROR(INDEX(Settings!$C$9:$C$12,MATCH(I227,Settings!$A$9:$A$12,0)),"")))</f>
        <v/>
      </c>
      <c r="K227" s="27" t="str">
        <f aca="false">IF(J227="","",COUNTIF($I$2:I227,I227))</f>
        <v/>
      </c>
      <c r="L227" s="27" t="str">
        <f aca="false">IF(J227="","",CHOOSE(Q227+1,"Tue","Wed","Thu","Fri"))</f>
        <v/>
      </c>
      <c r="M227" s="27" t="str">
        <f aca="false">IF(J227="","",IF(J227=1,"Every week",R227+1&amp;" of "&amp;J227))</f>
        <v/>
      </c>
      <c r="N227" s="28" t="str">
        <f aca="false">IF(J227="","",Settings!$B$4+R227*7+Q227)</f>
        <v/>
      </c>
      <c r="O227" s="28" t="str">
        <f aca="true">IF(J227="","",N227+MAX(0,ROUNDUP((TODAY()-N227)/(J227*7),0))*J227*7)</f>
        <v/>
      </c>
      <c r="P227" s="27" t="str">
        <f aca="false">IF(J227="","",MOD(K227-1,J227*4))</f>
        <v/>
      </c>
      <c r="Q227" s="27" t="str">
        <f aca="false">IF(J227="","",MOD(P227,4))</f>
        <v/>
      </c>
      <c r="R227" s="27" t="str">
        <f aca="false">IF(J227="","",INT(P227/4))</f>
        <v/>
      </c>
      <c r="S227" s="27" t="str">
        <f aca="false">IF(J227="","",IF(AND('Daily Count Sheet'!$H$3=Q227,MOD('Daily Count Sheet'!$I$3,J227)=R227),1,""))</f>
        <v/>
      </c>
      <c r="T227" s="27" t="str">
        <f aca="false">IF(S227=1,COUNTIF($S$2:S227,1),"")</f>
        <v/>
      </c>
    </row>
    <row r="228" customFormat="false" ht="15" hidden="false" customHeight="false" outlineLevel="0" collapsed="false">
      <c r="H228" s="26"/>
      <c r="I228" s="27" t="str">
        <f aca="false">IF(A228="","",IF(H228&lt;&gt;"",UPPER(TRIM(H228)),IFERROR(CHOOSE(VALUE(E228)+1,"A","B","C","D"),IF(OR(LEFT(UPPER(TRIM(E228)),1)="F",UPPER(TRIM(E228))="A"),"A",IF(OR(LEFT(UPPER(TRIM(E228)),1)="M",UPPER(TRIM(E228))="B"),"B",IF(OR(LEFT(UPPER(TRIM(E228)),2)="SL",UPPER(TRIM(E228))="C"),"C",IF(OR(LEFT(UPPER(TRIM(E228)),1)="D",UPPER(TRIM(E228))="D"),"D","")))))))</f>
        <v/>
      </c>
      <c r="J228" s="27" t="str">
        <f aca="false">IF(I228="","",IF(AND(I228="D",Settings!$B$6&lt;&gt;"Yes"),"",IFERROR(INDEX(Settings!$C$9:$C$12,MATCH(I228,Settings!$A$9:$A$12,0)),"")))</f>
        <v/>
      </c>
      <c r="K228" s="27" t="str">
        <f aca="false">IF(J228="","",COUNTIF($I$2:I228,I228))</f>
        <v/>
      </c>
      <c r="L228" s="27" t="str">
        <f aca="false">IF(J228="","",CHOOSE(Q228+1,"Tue","Wed","Thu","Fri"))</f>
        <v/>
      </c>
      <c r="M228" s="27" t="str">
        <f aca="false">IF(J228="","",IF(J228=1,"Every week",R228+1&amp;" of "&amp;J228))</f>
        <v/>
      </c>
      <c r="N228" s="28" t="str">
        <f aca="false">IF(J228="","",Settings!$B$4+R228*7+Q228)</f>
        <v/>
      </c>
      <c r="O228" s="28" t="str">
        <f aca="true">IF(J228="","",N228+MAX(0,ROUNDUP((TODAY()-N228)/(J228*7),0))*J228*7)</f>
        <v/>
      </c>
      <c r="P228" s="27" t="str">
        <f aca="false">IF(J228="","",MOD(K228-1,J228*4))</f>
        <v/>
      </c>
      <c r="Q228" s="27" t="str">
        <f aca="false">IF(J228="","",MOD(P228,4))</f>
        <v/>
      </c>
      <c r="R228" s="27" t="str">
        <f aca="false">IF(J228="","",INT(P228/4))</f>
        <v/>
      </c>
      <c r="S228" s="27" t="str">
        <f aca="false">IF(J228="","",IF(AND('Daily Count Sheet'!$H$3=Q228,MOD('Daily Count Sheet'!$I$3,J228)=R228),1,""))</f>
        <v/>
      </c>
      <c r="T228" s="27" t="str">
        <f aca="false">IF(S228=1,COUNTIF($S$2:S228,1),"")</f>
        <v/>
      </c>
    </row>
    <row r="229" customFormat="false" ht="15" hidden="false" customHeight="false" outlineLevel="0" collapsed="false">
      <c r="H229" s="26"/>
      <c r="I229" s="27" t="str">
        <f aca="false">IF(A229="","",IF(H229&lt;&gt;"",UPPER(TRIM(H229)),IFERROR(CHOOSE(VALUE(E229)+1,"A","B","C","D"),IF(OR(LEFT(UPPER(TRIM(E229)),1)="F",UPPER(TRIM(E229))="A"),"A",IF(OR(LEFT(UPPER(TRIM(E229)),1)="M",UPPER(TRIM(E229))="B"),"B",IF(OR(LEFT(UPPER(TRIM(E229)),2)="SL",UPPER(TRIM(E229))="C"),"C",IF(OR(LEFT(UPPER(TRIM(E229)),1)="D",UPPER(TRIM(E229))="D"),"D","")))))))</f>
        <v/>
      </c>
      <c r="J229" s="27" t="str">
        <f aca="false">IF(I229="","",IF(AND(I229="D",Settings!$B$6&lt;&gt;"Yes"),"",IFERROR(INDEX(Settings!$C$9:$C$12,MATCH(I229,Settings!$A$9:$A$12,0)),"")))</f>
        <v/>
      </c>
      <c r="K229" s="27" t="str">
        <f aca="false">IF(J229="","",COUNTIF($I$2:I229,I229))</f>
        <v/>
      </c>
      <c r="L229" s="27" t="str">
        <f aca="false">IF(J229="","",CHOOSE(Q229+1,"Tue","Wed","Thu","Fri"))</f>
        <v/>
      </c>
      <c r="M229" s="27" t="str">
        <f aca="false">IF(J229="","",IF(J229=1,"Every week",R229+1&amp;" of "&amp;J229))</f>
        <v/>
      </c>
      <c r="N229" s="28" t="str">
        <f aca="false">IF(J229="","",Settings!$B$4+R229*7+Q229)</f>
        <v/>
      </c>
      <c r="O229" s="28" t="str">
        <f aca="true">IF(J229="","",N229+MAX(0,ROUNDUP((TODAY()-N229)/(J229*7),0))*J229*7)</f>
        <v/>
      </c>
      <c r="P229" s="27" t="str">
        <f aca="false">IF(J229="","",MOD(K229-1,J229*4))</f>
        <v/>
      </c>
      <c r="Q229" s="27" t="str">
        <f aca="false">IF(J229="","",MOD(P229,4))</f>
        <v/>
      </c>
      <c r="R229" s="27" t="str">
        <f aca="false">IF(J229="","",INT(P229/4))</f>
        <v/>
      </c>
      <c r="S229" s="27" t="str">
        <f aca="false">IF(J229="","",IF(AND('Daily Count Sheet'!$H$3=Q229,MOD('Daily Count Sheet'!$I$3,J229)=R229),1,""))</f>
        <v/>
      </c>
      <c r="T229" s="27" t="str">
        <f aca="false">IF(S229=1,COUNTIF($S$2:S229,1),"")</f>
        <v/>
      </c>
    </row>
    <row r="230" customFormat="false" ht="15" hidden="false" customHeight="false" outlineLevel="0" collapsed="false">
      <c r="H230" s="26"/>
      <c r="I230" s="27" t="str">
        <f aca="false">IF(A230="","",IF(H230&lt;&gt;"",UPPER(TRIM(H230)),IFERROR(CHOOSE(VALUE(E230)+1,"A","B","C","D"),IF(OR(LEFT(UPPER(TRIM(E230)),1)="F",UPPER(TRIM(E230))="A"),"A",IF(OR(LEFT(UPPER(TRIM(E230)),1)="M",UPPER(TRIM(E230))="B"),"B",IF(OR(LEFT(UPPER(TRIM(E230)),2)="SL",UPPER(TRIM(E230))="C"),"C",IF(OR(LEFT(UPPER(TRIM(E230)),1)="D",UPPER(TRIM(E230))="D"),"D","")))))))</f>
        <v/>
      </c>
      <c r="J230" s="27" t="str">
        <f aca="false">IF(I230="","",IF(AND(I230="D",Settings!$B$6&lt;&gt;"Yes"),"",IFERROR(INDEX(Settings!$C$9:$C$12,MATCH(I230,Settings!$A$9:$A$12,0)),"")))</f>
        <v/>
      </c>
      <c r="K230" s="27" t="str">
        <f aca="false">IF(J230="","",COUNTIF($I$2:I230,I230))</f>
        <v/>
      </c>
      <c r="L230" s="27" t="str">
        <f aca="false">IF(J230="","",CHOOSE(Q230+1,"Tue","Wed","Thu","Fri"))</f>
        <v/>
      </c>
      <c r="M230" s="27" t="str">
        <f aca="false">IF(J230="","",IF(J230=1,"Every week",R230+1&amp;" of "&amp;J230))</f>
        <v/>
      </c>
      <c r="N230" s="28" t="str">
        <f aca="false">IF(J230="","",Settings!$B$4+R230*7+Q230)</f>
        <v/>
      </c>
      <c r="O230" s="28" t="str">
        <f aca="true">IF(J230="","",N230+MAX(0,ROUNDUP((TODAY()-N230)/(J230*7),0))*J230*7)</f>
        <v/>
      </c>
      <c r="P230" s="27" t="str">
        <f aca="false">IF(J230="","",MOD(K230-1,J230*4))</f>
        <v/>
      </c>
      <c r="Q230" s="27" t="str">
        <f aca="false">IF(J230="","",MOD(P230,4))</f>
        <v/>
      </c>
      <c r="R230" s="27" t="str">
        <f aca="false">IF(J230="","",INT(P230/4))</f>
        <v/>
      </c>
      <c r="S230" s="27" t="str">
        <f aca="false">IF(J230="","",IF(AND('Daily Count Sheet'!$H$3=Q230,MOD('Daily Count Sheet'!$I$3,J230)=R230),1,""))</f>
        <v/>
      </c>
      <c r="T230" s="27" t="str">
        <f aca="false">IF(S230=1,COUNTIF($S$2:S230,1),"")</f>
        <v/>
      </c>
    </row>
    <row r="231" customFormat="false" ht="15" hidden="false" customHeight="false" outlineLevel="0" collapsed="false">
      <c r="H231" s="26"/>
      <c r="I231" s="27" t="str">
        <f aca="false">IF(A231="","",IF(H231&lt;&gt;"",UPPER(TRIM(H231)),IFERROR(CHOOSE(VALUE(E231)+1,"A","B","C","D"),IF(OR(LEFT(UPPER(TRIM(E231)),1)="F",UPPER(TRIM(E231))="A"),"A",IF(OR(LEFT(UPPER(TRIM(E231)),1)="M",UPPER(TRIM(E231))="B"),"B",IF(OR(LEFT(UPPER(TRIM(E231)),2)="SL",UPPER(TRIM(E231))="C"),"C",IF(OR(LEFT(UPPER(TRIM(E231)),1)="D",UPPER(TRIM(E231))="D"),"D","")))))))</f>
        <v/>
      </c>
      <c r="J231" s="27" t="str">
        <f aca="false">IF(I231="","",IF(AND(I231="D",Settings!$B$6&lt;&gt;"Yes"),"",IFERROR(INDEX(Settings!$C$9:$C$12,MATCH(I231,Settings!$A$9:$A$12,0)),"")))</f>
        <v/>
      </c>
      <c r="K231" s="27" t="str">
        <f aca="false">IF(J231="","",COUNTIF($I$2:I231,I231))</f>
        <v/>
      </c>
      <c r="L231" s="27" t="str">
        <f aca="false">IF(J231="","",CHOOSE(Q231+1,"Tue","Wed","Thu","Fri"))</f>
        <v/>
      </c>
      <c r="M231" s="27" t="str">
        <f aca="false">IF(J231="","",IF(J231=1,"Every week",R231+1&amp;" of "&amp;J231))</f>
        <v/>
      </c>
      <c r="N231" s="28" t="str">
        <f aca="false">IF(J231="","",Settings!$B$4+R231*7+Q231)</f>
        <v/>
      </c>
      <c r="O231" s="28" t="str">
        <f aca="true">IF(J231="","",N231+MAX(0,ROUNDUP((TODAY()-N231)/(J231*7),0))*J231*7)</f>
        <v/>
      </c>
      <c r="P231" s="27" t="str">
        <f aca="false">IF(J231="","",MOD(K231-1,J231*4))</f>
        <v/>
      </c>
      <c r="Q231" s="27" t="str">
        <f aca="false">IF(J231="","",MOD(P231,4))</f>
        <v/>
      </c>
      <c r="R231" s="27" t="str">
        <f aca="false">IF(J231="","",INT(P231/4))</f>
        <v/>
      </c>
      <c r="S231" s="27" t="str">
        <f aca="false">IF(J231="","",IF(AND('Daily Count Sheet'!$H$3=Q231,MOD('Daily Count Sheet'!$I$3,J231)=R231),1,""))</f>
        <v/>
      </c>
      <c r="T231" s="27" t="str">
        <f aca="false">IF(S231=1,COUNTIF($S$2:S231,1),"")</f>
        <v/>
      </c>
    </row>
    <row r="232" customFormat="false" ht="15" hidden="false" customHeight="false" outlineLevel="0" collapsed="false">
      <c r="H232" s="26"/>
      <c r="I232" s="27" t="str">
        <f aca="false">IF(A232="","",IF(H232&lt;&gt;"",UPPER(TRIM(H232)),IFERROR(CHOOSE(VALUE(E232)+1,"A","B","C","D"),IF(OR(LEFT(UPPER(TRIM(E232)),1)="F",UPPER(TRIM(E232))="A"),"A",IF(OR(LEFT(UPPER(TRIM(E232)),1)="M",UPPER(TRIM(E232))="B"),"B",IF(OR(LEFT(UPPER(TRIM(E232)),2)="SL",UPPER(TRIM(E232))="C"),"C",IF(OR(LEFT(UPPER(TRIM(E232)),1)="D",UPPER(TRIM(E232))="D"),"D","")))))))</f>
        <v/>
      </c>
      <c r="J232" s="27" t="str">
        <f aca="false">IF(I232="","",IF(AND(I232="D",Settings!$B$6&lt;&gt;"Yes"),"",IFERROR(INDEX(Settings!$C$9:$C$12,MATCH(I232,Settings!$A$9:$A$12,0)),"")))</f>
        <v/>
      </c>
      <c r="K232" s="27" t="str">
        <f aca="false">IF(J232="","",COUNTIF($I$2:I232,I232))</f>
        <v/>
      </c>
      <c r="L232" s="27" t="str">
        <f aca="false">IF(J232="","",CHOOSE(Q232+1,"Tue","Wed","Thu","Fri"))</f>
        <v/>
      </c>
      <c r="M232" s="27" t="str">
        <f aca="false">IF(J232="","",IF(J232=1,"Every week",R232+1&amp;" of "&amp;J232))</f>
        <v/>
      </c>
      <c r="N232" s="28" t="str">
        <f aca="false">IF(J232="","",Settings!$B$4+R232*7+Q232)</f>
        <v/>
      </c>
      <c r="O232" s="28" t="str">
        <f aca="true">IF(J232="","",N232+MAX(0,ROUNDUP((TODAY()-N232)/(J232*7),0))*J232*7)</f>
        <v/>
      </c>
      <c r="P232" s="27" t="str">
        <f aca="false">IF(J232="","",MOD(K232-1,J232*4))</f>
        <v/>
      </c>
      <c r="Q232" s="27" t="str">
        <f aca="false">IF(J232="","",MOD(P232,4))</f>
        <v/>
      </c>
      <c r="R232" s="27" t="str">
        <f aca="false">IF(J232="","",INT(P232/4))</f>
        <v/>
      </c>
      <c r="S232" s="27" t="str">
        <f aca="false">IF(J232="","",IF(AND('Daily Count Sheet'!$H$3=Q232,MOD('Daily Count Sheet'!$I$3,J232)=R232),1,""))</f>
        <v/>
      </c>
      <c r="T232" s="27" t="str">
        <f aca="false">IF(S232=1,COUNTIF($S$2:S232,1),"")</f>
        <v/>
      </c>
    </row>
    <row r="233" customFormat="false" ht="15" hidden="false" customHeight="false" outlineLevel="0" collapsed="false">
      <c r="H233" s="26"/>
      <c r="I233" s="27" t="str">
        <f aca="false">IF(A233="","",IF(H233&lt;&gt;"",UPPER(TRIM(H233)),IFERROR(CHOOSE(VALUE(E233)+1,"A","B","C","D"),IF(OR(LEFT(UPPER(TRIM(E233)),1)="F",UPPER(TRIM(E233))="A"),"A",IF(OR(LEFT(UPPER(TRIM(E233)),1)="M",UPPER(TRIM(E233))="B"),"B",IF(OR(LEFT(UPPER(TRIM(E233)),2)="SL",UPPER(TRIM(E233))="C"),"C",IF(OR(LEFT(UPPER(TRIM(E233)),1)="D",UPPER(TRIM(E233))="D"),"D","")))))))</f>
        <v/>
      </c>
      <c r="J233" s="27" t="str">
        <f aca="false">IF(I233="","",IF(AND(I233="D",Settings!$B$6&lt;&gt;"Yes"),"",IFERROR(INDEX(Settings!$C$9:$C$12,MATCH(I233,Settings!$A$9:$A$12,0)),"")))</f>
        <v/>
      </c>
      <c r="K233" s="27" t="str">
        <f aca="false">IF(J233="","",COUNTIF($I$2:I233,I233))</f>
        <v/>
      </c>
      <c r="L233" s="27" t="str">
        <f aca="false">IF(J233="","",CHOOSE(Q233+1,"Tue","Wed","Thu","Fri"))</f>
        <v/>
      </c>
      <c r="M233" s="27" t="str">
        <f aca="false">IF(J233="","",IF(J233=1,"Every week",R233+1&amp;" of "&amp;J233))</f>
        <v/>
      </c>
      <c r="N233" s="28" t="str">
        <f aca="false">IF(J233="","",Settings!$B$4+R233*7+Q233)</f>
        <v/>
      </c>
      <c r="O233" s="28" t="str">
        <f aca="true">IF(J233="","",N233+MAX(0,ROUNDUP((TODAY()-N233)/(J233*7),0))*J233*7)</f>
        <v/>
      </c>
      <c r="P233" s="27" t="str">
        <f aca="false">IF(J233="","",MOD(K233-1,J233*4))</f>
        <v/>
      </c>
      <c r="Q233" s="27" t="str">
        <f aca="false">IF(J233="","",MOD(P233,4))</f>
        <v/>
      </c>
      <c r="R233" s="27" t="str">
        <f aca="false">IF(J233="","",INT(P233/4))</f>
        <v/>
      </c>
      <c r="S233" s="27" t="str">
        <f aca="false">IF(J233="","",IF(AND('Daily Count Sheet'!$H$3=Q233,MOD('Daily Count Sheet'!$I$3,J233)=R233),1,""))</f>
        <v/>
      </c>
      <c r="T233" s="27" t="str">
        <f aca="false">IF(S233=1,COUNTIF($S$2:S233,1),"")</f>
        <v/>
      </c>
    </row>
    <row r="234" customFormat="false" ht="15" hidden="false" customHeight="false" outlineLevel="0" collapsed="false">
      <c r="H234" s="26"/>
      <c r="I234" s="27" t="str">
        <f aca="false">IF(A234="","",IF(H234&lt;&gt;"",UPPER(TRIM(H234)),IFERROR(CHOOSE(VALUE(E234)+1,"A","B","C","D"),IF(OR(LEFT(UPPER(TRIM(E234)),1)="F",UPPER(TRIM(E234))="A"),"A",IF(OR(LEFT(UPPER(TRIM(E234)),1)="M",UPPER(TRIM(E234))="B"),"B",IF(OR(LEFT(UPPER(TRIM(E234)),2)="SL",UPPER(TRIM(E234))="C"),"C",IF(OR(LEFT(UPPER(TRIM(E234)),1)="D",UPPER(TRIM(E234))="D"),"D","")))))))</f>
        <v/>
      </c>
      <c r="J234" s="27" t="str">
        <f aca="false">IF(I234="","",IF(AND(I234="D",Settings!$B$6&lt;&gt;"Yes"),"",IFERROR(INDEX(Settings!$C$9:$C$12,MATCH(I234,Settings!$A$9:$A$12,0)),"")))</f>
        <v/>
      </c>
      <c r="K234" s="27" t="str">
        <f aca="false">IF(J234="","",COUNTIF($I$2:I234,I234))</f>
        <v/>
      </c>
      <c r="L234" s="27" t="str">
        <f aca="false">IF(J234="","",CHOOSE(Q234+1,"Tue","Wed","Thu","Fri"))</f>
        <v/>
      </c>
      <c r="M234" s="27" t="str">
        <f aca="false">IF(J234="","",IF(J234=1,"Every week",R234+1&amp;" of "&amp;J234))</f>
        <v/>
      </c>
      <c r="N234" s="28" t="str">
        <f aca="false">IF(J234="","",Settings!$B$4+R234*7+Q234)</f>
        <v/>
      </c>
      <c r="O234" s="28" t="str">
        <f aca="true">IF(J234="","",N234+MAX(0,ROUNDUP((TODAY()-N234)/(J234*7),0))*J234*7)</f>
        <v/>
      </c>
      <c r="P234" s="27" t="str">
        <f aca="false">IF(J234="","",MOD(K234-1,J234*4))</f>
        <v/>
      </c>
      <c r="Q234" s="27" t="str">
        <f aca="false">IF(J234="","",MOD(P234,4))</f>
        <v/>
      </c>
      <c r="R234" s="27" t="str">
        <f aca="false">IF(J234="","",INT(P234/4))</f>
        <v/>
      </c>
      <c r="S234" s="27" t="str">
        <f aca="false">IF(J234="","",IF(AND('Daily Count Sheet'!$H$3=Q234,MOD('Daily Count Sheet'!$I$3,J234)=R234),1,""))</f>
        <v/>
      </c>
      <c r="T234" s="27" t="str">
        <f aca="false">IF(S234=1,COUNTIF($S$2:S234,1),"")</f>
        <v/>
      </c>
    </row>
    <row r="235" customFormat="false" ht="15" hidden="false" customHeight="false" outlineLevel="0" collapsed="false">
      <c r="H235" s="26"/>
      <c r="I235" s="27" t="str">
        <f aca="false">IF(A235="","",IF(H235&lt;&gt;"",UPPER(TRIM(H235)),IFERROR(CHOOSE(VALUE(E235)+1,"A","B","C","D"),IF(OR(LEFT(UPPER(TRIM(E235)),1)="F",UPPER(TRIM(E235))="A"),"A",IF(OR(LEFT(UPPER(TRIM(E235)),1)="M",UPPER(TRIM(E235))="B"),"B",IF(OR(LEFT(UPPER(TRIM(E235)),2)="SL",UPPER(TRIM(E235))="C"),"C",IF(OR(LEFT(UPPER(TRIM(E235)),1)="D",UPPER(TRIM(E235))="D"),"D","")))))))</f>
        <v/>
      </c>
      <c r="J235" s="27" t="str">
        <f aca="false">IF(I235="","",IF(AND(I235="D",Settings!$B$6&lt;&gt;"Yes"),"",IFERROR(INDEX(Settings!$C$9:$C$12,MATCH(I235,Settings!$A$9:$A$12,0)),"")))</f>
        <v/>
      </c>
      <c r="K235" s="27" t="str">
        <f aca="false">IF(J235="","",COUNTIF($I$2:I235,I235))</f>
        <v/>
      </c>
      <c r="L235" s="27" t="str">
        <f aca="false">IF(J235="","",CHOOSE(Q235+1,"Tue","Wed","Thu","Fri"))</f>
        <v/>
      </c>
      <c r="M235" s="27" t="str">
        <f aca="false">IF(J235="","",IF(J235=1,"Every week",R235+1&amp;" of "&amp;J235))</f>
        <v/>
      </c>
      <c r="N235" s="28" t="str">
        <f aca="false">IF(J235="","",Settings!$B$4+R235*7+Q235)</f>
        <v/>
      </c>
      <c r="O235" s="28" t="str">
        <f aca="true">IF(J235="","",N235+MAX(0,ROUNDUP((TODAY()-N235)/(J235*7),0))*J235*7)</f>
        <v/>
      </c>
      <c r="P235" s="27" t="str">
        <f aca="false">IF(J235="","",MOD(K235-1,J235*4))</f>
        <v/>
      </c>
      <c r="Q235" s="27" t="str">
        <f aca="false">IF(J235="","",MOD(P235,4))</f>
        <v/>
      </c>
      <c r="R235" s="27" t="str">
        <f aca="false">IF(J235="","",INT(P235/4))</f>
        <v/>
      </c>
      <c r="S235" s="27" t="str">
        <f aca="false">IF(J235="","",IF(AND('Daily Count Sheet'!$H$3=Q235,MOD('Daily Count Sheet'!$I$3,J235)=R235),1,""))</f>
        <v/>
      </c>
      <c r="T235" s="27" t="str">
        <f aca="false">IF(S235=1,COUNTIF($S$2:S235,1),"")</f>
        <v/>
      </c>
    </row>
    <row r="236" customFormat="false" ht="15" hidden="false" customHeight="false" outlineLevel="0" collapsed="false">
      <c r="H236" s="26"/>
      <c r="I236" s="27" t="str">
        <f aca="false">IF(A236="","",IF(H236&lt;&gt;"",UPPER(TRIM(H236)),IFERROR(CHOOSE(VALUE(E236)+1,"A","B","C","D"),IF(OR(LEFT(UPPER(TRIM(E236)),1)="F",UPPER(TRIM(E236))="A"),"A",IF(OR(LEFT(UPPER(TRIM(E236)),1)="M",UPPER(TRIM(E236))="B"),"B",IF(OR(LEFT(UPPER(TRIM(E236)),2)="SL",UPPER(TRIM(E236))="C"),"C",IF(OR(LEFT(UPPER(TRIM(E236)),1)="D",UPPER(TRIM(E236))="D"),"D","")))))))</f>
        <v/>
      </c>
      <c r="J236" s="27" t="str">
        <f aca="false">IF(I236="","",IF(AND(I236="D",Settings!$B$6&lt;&gt;"Yes"),"",IFERROR(INDEX(Settings!$C$9:$C$12,MATCH(I236,Settings!$A$9:$A$12,0)),"")))</f>
        <v/>
      </c>
      <c r="K236" s="27" t="str">
        <f aca="false">IF(J236="","",COUNTIF($I$2:I236,I236))</f>
        <v/>
      </c>
      <c r="L236" s="27" t="str">
        <f aca="false">IF(J236="","",CHOOSE(Q236+1,"Tue","Wed","Thu","Fri"))</f>
        <v/>
      </c>
      <c r="M236" s="27" t="str">
        <f aca="false">IF(J236="","",IF(J236=1,"Every week",R236+1&amp;" of "&amp;J236))</f>
        <v/>
      </c>
      <c r="N236" s="28" t="str">
        <f aca="false">IF(J236="","",Settings!$B$4+R236*7+Q236)</f>
        <v/>
      </c>
      <c r="O236" s="28" t="str">
        <f aca="true">IF(J236="","",N236+MAX(0,ROUNDUP((TODAY()-N236)/(J236*7),0))*J236*7)</f>
        <v/>
      </c>
      <c r="P236" s="27" t="str">
        <f aca="false">IF(J236="","",MOD(K236-1,J236*4))</f>
        <v/>
      </c>
      <c r="Q236" s="27" t="str">
        <f aca="false">IF(J236="","",MOD(P236,4))</f>
        <v/>
      </c>
      <c r="R236" s="27" t="str">
        <f aca="false">IF(J236="","",INT(P236/4))</f>
        <v/>
      </c>
      <c r="S236" s="27" t="str">
        <f aca="false">IF(J236="","",IF(AND('Daily Count Sheet'!$H$3=Q236,MOD('Daily Count Sheet'!$I$3,J236)=R236),1,""))</f>
        <v/>
      </c>
      <c r="T236" s="27" t="str">
        <f aca="false">IF(S236=1,COUNTIF($S$2:S236,1),"")</f>
        <v/>
      </c>
    </row>
    <row r="237" customFormat="false" ht="15" hidden="false" customHeight="false" outlineLevel="0" collapsed="false">
      <c r="H237" s="26"/>
      <c r="I237" s="27" t="str">
        <f aca="false">IF(A237="","",IF(H237&lt;&gt;"",UPPER(TRIM(H237)),IFERROR(CHOOSE(VALUE(E237)+1,"A","B","C","D"),IF(OR(LEFT(UPPER(TRIM(E237)),1)="F",UPPER(TRIM(E237))="A"),"A",IF(OR(LEFT(UPPER(TRIM(E237)),1)="M",UPPER(TRIM(E237))="B"),"B",IF(OR(LEFT(UPPER(TRIM(E237)),2)="SL",UPPER(TRIM(E237))="C"),"C",IF(OR(LEFT(UPPER(TRIM(E237)),1)="D",UPPER(TRIM(E237))="D"),"D","")))))))</f>
        <v/>
      </c>
      <c r="J237" s="27" t="str">
        <f aca="false">IF(I237="","",IF(AND(I237="D",Settings!$B$6&lt;&gt;"Yes"),"",IFERROR(INDEX(Settings!$C$9:$C$12,MATCH(I237,Settings!$A$9:$A$12,0)),"")))</f>
        <v/>
      </c>
      <c r="K237" s="27" t="str">
        <f aca="false">IF(J237="","",COUNTIF($I$2:I237,I237))</f>
        <v/>
      </c>
      <c r="L237" s="27" t="str">
        <f aca="false">IF(J237="","",CHOOSE(Q237+1,"Tue","Wed","Thu","Fri"))</f>
        <v/>
      </c>
      <c r="M237" s="27" t="str">
        <f aca="false">IF(J237="","",IF(J237=1,"Every week",R237+1&amp;" of "&amp;J237))</f>
        <v/>
      </c>
      <c r="N237" s="28" t="str">
        <f aca="false">IF(J237="","",Settings!$B$4+R237*7+Q237)</f>
        <v/>
      </c>
      <c r="O237" s="28" t="str">
        <f aca="true">IF(J237="","",N237+MAX(0,ROUNDUP((TODAY()-N237)/(J237*7),0))*J237*7)</f>
        <v/>
      </c>
      <c r="P237" s="27" t="str">
        <f aca="false">IF(J237="","",MOD(K237-1,J237*4))</f>
        <v/>
      </c>
      <c r="Q237" s="27" t="str">
        <f aca="false">IF(J237="","",MOD(P237,4))</f>
        <v/>
      </c>
      <c r="R237" s="27" t="str">
        <f aca="false">IF(J237="","",INT(P237/4))</f>
        <v/>
      </c>
      <c r="S237" s="27" t="str">
        <f aca="false">IF(J237="","",IF(AND('Daily Count Sheet'!$H$3=Q237,MOD('Daily Count Sheet'!$I$3,J237)=R237),1,""))</f>
        <v/>
      </c>
      <c r="T237" s="27" t="str">
        <f aca="false">IF(S237=1,COUNTIF($S$2:S237,1),"")</f>
        <v/>
      </c>
    </row>
    <row r="238" customFormat="false" ht="15" hidden="false" customHeight="false" outlineLevel="0" collapsed="false">
      <c r="H238" s="26"/>
      <c r="I238" s="27" t="str">
        <f aca="false">IF(A238="","",IF(H238&lt;&gt;"",UPPER(TRIM(H238)),IFERROR(CHOOSE(VALUE(E238)+1,"A","B","C","D"),IF(OR(LEFT(UPPER(TRIM(E238)),1)="F",UPPER(TRIM(E238))="A"),"A",IF(OR(LEFT(UPPER(TRIM(E238)),1)="M",UPPER(TRIM(E238))="B"),"B",IF(OR(LEFT(UPPER(TRIM(E238)),2)="SL",UPPER(TRIM(E238))="C"),"C",IF(OR(LEFT(UPPER(TRIM(E238)),1)="D",UPPER(TRIM(E238))="D"),"D","")))))))</f>
        <v/>
      </c>
      <c r="J238" s="27" t="str">
        <f aca="false">IF(I238="","",IF(AND(I238="D",Settings!$B$6&lt;&gt;"Yes"),"",IFERROR(INDEX(Settings!$C$9:$C$12,MATCH(I238,Settings!$A$9:$A$12,0)),"")))</f>
        <v/>
      </c>
      <c r="K238" s="27" t="str">
        <f aca="false">IF(J238="","",COUNTIF($I$2:I238,I238))</f>
        <v/>
      </c>
      <c r="L238" s="27" t="str">
        <f aca="false">IF(J238="","",CHOOSE(Q238+1,"Tue","Wed","Thu","Fri"))</f>
        <v/>
      </c>
      <c r="M238" s="27" t="str">
        <f aca="false">IF(J238="","",IF(J238=1,"Every week",R238+1&amp;" of "&amp;J238))</f>
        <v/>
      </c>
      <c r="N238" s="28" t="str">
        <f aca="false">IF(J238="","",Settings!$B$4+R238*7+Q238)</f>
        <v/>
      </c>
      <c r="O238" s="28" t="str">
        <f aca="true">IF(J238="","",N238+MAX(0,ROUNDUP((TODAY()-N238)/(J238*7),0))*J238*7)</f>
        <v/>
      </c>
      <c r="P238" s="27" t="str">
        <f aca="false">IF(J238="","",MOD(K238-1,J238*4))</f>
        <v/>
      </c>
      <c r="Q238" s="27" t="str">
        <f aca="false">IF(J238="","",MOD(P238,4))</f>
        <v/>
      </c>
      <c r="R238" s="27" t="str">
        <f aca="false">IF(J238="","",INT(P238/4))</f>
        <v/>
      </c>
      <c r="S238" s="27" t="str">
        <f aca="false">IF(J238="","",IF(AND('Daily Count Sheet'!$H$3=Q238,MOD('Daily Count Sheet'!$I$3,J238)=R238),1,""))</f>
        <v/>
      </c>
      <c r="T238" s="27" t="str">
        <f aca="false">IF(S238=1,COUNTIF($S$2:S238,1),"")</f>
        <v/>
      </c>
    </row>
    <row r="239" customFormat="false" ht="15" hidden="false" customHeight="false" outlineLevel="0" collapsed="false">
      <c r="H239" s="26"/>
      <c r="I239" s="27" t="str">
        <f aca="false">IF(A239="","",IF(H239&lt;&gt;"",UPPER(TRIM(H239)),IFERROR(CHOOSE(VALUE(E239)+1,"A","B","C","D"),IF(OR(LEFT(UPPER(TRIM(E239)),1)="F",UPPER(TRIM(E239))="A"),"A",IF(OR(LEFT(UPPER(TRIM(E239)),1)="M",UPPER(TRIM(E239))="B"),"B",IF(OR(LEFT(UPPER(TRIM(E239)),2)="SL",UPPER(TRIM(E239))="C"),"C",IF(OR(LEFT(UPPER(TRIM(E239)),1)="D",UPPER(TRIM(E239))="D"),"D","")))))))</f>
        <v/>
      </c>
      <c r="J239" s="27" t="str">
        <f aca="false">IF(I239="","",IF(AND(I239="D",Settings!$B$6&lt;&gt;"Yes"),"",IFERROR(INDEX(Settings!$C$9:$C$12,MATCH(I239,Settings!$A$9:$A$12,0)),"")))</f>
        <v/>
      </c>
      <c r="K239" s="27" t="str">
        <f aca="false">IF(J239="","",COUNTIF($I$2:I239,I239))</f>
        <v/>
      </c>
      <c r="L239" s="27" t="str">
        <f aca="false">IF(J239="","",CHOOSE(Q239+1,"Tue","Wed","Thu","Fri"))</f>
        <v/>
      </c>
      <c r="M239" s="27" t="str">
        <f aca="false">IF(J239="","",IF(J239=1,"Every week",R239+1&amp;" of "&amp;J239))</f>
        <v/>
      </c>
      <c r="N239" s="28" t="str">
        <f aca="false">IF(J239="","",Settings!$B$4+R239*7+Q239)</f>
        <v/>
      </c>
      <c r="O239" s="28" t="str">
        <f aca="true">IF(J239="","",N239+MAX(0,ROUNDUP((TODAY()-N239)/(J239*7),0))*J239*7)</f>
        <v/>
      </c>
      <c r="P239" s="27" t="str">
        <f aca="false">IF(J239="","",MOD(K239-1,J239*4))</f>
        <v/>
      </c>
      <c r="Q239" s="27" t="str">
        <f aca="false">IF(J239="","",MOD(P239,4))</f>
        <v/>
      </c>
      <c r="R239" s="27" t="str">
        <f aca="false">IF(J239="","",INT(P239/4))</f>
        <v/>
      </c>
      <c r="S239" s="27" t="str">
        <f aca="false">IF(J239="","",IF(AND('Daily Count Sheet'!$H$3=Q239,MOD('Daily Count Sheet'!$I$3,J239)=R239),1,""))</f>
        <v/>
      </c>
      <c r="T239" s="27" t="str">
        <f aca="false">IF(S239=1,COUNTIF($S$2:S239,1),"")</f>
        <v/>
      </c>
    </row>
    <row r="240" customFormat="false" ht="15" hidden="false" customHeight="false" outlineLevel="0" collapsed="false">
      <c r="H240" s="26"/>
      <c r="I240" s="27" t="str">
        <f aca="false">IF(A240="","",IF(H240&lt;&gt;"",UPPER(TRIM(H240)),IFERROR(CHOOSE(VALUE(E240)+1,"A","B","C","D"),IF(OR(LEFT(UPPER(TRIM(E240)),1)="F",UPPER(TRIM(E240))="A"),"A",IF(OR(LEFT(UPPER(TRIM(E240)),1)="M",UPPER(TRIM(E240))="B"),"B",IF(OR(LEFT(UPPER(TRIM(E240)),2)="SL",UPPER(TRIM(E240))="C"),"C",IF(OR(LEFT(UPPER(TRIM(E240)),1)="D",UPPER(TRIM(E240))="D"),"D","")))))))</f>
        <v/>
      </c>
      <c r="J240" s="27" t="str">
        <f aca="false">IF(I240="","",IF(AND(I240="D",Settings!$B$6&lt;&gt;"Yes"),"",IFERROR(INDEX(Settings!$C$9:$C$12,MATCH(I240,Settings!$A$9:$A$12,0)),"")))</f>
        <v/>
      </c>
      <c r="K240" s="27" t="str">
        <f aca="false">IF(J240="","",COUNTIF($I$2:I240,I240))</f>
        <v/>
      </c>
      <c r="L240" s="27" t="str">
        <f aca="false">IF(J240="","",CHOOSE(Q240+1,"Tue","Wed","Thu","Fri"))</f>
        <v/>
      </c>
      <c r="M240" s="27" t="str">
        <f aca="false">IF(J240="","",IF(J240=1,"Every week",R240+1&amp;" of "&amp;J240))</f>
        <v/>
      </c>
      <c r="N240" s="28" t="str">
        <f aca="false">IF(J240="","",Settings!$B$4+R240*7+Q240)</f>
        <v/>
      </c>
      <c r="O240" s="28" t="str">
        <f aca="true">IF(J240="","",N240+MAX(0,ROUNDUP((TODAY()-N240)/(J240*7),0))*J240*7)</f>
        <v/>
      </c>
      <c r="P240" s="27" t="str">
        <f aca="false">IF(J240="","",MOD(K240-1,J240*4))</f>
        <v/>
      </c>
      <c r="Q240" s="27" t="str">
        <f aca="false">IF(J240="","",MOD(P240,4))</f>
        <v/>
      </c>
      <c r="R240" s="27" t="str">
        <f aca="false">IF(J240="","",INT(P240/4))</f>
        <v/>
      </c>
      <c r="S240" s="27" t="str">
        <f aca="false">IF(J240="","",IF(AND('Daily Count Sheet'!$H$3=Q240,MOD('Daily Count Sheet'!$I$3,J240)=R240),1,""))</f>
        <v/>
      </c>
      <c r="T240" s="27" t="str">
        <f aca="false">IF(S240=1,COUNTIF($S$2:S240,1),"")</f>
        <v/>
      </c>
    </row>
    <row r="241" customFormat="false" ht="15" hidden="false" customHeight="false" outlineLevel="0" collapsed="false">
      <c r="H241" s="26"/>
      <c r="I241" s="27" t="str">
        <f aca="false">IF(A241="","",IF(H241&lt;&gt;"",UPPER(TRIM(H241)),IFERROR(CHOOSE(VALUE(E241)+1,"A","B","C","D"),IF(OR(LEFT(UPPER(TRIM(E241)),1)="F",UPPER(TRIM(E241))="A"),"A",IF(OR(LEFT(UPPER(TRIM(E241)),1)="M",UPPER(TRIM(E241))="B"),"B",IF(OR(LEFT(UPPER(TRIM(E241)),2)="SL",UPPER(TRIM(E241))="C"),"C",IF(OR(LEFT(UPPER(TRIM(E241)),1)="D",UPPER(TRIM(E241))="D"),"D","")))))))</f>
        <v/>
      </c>
      <c r="J241" s="27" t="str">
        <f aca="false">IF(I241="","",IF(AND(I241="D",Settings!$B$6&lt;&gt;"Yes"),"",IFERROR(INDEX(Settings!$C$9:$C$12,MATCH(I241,Settings!$A$9:$A$12,0)),"")))</f>
        <v/>
      </c>
      <c r="K241" s="27" t="str">
        <f aca="false">IF(J241="","",COUNTIF($I$2:I241,I241))</f>
        <v/>
      </c>
      <c r="L241" s="27" t="str">
        <f aca="false">IF(J241="","",CHOOSE(Q241+1,"Tue","Wed","Thu","Fri"))</f>
        <v/>
      </c>
      <c r="M241" s="27" t="str">
        <f aca="false">IF(J241="","",IF(J241=1,"Every week",R241+1&amp;" of "&amp;J241))</f>
        <v/>
      </c>
      <c r="N241" s="28" t="str">
        <f aca="false">IF(J241="","",Settings!$B$4+R241*7+Q241)</f>
        <v/>
      </c>
      <c r="O241" s="28" t="str">
        <f aca="true">IF(J241="","",N241+MAX(0,ROUNDUP((TODAY()-N241)/(J241*7),0))*J241*7)</f>
        <v/>
      </c>
      <c r="P241" s="27" t="str">
        <f aca="false">IF(J241="","",MOD(K241-1,J241*4))</f>
        <v/>
      </c>
      <c r="Q241" s="27" t="str">
        <f aca="false">IF(J241="","",MOD(P241,4))</f>
        <v/>
      </c>
      <c r="R241" s="27" t="str">
        <f aca="false">IF(J241="","",INT(P241/4))</f>
        <v/>
      </c>
      <c r="S241" s="27" t="str">
        <f aca="false">IF(J241="","",IF(AND('Daily Count Sheet'!$H$3=Q241,MOD('Daily Count Sheet'!$I$3,J241)=R241),1,""))</f>
        <v/>
      </c>
      <c r="T241" s="27" t="str">
        <f aca="false">IF(S241=1,COUNTIF($S$2:S241,1),"")</f>
        <v/>
      </c>
    </row>
    <row r="242" customFormat="false" ht="15" hidden="false" customHeight="false" outlineLevel="0" collapsed="false">
      <c r="H242" s="26"/>
      <c r="I242" s="27" t="str">
        <f aca="false">IF(A242="","",IF(H242&lt;&gt;"",UPPER(TRIM(H242)),IFERROR(CHOOSE(VALUE(E242)+1,"A","B","C","D"),IF(OR(LEFT(UPPER(TRIM(E242)),1)="F",UPPER(TRIM(E242))="A"),"A",IF(OR(LEFT(UPPER(TRIM(E242)),1)="M",UPPER(TRIM(E242))="B"),"B",IF(OR(LEFT(UPPER(TRIM(E242)),2)="SL",UPPER(TRIM(E242))="C"),"C",IF(OR(LEFT(UPPER(TRIM(E242)),1)="D",UPPER(TRIM(E242))="D"),"D","")))))))</f>
        <v/>
      </c>
      <c r="J242" s="27" t="str">
        <f aca="false">IF(I242="","",IF(AND(I242="D",Settings!$B$6&lt;&gt;"Yes"),"",IFERROR(INDEX(Settings!$C$9:$C$12,MATCH(I242,Settings!$A$9:$A$12,0)),"")))</f>
        <v/>
      </c>
      <c r="K242" s="27" t="str">
        <f aca="false">IF(J242="","",COUNTIF($I$2:I242,I242))</f>
        <v/>
      </c>
      <c r="L242" s="27" t="str">
        <f aca="false">IF(J242="","",CHOOSE(Q242+1,"Tue","Wed","Thu","Fri"))</f>
        <v/>
      </c>
      <c r="M242" s="27" t="str">
        <f aca="false">IF(J242="","",IF(J242=1,"Every week",R242+1&amp;" of "&amp;J242))</f>
        <v/>
      </c>
      <c r="N242" s="28" t="str">
        <f aca="false">IF(J242="","",Settings!$B$4+R242*7+Q242)</f>
        <v/>
      </c>
      <c r="O242" s="28" t="str">
        <f aca="true">IF(J242="","",N242+MAX(0,ROUNDUP((TODAY()-N242)/(J242*7),0))*J242*7)</f>
        <v/>
      </c>
      <c r="P242" s="27" t="str">
        <f aca="false">IF(J242="","",MOD(K242-1,J242*4))</f>
        <v/>
      </c>
      <c r="Q242" s="27" t="str">
        <f aca="false">IF(J242="","",MOD(P242,4))</f>
        <v/>
      </c>
      <c r="R242" s="27" t="str">
        <f aca="false">IF(J242="","",INT(P242/4))</f>
        <v/>
      </c>
      <c r="S242" s="27" t="str">
        <f aca="false">IF(J242="","",IF(AND('Daily Count Sheet'!$H$3=Q242,MOD('Daily Count Sheet'!$I$3,J242)=R242),1,""))</f>
        <v/>
      </c>
      <c r="T242" s="27" t="str">
        <f aca="false">IF(S242=1,COUNTIF($S$2:S242,1),"")</f>
        <v/>
      </c>
    </row>
    <row r="243" customFormat="false" ht="15" hidden="false" customHeight="false" outlineLevel="0" collapsed="false">
      <c r="H243" s="26"/>
      <c r="I243" s="27" t="str">
        <f aca="false">IF(A243="","",IF(H243&lt;&gt;"",UPPER(TRIM(H243)),IFERROR(CHOOSE(VALUE(E243)+1,"A","B","C","D"),IF(OR(LEFT(UPPER(TRIM(E243)),1)="F",UPPER(TRIM(E243))="A"),"A",IF(OR(LEFT(UPPER(TRIM(E243)),1)="M",UPPER(TRIM(E243))="B"),"B",IF(OR(LEFT(UPPER(TRIM(E243)),2)="SL",UPPER(TRIM(E243))="C"),"C",IF(OR(LEFT(UPPER(TRIM(E243)),1)="D",UPPER(TRIM(E243))="D"),"D","")))))))</f>
        <v/>
      </c>
      <c r="J243" s="27" t="str">
        <f aca="false">IF(I243="","",IF(AND(I243="D",Settings!$B$6&lt;&gt;"Yes"),"",IFERROR(INDEX(Settings!$C$9:$C$12,MATCH(I243,Settings!$A$9:$A$12,0)),"")))</f>
        <v/>
      </c>
      <c r="K243" s="27" t="str">
        <f aca="false">IF(J243="","",COUNTIF($I$2:I243,I243))</f>
        <v/>
      </c>
      <c r="L243" s="27" t="str">
        <f aca="false">IF(J243="","",CHOOSE(Q243+1,"Tue","Wed","Thu","Fri"))</f>
        <v/>
      </c>
      <c r="M243" s="27" t="str">
        <f aca="false">IF(J243="","",IF(J243=1,"Every week",R243+1&amp;" of "&amp;J243))</f>
        <v/>
      </c>
      <c r="N243" s="28" t="str">
        <f aca="false">IF(J243="","",Settings!$B$4+R243*7+Q243)</f>
        <v/>
      </c>
      <c r="O243" s="28" t="str">
        <f aca="true">IF(J243="","",N243+MAX(0,ROUNDUP((TODAY()-N243)/(J243*7),0))*J243*7)</f>
        <v/>
      </c>
      <c r="P243" s="27" t="str">
        <f aca="false">IF(J243="","",MOD(K243-1,J243*4))</f>
        <v/>
      </c>
      <c r="Q243" s="27" t="str">
        <f aca="false">IF(J243="","",MOD(P243,4))</f>
        <v/>
      </c>
      <c r="R243" s="27" t="str">
        <f aca="false">IF(J243="","",INT(P243/4))</f>
        <v/>
      </c>
      <c r="S243" s="27" t="str">
        <f aca="false">IF(J243="","",IF(AND('Daily Count Sheet'!$H$3=Q243,MOD('Daily Count Sheet'!$I$3,J243)=R243),1,""))</f>
        <v/>
      </c>
      <c r="T243" s="27" t="str">
        <f aca="false">IF(S243=1,COUNTIF($S$2:S243,1),"")</f>
        <v/>
      </c>
    </row>
    <row r="244" customFormat="false" ht="15" hidden="false" customHeight="false" outlineLevel="0" collapsed="false">
      <c r="H244" s="26"/>
      <c r="I244" s="27" t="str">
        <f aca="false">IF(A244="","",IF(H244&lt;&gt;"",UPPER(TRIM(H244)),IFERROR(CHOOSE(VALUE(E244)+1,"A","B","C","D"),IF(OR(LEFT(UPPER(TRIM(E244)),1)="F",UPPER(TRIM(E244))="A"),"A",IF(OR(LEFT(UPPER(TRIM(E244)),1)="M",UPPER(TRIM(E244))="B"),"B",IF(OR(LEFT(UPPER(TRIM(E244)),2)="SL",UPPER(TRIM(E244))="C"),"C",IF(OR(LEFT(UPPER(TRIM(E244)),1)="D",UPPER(TRIM(E244))="D"),"D","")))))))</f>
        <v/>
      </c>
      <c r="J244" s="27" t="str">
        <f aca="false">IF(I244="","",IF(AND(I244="D",Settings!$B$6&lt;&gt;"Yes"),"",IFERROR(INDEX(Settings!$C$9:$C$12,MATCH(I244,Settings!$A$9:$A$12,0)),"")))</f>
        <v/>
      </c>
      <c r="K244" s="27" t="str">
        <f aca="false">IF(J244="","",COUNTIF($I$2:I244,I244))</f>
        <v/>
      </c>
      <c r="L244" s="27" t="str">
        <f aca="false">IF(J244="","",CHOOSE(Q244+1,"Tue","Wed","Thu","Fri"))</f>
        <v/>
      </c>
      <c r="M244" s="27" t="str">
        <f aca="false">IF(J244="","",IF(J244=1,"Every week",R244+1&amp;" of "&amp;J244))</f>
        <v/>
      </c>
      <c r="N244" s="28" t="str">
        <f aca="false">IF(J244="","",Settings!$B$4+R244*7+Q244)</f>
        <v/>
      </c>
      <c r="O244" s="28" t="str">
        <f aca="true">IF(J244="","",N244+MAX(0,ROUNDUP((TODAY()-N244)/(J244*7),0))*J244*7)</f>
        <v/>
      </c>
      <c r="P244" s="27" t="str">
        <f aca="false">IF(J244="","",MOD(K244-1,J244*4))</f>
        <v/>
      </c>
      <c r="Q244" s="27" t="str">
        <f aca="false">IF(J244="","",MOD(P244,4))</f>
        <v/>
      </c>
      <c r="R244" s="27" t="str">
        <f aca="false">IF(J244="","",INT(P244/4))</f>
        <v/>
      </c>
      <c r="S244" s="27" t="str">
        <f aca="false">IF(J244="","",IF(AND('Daily Count Sheet'!$H$3=Q244,MOD('Daily Count Sheet'!$I$3,J244)=R244),1,""))</f>
        <v/>
      </c>
      <c r="T244" s="27" t="str">
        <f aca="false">IF(S244=1,COUNTIF($S$2:S244,1),"")</f>
        <v/>
      </c>
    </row>
    <row r="245" customFormat="false" ht="15" hidden="false" customHeight="false" outlineLevel="0" collapsed="false">
      <c r="H245" s="26"/>
      <c r="I245" s="27" t="str">
        <f aca="false">IF(A245="","",IF(H245&lt;&gt;"",UPPER(TRIM(H245)),IFERROR(CHOOSE(VALUE(E245)+1,"A","B","C","D"),IF(OR(LEFT(UPPER(TRIM(E245)),1)="F",UPPER(TRIM(E245))="A"),"A",IF(OR(LEFT(UPPER(TRIM(E245)),1)="M",UPPER(TRIM(E245))="B"),"B",IF(OR(LEFT(UPPER(TRIM(E245)),2)="SL",UPPER(TRIM(E245))="C"),"C",IF(OR(LEFT(UPPER(TRIM(E245)),1)="D",UPPER(TRIM(E245))="D"),"D","")))))))</f>
        <v/>
      </c>
      <c r="J245" s="27" t="str">
        <f aca="false">IF(I245="","",IF(AND(I245="D",Settings!$B$6&lt;&gt;"Yes"),"",IFERROR(INDEX(Settings!$C$9:$C$12,MATCH(I245,Settings!$A$9:$A$12,0)),"")))</f>
        <v/>
      </c>
      <c r="K245" s="27" t="str">
        <f aca="false">IF(J245="","",COUNTIF($I$2:I245,I245))</f>
        <v/>
      </c>
      <c r="L245" s="27" t="str">
        <f aca="false">IF(J245="","",CHOOSE(Q245+1,"Tue","Wed","Thu","Fri"))</f>
        <v/>
      </c>
      <c r="M245" s="27" t="str">
        <f aca="false">IF(J245="","",IF(J245=1,"Every week",R245+1&amp;" of "&amp;J245))</f>
        <v/>
      </c>
      <c r="N245" s="28" t="str">
        <f aca="false">IF(J245="","",Settings!$B$4+R245*7+Q245)</f>
        <v/>
      </c>
      <c r="O245" s="28" t="str">
        <f aca="true">IF(J245="","",N245+MAX(0,ROUNDUP((TODAY()-N245)/(J245*7),0))*J245*7)</f>
        <v/>
      </c>
      <c r="P245" s="27" t="str">
        <f aca="false">IF(J245="","",MOD(K245-1,J245*4))</f>
        <v/>
      </c>
      <c r="Q245" s="27" t="str">
        <f aca="false">IF(J245="","",MOD(P245,4))</f>
        <v/>
      </c>
      <c r="R245" s="27" t="str">
        <f aca="false">IF(J245="","",INT(P245/4))</f>
        <v/>
      </c>
      <c r="S245" s="27" t="str">
        <f aca="false">IF(J245="","",IF(AND('Daily Count Sheet'!$H$3=Q245,MOD('Daily Count Sheet'!$I$3,J245)=R245),1,""))</f>
        <v/>
      </c>
      <c r="T245" s="27" t="str">
        <f aca="false">IF(S245=1,COUNTIF($S$2:S245,1),"")</f>
        <v/>
      </c>
    </row>
    <row r="246" customFormat="false" ht="15" hidden="false" customHeight="false" outlineLevel="0" collapsed="false">
      <c r="H246" s="26"/>
      <c r="I246" s="27" t="str">
        <f aca="false">IF(A246="","",IF(H246&lt;&gt;"",UPPER(TRIM(H246)),IFERROR(CHOOSE(VALUE(E246)+1,"A","B","C","D"),IF(OR(LEFT(UPPER(TRIM(E246)),1)="F",UPPER(TRIM(E246))="A"),"A",IF(OR(LEFT(UPPER(TRIM(E246)),1)="M",UPPER(TRIM(E246))="B"),"B",IF(OR(LEFT(UPPER(TRIM(E246)),2)="SL",UPPER(TRIM(E246))="C"),"C",IF(OR(LEFT(UPPER(TRIM(E246)),1)="D",UPPER(TRIM(E246))="D"),"D","")))))))</f>
        <v/>
      </c>
      <c r="J246" s="27" t="str">
        <f aca="false">IF(I246="","",IF(AND(I246="D",Settings!$B$6&lt;&gt;"Yes"),"",IFERROR(INDEX(Settings!$C$9:$C$12,MATCH(I246,Settings!$A$9:$A$12,0)),"")))</f>
        <v/>
      </c>
      <c r="K246" s="27" t="str">
        <f aca="false">IF(J246="","",COUNTIF($I$2:I246,I246))</f>
        <v/>
      </c>
      <c r="L246" s="27" t="str">
        <f aca="false">IF(J246="","",CHOOSE(Q246+1,"Tue","Wed","Thu","Fri"))</f>
        <v/>
      </c>
      <c r="M246" s="27" t="str">
        <f aca="false">IF(J246="","",IF(J246=1,"Every week",R246+1&amp;" of "&amp;J246))</f>
        <v/>
      </c>
      <c r="N246" s="28" t="str">
        <f aca="false">IF(J246="","",Settings!$B$4+R246*7+Q246)</f>
        <v/>
      </c>
      <c r="O246" s="28" t="str">
        <f aca="true">IF(J246="","",N246+MAX(0,ROUNDUP((TODAY()-N246)/(J246*7),0))*J246*7)</f>
        <v/>
      </c>
      <c r="P246" s="27" t="str">
        <f aca="false">IF(J246="","",MOD(K246-1,J246*4))</f>
        <v/>
      </c>
      <c r="Q246" s="27" t="str">
        <f aca="false">IF(J246="","",MOD(P246,4))</f>
        <v/>
      </c>
      <c r="R246" s="27" t="str">
        <f aca="false">IF(J246="","",INT(P246/4))</f>
        <v/>
      </c>
      <c r="S246" s="27" t="str">
        <f aca="false">IF(J246="","",IF(AND('Daily Count Sheet'!$H$3=Q246,MOD('Daily Count Sheet'!$I$3,J246)=R246),1,""))</f>
        <v/>
      </c>
      <c r="T246" s="27" t="str">
        <f aca="false">IF(S246=1,COUNTIF($S$2:S246,1),"")</f>
        <v/>
      </c>
    </row>
    <row r="247" customFormat="false" ht="15" hidden="false" customHeight="false" outlineLevel="0" collapsed="false">
      <c r="H247" s="26"/>
      <c r="I247" s="27" t="str">
        <f aca="false">IF(A247="","",IF(H247&lt;&gt;"",UPPER(TRIM(H247)),IFERROR(CHOOSE(VALUE(E247)+1,"A","B","C","D"),IF(OR(LEFT(UPPER(TRIM(E247)),1)="F",UPPER(TRIM(E247))="A"),"A",IF(OR(LEFT(UPPER(TRIM(E247)),1)="M",UPPER(TRIM(E247))="B"),"B",IF(OR(LEFT(UPPER(TRIM(E247)),2)="SL",UPPER(TRIM(E247))="C"),"C",IF(OR(LEFT(UPPER(TRIM(E247)),1)="D",UPPER(TRIM(E247))="D"),"D","")))))))</f>
        <v/>
      </c>
      <c r="J247" s="27" t="str">
        <f aca="false">IF(I247="","",IF(AND(I247="D",Settings!$B$6&lt;&gt;"Yes"),"",IFERROR(INDEX(Settings!$C$9:$C$12,MATCH(I247,Settings!$A$9:$A$12,0)),"")))</f>
        <v/>
      </c>
      <c r="K247" s="27" t="str">
        <f aca="false">IF(J247="","",COUNTIF($I$2:I247,I247))</f>
        <v/>
      </c>
      <c r="L247" s="27" t="str">
        <f aca="false">IF(J247="","",CHOOSE(Q247+1,"Tue","Wed","Thu","Fri"))</f>
        <v/>
      </c>
      <c r="M247" s="27" t="str">
        <f aca="false">IF(J247="","",IF(J247=1,"Every week",R247+1&amp;" of "&amp;J247))</f>
        <v/>
      </c>
      <c r="N247" s="28" t="str">
        <f aca="false">IF(J247="","",Settings!$B$4+R247*7+Q247)</f>
        <v/>
      </c>
      <c r="O247" s="28" t="str">
        <f aca="true">IF(J247="","",N247+MAX(0,ROUNDUP((TODAY()-N247)/(J247*7),0))*J247*7)</f>
        <v/>
      </c>
      <c r="P247" s="27" t="str">
        <f aca="false">IF(J247="","",MOD(K247-1,J247*4))</f>
        <v/>
      </c>
      <c r="Q247" s="27" t="str">
        <f aca="false">IF(J247="","",MOD(P247,4))</f>
        <v/>
      </c>
      <c r="R247" s="27" t="str">
        <f aca="false">IF(J247="","",INT(P247/4))</f>
        <v/>
      </c>
      <c r="S247" s="27" t="str">
        <f aca="false">IF(J247="","",IF(AND('Daily Count Sheet'!$H$3=Q247,MOD('Daily Count Sheet'!$I$3,J247)=R247),1,""))</f>
        <v/>
      </c>
      <c r="T247" s="27" t="str">
        <f aca="false">IF(S247=1,COUNTIF($S$2:S247,1),"")</f>
        <v/>
      </c>
    </row>
    <row r="248" customFormat="false" ht="15" hidden="false" customHeight="false" outlineLevel="0" collapsed="false">
      <c r="H248" s="26"/>
      <c r="I248" s="27" t="str">
        <f aca="false">IF(A248="","",IF(H248&lt;&gt;"",UPPER(TRIM(H248)),IFERROR(CHOOSE(VALUE(E248)+1,"A","B","C","D"),IF(OR(LEFT(UPPER(TRIM(E248)),1)="F",UPPER(TRIM(E248))="A"),"A",IF(OR(LEFT(UPPER(TRIM(E248)),1)="M",UPPER(TRIM(E248))="B"),"B",IF(OR(LEFT(UPPER(TRIM(E248)),2)="SL",UPPER(TRIM(E248))="C"),"C",IF(OR(LEFT(UPPER(TRIM(E248)),1)="D",UPPER(TRIM(E248))="D"),"D","")))))))</f>
        <v/>
      </c>
      <c r="J248" s="27" t="str">
        <f aca="false">IF(I248="","",IF(AND(I248="D",Settings!$B$6&lt;&gt;"Yes"),"",IFERROR(INDEX(Settings!$C$9:$C$12,MATCH(I248,Settings!$A$9:$A$12,0)),"")))</f>
        <v/>
      </c>
      <c r="K248" s="27" t="str">
        <f aca="false">IF(J248="","",COUNTIF($I$2:I248,I248))</f>
        <v/>
      </c>
      <c r="L248" s="27" t="str">
        <f aca="false">IF(J248="","",CHOOSE(Q248+1,"Tue","Wed","Thu","Fri"))</f>
        <v/>
      </c>
      <c r="M248" s="27" t="str">
        <f aca="false">IF(J248="","",IF(J248=1,"Every week",R248+1&amp;" of "&amp;J248))</f>
        <v/>
      </c>
      <c r="N248" s="28" t="str">
        <f aca="false">IF(J248="","",Settings!$B$4+R248*7+Q248)</f>
        <v/>
      </c>
      <c r="O248" s="28" t="str">
        <f aca="true">IF(J248="","",N248+MAX(0,ROUNDUP((TODAY()-N248)/(J248*7),0))*J248*7)</f>
        <v/>
      </c>
      <c r="P248" s="27" t="str">
        <f aca="false">IF(J248="","",MOD(K248-1,J248*4))</f>
        <v/>
      </c>
      <c r="Q248" s="27" t="str">
        <f aca="false">IF(J248="","",MOD(P248,4))</f>
        <v/>
      </c>
      <c r="R248" s="27" t="str">
        <f aca="false">IF(J248="","",INT(P248/4))</f>
        <v/>
      </c>
      <c r="S248" s="27" t="str">
        <f aca="false">IF(J248="","",IF(AND('Daily Count Sheet'!$H$3=Q248,MOD('Daily Count Sheet'!$I$3,J248)=R248),1,""))</f>
        <v/>
      </c>
      <c r="T248" s="27" t="str">
        <f aca="false">IF(S248=1,COUNTIF($S$2:S248,1),"")</f>
        <v/>
      </c>
    </row>
    <row r="249" customFormat="false" ht="15" hidden="false" customHeight="false" outlineLevel="0" collapsed="false">
      <c r="H249" s="26"/>
      <c r="I249" s="27" t="str">
        <f aca="false">IF(A249="","",IF(H249&lt;&gt;"",UPPER(TRIM(H249)),IFERROR(CHOOSE(VALUE(E249)+1,"A","B","C","D"),IF(OR(LEFT(UPPER(TRIM(E249)),1)="F",UPPER(TRIM(E249))="A"),"A",IF(OR(LEFT(UPPER(TRIM(E249)),1)="M",UPPER(TRIM(E249))="B"),"B",IF(OR(LEFT(UPPER(TRIM(E249)),2)="SL",UPPER(TRIM(E249))="C"),"C",IF(OR(LEFT(UPPER(TRIM(E249)),1)="D",UPPER(TRIM(E249))="D"),"D","")))))))</f>
        <v/>
      </c>
      <c r="J249" s="27" t="str">
        <f aca="false">IF(I249="","",IF(AND(I249="D",Settings!$B$6&lt;&gt;"Yes"),"",IFERROR(INDEX(Settings!$C$9:$C$12,MATCH(I249,Settings!$A$9:$A$12,0)),"")))</f>
        <v/>
      </c>
      <c r="K249" s="27" t="str">
        <f aca="false">IF(J249="","",COUNTIF($I$2:I249,I249))</f>
        <v/>
      </c>
      <c r="L249" s="27" t="str">
        <f aca="false">IF(J249="","",CHOOSE(Q249+1,"Tue","Wed","Thu","Fri"))</f>
        <v/>
      </c>
      <c r="M249" s="27" t="str">
        <f aca="false">IF(J249="","",IF(J249=1,"Every week",R249+1&amp;" of "&amp;J249))</f>
        <v/>
      </c>
      <c r="N249" s="28" t="str">
        <f aca="false">IF(J249="","",Settings!$B$4+R249*7+Q249)</f>
        <v/>
      </c>
      <c r="O249" s="28" t="str">
        <f aca="true">IF(J249="","",N249+MAX(0,ROUNDUP((TODAY()-N249)/(J249*7),0))*J249*7)</f>
        <v/>
      </c>
      <c r="P249" s="27" t="str">
        <f aca="false">IF(J249="","",MOD(K249-1,J249*4))</f>
        <v/>
      </c>
      <c r="Q249" s="27" t="str">
        <f aca="false">IF(J249="","",MOD(P249,4))</f>
        <v/>
      </c>
      <c r="R249" s="27" t="str">
        <f aca="false">IF(J249="","",INT(P249/4))</f>
        <v/>
      </c>
      <c r="S249" s="27" t="str">
        <f aca="false">IF(J249="","",IF(AND('Daily Count Sheet'!$H$3=Q249,MOD('Daily Count Sheet'!$I$3,J249)=R249),1,""))</f>
        <v/>
      </c>
      <c r="T249" s="27" t="str">
        <f aca="false">IF(S249=1,COUNTIF($S$2:S249,1),"")</f>
        <v/>
      </c>
    </row>
    <row r="250" customFormat="false" ht="15" hidden="false" customHeight="false" outlineLevel="0" collapsed="false">
      <c r="H250" s="26"/>
      <c r="I250" s="27" t="str">
        <f aca="false">IF(A250="","",IF(H250&lt;&gt;"",UPPER(TRIM(H250)),IFERROR(CHOOSE(VALUE(E250)+1,"A","B","C","D"),IF(OR(LEFT(UPPER(TRIM(E250)),1)="F",UPPER(TRIM(E250))="A"),"A",IF(OR(LEFT(UPPER(TRIM(E250)),1)="M",UPPER(TRIM(E250))="B"),"B",IF(OR(LEFT(UPPER(TRIM(E250)),2)="SL",UPPER(TRIM(E250))="C"),"C",IF(OR(LEFT(UPPER(TRIM(E250)),1)="D",UPPER(TRIM(E250))="D"),"D","")))))))</f>
        <v/>
      </c>
      <c r="J250" s="27" t="str">
        <f aca="false">IF(I250="","",IF(AND(I250="D",Settings!$B$6&lt;&gt;"Yes"),"",IFERROR(INDEX(Settings!$C$9:$C$12,MATCH(I250,Settings!$A$9:$A$12,0)),"")))</f>
        <v/>
      </c>
      <c r="K250" s="27" t="str">
        <f aca="false">IF(J250="","",COUNTIF($I$2:I250,I250))</f>
        <v/>
      </c>
      <c r="L250" s="27" t="str">
        <f aca="false">IF(J250="","",CHOOSE(Q250+1,"Tue","Wed","Thu","Fri"))</f>
        <v/>
      </c>
      <c r="M250" s="27" t="str">
        <f aca="false">IF(J250="","",IF(J250=1,"Every week",R250+1&amp;" of "&amp;J250))</f>
        <v/>
      </c>
      <c r="N250" s="28" t="str">
        <f aca="false">IF(J250="","",Settings!$B$4+R250*7+Q250)</f>
        <v/>
      </c>
      <c r="O250" s="28" t="str">
        <f aca="true">IF(J250="","",N250+MAX(0,ROUNDUP((TODAY()-N250)/(J250*7),0))*J250*7)</f>
        <v/>
      </c>
      <c r="P250" s="27" t="str">
        <f aca="false">IF(J250="","",MOD(K250-1,J250*4))</f>
        <v/>
      </c>
      <c r="Q250" s="27" t="str">
        <f aca="false">IF(J250="","",MOD(P250,4))</f>
        <v/>
      </c>
      <c r="R250" s="27" t="str">
        <f aca="false">IF(J250="","",INT(P250/4))</f>
        <v/>
      </c>
      <c r="S250" s="27" t="str">
        <f aca="false">IF(J250="","",IF(AND('Daily Count Sheet'!$H$3=Q250,MOD('Daily Count Sheet'!$I$3,J250)=R250),1,""))</f>
        <v/>
      </c>
      <c r="T250" s="27" t="str">
        <f aca="false">IF(S250=1,COUNTIF($S$2:S250,1),"")</f>
        <v/>
      </c>
    </row>
    <row r="251" customFormat="false" ht="15" hidden="false" customHeight="false" outlineLevel="0" collapsed="false">
      <c r="H251" s="26"/>
      <c r="I251" s="27" t="str">
        <f aca="false">IF(A251="","",IF(H251&lt;&gt;"",UPPER(TRIM(H251)),IFERROR(CHOOSE(VALUE(E251)+1,"A","B","C","D"),IF(OR(LEFT(UPPER(TRIM(E251)),1)="F",UPPER(TRIM(E251))="A"),"A",IF(OR(LEFT(UPPER(TRIM(E251)),1)="M",UPPER(TRIM(E251))="B"),"B",IF(OR(LEFT(UPPER(TRIM(E251)),2)="SL",UPPER(TRIM(E251))="C"),"C",IF(OR(LEFT(UPPER(TRIM(E251)),1)="D",UPPER(TRIM(E251))="D"),"D","")))))))</f>
        <v/>
      </c>
      <c r="J251" s="27" t="str">
        <f aca="false">IF(I251="","",IF(AND(I251="D",Settings!$B$6&lt;&gt;"Yes"),"",IFERROR(INDEX(Settings!$C$9:$C$12,MATCH(I251,Settings!$A$9:$A$12,0)),"")))</f>
        <v/>
      </c>
      <c r="K251" s="27" t="str">
        <f aca="false">IF(J251="","",COUNTIF($I$2:I251,I251))</f>
        <v/>
      </c>
      <c r="L251" s="27" t="str">
        <f aca="false">IF(J251="","",CHOOSE(Q251+1,"Tue","Wed","Thu","Fri"))</f>
        <v/>
      </c>
      <c r="M251" s="27" t="str">
        <f aca="false">IF(J251="","",IF(J251=1,"Every week",R251+1&amp;" of "&amp;J251))</f>
        <v/>
      </c>
      <c r="N251" s="28" t="str">
        <f aca="false">IF(J251="","",Settings!$B$4+R251*7+Q251)</f>
        <v/>
      </c>
      <c r="O251" s="28" t="str">
        <f aca="true">IF(J251="","",N251+MAX(0,ROUNDUP((TODAY()-N251)/(J251*7),0))*J251*7)</f>
        <v/>
      </c>
      <c r="P251" s="27" t="str">
        <f aca="false">IF(J251="","",MOD(K251-1,J251*4))</f>
        <v/>
      </c>
      <c r="Q251" s="27" t="str">
        <f aca="false">IF(J251="","",MOD(P251,4))</f>
        <v/>
      </c>
      <c r="R251" s="27" t="str">
        <f aca="false">IF(J251="","",INT(P251/4))</f>
        <v/>
      </c>
      <c r="S251" s="27" t="str">
        <f aca="false">IF(J251="","",IF(AND('Daily Count Sheet'!$H$3=Q251,MOD('Daily Count Sheet'!$I$3,J251)=R251),1,""))</f>
        <v/>
      </c>
      <c r="T251" s="27" t="str">
        <f aca="false">IF(S251=1,COUNTIF($S$2:S251,1),"")</f>
        <v/>
      </c>
    </row>
    <row r="252" customFormat="false" ht="15" hidden="false" customHeight="false" outlineLevel="0" collapsed="false">
      <c r="H252" s="26"/>
      <c r="I252" s="27" t="str">
        <f aca="false">IF(A252="","",IF(H252&lt;&gt;"",UPPER(TRIM(H252)),IFERROR(CHOOSE(VALUE(E252)+1,"A","B","C","D"),IF(OR(LEFT(UPPER(TRIM(E252)),1)="F",UPPER(TRIM(E252))="A"),"A",IF(OR(LEFT(UPPER(TRIM(E252)),1)="M",UPPER(TRIM(E252))="B"),"B",IF(OR(LEFT(UPPER(TRIM(E252)),2)="SL",UPPER(TRIM(E252))="C"),"C",IF(OR(LEFT(UPPER(TRIM(E252)),1)="D",UPPER(TRIM(E252))="D"),"D","")))))))</f>
        <v/>
      </c>
      <c r="J252" s="27" t="str">
        <f aca="false">IF(I252="","",IF(AND(I252="D",Settings!$B$6&lt;&gt;"Yes"),"",IFERROR(INDEX(Settings!$C$9:$C$12,MATCH(I252,Settings!$A$9:$A$12,0)),"")))</f>
        <v/>
      </c>
      <c r="K252" s="27" t="str">
        <f aca="false">IF(J252="","",COUNTIF($I$2:I252,I252))</f>
        <v/>
      </c>
      <c r="L252" s="27" t="str">
        <f aca="false">IF(J252="","",CHOOSE(Q252+1,"Tue","Wed","Thu","Fri"))</f>
        <v/>
      </c>
      <c r="M252" s="27" t="str">
        <f aca="false">IF(J252="","",IF(J252=1,"Every week",R252+1&amp;" of "&amp;J252))</f>
        <v/>
      </c>
      <c r="N252" s="28" t="str">
        <f aca="false">IF(J252="","",Settings!$B$4+R252*7+Q252)</f>
        <v/>
      </c>
      <c r="O252" s="28" t="str">
        <f aca="true">IF(J252="","",N252+MAX(0,ROUNDUP((TODAY()-N252)/(J252*7),0))*J252*7)</f>
        <v/>
      </c>
      <c r="P252" s="27" t="str">
        <f aca="false">IF(J252="","",MOD(K252-1,J252*4))</f>
        <v/>
      </c>
      <c r="Q252" s="27" t="str">
        <f aca="false">IF(J252="","",MOD(P252,4))</f>
        <v/>
      </c>
      <c r="R252" s="27" t="str">
        <f aca="false">IF(J252="","",INT(P252/4))</f>
        <v/>
      </c>
      <c r="S252" s="27" t="str">
        <f aca="false">IF(J252="","",IF(AND('Daily Count Sheet'!$H$3=Q252,MOD('Daily Count Sheet'!$I$3,J252)=R252),1,""))</f>
        <v/>
      </c>
      <c r="T252" s="27" t="str">
        <f aca="false">IF(S252=1,COUNTIF($S$2:S252,1),"")</f>
        <v/>
      </c>
    </row>
    <row r="253" customFormat="false" ht="15" hidden="false" customHeight="false" outlineLevel="0" collapsed="false">
      <c r="H253" s="26"/>
      <c r="I253" s="27" t="str">
        <f aca="false">IF(A253="","",IF(H253&lt;&gt;"",UPPER(TRIM(H253)),IFERROR(CHOOSE(VALUE(E253)+1,"A","B","C","D"),IF(OR(LEFT(UPPER(TRIM(E253)),1)="F",UPPER(TRIM(E253))="A"),"A",IF(OR(LEFT(UPPER(TRIM(E253)),1)="M",UPPER(TRIM(E253))="B"),"B",IF(OR(LEFT(UPPER(TRIM(E253)),2)="SL",UPPER(TRIM(E253))="C"),"C",IF(OR(LEFT(UPPER(TRIM(E253)),1)="D",UPPER(TRIM(E253))="D"),"D","")))))))</f>
        <v/>
      </c>
      <c r="J253" s="27" t="str">
        <f aca="false">IF(I253="","",IF(AND(I253="D",Settings!$B$6&lt;&gt;"Yes"),"",IFERROR(INDEX(Settings!$C$9:$C$12,MATCH(I253,Settings!$A$9:$A$12,0)),"")))</f>
        <v/>
      </c>
      <c r="K253" s="27" t="str">
        <f aca="false">IF(J253="","",COUNTIF($I$2:I253,I253))</f>
        <v/>
      </c>
      <c r="L253" s="27" t="str">
        <f aca="false">IF(J253="","",CHOOSE(Q253+1,"Tue","Wed","Thu","Fri"))</f>
        <v/>
      </c>
      <c r="M253" s="27" t="str">
        <f aca="false">IF(J253="","",IF(J253=1,"Every week",R253+1&amp;" of "&amp;J253))</f>
        <v/>
      </c>
      <c r="N253" s="28" t="str">
        <f aca="false">IF(J253="","",Settings!$B$4+R253*7+Q253)</f>
        <v/>
      </c>
      <c r="O253" s="28" t="str">
        <f aca="true">IF(J253="","",N253+MAX(0,ROUNDUP((TODAY()-N253)/(J253*7),0))*J253*7)</f>
        <v/>
      </c>
      <c r="P253" s="27" t="str">
        <f aca="false">IF(J253="","",MOD(K253-1,J253*4))</f>
        <v/>
      </c>
      <c r="Q253" s="27" t="str">
        <f aca="false">IF(J253="","",MOD(P253,4))</f>
        <v/>
      </c>
      <c r="R253" s="27" t="str">
        <f aca="false">IF(J253="","",INT(P253/4))</f>
        <v/>
      </c>
      <c r="S253" s="27" t="str">
        <f aca="false">IF(J253="","",IF(AND('Daily Count Sheet'!$H$3=Q253,MOD('Daily Count Sheet'!$I$3,J253)=R253),1,""))</f>
        <v/>
      </c>
      <c r="T253" s="27" t="str">
        <f aca="false">IF(S253=1,COUNTIF($S$2:S253,1),"")</f>
        <v/>
      </c>
    </row>
    <row r="254" customFormat="false" ht="15" hidden="false" customHeight="false" outlineLevel="0" collapsed="false">
      <c r="H254" s="26"/>
      <c r="I254" s="27" t="str">
        <f aca="false">IF(A254="","",IF(H254&lt;&gt;"",UPPER(TRIM(H254)),IFERROR(CHOOSE(VALUE(E254)+1,"A","B","C","D"),IF(OR(LEFT(UPPER(TRIM(E254)),1)="F",UPPER(TRIM(E254))="A"),"A",IF(OR(LEFT(UPPER(TRIM(E254)),1)="M",UPPER(TRIM(E254))="B"),"B",IF(OR(LEFT(UPPER(TRIM(E254)),2)="SL",UPPER(TRIM(E254))="C"),"C",IF(OR(LEFT(UPPER(TRIM(E254)),1)="D",UPPER(TRIM(E254))="D"),"D","")))))))</f>
        <v/>
      </c>
      <c r="J254" s="27" t="str">
        <f aca="false">IF(I254="","",IF(AND(I254="D",Settings!$B$6&lt;&gt;"Yes"),"",IFERROR(INDEX(Settings!$C$9:$C$12,MATCH(I254,Settings!$A$9:$A$12,0)),"")))</f>
        <v/>
      </c>
      <c r="K254" s="27" t="str">
        <f aca="false">IF(J254="","",COUNTIF($I$2:I254,I254))</f>
        <v/>
      </c>
      <c r="L254" s="27" t="str">
        <f aca="false">IF(J254="","",CHOOSE(Q254+1,"Tue","Wed","Thu","Fri"))</f>
        <v/>
      </c>
      <c r="M254" s="27" t="str">
        <f aca="false">IF(J254="","",IF(J254=1,"Every week",R254+1&amp;" of "&amp;J254))</f>
        <v/>
      </c>
      <c r="N254" s="28" t="str">
        <f aca="false">IF(J254="","",Settings!$B$4+R254*7+Q254)</f>
        <v/>
      </c>
      <c r="O254" s="28" t="str">
        <f aca="true">IF(J254="","",N254+MAX(0,ROUNDUP((TODAY()-N254)/(J254*7),0))*J254*7)</f>
        <v/>
      </c>
      <c r="P254" s="27" t="str">
        <f aca="false">IF(J254="","",MOD(K254-1,J254*4))</f>
        <v/>
      </c>
      <c r="Q254" s="27" t="str">
        <f aca="false">IF(J254="","",MOD(P254,4))</f>
        <v/>
      </c>
      <c r="R254" s="27" t="str">
        <f aca="false">IF(J254="","",INT(P254/4))</f>
        <v/>
      </c>
      <c r="S254" s="27" t="str">
        <f aca="false">IF(J254="","",IF(AND('Daily Count Sheet'!$H$3=Q254,MOD('Daily Count Sheet'!$I$3,J254)=R254),1,""))</f>
        <v/>
      </c>
      <c r="T254" s="27" t="str">
        <f aca="false">IF(S254=1,COUNTIF($S$2:S254,1),"")</f>
        <v/>
      </c>
    </row>
    <row r="255" customFormat="false" ht="15" hidden="false" customHeight="false" outlineLevel="0" collapsed="false">
      <c r="H255" s="26"/>
      <c r="I255" s="27" t="str">
        <f aca="false">IF(A255="","",IF(H255&lt;&gt;"",UPPER(TRIM(H255)),IFERROR(CHOOSE(VALUE(E255)+1,"A","B","C","D"),IF(OR(LEFT(UPPER(TRIM(E255)),1)="F",UPPER(TRIM(E255))="A"),"A",IF(OR(LEFT(UPPER(TRIM(E255)),1)="M",UPPER(TRIM(E255))="B"),"B",IF(OR(LEFT(UPPER(TRIM(E255)),2)="SL",UPPER(TRIM(E255))="C"),"C",IF(OR(LEFT(UPPER(TRIM(E255)),1)="D",UPPER(TRIM(E255))="D"),"D","")))))))</f>
        <v/>
      </c>
      <c r="J255" s="27" t="str">
        <f aca="false">IF(I255="","",IF(AND(I255="D",Settings!$B$6&lt;&gt;"Yes"),"",IFERROR(INDEX(Settings!$C$9:$C$12,MATCH(I255,Settings!$A$9:$A$12,0)),"")))</f>
        <v/>
      </c>
      <c r="K255" s="27" t="str">
        <f aca="false">IF(J255="","",COUNTIF($I$2:I255,I255))</f>
        <v/>
      </c>
      <c r="L255" s="27" t="str">
        <f aca="false">IF(J255="","",CHOOSE(Q255+1,"Tue","Wed","Thu","Fri"))</f>
        <v/>
      </c>
      <c r="M255" s="27" t="str">
        <f aca="false">IF(J255="","",IF(J255=1,"Every week",R255+1&amp;" of "&amp;J255))</f>
        <v/>
      </c>
      <c r="N255" s="28" t="str">
        <f aca="false">IF(J255="","",Settings!$B$4+R255*7+Q255)</f>
        <v/>
      </c>
      <c r="O255" s="28" t="str">
        <f aca="true">IF(J255="","",N255+MAX(0,ROUNDUP((TODAY()-N255)/(J255*7),0))*J255*7)</f>
        <v/>
      </c>
      <c r="P255" s="27" t="str">
        <f aca="false">IF(J255="","",MOD(K255-1,J255*4))</f>
        <v/>
      </c>
      <c r="Q255" s="27" t="str">
        <f aca="false">IF(J255="","",MOD(P255,4))</f>
        <v/>
      </c>
      <c r="R255" s="27" t="str">
        <f aca="false">IF(J255="","",INT(P255/4))</f>
        <v/>
      </c>
      <c r="S255" s="27" t="str">
        <f aca="false">IF(J255="","",IF(AND('Daily Count Sheet'!$H$3=Q255,MOD('Daily Count Sheet'!$I$3,J255)=R255),1,""))</f>
        <v/>
      </c>
      <c r="T255" s="27" t="str">
        <f aca="false">IF(S255=1,COUNTIF($S$2:S255,1),"")</f>
        <v/>
      </c>
    </row>
    <row r="256" customFormat="false" ht="15" hidden="false" customHeight="false" outlineLevel="0" collapsed="false">
      <c r="H256" s="26"/>
      <c r="I256" s="27" t="str">
        <f aca="false">IF(A256="","",IF(H256&lt;&gt;"",UPPER(TRIM(H256)),IFERROR(CHOOSE(VALUE(E256)+1,"A","B","C","D"),IF(OR(LEFT(UPPER(TRIM(E256)),1)="F",UPPER(TRIM(E256))="A"),"A",IF(OR(LEFT(UPPER(TRIM(E256)),1)="M",UPPER(TRIM(E256))="B"),"B",IF(OR(LEFT(UPPER(TRIM(E256)),2)="SL",UPPER(TRIM(E256))="C"),"C",IF(OR(LEFT(UPPER(TRIM(E256)),1)="D",UPPER(TRIM(E256))="D"),"D","")))))))</f>
        <v/>
      </c>
      <c r="J256" s="27" t="str">
        <f aca="false">IF(I256="","",IF(AND(I256="D",Settings!$B$6&lt;&gt;"Yes"),"",IFERROR(INDEX(Settings!$C$9:$C$12,MATCH(I256,Settings!$A$9:$A$12,0)),"")))</f>
        <v/>
      </c>
      <c r="K256" s="27" t="str">
        <f aca="false">IF(J256="","",COUNTIF($I$2:I256,I256))</f>
        <v/>
      </c>
      <c r="L256" s="27" t="str">
        <f aca="false">IF(J256="","",CHOOSE(Q256+1,"Tue","Wed","Thu","Fri"))</f>
        <v/>
      </c>
      <c r="M256" s="27" t="str">
        <f aca="false">IF(J256="","",IF(J256=1,"Every week",R256+1&amp;" of "&amp;J256))</f>
        <v/>
      </c>
      <c r="N256" s="28" t="str">
        <f aca="false">IF(J256="","",Settings!$B$4+R256*7+Q256)</f>
        <v/>
      </c>
      <c r="O256" s="28" t="str">
        <f aca="true">IF(J256="","",N256+MAX(0,ROUNDUP((TODAY()-N256)/(J256*7),0))*J256*7)</f>
        <v/>
      </c>
      <c r="P256" s="27" t="str">
        <f aca="false">IF(J256="","",MOD(K256-1,J256*4))</f>
        <v/>
      </c>
      <c r="Q256" s="27" t="str">
        <f aca="false">IF(J256="","",MOD(P256,4))</f>
        <v/>
      </c>
      <c r="R256" s="27" t="str">
        <f aca="false">IF(J256="","",INT(P256/4))</f>
        <v/>
      </c>
      <c r="S256" s="27" t="str">
        <f aca="false">IF(J256="","",IF(AND('Daily Count Sheet'!$H$3=Q256,MOD('Daily Count Sheet'!$I$3,J256)=R256),1,""))</f>
        <v/>
      </c>
      <c r="T256" s="27" t="str">
        <f aca="false">IF(S256=1,COUNTIF($S$2:S256,1),"")</f>
        <v/>
      </c>
    </row>
    <row r="257" customFormat="false" ht="15" hidden="false" customHeight="false" outlineLevel="0" collapsed="false">
      <c r="H257" s="26"/>
      <c r="I257" s="27" t="str">
        <f aca="false">IF(A257="","",IF(H257&lt;&gt;"",UPPER(TRIM(H257)),IFERROR(CHOOSE(VALUE(E257)+1,"A","B","C","D"),IF(OR(LEFT(UPPER(TRIM(E257)),1)="F",UPPER(TRIM(E257))="A"),"A",IF(OR(LEFT(UPPER(TRIM(E257)),1)="M",UPPER(TRIM(E257))="B"),"B",IF(OR(LEFT(UPPER(TRIM(E257)),2)="SL",UPPER(TRIM(E257))="C"),"C",IF(OR(LEFT(UPPER(TRIM(E257)),1)="D",UPPER(TRIM(E257))="D"),"D","")))))))</f>
        <v/>
      </c>
      <c r="J257" s="27" t="str">
        <f aca="false">IF(I257="","",IF(AND(I257="D",Settings!$B$6&lt;&gt;"Yes"),"",IFERROR(INDEX(Settings!$C$9:$C$12,MATCH(I257,Settings!$A$9:$A$12,0)),"")))</f>
        <v/>
      </c>
      <c r="K257" s="27" t="str">
        <f aca="false">IF(J257="","",COUNTIF($I$2:I257,I257))</f>
        <v/>
      </c>
      <c r="L257" s="27" t="str">
        <f aca="false">IF(J257="","",CHOOSE(Q257+1,"Tue","Wed","Thu","Fri"))</f>
        <v/>
      </c>
      <c r="M257" s="27" t="str">
        <f aca="false">IF(J257="","",IF(J257=1,"Every week",R257+1&amp;" of "&amp;J257))</f>
        <v/>
      </c>
      <c r="N257" s="28" t="str">
        <f aca="false">IF(J257="","",Settings!$B$4+R257*7+Q257)</f>
        <v/>
      </c>
      <c r="O257" s="28" t="str">
        <f aca="true">IF(J257="","",N257+MAX(0,ROUNDUP((TODAY()-N257)/(J257*7),0))*J257*7)</f>
        <v/>
      </c>
      <c r="P257" s="27" t="str">
        <f aca="false">IF(J257="","",MOD(K257-1,J257*4))</f>
        <v/>
      </c>
      <c r="Q257" s="27" t="str">
        <f aca="false">IF(J257="","",MOD(P257,4))</f>
        <v/>
      </c>
      <c r="R257" s="27" t="str">
        <f aca="false">IF(J257="","",INT(P257/4))</f>
        <v/>
      </c>
      <c r="S257" s="27" t="str">
        <f aca="false">IF(J257="","",IF(AND('Daily Count Sheet'!$H$3=Q257,MOD('Daily Count Sheet'!$I$3,J257)=R257),1,""))</f>
        <v/>
      </c>
      <c r="T257" s="27" t="str">
        <f aca="false">IF(S257=1,COUNTIF($S$2:S257,1),"")</f>
        <v/>
      </c>
    </row>
    <row r="258" customFormat="false" ht="15" hidden="false" customHeight="false" outlineLevel="0" collapsed="false">
      <c r="H258" s="26"/>
      <c r="I258" s="27" t="str">
        <f aca="false">IF(A258="","",IF(H258&lt;&gt;"",UPPER(TRIM(H258)),IFERROR(CHOOSE(VALUE(E258)+1,"A","B","C","D"),IF(OR(LEFT(UPPER(TRIM(E258)),1)="F",UPPER(TRIM(E258))="A"),"A",IF(OR(LEFT(UPPER(TRIM(E258)),1)="M",UPPER(TRIM(E258))="B"),"B",IF(OR(LEFT(UPPER(TRIM(E258)),2)="SL",UPPER(TRIM(E258))="C"),"C",IF(OR(LEFT(UPPER(TRIM(E258)),1)="D",UPPER(TRIM(E258))="D"),"D","")))))))</f>
        <v/>
      </c>
      <c r="J258" s="27" t="str">
        <f aca="false">IF(I258="","",IF(AND(I258="D",Settings!$B$6&lt;&gt;"Yes"),"",IFERROR(INDEX(Settings!$C$9:$C$12,MATCH(I258,Settings!$A$9:$A$12,0)),"")))</f>
        <v/>
      </c>
      <c r="K258" s="27" t="str">
        <f aca="false">IF(J258="","",COUNTIF($I$2:I258,I258))</f>
        <v/>
      </c>
      <c r="L258" s="27" t="str">
        <f aca="false">IF(J258="","",CHOOSE(Q258+1,"Tue","Wed","Thu","Fri"))</f>
        <v/>
      </c>
      <c r="M258" s="27" t="str">
        <f aca="false">IF(J258="","",IF(J258=1,"Every week",R258+1&amp;" of "&amp;J258))</f>
        <v/>
      </c>
      <c r="N258" s="28" t="str">
        <f aca="false">IF(J258="","",Settings!$B$4+R258*7+Q258)</f>
        <v/>
      </c>
      <c r="O258" s="28" t="str">
        <f aca="true">IF(J258="","",N258+MAX(0,ROUNDUP((TODAY()-N258)/(J258*7),0))*J258*7)</f>
        <v/>
      </c>
      <c r="P258" s="27" t="str">
        <f aca="false">IF(J258="","",MOD(K258-1,J258*4))</f>
        <v/>
      </c>
      <c r="Q258" s="27" t="str">
        <f aca="false">IF(J258="","",MOD(P258,4))</f>
        <v/>
      </c>
      <c r="R258" s="27" t="str">
        <f aca="false">IF(J258="","",INT(P258/4))</f>
        <v/>
      </c>
      <c r="S258" s="27" t="str">
        <f aca="false">IF(J258="","",IF(AND('Daily Count Sheet'!$H$3=Q258,MOD('Daily Count Sheet'!$I$3,J258)=R258),1,""))</f>
        <v/>
      </c>
      <c r="T258" s="27" t="str">
        <f aca="false">IF(S258=1,COUNTIF($S$2:S258,1),"")</f>
        <v/>
      </c>
    </row>
    <row r="259" customFormat="false" ht="15" hidden="false" customHeight="false" outlineLevel="0" collapsed="false">
      <c r="H259" s="26"/>
      <c r="I259" s="27" t="str">
        <f aca="false">IF(A259="","",IF(H259&lt;&gt;"",UPPER(TRIM(H259)),IFERROR(CHOOSE(VALUE(E259)+1,"A","B","C","D"),IF(OR(LEFT(UPPER(TRIM(E259)),1)="F",UPPER(TRIM(E259))="A"),"A",IF(OR(LEFT(UPPER(TRIM(E259)),1)="M",UPPER(TRIM(E259))="B"),"B",IF(OR(LEFT(UPPER(TRIM(E259)),2)="SL",UPPER(TRIM(E259))="C"),"C",IF(OR(LEFT(UPPER(TRIM(E259)),1)="D",UPPER(TRIM(E259))="D"),"D","")))))))</f>
        <v/>
      </c>
      <c r="J259" s="27" t="str">
        <f aca="false">IF(I259="","",IF(AND(I259="D",Settings!$B$6&lt;&gt;"Yes"),"",IFERROR(INDEX(Settings!$C$9:$C$12,MATCH(I259,Settings!$A$9:$A$12,0)),"")))</f>
        <v/>
      </c>
      <c r="K259" s="27" t="str">
        <f aca="false">IF(J259="","",COUNTIF($I$2:I259,I259))</f>
        <v/>
      </c>
      <c r="L259" s="27" t="str">
        <f aca="false">IF(J259="","",CHOOSE(Q259+1,"Tue","Wed","Thu","Fri"))</f>
        <v/>
      </c>
      <c r="M259" s="27" t="str">
        <f aca="false">IF(J259="","",IF(J259=1,"Every week",R259+1&amp;" of "&amp;J259))</f>
        <v/>
      </c>
      <c r="N259" s="28" t="str">
        <f aca="false">IF(J259="","",Settings!$B$4+R259*7+Q259)</f>
        <v/>
      </c>
      <c r="O259" s="28" t="str">
        <f aca="true">IF(J259="","",N259+MAX(0,ROUNDUP((TODAY()-N259)/(J259*7),0))*J259*7)</f>
        <v/>
      </c>
      <c r="P259" s="27" t="str">
        <f aca="false">IF(J259="","",MOD(K259-1,J259*4))</f>
        <v/>
      </c>
      <c r="Q259" s="27" t="str">
        <f aca="false">IF(J259="","",MOD(P259,4))</f>
        <v/>
      </c>
      <c r="R259" s="27" t="str">
        <f aca="false">IF(J259="","",INT(P259/4))</f>
        <v/>
      </c>
      <c r="S259" s="27" t="str">
        <f aca="false">IF(J259="","",IF(AND('Daily Count Sheet'!$H$3=Q259,MOD('Daily Count Sheet'!$I$3,J259)=R259),1,""))</f>
        <v/>
      </c>
      <c r="T259" s="27" t="str">
        <f aca="false">IF(S259=1,COUNTIF($S$2:S259,1),"")</f>
        <v/>
      </c>
    </row>
    <row r="260" customFormat="false" ht="15" hidden="false" customHeight="false" outlineLevel="0" collapsed="false">
      <c r="H260" s="26"/>
      <c r="I260" s="27" t="str">
        <f aca="false">IF(A260="","",IF(H260&lt;&gt;"",UPPER(TRIM(H260)),IFERROR(CHOOSE(VALUE(E260)+1,"A","B","C","D"),IF(OR(LEFT(UPPER(TRIM(E260)),1)="F",UPPER(TRIM(E260))="A"),"A",IF(OR(LEFT(UPPER(TRIM(E260)),1)="M",UPPER(TRIM(E260))="B"),"B",IF(OR(LEFT(UPPER(TRIM(E260)),2)="SL",UPPER(TRIM(E260))="C"),"C",IF(OR(LEFT(UPPER(TRIM(E260)),1)="D",UPPER(TRIM(E260))="D"),"D","")))))))</f>
        <v/>
      </c>
      <c r="J260" s="27" t="str">
        <f aca="false">IF(I260="","",IF(AND(I260="D",Settings!$B$6&lt;&gt;"Yes"),"",IFERROR(INDEX(Settings!$C$9:$C$12,MATCH(I260,Settings!$A$9:$A$12,0)),"")))</f>
        <v/>
      </c>
      <c r="K260" s="27" t="str">
        <f aca="false">IF(J260="","",COUNTIF($I$2:I260,I260))</f>
        <v/>
      </c>
      <c r="L260" s="27" t="str">
        <f aca="false">IF(J260="","",CHOOSE(Q260+1,"Tue","Wed","Thu","Fri"))</f>
        <v/>
      </c>
      <c r="M260" s="27" t="str">
        <f aca="false">IF(J260="","",IF(J260=1,"Every week",R260+1&amp;" of "&amp;J260))</f>
        <v/>
      </c>
      <c r="N260" s="28" t="str">
        <f aca="false">IF(J260="","",Settings!$B$4+R260*7+Q260)</f>
        <v/>
      </c>
      <c r="O260" s="28" t="str">
        <f aca="true">IF(J260="","",N260+MAX(0,ROUNDUP((TODAY()-N260)/(J260*7),0))*J260*7)</f>
        <v/>
      </c>
      <c r="P260" s="27" t="str">
        <f aca="false">IF(J260="","",MOD(K260-1,J260*4))</f>
        <v/>
      </c>
      <c r="Q260" s="27" t="str">
        <f aca="false">IF(J260="","",MOD(P260,4))</f>
        <v/>
      </c>
      <c r="R260" s="27" t="str">
        <f aca="false">IF(J260="","",INT(P260/4))</f>
        <v/>
      </c>
      <c r="S260" s="27" t="str">
        <f aca="false">IF(J260="","",IF(AND('Daily Count Sheet'!$H$3=Q260,MOD('Daily Count Sheet'!$I$3,J260)=R260),1,""))</f>
        <v/>
      </c>
      <c r="T260" s="27" t="str">
        <f aca="false">IF(S260=1,COUNTIF($S$2:S260,1),"")</f>
        <v/>
      </c>
    </row>
    <row r="261" customFormat="false" ht="15" hidden="false" customHeight="false" outlineLevel="0" collapsed="false">
      <c r="H261" s="26"/>
      <c r="I261" s="27" t="str">
        <f aca="false">IF(A261="","",IF(H261&lt;&gt;"",UPPER(TRIM(H261)),IFERROR(CHOOSE(VALUE(E261)+1,"A","B","C","D"),IF(OR(LEFT(UPPER(TRIM(E261)),1)="F",UPPER(TRIM(E261))="A"),"A",IF(OR(LEFT(UPPER(TRIM(E261)),1)="M",UPPER(TRIM(E261))="B"),"B",IF(OR(LEFT(UPPER(TRIM(E261)),2)="SL",UPPER(TRIM(E261))="C"),"C",IF(OR(LEFT(UPPER(TRIM(E261)),1)="D",UPPER(TRIM(E261))="D"),"D","")))))))</f>
        <v/>
      </c>
      <c r="J261" s="27" t="str">
        <f aca="false">IF(I261="","",IF(AND(I261="D",Settings!$B$6&lt;&gt;"Yes"),"",IFERROR(INDEX(Settings!$C$9:$C$12,MATCH(I261,Settings!$A$9:$A$12,0)),"")))</f>
        <v/>
      </c>
      <c r="K261" s="27" t="str">
        <f aca="false">IF(J261="","",COUNTIF($I$2:I261,I261))</f>
        <v/>
      </c>
      <c r="L261" s="27" t="str">
        <f aca="false">IF(J261="","",CHOOSE(Q261+1,"Tue","Wed","Thu","Fri"))</f>
        <v/>
      </c>
      <c r="M261" s="27" t="str">
        <f aca="false">IF(J261="","",IF(J261=1,"Every week",R261+1&amp;" of "&amp;J261))</f>
        <v/>
      </c>
      <c r="N261" s="28" t="str">
        <f aca="false">IF(J261="","",Settings!$B$4+R261*7+Q261)</f>
        <v/>
      </c>
      <c r="O261" s="28" t="str">
        <f aca="true">IF(J261="","",N261+MAX(0,ROUNDUP((TODAY()-N261)/(J261*7),0))*J261*7)</f>
        <v/>
      </c>
      <c r="P261" s="27" t="str">
        <f aca="false">IF(J261="","",MOD(K261-1,J261*4))</f>
        <v/>
      </c>
      <c r="Q261" s="27" t="str">
        <f aca="false">IF(J261="","",MOD(P261,4))</f>
        <v/>
      </c>
      <c r="R261" s="27" t="str">
        <f aca="false">IF(J261="","",INT(P261/4))</f>
        <v/>
      </c>
      <c r="S261" s="27" t="str">
        <f aca="false">IF(J261="","",IF(AND('Daily Count Sheet'!$H$3=Q261,MOD('Daily Count Sheet'!$I$3,J261)=R261),1,""))</f>
        <v/>
      </c>
      <c r="T261" s="27" t="str">
        <f aca="false">IF(S261=1,COUNTIF($S$2:S261,1),"")</f>
        <v/>
      </c>
    </row>
    <row r="262" customFormat="false" ht="15" hidden="false" customHeight="false" outlineLevel="0" collapsed="false">
      <c r="H262" s="26"/>
      <c r="I262" s="27" t="str">
        <f aca="false">IF(A262="","",IF(H262&lt;&gt;"",UPPER(TRIM(H262)),IFERROR(CHOOSE(VALUE(E262)+1,"A","B","C","D"),IF(OR(LEFT(UPPER(TRIM(E262)),1)="F",UPPER(TRIM(E262))="A"),"A",IF(OR(LEFT(UPPER(TRIM(E262)),1)="M",UPPER(TRIM(E262))="B"),"B",IF(OR(LEFT(UPPER(TRIM(E262)),2)="SL",UPPER(TRIM(E262))="C"),"C",IF(OR(LEFT(UPPER(TRIM(E262)),1)="D",UPPER(TRIM(E262))="D"),"D","")))))))</f>
        <v/>
      </c>
      <c r="J262" s="27" t="str">
        <f aca="false">IF(I262="","",IF(AND(I262="D",Settings!$B$6&lt;&gt;"Yes"),"",IFERROR(INDEX(Settings!$C$9:$C$12,MATCH(I262,Settings!$A$9:$A$12,0)),"")))</f>
        <v/>
      </c>
      <c r="K262" s="27" t="str">
        <f aca="false">IF(J262="","",COUNTIF($I$2:I262,I262))</f>
        <v/>
      </c>
      <c r="L262" s="27" t="str">
        <f aca="false">IF(J262="","",CHOOSE(Q262+1,"Tue","Wed","Thu","Fri"))</f>
        <v/>
      </c>
      <c r="M262" s="27" t="str">
        <f aca="false">IF(J262="","",IF(J262=1,"Every week",R262+1&amp;" of "&amp;J262))</f>
        <v/>
      </c>
      <c r="N262" s="28" t="str">
        <f aca="false">IF(J262="","",Settings!$B$4+R262*7+Q262)</f>
        <v/>
      </c>
      <c r="O262" s="28" t="str">
        <f aca="true">IF(J262="","",N262+MAX(0,ROUNDUP((TODAY()-N262)/(J262*7),0))*J262*7)</f>
        <v/>
      </c>
      <c r="P262" s="27" t="str">
        <f aca="false">IF(J262="","",MOD(K262-1,J262*4))</f>
        <v/>
      </c>
      <c r="Q262" s="27" t="str">
        <f aca="false">IF(J262="","",MOD(P262,4))</f>
        <v/>
      </c>
      <c r="R262" s="27" t="str">
        <f aca="false">IF(J262="","",INT(P262/4))</f>
        <v/>
      </c>
      <c r="S262" s="27" t="str">
        <f aca="false">IF(J262="","",IF(AND('Daily Count Sheet'!$H$3=Q262,MOD('Daily Count Sheet'!$I$3,J262)=R262),1,""))</f>
        <v/>
      </c>
      <c r="T262" s="27" t="str">
        <f aca="false">IF(S262=1,COUNTIF($S$2:S262,1),"")</f>
        <v/>
      </c>
    </row>
    <row r="263" customFormat="false" ht="15" hidden="false" customHeight="false" outlineLevel="0" collapsed="false">
      <c r="H263" s="26"/>
      <c r="I263" s="27" t="str">
        <f aca="false">IF(A263="","",IF(H263&lt;&gt;"",UPPER(TRIM(H263)),IFERROR(CHOOSE(VALUE(E263)+1,"A","B","C","D"),IF(OR(LEFT(UPPER(TRIM(E263)),1)="F",UPPER(TRIM(E263))="A"),"A",IF(OR(LEFT(UPPER(TRIM(E263)),1)="M",UPPER(TRIM(E263))="B"),"B",IF(OR(LEFT(UPPER(TRIM(E263)),2)="SL",UPPER(TRIM(E263))="C"),"C",IF(OR(LEFT(UPPER(TRIM(E263)),1)="D",UPPER(TRIM(E263))="D"),"D","")))))))</f>
        <v/>
      </c>
      <c r="J263" s="27" t="str">
        <f aca="false">IF(I263="","",IF(AND(I263="D",Settings!$B$6&lt;&gt;"Yes"),"",IFERROR(INDEX(Settings!$C$9:$C$12,MATCH(I263,Settings!$A$9:$A$12,0)),"")))</f>
        <v/>
      </c>
      <c r="K263" s="27" t="str">
        <f aca="false">IF(J263="","",COUNTIF($I$2:I263,I263))</f>
        <v/>
      </c>
      <c r="L263" s="27" t="str">
        <f aca="false">IF(J263="","",CHOOSE(Q263+1,"Tue","Wed","Thu","Fri"))</f>
        <v/>
      </c>
      <c r="M263" s="27" t="str">
        <f aca="false">IF(J263="","",IF(J263=1,"Every week",R263+1&amp;" of "&amp;J263))</f>
        <v/>
      </c>
      <c r="N263" s="28" t="str">
        <f aca="false">IF(J263="","",Settings!$B$4+R263*7+Q263)</f>
        <v/>
      </c>
      <c r="O263" s="28" t="str">
        <f aca="true">IF(J263="","",N263+MAX(0,ROUNDUP((TODAY()-N263)/(J263*7),0))*J263*7)</f>
        <v/>
      </c>
      <c r="P263" s="27" t="str">
        <f aca="false">IF(J263="","",MOD(K263-1,J263*4))</f>
        <v/>
      </c>
      <c r="Q263" s="27" t="str">
        <f aca="false">IF(J263="","",MOD(P263,4))</f>
        <v/>
      </c>
      <c r="R263" s="27" t="str">
        <f aca="false">IF(J263="","",INT(P263/4))</f>
        <v/>
      </c>
      <c r="S263" s="27" t="str">
        <f aca="false">IF(J263="","",IF(AND('Daily Count Sheet'!$H$3=Q263,MOD('Daily Count Sheet'!$I$3,J263)=R263),1,""))</f>
        <v/>
      </c>
      <c r="T263" s="27" t="str">
        <f aca="false">IF(S263=1,COUNTIF($S$2:S263,1),"")</f>
        <v/>
      </c>
    </row>
    <row r="264" customFormat="false" ht="15" hidden="false" customHeight="false" outlineLevel="0" collapsed="false">
      <c r="H264" s="26"/>
      <c r="I264" s="27" t="str">
        <f aca="false">IF(A264="","",IF(H264&lt;&gt;"",UPPER(TRIM(H264)),IFERROR(CHOOSE(VALUE(E264)+1,"A","B","C","D"),IF(OR(LEFT(UPPER(TRIM(E264)),1)="F",UPPER(TRIM(E264))="A"),"A",IF(OR(LEFT(UPPER(TRIM(E264)),1)="M",UPPER(TRIM(E264))="B"),"B",IF(OR(LEFT(UPPER(TRIM(E264)),2)="SL",UPPER(TRIM(E264))="C"),"C",IF(OR(LEFT(UPPER(TRIM(E264)),1)="D",UPPER(TRIM(E264))="D"),"D","")))))))</f>
        <v/>
      </c>
      <c r="J264" s="27" t="str">
        <f aca="false">IF(I264="","",IF(AND(I264="D",Settings!$B$6&lt;&gt;"Yes"),"",IFERROR(INDEX(Settings!$C$9:$C$12,MATCH(I264,Settings!$A$9:$A$12,0)),"")))</f>
        <v/>
      </c>
      <c r="K264" s="27" t="str">
        <f aca="false">IF(J264="","",COUNTIF($I$2:I264,I264))</f>
        <v/>
      </c>
      <c r="L264" s="27" t="str">
        <f aca="false">IF(J264="","",CHOOSE(Q264+1,"Tue","Wed","Thu","Fri"))</f>
        <v/>
      </c>
      <c r="M264" s="27" t="str">
        <f aca="false">IF(J264="","",IF(J264=1,"Every week",R264+1&amp;" of "&amp;J264))</f>
        <v/>
      </c>
      <c r="N264" s="28" t="str">
        <f aca="false">IF(J264="","",Settings!$B$4+R264*7+Q264)</f>
        <v/>
      </c>
      <c r="O264" s="28" t="str">
        <f aca="true">IF(J264="","",N264+MAX(0,ROUNDUP((TODAY()-N264)/(J264*7),0))*J264*7)</f>
        <v/>
      </c>
      <c r="P264" s="27" t="str">
        <f aca="false">IF(J264="","",MOD(K264-1,J264*4))</f>
        <v/>
      </c>
      <c r="Q264" s="27" t="str">
        <f aca="false">IF(J264="","",MOD(P264,4))</f>
        <v/>
      </c>
      <c r="R264" s="27" t="str">
        <f aca="false">IF(J264="","",INT(P264/4))</f>
        <v/>
      </c>
      <c r="S264" s="27" t="str">
        <f aca="false">IF(J264="","",IF(AND('Daily Count Sheet'!$H$3=Q264,MOD('Daily Count Sheet'!$I$3,J264)=R264),1,""))</f>
        <v/>
      </c>
      <c r="T264" s="27" t="str">
        <f aca="false">IF(S264=1,COUNTIF($S$2:S264,1),"")</f>
        <v/>
      </c>
    </row>
    <row r="265" customFormat="false" ht="15" hidden="false" customHeight="false" outlineLevel="0" collapsed="false">
      <c r="H265" s="26"/>
      <c r="I265" s="27" t="str">
        <f aca="false">IF(A265="","",IF(H265&lt;&gt;"",UPPER(TRIM(H265)),IFERROR(CHOOSE(VALUE(E265)+1,"A","B","C","D"),IF(OR(LEFT(UPPER(TRIM(E265)),1)="F",UPPER(TRIM(E265))="A"),"A",IF(OR(LEFT(UPPER(TRIM(E265)),1)="M",UPPER(TRIM(E265))="B"),"B",IF(OR(LEFT(UPPER(TRIM(E265)),2)="SL",UPPER(TRIM(E265))="C"),"C",IF(OR(LEFT(UPPER(TRIM(E265)),1)="D",UPPER(TRIM(E265))="D"),"D","")))))))</f>
        <v/>
      </c>
      <c r="J265" s="27" t="str">
        <f aca="false">IF(I265="","",IF(AND(I265="D",Settings!$B$6&lt;&gt;"Yes"),"",IFERROR(INDEX(Settings!$C$9:$C$12,MATCH(I265,Settings!$A$9:$A$12,0)),"")))</f>
        <v/>
      </c>
      <c r="K265" s="27" t="str">
        <f aca="false">IF(J265="","",COUNTIF($I$2:I265,I265))</f>
        <v/>
      </c>
      <c r="L265" s="27" t="str">
        <f aca="false">IF(J265="","",CHOOSE(Q265+1,"Tue","Wed","Thu","Fri"))</f>
        <v/>
      </c>
      <c r="M265" s="27" t="str">
        <f aca="false">IF(J265="","",IF(J265=1,"Every week",R265+1&amp;" of "&amp;J265))</f>
        <v/>
      </c>
      <c r="N265" s="28" t="str">
        <f aca="false">IF(J265="","",Settings!$B$4+R265*7+Q265)</f>
        <v/>
      </c>
      <c r="O265" s="28" t="str">
        <f aca="true">IF(J265="","",N265+MAX(0,ROUNDUP((TODAY()-N265)/(J265*7),0))*J265*7)</f>
        <v/>
      </c>
      <c r="P265" s="27" t="str">
        <f aca="false">IF(J265="","",MOD(K265-1,J265*4))</f>
        <v/>
      </c>
      <c r="Q265" s="27" t="str">
        <f aca="false">IF(J265="","",MOD(P265,4))</f>
        <v/>
      </c>
      <c r="R265" s="27" t="str">
        <f aca="false">IF(J265="","",INT(P265/4))</f>
        <v/>
      </c>
      <c r="S265" s="27" t="str">
        <f aca="false">IF(J265="","",IF(AND('Daily Count Sheet'!$H$3=Q265,MOD('Daily Count Sheet'!$I$3,J265)=R265),1,""))</f>
        <v/>
      </c>
      <c r="T265" s="27" t="str">
        <f aca="false">IF(S265=1,COUNTIF($S$2:S265,1),"")</f>
        <v/>
      </c>
    </row>
    <row r="266" customFormat="false" ht="15" hidden="false" customHeight="false" outlineLevel="0" collapsed="false">
      <c r="H266" s="26"/>
      <c r="I266" s="27" t="str">
        <f aca="false">IF(A266="","",IF(H266&lt;&gt;"",UPPER(TRIM(H266)),IFERROR(CHOOSE(VALUE(E266)+1,"A","B","C","D"),IF(OR(LEFT(UPPER(TRIM(E266)),1)="F",UPPER(TRIM(E266))="A"),"A",IF(OR(LEFT(UPPER(TRIM(E266)),1)="M",UPPER(TRIM(E266))="B"),"B",IF(OR(LEFT(UPPER(TRIM(E266)),2)="SL",UPPER(TRIM(E266))="C"),"C",IF(OR(LEFT(UPPER(TRIM(E266)),1)="D",UPPER(TRIM(E266))="D"),"D","")))))))</f>
        <v/>
      </c>
      <c r="J266" s="27" t="str">
        <f aca="false">IF(I266="","",IF(AND(I266="D",Settings!$B$6&lt;&gt;"Yes"),"",IFERROR(INDEX(Settings!$C$9:$C$12,MATCH(I266,Settings!$A$9:$A$12,0)),"")))</f>
        <v/>
      </c>
      <c r="K266" s="27" t="str">
        <f aca="false">IF(J266="","",COUNTIF($I$2:I266,I266))</f>
        <v/>
      </c>
      <c r="L266" s="27" t="str">
        <f aca="false">IF(J266="","",CHOOSE(Q266+1,"Tue","Wed","Thu","Fri"))</f>
        <v/>
      </c>
      <c r="M266" s="27" t="str">
        <f aca="false">IF(J266="","",IF(J266=1,"Every week",R266+1&amp;" of "&amp;J266))</f>
        <v/>
      </c>
      <c r="N266" s="28" t="str">
        <f aca="false">IF(J266="","",Settings!$B$4+R266*7+Q266)</f>
        <v/>
      </c>
      <c r="O266" s="28" t="str">
        <f aca="true">IF(J266="","",N266+MAX(0,ROUNDUP((TODAY()-N266)/(J266*7),0))*J266*7)</f>
        <v/>
      </c>
      <c r="P266" s="27" t="str">
        <f aca="false">IF(J266="","",MOD(K266-1,J266*4))</f>
        <v/>
      </c>
      <c r="Q266" s="27" t="str">
        <f aca="false">IF(J266="","",MOD(P266,4))</f>
        <v/>
      </c>
      <c r="R266" s="27" t="str">
        <f aca="false">IF(J266="","",INT(P266/4))</f>
        <v/>
      </c>
      <c r="S266" s="27" t="str">
        <f aca="false">IF(J266="","",IF(AND('Daily Count Sheet'!$H$3=Q266,MOD('Daily Count Sheet'!$I$3,J266)=R266),1,""))</f>
        <v/>
      </c>
      <c r="T266" s="27" t="str">
        <f aca="false">IF(S266=1,COUNTIF($S$2:S266,1),"")</f>
        <v/>
      </c>
    </row>
    <row r="267" customFormat="false" ht="15" hidden="false" customHeight="false" outlineLevel="0" collapsed="false">
      <c r="H267" s="26"/>
      <c r="I267" s="27" t="str">
        <f aca="false">IF(A267="","",IF(H267&lt;&gt;"",UPPER(TRIM(H267)),IFERROR(CHOOSE(VALUE(E267)+1,"A","B","C","D"),IF(OR(LEFT(UPPER(TRIM(E267)),1)="F",UPPER(TRIM(E267))="A"),"A",IF(OR(LEFT(UPPER(TRIM(E267)),1)="M",UPPER(TRIM(E267))="B"),"B",IF(OR(LEFT(UPPER(TRIM(E267)),2)="SL",UPPER(TRIM(E267))="C"),"C",IF(OR(LEFT(UPPER(TRIM(E267)),1)="D",UPPER(TRIM(E267))="D"),"D","")))))))</f>
        <v/>
      </c>
      <c r="J267" s="27" t="str">
        <f aca="false">IF(I267="","",IF(AND(I267="D",Settings!$B$6&lt;&gt;"Yes"),"",IFERROR(INDEX(Settings!$C$9:$C$12,MATCH(I267,Settings!$A$9:$A$12,0)),"")))</f>
        <v/>
      </c>
      <c r="K267" s="27" t="str">
        <f aca="false">IF(J267="","",COUNTIF($I$2:I267,I267))</f>
        <v/>
      </c>
      <c r="L267" s="27" t="str">
        <f aca="false">IF(J267="","",CHOOSE(Q267+1,"Tue","Wed","Thu","Fri"))</f>
        <v/>
      </c>
      <c r="M267" s="27" t="str">
        <f aca="false">IF(J267="","",IF(J267=1,"Every week",R267+1&amp;" of "&amp;J267))</f>
        <v/>
      </c>
      <c r="N267" s="28" t="str">
        <f aca="false">IF(J267="","",Settings!$B$4+R267*7+Q267)</f>
        <v/>
      </c>
      <c r="O267" s="28" t="str">
        <f aca="true">IF(J267="","",N267+MAX(0,ROUNDUP((TODAY()-N267)/(J267*7),0))*J267*7)</f>
        <v/>
      </c>
      <c r="P267" s="27" t="str">
        <f aca="false">IF(J267="","",MOD(K267-1,J267*4))</f>
        <v/>
      </c>
      <c r="Q267" s="27" t="str">
        <f aca="false">IF(J267="","",MOD(P267,4))</f>
        <v/>
      </c>
      <c r="R267" s="27" t="str">
        <f aca="false">IF(J267="","",INT(P267/4))</f>
        <v/>
      </c>
      <c r="S267" s="27" t="str">
        <f aca="false">IF(J267="","",IF(AND('Daily Count Sheet'!$H$3=Q267,MOD('Daily Count Sheet'!$I$3,J267)=R267),1,""))</f>
        <v/>
      </c>
      <c r="T267" s="27" t="str">
        <f aca="false">IF(S267=1,COUNTIF($S$2:S267,1),"")</f>
        <v/>
      </c>
    </row>
    <row r="268" customFormat="false" ht="15" hidden="false" customHeight="false" outlineLevel="0" collapsed="false">
      <c r="H268" s="26"/>
      <c r="I268" s="27" t="str">
        <f aca="false">IF(A268="","",IF(H268&lt;&gt;"",UPPER(TRIM(H268)),IFERROR(CHOOSE(VALUE(E268)+1,"A","B","C","D"),IF(OR(LEFT(UPPER(TRIM(E268)),1)="F",UPPER(TRIM(E268))="A"),"A",IF(OR(LEFT(UPPER(TRIM(E268)),1)="M",UPPER(TRIM(E268))="B"),"B",IF(OR(LEFT(UPPER(TRIM(E268)),2)="SL",UPPER(TRIM(E268))="C"),"C",IF(OR(LEFT(UPPER(TRIM(E268)),1)="D",UPPER(TRIM(E268))="D"),"D","")))))))</f>
        <v/>
      </c>
      <c r="J268" s="27" t="str">
        <f aca="false">IF(I268="","",IF(AND(I268="D",Settings!$B$6&lt;&gt;"Yes"),"",IFERROR(INDEX(Settings!$C$9:$C$12,MATCH(I268,Settings!$A$9:$A$12,0)),"")))</f>
        <v/>
      </c>
      <c r="K268" s="27" t="str">
        <f aca="false">IF(J268="","",COUNTIF($I$2:I268,I268))</f>
        <v/>
      </c>
      <c r="L268" s="27" t="str">
        <f aca="false">IF(J268="","",CHOOSE(Q268+1,"Tue","Wed","Thu","Fri"))</f>
        <v/>
      </c>
      <c r="M268" s="27" t="str">
        <f aca="false">IF(J268="","",IF(J268=1,"Every week",R268+1&amp;" of "&amp;J268))</f>
        <v/>
      </c>
      <c r="N268" s="28" t="str">
        <f aca="false">IF(J268="","",Settings!$B$4+R268*7+Q268)</f>
        <v/>
      </c>
      <c r="O268" s="28" t="str">
        <f aca="true">IF(J268="","",N268+MAX(0,ROUNDUP((TODAY()-N268)/(J268*7),0))*J268*7)</f>
        <v/>
      </c>
      <c r="P268" s="27" t="str">
        <f aca="false">IF(J268="","",MOD(K268-1,J268*4))</f>
        <v/>
      </c>
      <c r="Q268" s="27" t="str">
        <f aca="false">IF(J268="","",MOD(P268,4))</f>
        <v/>
      </c>
      <c r="R268" s="27" t="str">
        <f aca="false">IF(J268="","",INT(P268/4))</f>
        <v/>
      </c>
      <c r="S268" s="27" t="str">
        <f aca="false">IF(J268="","",IF(AND('Daily Count Sheet'!$H$3=Q268,MOD('Daily Count Sheet'!$I$3,J268)=R268),1,""))</f>
        <v/>
      </c>
      <c r="T268" s="27" t="str">
        <f aca="false">IF(S268=1,COUNTIF($S$2:S268,1),"")</f>
        <v/>
      </c>
    </row>
    <row r="269" customFormat="false" ht="15" hidden="false" customHeight="false" outlineLevel="0" collapsed="false">
      <c r="H269" s="26"/>
      <c r="I269" s="27" t="str">
        <f aca="false">IF(A269="","",IF(H269&lt;&gt;"",UPPER(TRIM(H269)),IFERROR(CHOOSE(VALUE(E269)+1,"A","B","C","D"),IF(OR(LEFT(UPPER(TRIM(E269)),1)="F",UPPER(TRIM(E269))="A"),"A",IF(OR(LEFT(UPPER(TRIM(E269)),1)="M",UPPER(TRIM(E269))="B"),"B",IF(OR(LEFT(UPPER(TRIM(E269)),2)="SL",UPPER(TRIM(E269))="C"),"C",IF(OR(LEFT(UPPER(TRIM(E269)),1)="D",UPPER(TRIM(E269))="D"),"D","")))))))</f>
        <v/>
      </c>
      <c r="J269" s="27" t="str">
        <f aca="false">IF(I269="","",IF(AND(I269="D",Settings!$B$6&lt;&gt;"Yes"),"",IFERROR(INDEX(Settings!$C$9:$C$12,MATCH(I269,Settings!$A$9:$A$12,0)),"")))</f>
        <v/>
      </c>
      <c r="K269" s="27" t="str">
        <f aca="false">IF(J269="","",COUNTIF($I$2:I269,I269))</f>
        <v/>
      </c>
      <c r="L269" s="27" t="str">
        <f aca="false">IF(J269="","",CHOOSE(Q269+1,"Tue","Wed","Thu","Fri"))</f>
        <v/>
      </c>
      <c r="M269" s="27" t="str">
        <f aca="false">IF(J269="","",IF(J269=1,"Every week",R269+1&amp;" of "&amp;J269))</f>
        <v/>
      </c>
      <c r="N269" s="28" t="str">
        <f aca="false">IF(J269="","",Settings!$B$4+R269*7+Q269)</f>
        <v/>
      </c>
      <c r="O269" s="28" t="str">
        <f aca="true">IF(J269="","",N269+MAX(0,ROUNDUP((TODAY()-N269)/(J269*7),0))*J269*7)</f>
        <v/>
      </c>
      <c r="P269" s="27" t="str">
        <f aca="false">IF(J269="","",MOD(K269-1,J269*4))</f>
        <v/>
      </c>
      <c r="Q269" s="27" t="str">
        <f aca="false">IF(J269="","",MOD(P269,4))</f>
        <v/>
      </c>
      <c r="R269" s="27" t="str">
        <f aca="false">IF(J269="","",INT(P269/4))</f>
        <v/>
      </c>
      <c r="S269" s="27" t="str">
        <f aca="false">IF(J269="","",IF(AND('Daily Count Sheet'!$H$3=Q269,MOD('Daily Count Sheet'!$I$3,J269)=R269),1,""))</f>
        <v/>
      </c>
      <c r="T269" s="27" t="str">
        <f aca="false">IF(S269=1,COUNTIF($S$2:S269,1),"")</f>
        <v/>
      </c>
    </row>
    <row r="270" customFormat="false" ht="15" hidden="false" customHeight="false" outlineLevel="0" collapsed="false">
      <c r="H270" s="26"/>
      <c r="I270" s="27" t="str">
        <f aca="false">IF(A270="","",IF(H270&lt;&gt;"",UPPER(TRIM(H270)),IFERROR(CHOOSE(VALUE(E270)+1,"A","B","C","D"),IF(OR(LEFT(UPPER(TRIM(E270)),1)="F",UPPER(TRIM(E270))="A"),"A",IF(OR(LEFT(UPPER(TRIM(E270)),1)="M",UPPER(TRIM(E270))="B"),"B",IF(OR(LEFT(UPPER(TRIM(E270)),2)="SL",UPPER(TRIM(E270))="C"),"C",IF(OR(LEFT(UPPER(TRIM(E270)),1)="D",UPPER(TRIM(E270))="D"),"D","")))))))</f>
        <v/>
      </c>
      <c r="J270" s="27" t="str">
        <f aca="false">IF(I270="","",IF(AND(I270="D",Settings!$B$6&lt;&gt;"Yes"),"",IFERROR(INDEX(Settings!$C$9:$C$12,MATCH(I270,Settings!$A$9:$A$12,0)),"")))</f>
        <v/>
      </c>
      <c r="K270" s="27" t="str">
        <f aca="false">IF(J270="","",COUNTIF($I$2:I270,I270))</f>
        <v/>
      </c>
      <c r="L270" s="27" t="str">
        <f aca="false">IF(J270="","",CHOOSE(Q270+1,"Tue","Wed","Thu","Fri"))</f>
        <v/>
      </c>
      <c r="M270" s="27" t="str">
        <f aca="false">IF(J270="","",IF(J270=1,"Every week",R270+1&amp;" of "&amp;J270))</f>
        <v/>
      </c>
      <c r="N270" s="28" t="str">
        <f aca="false">IF(J270="","",Settings!$B$4+R270*7+Q270)</f>
        <v/>
      </c>
      <c r="O270" s="28" t="str">
        <f aca="true">IF(J270="","",N270+MAX(0,ROUNDUP((TODAY()-N270)/(J270*7),0))*J270*7)</f>
        <v/>
      </c>
      <c r="P270" s="27" t="str">
        <f aca="false">IF(J270="","",MOD(K270-1,J270*4))</f>
        <v/>
      </c>
      <c r="Q270" s="27" t="str">
        <f aca="false">IF(J270="","",MOD(P270,4))</f>
        <v/>
      </c>
      <c r="R270" s="27" t="str">
        <f aca="false">IF(J270="","",INT(P270/4))</f>
        <v/>
      </c>
      <c r="S270" s="27" t="str">
        <f aca="false">IF(J270="","",IF(AND('Daily Count Sheet'!$H$3=Q270,MOD('Daily Count Sheet'!$I$3,J270)=R270),1,""))</f>
        <v/>
      </c>
      <c r="T270" s="27" t="str">
        <f aca="false">IF(S270=1,COUNTIF($S$2:S270,1),"")</f>
        <v/>
      </c>
    </row>
    <row r="271" customFormat="false" ht="15" hidden="false" customHeight="false" outlineLevel="0" collapsed="false">
      <c r="H271" s="26"/>
      <c r="I271" s="27" t="str">
        <f aca="false">IF(A271="","",IF(H271&lt;&gt;"",UPPER(TRIM(H271)),IFERROR(CHOOSE(VALUE(E271)+1,"A","B","C","D"),IF(OR(LEFT(UPPER(TRIM(E271)),1)="F",UPPER(TRIM(E271))="A"),"A",IF(OR(LEFT(UPPER(TRIM(E271)),1)="M",UPPER(TRIM(E271))="B"),"B",IF(OR(LEFT(UPPER(TRIM(E271)),2)="SL",UPPER(TRIM(E271))="C"),"C",IF(OR(LEFT(UPPER(TRIM(E271)),1)="D",UPPER(TRIM(E271))="D"),"D","")))))))</f>
        <v/>
      </c>
      <c r="J271" s="27" t="str">
        <f aca="false">IF(I271="","",IF(AND(I271="D",Settings!$B$6&lt;&gt;"Yes"),"",IFERROR(INDEX(Settings!$C$9:$C$12,MATCH(I271,Settings!$A$9:$A$12,0)),"")))</f>
        <v/>
      </c>
      <c r="K271" s="27" t="str">
        <f aca="false">IF(J271="","",COUNTIF($I$2:I271,I271))</f>
        <v/>
      </c>
      <c r="L271" s="27" t="str">
        <f aca="false">IF(J271="","",CHOOSE(Q271+1,"Tue","Wed","Thu","Fri"))</f>
        <v/>
      </c>
      <c r="M271" s="27" t="str">
        <f aca="false">IF(J271="","",IF(J271=1,"Every week",R271+1&amp;" of "&amp;J271))</f>
        <v/>
      </c>
      <c r="N271" s="28" t="str">
        <f aca="false">IF(J271="","",Settings!$B$4+R271*7+Q271)</f>
        <v/>
      </c>
      <c r="O271" s="28" t="str">
        <f aca="true">IF(J271="","",N271+MAX(0,ROUNDUP((TODAY()-N271)/(J271*7),0))*J271*7)</f>
        <v/>
      </c>
      <c r="P271" s="27" t="str">
        <f aca="false">IF(J271="","",MOD(K271-1,J271*4))</f>
        <v/>
      </c>
      <c r="Q271" s="27" t="str">
        <f aca="false">IF(J271="","",MOD(P271,4))</f>
        <v/>
      </c>
      <c r="R271" s="27" t="str">
        <f aca="false">IF(J271="","",INT(P271/4))</f>
        <v/>
      </c>
      <c r="S271" s="27" t="str">
        <f aca="false">IF(J271="","",IF(AND('Daily Count Sheet'!$H$3=Q271,MOD('Daily Count Sheet'!$I$3,J271)=R271),1,""))</f>
        <v/>
      </c>
      <c r="T271" s="27" t="str">
        <f aca="false">IF(S271=1,COUNTIF($S$2:S271,1),"")</f>
        <v/>
      </c>
    </row>
    <row r="272" customFormat="false" ht="15" hidden="false" customHeight="false" outlineLevel="0" collapsed="false">
      <c r="H272" s="26"/>
      <c r="I272" s="27" t="str">
        <f aca="false">IF(A272="","",IF(H272&lt;&gt;"",UPPER(TRIM(H272)),IFERROR(CHOOSE(VALUE(E272)+1,"A","B","C","D"),IF(OR(LEFT(UPPER(TRIM(E272)),1)="F",UPPER(TRIM(E272))="A"),"A",IF(OR(LEFT(UPPER(TRIM(E272)),1)="M",UPPER(TRIM(E272))="B"),"B",IF(OR(LEFT(UPPER(TRIM(E272)),2)="SL",UPPER(TRIM(E272))="C"),"C",IF(OR(LEFT(UPPER(TRIM(E272)),1)="D",UPPER(TRIM(E272))="D"),"D","")))))))</f>
        <v/>
      </c>
      <c r="J272" s="27" t="str">
        <f aca="false">IF(I272="","",IF(AND(I272="D",Settings!$B$6&lt;&gt;"Yes"),"",IFERROR(INDEX(Settings!$C$9:$C$12,MATCH(I272,Settings!$A$9:$A$12,0)),"")))</f>
        <v/>
      </c>
      <c r="K272" s="27" t="str">
        <f aca="false">IF(J272="","",COUNTIF($I$2:I272,I272))</f>
        <v/>
      </c>
      <c r="L272" s="27" t="str">
        <f aca="false">IF(J272="","",CHOOSE(Q272+1,"Tue","Wed","Thu","Fri"))</f>
        <v/>
      </c>
      <c r="M272" s="27" t="str">
        <f aca="false">IF(J272="","",IF(J272=1,"Every week",R272+1&amp;" of "&amp;J272))</f>
        <v/>
      </c>
      <c r="N272" s="28" t="str">
        <f aca="false">IF(J272="","",Settings!$B$4+R272*7+Q272)</f>
        <v/>
      </c>
      <c r="O272" s="28" t="str">
        <f aca="true">IF(J272="","",N272+MAX(0,ROUNDUP((TODAY()-N272)/(J272*7),0))*J272*7)</f>
        <v/>
      </c>
      <c r="P272" s="27" t="str">
        <f aca="false">IF(J272="","",MOD(K272-1,J272*4))</f>
        <v/>
      </c>
      <c r="Q272" s="27" t="str">
        <f aca="false">IF(J272="","",MOD(P272,4))</f>
        <v/>
      </c>
      <c r="R272" s="27" t="str">
        <f aca="false">IF(J272="","",INT(P272/4))</f>
        <v/>
      </c>
      <c r="S272" s="27" t="str">
        <f aca="false">IF(J272="","",IF(AND('Daily Count Sheet'!$H$3=Q272,MOD('Daily Count Sheet'!$I$3,J272)=R272),1,""))</f>
        <v/>
      </c>
      <c r="T272" s="27" t="str">
        <f aca="false">IF(S272=1,COUNTIF($S$2:S272,1),"")</f>
        <v/>
      </c>
    </row>
    <row r="273" customFormat="false" ht="15" hidden="false" customHeight="false" outlineLevel="0" collapsed="false">
      <c r="H273" s="26"/>
      <c r="I273" s="27" t="str">
        <f aca="false">IF(A273="","",IF(H273&lt;&gt;"",UPPER(TRIM(H273)),IFERROR(CHOOSE(VALUE(E273)+1,"A","B","C","D"),IF(OR(LEFT(UPPER(TRIM(E273)),1)="F",UPPER(TRIM(E273))="A"),"A",IF(OR(LEFT(UPPER(TRIM(E273)),1)="M",UPPER(TRIM(E273))="B"),"B",IF(OR(LEFT(UPPER(TRIM(E273)),2)="SL",UPPER(TRIM(E273))="C"),"C",IF(OR(LEFT(UPPER(TRIM(E273)),1)="D",UPPER(TRIM(E273))="D"),"D","")))))))</f>
        <v/>
      </c>
      <c r="J273" s="27" t="str">
        <f aca="false">IF(I273="","",IF(AND(I273="D",Settings!$B$6&lt;&gt;"Yes"),"",IFERROR(INDEX(Settings!$C$9:$C$12,MATCH(I273,Settings!$A$9:$A$12,0)),"")))</f>
        <v/>
      </c>
      <c r="K273" s="27" t="str">
        <f aca="false">IF(J273="","",COUNTIF($I$2:I273,I273))</f>
        <v/>
      </c>
      <c r="L273" s="27" t="str">
        <f aca="false">IF(J273="","",CHOOSE(Q273+1,"Tue","Wed","Thu","Fri"))</f>
        <v/>
      </c>
      <c r="M273" s="27" t="str">
        <f aca="false">IF(J273="","",IF(J273=1,"Every week",R273+1&amp;" of "&amp;J273))</f>
        <v/>
      </c>
      <c r="N273" s="28" t="str">
        <f aca="false">IF(J273="","",Settings!$B$4+R273*7+Q273)</f>
        <v/>
      </c>
      <c r="O273" s="28" t="str">
        <f aca="true">IF(J273="","",N273+MAX(0,ROUNDUP((TODAY()-N273)/(J273*7),0))*J273*7)</f>
        <v/>
      </c>
      <c r="P273" s="27" t="str">
        <f aca="false">IF(J273="","",MOD(K273-1,J273*4))</f>
        <v/>
      </c>
      <c r="Q273" s="27" t="str">
        <f aca="false">IF(J273="","",MOD(P273,4))</f>
        <v/>
      </c>
      <c r="R273" s="27" t="str">
        <f aca="false">IF(J273="","",INT(P273/4))</f>
        <v/>
      </c>
      <c r="S273" s="27" t="str">
        <f aca="false">IF(J273="","",IF(AND('Daily Count Sheet'!$H$3=Q273,MOD('Daily Count Sheet'!$I$3,J273)=R273),1,""))</f>
        <v/>
      </c>
      <c r="T273" s="27" t="str">
        <f aca="false">IF(S273=1,COUNTIF($S$2:S273,1),"")</f>
        <v/>
      </c>
    </row>
    <row r="274" customFormat="false" ht="15" hidden="false" customHeight="false" outlineLevel="0" collapsed="false">
      <c r="H274" s="26"/>
      <c r="I274" s="27" t="str">
        <f aca="false">IF(A274="","",IF(H274&lt;&gt;"",UPPER(TRIM(H274)),IFERROR(CHOOSE(VALUE(E274)+1,"A","B","C","D"),IF(OR(LEFT(UPPER(TRIM(E274)),1)="F",UPPER(TRIM(E274))="A"),"A",IF(OR(LEFT(UPPER(TRIM(E274)),1)="M",UPPER(TRIM(E274))="B"),"B",IF(OR(LEFT(UPPER(TRIM(E274)),2)="SL",UPPER(TRIM(E274))="C"),"C",IF(OR(LEFT(UPPER(TRIM(E274)),1)="D",UPPER(TRIM(E274))="D"),"D","")))))))</f>
        <v/>
      </c>
      <c r="J274" s="27" t="str">
        <f aca="false">IF(I274="","",IF(AND(I274="D",Settings!$B$6&lt;&gt;"Yes"),"",IFERROR(INDEX(Settings!$C$9:$C$12,MATCH(I274,Settings!$A$9:$A$12,0)),"")))</f>
        <v/>
      </c>
      <c r="K274" s="27" t="str">
        <f aca="false">IF(J274="","",COUNTIF($I$2:I274,I274))</f>
        <v/>
      </c>
      <c r="L274" s="27" t="str">
        <f aca="false">IF(J274="","",CHOOSE(Q274+1,"Tue","Wed","Thu","Fri"))</f>
        <v/>
      </c>
      <c r="M274" s="27" t="str">
        <f aca="false">IF(J274="","",IF(J274=1,"Every week",R274+1&amp;" of "&amp;J274))</f>
        <v/>
      </c>
      <c r="N274" s="28" t="str">
        <f aca="false">IF(J274="","",Settings!$B$4+R274*7+Q274)</f>
        <v/>
      </c>
      <c r="O274" s="28" t="str">
        <f aca="true">IF(J274="","",N274+MAX(0,ROUNDUP((TODAY()-N274)/(J274*7),0))*J274*7)</f>
        <v/>
      </c>
      <c r="P274" s="27" t="str">
        <f aca="false">IF(J274="","",MOD(K274-1,J274*4))</f>
        <v/>
      </c>
      <c r="Q274" s="27" t="str">
        <f aca="false">IF(J274="","",MOD(P274,4))</f>
        <v/>
      </c>
      <c r="R274" s="27" t="str">
        <f aca="false">IF(J274="","",INT(P274/4))</f>
        <v/>
      </c>
      <c r="S274" s="27" t="str">
        <f aca="false">IF(J274="","",IF(AND('Daily Count Sheet'!$H$3=Q274,MOD('Daily Count Sheet'!$I$3,J274)=R274),1,""))</f>
        <v/>
      </c>
      <c r="T274" s="27" t="str">
        <f aca="false">IF(S274=1,COUNTIF($S$2:S274,1),"")</f>
        <v/>
      </c>
    </row>
    <row r="275" customFormat="false" ht="15" hidden="false" customHeight="false" outlineLevel="0" collapsed="false">
      <c r="H275" s="26"/>
      <c r="I275" s="27" t="str">
        <f aca="false">IF(A275="","",IF(H275&lt;&gt;"",UPPER(TRIM(H275)),IFERROR(CHOOSE(VALUE(E275)+1,"A","B","C","D"),IF(OR(LEFT(UPPER(TRIM(E275)),1)="F",UPPER(TRIM(E275))="A"),"A",IF(OR(LEFT(UPPER(TRIM(E275)),1)="M",UPPER(TRIM(E275))="B"),"B",IF(OR(LEFT(UPPER(TRIM(E275)),2)="SL",UPPER(TRIM(E275))="C"),"C",IF(OR(LEFT(UPPER(TRIM(E275)),1)="D",UPPER(TRIM(E275))="D"),"D","")))))))</f>
        <v/>
      </c>
      <c r="J275" s="27" t="str">
        <f aca="false">IF(I275="","",IF(AND(I275="D",Settings!$B$6&lt;&gt;"Yes"),"",IFERROR(INDEX(Settings!$C$9:$C$12,MATCH(I275,Settings!$A$9:$A$12,0)),"")))</f>
        <v/>
      </c>
      <c r="K275" s="27" t="str">
        <f aca="false">IF(J275="","",COUNTIF($I$2:I275,I275))</f>
        <v/>
      </c>
      <c r="L275" s="27" t="str">
        <f aca="false">IF(J275="","",CHOOSE(Q275+1,"Tue","Wed","Thu","Fri"))</f>
        <v/>
      </c>
      <c r="M275" s="27" t="str">
        <f aca="false">IF(J275="","",IF(J275=1,"Every week",R275+1&amp;" of "&amp;J275))</f>
        <v/>
      </c>
      <c r="N275" s="28" t="str">
        <f aca="false">IF(J275="","",Settings!$B$4+R275*7+Q275)</f>
        <v/>
      </c>
      <c r="O275" s="28" t="str">
        <f aca="true">IF(J275="","",N275+MAX(0,ROUNDUP((TODAY()-N275)/(J275*7),0))*J275*7)</f>
        <v/>
      </c>
      <c r="P275" s="27" t="str">
        <f aca="false">IF(J275="","",MOD(K275-1,J275*4))</f>
        <v/>
      </c>
      <c r="Q275" s="27" t="str">
        <f aca="false">IF(J275="","",MOD(P275,4))</f>
        <v/>
      </c>
      <c r="R275" s="27" t="str">
        <f aca="false">IF(J275="","",INT(P275/4))</f>
        <v/>
      </c>
      <c r="S275" s="27" t="str">
        <f aca="false">IF(J275="","",IF(AND('Daily Count Sheet'!$H$3=Q275,MOD('Daily Count Sheet'!$I$3,J275)=R275),1,""))</f>
        <v/>
      </c>
      <c r="T275" s="27" t="str">
        <f aca="false">IF(S275=1,COUNTIF($S$2:S275,1),"")</f>
        <v/>
      </c>
    </row>
    <row r="276" customFormat="false" ht="15" hidden="false" customHeight="false" outlineLevel="0" collapsed="false">
      <c r="H276" s="26"/>
      <c r="I276" s="27" t="str">
        <f aca="false">IF(A276="","",IF(H276&lt;&gt;"",UPPER(TRIM(H276)),IFERROR(CHOOSE(VALUE(E276)+1,"A","B","C","D"),IF(OR(LEFT(UPPER(TRIM(E276)),1)="F",UPPER(TRIM(E276))="A"),"A",IF(OR(LEFT(UPPER(TRIM(E276)),1)="M",UPPER(TRIM(E276))="B"),"B",IF(OR(LEFT(UPPER(TRIM(E276)),2)="SL",UPPER(TRIM(E276))="C"),"C",IF(OR(LEFT(UPPER(TRIM(E276)),1)="D",UPPER(TRIM(E276))="D"),"D","")))))))</f>
        <v/>
      </c>
      <c r="J276" s="27" t="str">
        <f aca="false">IF(I276="","",IF(AND(I276="D",Settings!$B$6&lt;&gt;"Yes"),"",IFERROR(INDEX(Settings!$C$9:$C$12,MATCH(I276,Settings!$A$9:$A$12,0)),"")))</f>
        <v/>
      </c>
      <c r="K276" s="27" t="str">
        <f aca="false">IF(J276="","",COUNTIF($I$2:I276,I276))</f>
        <v/>
      </c>
      <c r="L276" s="27" t="str">
        <f aca="false">IF(J276="","",CHOOSE(Q276+1,"Tue","Wed","Thu","Fri"))</f>
        <v/>
      </c>
      <c r="M276" s="27" t="str">
        <f aca="false">IF(J276="","",IF(J276=1,"Every week",R276+1&amp;" of "&amp;J276))</f>
        <v/>
      </c>
      <c r="N276" s="28" t="str">
        <f aca="false">IF(J276="","",Settings!$B$4+R276*7+Q276)</f>
        <v/>
      </c>
      <c r="O276" s="28" t="str">
        <f aca="true">IF(J276="","",N276+MAX(0,ROUNDUP((TODAY()-N276)/(J276*7),0))*J276*7)</f>
        <v/>
      </c>
      <c r="P276" s="27" t="str">
        <f aca="false">IF(J276="","",MOD(K276-1,J276*4))</f>
        <v/>
      </c>
      <c r="Q276" s="27" t="str">
        <f aca="false">IF(J276="","",MOD(P276,4))</f>
        <v/>
      </c>
      <c r="R276" s="27" t="str">
        <f aca="false">IF(J276="","",INT(P276/4))</f>
        <v/>
      </c>
      <c r="S276" s="27" t="str">
        <f aca="false">IF(J276="","",IF(AND('Daily Count Sheet'!$H$3=Q276,MOD('Daily Count Sheet'!$I$3,J276)=R276),1,""))</f>
        <v/>
      </c>
      <c r="T276" s="27" t="str">
        <f aca="false">IF(S276=1,COUNTIF($S$2:S276,1),"")</f>
        <v/>
      </c>
    </row>
    <row r="277" customFormat="false" ht="15" hidden="false" customHeight="false" outlineLevel="0" collapsed="false">
      <c r="H277" s="26"/>
      <c r="I277" s="27" t="str">
        <f aca="false">IF(A277="","",IF(H277&lt;&gt;"",UPPER(TRIM(H277)),IFERROR(CHOOSE(VALUE(E277)+1,"A","B","C","D"),IF(OR(LEFT(UPPER(TRIM(E277)),1)="F",UPPER(TRIM(E277))="A"),"A",IF(OR(LEFT(UPPER(TRIM(E277)),1)="M",UPPER(TRIM(E277))="B"),"B",IF(OR(LEFT(UPPER(TRIM(E277)),2)="SL",UPPER(TRIM(E277))="C"),"C",IF(OR(LEFT(UPPER(TRIM(E277)),1)="D",UPPER(TRIM(E277))="D"),"D","")))))))</f>
        <v/>
      </c>
      <c r="J277" s="27" t="str">
        <f aca="false">IF(I277="","",IF(AND(I277="D",Settings!$B$6&lt;&gt;"Yes"),"",IFERROR(INDEX(Settings!$C$9:$C$12,MATCH(I277,Settings!$A$9:$A$12,0)),"")))</f>
        <v/>
      </c>
      <c r="K277" s="27" t="str">
        <f aca="false">IF(J277="","",COUNTIF($I$2:I277,I277))</f>
        <v/>
      </c>
      <c r="L277" s="27" t="str">
        <f aca="false">IF(J277="","",CHOOSE(Q277+1,"Tue","Wed","Thu","Fri"))</f>
        <v/>
      </c>
      <c r="M277" s="27" t="str">
        <f aca="false">IF(J277="","",IF(J277=1,"Every week",R277+1&amp;" of "&amp;J277))</f>
        <v/>
      </c>
      <c r="N277" s="28" t="str">
        <f aca="false">IF(J277="","",Settings!$B$4+R277*7+Q277)</f>
        <v/>
      </c>
      <c r="O277" s="28" t="str">
        <f aca="true">IF(J277="","",N277+MAX(0,ROUNDUP((TODAY()-N277)/(J277*7),0))*J277*7)</f>
        <v/>
      </c>
      <c r="P277" s="27" t="str">
        <f aca="false">IF(J277="","",MOD(K277-1,J277*4))</f>
        <v/>
      </c>
      <c r="Q277" s="27" t="str">
        <f aca="false">IF(J277="","",MOD(P277,4))</f>
        <v/>
      </c>
      <c r="R277" s="27" t="str">
        <f aca="false">IF(J277="","",INT(P277/4))</f>
        <v/>
      </c>
      <c r="S277" s="27" t="str">
        <f aca="false">IF(J277="","",IF(AND('Daily Count Sheet'!$H$3=Q277,MOD('Daily Count Sheet'!$I$3,J277)=R277),1,""))</f>
        <v/>
      </c>
      <c r="T277" s="27" t="str">
        <f aca="false">IF(S277=1,COUNTIF($S$2:S277,1),"")</f>
        <v/>
      </c>
    </row>
    <row r="278" customFormat="false" ht="15" hidden="false" customHeight="false" outlineLevel="0" collapsed="false">
      <c r="H278" s="26"/>
      <c r="I278" s="27" t="str">
        <f aca="false">IF(A278="","",IF(H278&lt;&gt;"",UPPER(TRIM(H278)),IFERROR(CHOOSE(VALUE(E278)+1,"A","B","C","D"),IF(OR(LEFT(UPPER(TRIM(E278)),1)="F",UPPER(TRIM(E278))="A"),"A",IF(OR(LEFT(UPPER(TRIM(E278)),1)="M",UPPER(TRIM(E278))="B"),"B",IF(OR(LEFT(UPPER(TRIM(E278)),2)="SL",UPPER(TRIM(E278))="C"),"C",IF(OR(LEFT(UPPER(TRIM(E278)),1)="D",UPPER(TRIM(E278))="D"),"D","")))))))</f>
        <v/>
      </c>
      <c r="J278" s="27" t="str">
        <f aca="false">IF(I278="","",IF(AND(I278="D",Settings!$B$6&lt;&gt;"Yes"),"",IFERROR(INDEX(Settings!$C$9:$C$12,MATCH(I278,Settings!$A$9:$A$12,0)),"")))</f>
        <v/>
      </c>
      <c r="K278" s="27" t="str">
        <f aca="false">IF(J278="","",COUNTIF($I$2:I278,I278))</f>
        <v/>
      </c>
      <c r="L278" s="27" t="str">
        <f aca="false">IF(J278="","",CHOOSE(Q278+1,"Tue","Wed","Thu","Fri"))</f>
        <v/>
      </c>
      <c r="M278" s="27" t="str">
        <f aca="false">IF(J278="","",IF(J278=1,"Every week",R278+1&amp;" of "&amp;J278))</f>
        <v/>
      </c>
      <c r="N278" s="28" t="str">
        <f aca="false">IF(J278="","",Settings!$B$4+R278*7+Q278)</f>
        <v/>
      </c>
      <c r="O278" s="28" t="str">
        <f aca="true">IF(J278="","",N278+MAX(0,ROUNDUP((TODAY()-N278)/(J278*7),0))*J278*7)</f>
        <v/>
      </c>
      <c r="P278" s="27" t="str">
        <f aca="false">IF(J278="","",MOD(K278-1,J278*4))</f>
        <v/>
      </c>
      <c r="Q278" s="27" t="str">
        <f aca="false">IF(J278="","",MOD(P278,4))</f>
        <v/>
      </c>
      <c r="R278" s="27" t="str">
        <f aca="false">IF(J278="","",INT(P278/4))</f>
        <v/>
      </c>
      <c r="S278" s="27" t="str">
        <f aca="false">IF(J278="","",IF(AND('Daily Count Sheet'!$H$3=Q278,MOD('Daily Count Sheet'!$I$3,J278)=R278),1,""))</f>
        <v/>
      </c>
      <c r="T278" s="27" t="str">
        <f aca="false">IF(S278=1,COUNTIF($S$2:S278,1),"")</f>
        <v/>
      </c>
    </row>
    <row r="279" customFormat="false" ht="15" hidden="false" customHeight="false" outlineLevel="0" collapsed="false">
      <c r="H279" s="26"/>
      <c r="I279" s="27" t="str">
        <f aca="false">IF(A279="","",IF(H279&lt;&gt;"",UPPER(TRIM(H279)),IFERROR(CHOOSE(VALUE(E279)+1,"A","B","C","D"),IF(OR(LEFT(UPPER(TRIM(E279)),1)="F",UPPER(TRIM(E279))="A"),"A",IF(OR(LEFT(UPPER(TRIM(E279)),1)="M",UPPER(TRIM(E279))="B"),"B",IF(OR(LEFT(UPPER(TRIM(E279)),2)="SL",UPPER(TRIM(E279))="C"),"C",IF(OR(LEFT(UPPER(TRIM(E279)),1)="D",UPPER(TRIM(E279))="D"),"D","")))))))</f>
        <v/>
      </c>
      <c r="J279" s="27" t="str">
        <f aca="false">IF(I279="","",IF(AND(I279="D",Settings!$B$6&lt;&gt;"Yes"),"",IFERROR(INDEX(Settings!$C$9:$C$12,MATCH(I279,Settings!$A$9:$A$12,0)),"")))</f>
        <v/>
      </c>
      <c r="K279" s="27" t="str">
        <f aca="false">IF(J279="","",COUNTIF($I$2:I279,I279))</f>
        <v/>
      </c>
      <c r="L279" s="27" t="str">
        <f aca="false">IF(J279="","",CHOOSE(Q279+1,"Tue","Wed","Thu","Fri"))</f>
        <v/>
      </c>
      <c r="M279" s="27" t="str">
        <f aca="false">IF(J279="","",IF(J279=1,"Every week",R279+1&amp;" of "&amp;J279))</f>
        <v/>
      </c>
      <c r="N279" s="28" t="str">
        <f aca="false">IF(J279="","",Settings!$B$4+R279*7+Q279)</f>
        <v/>
      </c>
      <c r="O279" s="28" t="str">
        <f aca="true">IF(J279="","",N279+MAX(0,ROUNDUP((TODAY()-N279)/(J279*7),0))*J279*7)</f>
        <v/>
      </c>
      <c r="P279" s="27" t="str">
        <f aca="false">IF(J279="","",MOD(K279-1,J279*4))</f>
        <v/>
      </c>
      <c r="Q279" s="27" t="str">
        <f aca="false">IF(J279="","",MOD(P279,4))</f>
        <v/>
      </c>
      <c r="R279" s="27" t="str">
        <f aca="false">IF(J279="","",INT(P279/4))</f>
        <v/>
      </c>
      <c r="S279" s="27" t="str">
        <f aca="false">IF(J279="","",IF(AND('Daily Count Sheet'!$H$3=Q279,MOD('Daily Count Sheet'!$I$3,J279)=R279),1,""))</f>
        <v/>
      </c>
      <c r="T279" s="27" t="str">
        <f aca="false">IF(S279=1,COUNTIF($S$2:S279,1),"")</f>
        <v/>
      </c>
    </row>
    <row r="280" customFormat="false" ht="15" hidden="false" customHeight="false" outlineLevel="0" collapsed="false">
      <c r="H280" s="26"/>
      <c r="I280" s="27" t="str">
        <f aca="false">IF(A280="","",IF(H280&lt;&gt;"",UPPER(TRIM(H280)),IFERROR(CHOOSE(VALUE(E280)+1,"A","B","C","D"),IF(OR(LEFT(UPPER(TRIM(E280)),1)="F",UPPER(TRIM(E280))="A"),"A",IF(OR(LEFT(UPPER(TRIM(E280)),1)="M",UPPER(TRIM(E280))="B"),"B",IF(OR(LEFT(UPPER(TRIM(E280)),2)="SL",UPPER(TRIM(E280))="C"),"C",IF(OR(LEFT(UPPER(TRIM(E280)),1)="D",UPPER(TRIM(E280))="D"),"D","")))))))</f>
        <v/>
      </c>
      <c r="J280" s="27" t="str">
        <f aca="false">IF(I280="","",IF(AND(I280="D",Settings!$B$6&lt;&gt;"Yes"),"",IFERROR(INDEX(Settings!$C$9:$C$12,MATCH(I280,Settings!$A$9:$A$12,0)),"")))</f>
        <v/>
      </c>
      <c r="K280" s="27" t="str">
        <f aca="false">IF(J280="","",COUNTIF($I$2:I280,I280))</f>
        <v/>
      </c>
      <c r="L280" s="27" t="str">
        <f aca="false">IF(J280="","",CHOOSE(Q280+1,"Tue","Wed","Thu","Fri"))</f>
        <v/>
      </c>
      <c r="M280" s="27" t="str">
        <f aca="false">IF(J280="","",IF(J280=1,"Every week",R280+1&amp;" of "&amp;J280))</f>
        <v/>
      </c>
      <c r="N280" s="28" t="str">
        <f aca="false">IF(J280="","",Settings!$B$4+R280*7+Q280)</f>
        <v/>
      </c>
      <c r="O280" s="28" t="str">
        <f aca="true">IF(J280="","",N280+MAX(0,ROUNDUP((TODAY()-N280)/(J280*7),0))*J280*7)</f>
        <v/>
      </c>
      <c r="P280" s="27" t="str">
        <f aca="false">IF(J280="","",MOD(K280-1,J280*4))</f>
        <v/>
      </c>
      <c r="Q280" s="27" t="str">
        <f aca="false">IF(J280="","",MOD(P280,4))</f>
        <v/>
      </c>
      <c r="R280" s="27" t="str">
        <f aca="false">IF(J280="","",INT(P280/4))</f>
        <v/>
      </c>
      <c r="S280" s="27" t="str">
        <f aca="false">IF(J280="","",IF(AND('Daily Count Sheet'!$H$3=Q280,MOD('Daily Count Sheet'!$I$3,J280)=R280),1,""))</f>
        <v/>
      </c>
      <c r="T280" s="27" t="str">
        <f aca="false">IF(S280=1,COUNTIF($S$2:S280,1),"")</f>
        <v/>
      </c>
    </row>
    <row r="281" customFormat="false" ht="15" hidden="false" customHeight="false" outlineLevel="0" collapsed="false">
      <c r="H281" s="26"/>
      <c r="I281" s="27" t="str">
        <f aca="false">IF(A281="","",IF(H281&lt;&gt;"",UPPER(TRIM(H281)),IFERROR(CHOOSE(VALUE(E281)+1,"A","B","C","D"),IF(OR(LEFT(UPPER(TRIM(E281)),1)="F",UPPER(TRIM(E281))="A"),"A",IF(OR(LEFT(UPPER(TRIM(E281)),1)="M",UPPER(TRIM(E281))="B"),"B",IF(OR(LEFT(UPPER(TRIM(E281)),2)="SL",UPPER(TRIM(E281))="C"),"C",IF(OR(LEFT(UPPER(TRIM(E281)),1)="D",UPPER(TRIM(E281))="D"),"D","")))))))</f>
        <v/>
      </c>
      <c r="J281" s="27" t="str">
        <f aca="false">IF(I281="","",IF(AND(I281="D",Settings!$B$6&lt;&gt;"Yes"),"",IFERROR(INDEX(Settings!$C$9:$C$12,MATCH(I281,Settings!$A$9:$A$12,0)),"")))</f>
        <v/>
      </c>
      <c r="K281" s="27" t="str">
        <f aca="false">IF(J281="","",COUNTIF($I$2:I281,I281))</f>
        <v/>
      </c>
      <c r="L281" s="27" t="str">
        <f aca="false">IF(J281="","",CHOOSE(Q281+1,"Tue","Wed","Thu","Fri"))</f>
        <v/>
      </c>
      <c r="M281" s="27" t="str">
        <f aca="false">IF(J281="","",IF(J281=1,"Every week",R281+1&amp;" of "&amp;J281))</f>
        <v/>
      </c>
      <c r="N281" s="28" t="str">
        <f aca="false">IF(J281="","",Settings!$B$4+R281*7+Q281)</f>
        <v/>
      </c>
      <c r="O281" s="28" t="str">
        <f aca="true">IF(J281="","",N281+MAX(0,ROUNDUP((TODAY()-N281)/(J281*7),0))*J281*7)</f>
        <v/>
      </c>
      <c r="P281" s="27" t="str">
        <f aca="false">IF(J281="","",MOD(K281-1,J281*4))</f>
        <v/>
      </c>
      <c r="Q281" s="27" t="str">
        <f aca="false">IF(J281="","",MOD(P281,4))</f>
        <v/>
      </c>
      <c r="R281" s="27" t="str">
        <f aca="false">IF(J281="","",INT(P281/4))</f>
        <v/>
      </c>
      <c r="S281" s="27" t="str">
        <f aca="false">IF(J281="","",IF(AND('Daily Count Sheet'!$H$3=Q281,MOD('Daily Count Sheet'!$I$3,J281)=R281),1,""))</f>
        <v/>
      </c>
      <c r="T281" s="27" t="str">
        <f aca="false">IF(S281=1,COUNTIF($S$2:S281,1),"")</f>
        <v/>
      </c>
    </row>
    <row r="282" customFormat="false" ht="15" hidden="false" customHeight="false" outlineLevel="0" collapsed="false">
      <c r="H282" s="26"/>
      <c r="I282" s="27" t="str">
        <f aca="false">IF(A282="","",IF(H282&lt;&gt;"",UPPER(TRIM(H282)),IFERROR(CHOOSE(VALUE(E282)+1,"A","B","C","D"),IF(OR(LEFT(UPPER(TRIM(E282)),1)="F",UPPER(TRIM(E282))="A"),"A",IF(OR(LEFT(UPPER(TRIM(E282)),1)="M",UPPER(TRIM(E282))="B"),"B",IF(OR(LEFT(UPPER(TRIM(E282)),2)="SL",UPPER(TRIM(E282))="C"),"C",IF(OR(LEFT(UPPER(TRIM(E282)),1)="D",UPPER(TRIM(E282))="D"),"D","")))))))</f>
        <v/>
      </c>
      <c r="J282" s="27" t="str">
        <f aca="false">IF(I282="","",IF(AND(I282="D",Settings!$B$6&lt;&gt;"Yes"),"",IFERROR(INDEX(Settings!$C$9:$C$12,MATCH(I282,Settings!$A$9:$A$12,0)),"")))</f>
        <v/>
      </c>
      <c r="K282" s="27" t="str">
        <f aca="false">IF(J282="","",COUNTIF($I$2:I282,I282))</f>
        <v/>
      </c>
      <c r="L282" s="27" t="str">
        <f aca="false">IF(J282="","",CHOOSE(Q282+1,"Tue","Wed","Thu","Fri"))</f>
        <v/>
      </c>
      <c r="M282" s="27" t="str">
        <f aca="false">IF(J282="","",IF(J282=1,"Every week",R282+1&amp;" of "&amp;J282))</f>
        <v/>
      </c>
      <c r="N282" s="28" t="str">
        <f aca="false">IF(J282="","",Settings!$B$4+R282*7+Q282)</f>
        <v/>
      </c>
      <c r="O282" s="28" t="str">
        <f aca="true">IF(J282="","",N282+MAX(0,ROUNDUP((TODAY()-N282)/(J282*7),0))*J282*7)</f>
        <v/>
      </c>
      <c r="P282" s="27" t="str">
        <f aca="false">IF(J282="","",MOD(K282-1,J282*4))</f>
        <v/>
      </c>
      <c r="Q282" s="27" t="str">
        <f aca="false">IF(J282="","",MOD(P282,4))</f>
        <v/>
      </c>
      <c r="R282" s="27" t="str">
        <f aca="false">IF(J282="","",INT(P282/4))</f>
        <v/>
      </c>
      <c r="S282" s="27" t="str">
        <f aca="false">IF(J282="","",IF(AND('Daily Count Sheet'!$H$3=Q282,MOD('Daily Count Sheet'!$I$3,J282)=R282),1,""))</f>
        <v/>
      </c>
      <c r="T282" s="27" t="str">
        <f aca="false">IF(S282=1,COUNTIF($S$2:S282,1),"")</f>
        <v/>
      </c>
    </row>
    <row r="283" customFormat="false" ht="15" hidden="false" customHeight="false" outlineLevel="0" collapsed="false">
      <c r="H283" s="26"/>
      <c r="I283" s="27" t="str">
        <f aca="false">IF(A283="","",IF(H283&lt;&gt;"",UPPER(TRIM(H283)),IFERROR(CHOOSE(VALUE(E283)+1,"A","B","C","D"),IF(OR(LEFT(UPPER(TRIM(E283)),1)="F",UPPER(TRIM(E283))="A"),"A",IF(OR(LEFT(UPPER(TRIM(E283)),1)="M",UPPER(TRIM(E283))="B"),"B",IF(OR(LEFT(UPPER(TRIM(E283)),2)="SL",UPPER(TRIM(E283))="C"),"C",IF(OR(LEFT(UPPER(TRIM(E283)),1)="D",UPPER(TRIM(E283))="D"),"D","")))))))</f>
        <v/>
      </c>
      <c r="J283" s="27" t="str">
        <f aca="false">IF(I283="","",IF(AND(I283="D",Settings!$B$6&lt;&gt;"Yes"),"",IFERROR(INDEX(Settings!$C$9:$C$12,MATCH(I283,Settings!$A$9:$A$12,0)),"")))</f>
        <v/>
      </c>
      <c r="K283" s="27" t="str">
        <f aca="false">IF(J283="","",COUNTIF($I$2:I283,I283))</f>
        <v/>
      </c>
      <c r="L283" s="27" t="str">
        <f aca="false">IF(J283="","",CHOOSE(Q283+1,"Tue","Wed","Thu","Fri"))</f>
        <v/>
      </c>
      <c r="M283" s="27" t="str">
        <f aca="false">IF(J283="","",IF(J283=1,"Every week",R283+1&amp;" of "&amp;J283))</f>
        <v/>
      </c>
      <c r="N283" s="28" t="str">
        <f aca="false">IF(J283="","",Settings!$B$4+R283*7+Q283)</f>
        <v/>
      </c>
      <c r="O283" s="28" t="str">
        <f aca="true">IF(J283="","",N283+MAX(0,ROUNDUP((TODAY()-N283)/(J283*7),0))*J283*7)</f>
        <v/>
      </c>
      <c r="P283" s="27" t="str">
        <f aca="false">IF(J283="","",MOD(K283-1,J283*4))</f>
        <v/>
      </c>
      <c r="Q283" s="27" t="str">
        <f aca="false">IF(J283="","",MOD(P283,4))</f>
        <v/>
      </c>
      <c r="R283" s="27" t="str">
        <f aca="false">IF(J283="","",INT(P283/4))</f>
        <v/>
      </c>
      <c r="S283" s="27" t="str">
        <f aca="false">IF(J283="","",IF(AND('Daily Count Sheet'!$H$3=Q283,MOD('Daily Count Sheet'!$I$3,J283)=R283),1,""))</f>
        <v/>
      </c>
      <c r="T283" s="27" t="str">
        <f aca="false">IF(S283=1,COUNTIF($S$2:S283,1),"")</f>
        <v/>
      </c>
    </row>
    <row r="284" customFormat="false" ht="15" hidden="false" customHeight="false" outlineLevel="0" collapsed="false">
      <c r="H284" s="26"/>
      <c r="I284" s="27" t="str">
        <f aca="false">IF(A284="","",IF(H284&lt;&gt;"",UPPER(TRIM(H284)),IFERROR(CHOOSE(VALUE(E284)+1,"A","B","C","D"),IF(OR(LEFT(UPPER(TRIM(E284)),1)="F",UPPER(TRIM(E284))="A"),"A",IF(OR(LEFT(UPPER(TRIM(E284)),1)="M",UPPER(TRIM(E284))="B"),"B",IF(OR(LEFT(UPPER(TRIM(E284)),2)="SL",UPPER(TRIM(E284))="C"),"C",IF(OR(LEFT(UPPER(TRIM(E284)),1)="D",UPPER(TRIM(E284))="D"),"D","")))))))</f>
        <v/>
      </c>
      <c r="J284" s="27" t="str">
        <f aca="false">IF(I284="","",IF(AND(I284="D",Settings!$B$6&lt;&gt;"Yes"),"",IFERROR(INDEX(Settings!$C$9:$C$12,MATCH(I284,Settings!$A$9:$A$12,0)),"")))</f>
        <v/>
      </c>
      <c r="K284" s="27" t="str">
        <f aca="false">IF(J284="","",COUNTIF($I$2:I284,I284))</f>
        <v/>
      </c>
      <c r="L284" s="27" t="str">
        <f aca="false">IF(J284="","",CHOOSE(Q284+1,"Tue","Wed","Thu","Fri"))</f>
        <v/>
      </c>
      <c r="M284" s="27" t="str">
        <f aca="false">IF(J284="","",IF(J284=1,"Every week",R284+1&amp;" of "&amp;J284))</f>
        <v/>
      </c>
      <c r="N284" s="28" t="str">
        <f aca="false">IF(J284="","",Settings!$B$4+R284*7+Q284)</f>
        <v/>
      </c>
      <c r="O284" s="28" t="str">
        <f aca="true">IF(J284="","",N284+MAX(0,ROUNDUP((TODAY()-N284)/(J284*7),0))*J284*7)</f>
        <v/>
      </c>
      <c r="P284" s="27" t="str">
        <f aca="false">IF(J284="","",MOD(K284-1,J284*4))</f>
        <v/>
      </c>
      <c r="Q284" s="27" t="str">
        <f aca="false">IF(J284="","",MOD(P284,4))</f>
        <v/>
      </c>
      <c r="R284" s="27" t="str">
        <f aca="false">IF(J284="","",INT(P284/4))</f>
        <v/>
      </c>
      <c r="S284" s="27" t="str">
        <f aca="false">IF(J284="","",IF(AND('Daily Count Sheet'!$H$3=Q284,MOD('Daily Count Sheet'!$I$3,J284)=R284),1,""))</f>
        <v/>
      </c>
      <c r="T284" s="27" t="str">
        <f aca="false">IF(S284=1,COUNTIF($S$2:S284,1),"")</f>
        <v/>
      </c>
    </row>
    <row r="285" customFormat="false" ht="15" hidden="false" customHeight="false" outlineLevel="0" collapsed="false">
      <c r="H285" s="26"/>
      <c r="I285" s="27" t="str">
        <f aca="false">IF(A285="","",IF(H285&lt;&gt;"",UPPER(TRIM(H285)),IFERROR(CHOOSE(VALUE(E285)+1,"A","B","C","D"),IF(OR(LEFT(UPPER(TRIM(E285)),1)="F",UPPER(TRIM(E285))="A"),"A",IF(OR(LEFT(UPPER(TRIM(E285)),1)="M",UPPER(TRIM(E285))="B"),"B",IF(OR(LEFT(UPPER(TRIM(E285)),2)="SL",UPPER(TRIM(E285))="C"),"C",IF(OR(LEFT(UPPER(TRIM(E285)),1)="D",UPPER(TRIM(E285))="D"),"D","")))))))</f>
        <v/>
      </c>
      <c r="J285" s="27" t="str">
        <f aca="false">IF(I285="","",IF(AND(I285="D",Settings!$B$6&lt;&gt;"Yes"),"",IFERROR(INDEX(Settings!$C$9:$C$12,MATCH(I285,Settings!$A$9:$A$12,0)),"")))</f>
        <v/>
      </c>
      <c r="K285" s="27" t="str">
        <f aca="false">IF(J285="","",COUNTIF($I$2:I285,I285))</f>
        <v/>
      </c>
      <c r="L285" s="27" t="str">
        <f aca="false">IF(J285="","",CHOOSE(Q285+1,"Tue","Wed","Thu","Fri"))</f>
        <v/>
      </c>
      <c r="M285" s="27" t="str">
        <f aca="false">IF(J285="","",IF(J285=1,"Every week",R285+1&amp;" of "&amp;J285))</f>
        <v/>
      </c>
      <c r="N285" s="28" t="str">
        <f aca="false">IF(J285="","",Settings!$B$4+R285*7+Q285)</f>
        <v/>
      </c>
      <c r="O285" s="28" t="str">
        <f aca="true">IF(J285="","",N285+MAX(0,ROUNDUP((TODAY()-N285)/(J285*7),0))*J285*7)</f>
        <v/>
      </c>
      <c r="P285" s="27" t="str">
        <f aca="false">IF(J285="","",MOD(K285-1,J285*4))</f>
        <v/>
      </c>
      <c r="Q285" s="27" t="str">
        <f aca="false">IF(J285="","",MOD(P285,4))</f>
        <v/>
      </c>
      <c r="R285" s="27" t="str">
        <f aca="false">IF(J285="","",INT(P285/4))</f>
        <v/>
      </c>
      <c r="S285" s="27" t="str">
        <f aca="false">IF(J285="","",IF(AND('Daily Count Sheet'!$H$3=Q285,MOD('Daily Count Sheet'!$I$3,J285)=R285),1,""))</f>
        <v/>
      </c>
      <c r="T285" s="27" t="str">
        <f aca="false">IF(S285=1,COUNTIF($S$2:S285,1),"")</f>
        <v/>
      </c>
    </row>
    <row r="286" customFormat="false" ht="15" hidden="false" customHeight="false" outlineLevel="0" collapsed="false">
      <c r="H286" s="26"/>
      <c r="I286" s="27" t="str">
        <f aca="false">IF(A286="","",IF(H286&lt;&gt;"",UPPER(TRIM(H286)),IFERROR(CHOOSE(VALUE(E286)+1,"A","B","C","D"),IF(OR(LEFT(UPPER(TRIM(E286)),1)="F",UPPER(TRIM(E286))="A"),"A",IF(OR(LEFT(UPPER(TRIM(E286)),1)="M",UPPER(TRIM(E286))="B"),"B",IF(OR(LEFT(UPPER(TRIM(E286)),2)="SL",UPPER(TRIM(E286))="C"),"C",IF(OR(LEFT(UPPER(TRIM(E286)),1)="D",UPPER(TRIM(E286))="D"),"D","")))))))</f>
        <v/>
      </c>
      <c r="J286" s="27" t="str">
        <f aca="false">IF(I286="","",IF(AND(I286="D",Settings!$B$6&lt;&gt;"Yes"),"",IFERROR(INDEX(Settings!$C$9:$C$12,MATCH(I286,Settings!$A$9:$A$12,0)),"")))</f>
        <v/>
      </c>
      <c r="K286" s="27" t="str">
        <f aca="false">IF(J286="","",COUNTIF($I$2:I286,I286))</f>
        <v/>
      </c>
      <c r="L286" s="27" t="str">
        <f aca="false">IF(J286="","",CHOOSE(Q286+1,"Tue","Wed","Thu","Fri"))</f>
        <v/>
      </c>
      <c r="M286" s="27" t="str">
        <f aca="false">IF(J286="","",IF(J286=1,"Every week",R286+1&amp;" of "&amp;J286))</f>
        <v/>
      </c>
      <c r="N286" s="28" t="str">
        <f aca="false">IF(J286="","",Settings!$B$4+R286*7+Q286)</f>
        <v/>
      </c>
      <c r="O286" s="28" t="str">
        <f aca="true">IF(J286="","",N286+MAX(0,ROUNDUP((TODAY()-N286)/(J286*7),0))*J286*7)</f>
        <v/>
      </c>
      <c r="P286" s="27" t="str">
        <f aca="false">IF(J286="","",MOD(K286-1,J286*4))</f>
        <v/>
      </c>
      <c r="Q286" s="27" t="str">
        <f aca="false">IF(J286="","",MOD(P286,4))</f>
        <v/>
      </c>
      <c r="R286" s="27" t="str">
        <f aca="false">IF(J286="","",INT(P286/4))</f>
        <v/>
      </c>
      <c r="S286" s="27" t="str">
        <f aca="false">IF(J286="","",IF(AND('Daily Count Sheet'!$H$3=Q286,MOD('Daily Count Sheet'!$I$3,J286)=R286),1,""))</f>
        <v/>
      </c>
      <c r="T286" s="27" t="str">
        <f aca="false">IF(S286=1,COUNTIF($S$2:S286,1),"")</f>
        <v/>
      </c>
    </row>
    <row r="287" customFormat="false" ht="15" hidden="false" customHeight="false" outlineLevel="0" collapsed="false">
      <c r="H287" s="26"/>
      <c r="I287" s="27" t="str">
        <f aca="false">IF(A287="","",IF(H287&lt;&gt;"",UPPER(TRIM(H287)),IFERROR(CHOOSE(VALUE(E287)+1,"A","B","C","D"),IF(OR(LEFT(UPPER(TRIM(E287)),1)="F",UPPER(TRIM(E287))="A"),"A",IF(OR(LEFT(UPPER(TRIM(E287)),1)="M",UPPER(TRIM(E287))="B"),"B",IF(OR(LEFT(UPPER(TRIM(E287)),2)="SL",UPPER(TRIM(E287))="C"),"C",IF(OR(LEFT(UPPER(TRIM(E287)),1)="D",UPPER(TRIM(E287))="D"),"D","")))))))</f>
        <v/>
      </c>
      <c r="J287" s="27" t="str">
        <f aca="false">IF(I287="","",IF(AND(I287="D",Settings!$B$6&lt;&gt;"Yes"),"",IFERROR(INDEX(Settings!$C$9:$C$12,MATCH(I287,Settings!$A$9:$A$12,0)),"")))</f>
        <v/>
      </c>
      <c r="K287" s="27" t="str">
        <f aca="false">IF(J287="","",COUNTIF($I$2:I287,I287))</f>
        <v/>
      </c>
      <c r="L287" s="27" t="str">
        <f aca="false">IF(J287="","",CHOOSE(Q287+1,"Tue","Wed","Thu","Fri"))</f>
        <v/>
      </c>
      <c r="M287" s="27" t="str">
        <f aca="false">IF(J287="","",IF(J287=1,"Every week",R287+1&amp;" of "&amp;J287))</f>
        <v/>
      </c>
      <c r="N287" s="28" t="str">
        <f aca="false">IF(J287="","",Settings!$B$4+R287*7+Q287)</f>
        <v/>
      </c>
      <c r="O287" s="28" t="str">
        <f aca="true">IF(J287="","",N287+MAX(0,ROUNDUP((TODAY()-N287)/(J287*7),0))*J287*7)</f>
        <v/>
      </c>
      <c r="P287" s="27" t="str">
        <f aca="false">IF(J287="","",MOD(K287-1,J287*4))</f>
        <v/>
      </c>
      <c r="Q287" s="27" t="str">
        <f aca="false">IF(J287="","",MOD(P287,4))</f>
        <v/>
      </c>
      <c r="R287" s="27" t="str">
        <f aca="false">IF(J287="","",INT(P287/4))</f>
        <v/>
      </c>
      <c r="S287" s="27" t="str">
        <f aca="false">IF(J287="","",IF(AND('Daily Count Sheet'!$H$3=Q287,MOD('Daily Count Sheet'!$I$3,J287)=R287),1,""))</f>
        <v/>
      </c>
      <c r="T287" s="27" t="str">
        <f aca="false">IF(S287=1,COUNTIF($S$2:S287,1),"")</f>
        <v/>
      </c>
    </row>
    <row r="288" customFormat="false" ht="15" hidden="false" customHeight="false" outlineLevel="0" collapsed="false">
      <c r="H288" s="26"/>
      <c r="I288" s="27" t="str">
        <f aca="false">IF(A288="","",IF(H288&lt;&gt;"",UPPER(TRIM(H288)),IFERROR(CHOOSE(VALUE(E288)+1,"A","B","C","D"),IF(OR(LEFT(UPPER(TRIM(E288)),1)="F",UPPER(TRIM(E288))="A"),"A",IF(OR(LEFT(UPPER(TRIM(E288)),1)="M",UPPER(TRIM(E288))="B"),"B",IF(OR(LEFT(UPPER(TRIM(E288)),2)="SL",UPPER(TRIM(E288))="C"),"C",IF(OR(LEFT(UPPER(TRIM(E288)),1)="D",UPPER(TRIM(E288))="D"),"D","")))))))</f>
        <v/>
      </c>
      <c r="J288" s="27" t="str">
        <f aca="false">IF(I288="","",IF(AND(I288="D",Settings!$B$6&lt;&gt;"Yes"),"",IFERROR(INDEX(Settings!$C$9:$C$12,MATCH(I288,Settings!$A$9:$A$12,0)),"")))</f>
        <v/>
      </c>
      <c r="K288" s="27" t="str">
        <f aca="false">IF(J288="","",COUNTIF($I$2:I288,I288))</f>
        <v/>
      </c>
      <c r="L288" s="27" t="str">
        <f aca="false">IF(J288="","",CHOOSE(Q288+1,"Tue","Wed","Thu","Fri"))</f>
        <v/>
      </c>
      <c r="M288" s="27" t="str">
        <f aca="false">IF(J288="","",IF(J288=1,"Every week",R288+1&amp;" of "&amp;J288))</f>
        <v/>
      </c>
      <c r="N288" s="28" t="str">
        <f aca="false">IF(J288="","",Settings!$B$4+R288*7+Q288)</f>
        <v/>
      </c>
      <c r="O288" s="28" t="str">
        <f aca="true">IF(J288="","",N288+MAX(0,ROUNDUP((TODAY()-N288)/(J288*7),0))*J288*7)</f>
        <v/>
      </c>
      <c r="P288" s="27" t="str">
        <f aca="false">IF(J288="","",MOD(K288-1,J288*4))</f>
        <v/>
      </c>
      <c r="Q288" s="27" t="str">
        <f aca="false">IF(J288="","",MOD(P288,4))</f>
        <v/>
      </c>
      <c r="R288" s="27" t="str">
        <f aca="false">IF(J288="","",INT(P288/4))</f>
        <v/>
      </c>
      <c r="S288" s="27" t="str">
        <f aca="false">IF(J288="","",IF(AND('Daily Count Sheet'!$H$3=Q288,MOD('Daily Count Sheet'!$I$3,J288)=R288),1,""))</f>
        <v/>
      </c>
      <c r="T288" s="27" t="str">
        <f aca="false">IF(S288=1,COUNTIF($S$2:S288,1),"")</f>
        <v/>
      </c>
    </row>
    <row r="289" customFormat="false" ht="15" hidden="false" customHeight="false" outlineLevel="0" collapsed="false">
      <c r="H289" s="26"/>
      <c r="I289" s="27" t="str">
        <f aca="false">IF(A289="","",IF(H289&lt;&gt;"",UPPER(TRIM(H289)),IFERROR(CHOOSE(VALUE(E289)+1,"A","B","C","D"),IF(OR(LEFT(UPPER(TRIM(E289)),1)="F",UPPER(TRIM(E289))="A"),"A",IF(OR(LEFT(UPPER(TRIM(E289)),1)="M",UPPER(TRIM(E289))="B"),"B",IF(OR(LEFT(UPPER(TRIM(E289)),2)="SL",UPPER(TRIM(E289))="C"),"C",IF(OR(LEFT(UPPER(TRIM(E289)),1)="D",UPPER(TRIM(E289))="D"),"D","")))))))</f>
        <v/>
      </c>
      <c r="J289" s="27" t="str">
        <f aca="false">IF(I289="","",IF(AND(I289="D",Settings!$B$6&lt;&gt;"Yes"),"",IFERROR(INDEX(Settings!$C$9:$C$12,MATCH(I289,Settings!$A$9:$A$12,0)),"")))</f>
        <v/>
      </c>
      <c r="K289" s="27" t="str">
        <f aca="false">IF(J289="","",COUNTIF($I$2:I289,I289))</f>
        <v/>
      </c>
      <c r="L289" s="27" t="str">
        <f aca="false">IF(J289="","",CHOOSE(Q289+1,"Tue","Wed","Thu","Fri"))</f>
        <v/>
      </c>
      <c r="M289" s="27" t="str">
        <f aca="false">IF(J289="","",IF(J289=1,"Every week",R289+1&amp;" of "&amp;J289))</f>
        <v/>
      </c>
      <c r="N289" s="28" t="str">
        <f aca="false">IF(J289="","",Settings!$B$4+R289*7+Q289)</f>
        <v/>
      </c>
      <c r="O289" s="28" t="str">
        <f aca="true">IF(J289="","",N289+MAX(0,ROUNDUP((TODAY()-N289)/(J289*7),0))*J289*7)</f>
        <v/>
      </c>
      <c r="P289" s="27" t="str">
        <f aca="false">IF(J289="","",MOD(K289-1,J289*4))</f>
        <v/>
      </c>
      <c r="Q289" s="27" t="str">
        <f aca="false">IF(J289="","",MOD(P289,4))</f>
        <v/>
      </c>
      <c r="R289" s="27" t="str">
        <f aca="false">IF(J289="","",INT(P289/4))</f>
        <v/>
      </c>
      <c r="S289" s="27" t="str">
        <f aca="false">IF(J289="","",IF(AND('Daily Count Sheet'!$H$3=Q289,MOD('Daily Count Sheet'!$I$3,J289)=R289),1,""))</f>
        <v/>
      </c>
      <c r="T289" s="27" t="str">
        <f aca="false">IF(S289=1,COUNTIF($S$2:S289,1),"")</f>
        <v/>
      </c>
    </row>
    <row r="290" customFormat="false" ht="15" hidden="false" customHeight="false" outlineLevel="0" collapsed="false">
      <c r="H290" s="26"/>
      <c r="I290" s="27" t="str">
        <f aca="false">IF(A290="","",IF(H290&lt;&gt;"",UPPER(TRIM(H290)),IFERROR(CHOOSE(VALUE(E290)+1,"A","B","C","D"),IF(OR(LEFT(UPPER(TRIM(E290)),1)="F",UPPER(TRIM(E290))="A"),"A",IF(OR(LEFT(UPPER(TRIM(E290)),1)="M",UPPER(TRIM(E290))="B"),"B",IF(OR(LEFT(UPPER(TRIM(E290)),2)="SL",UPPER(TRIM(E290))="C"),"C",IF(OR(LEFT(UPPER(TRIM(E290)),1)="D",UPPER(TRIM(E290))="D"),"D","")))))))</f>
        <v/>
      </c>
      <c r="J290" s="27" t="str">
        <f aca="false">IF(I290="","",IF(AND(I290="D",Settings!$B$6&lt;&gt;"Yes"),"",IFERROR(INDEX(Settings!$C$9:$C$12,MATCH(I290,Settings!$A$9:$A$12,0)),"")))</f>
        <v/>
      </c>
      <c r="K290" s="27" t="str">
        <f aca="false">IF(J290="","",COUNTIF($I$2:I290,I290))</f>
        <v/>
      </c>
      <c r="L290" s="27" t="str">
        <f aca="false">IF(J290="","",CHOOSE(Q290+1,"Tue","Wed","Thu","Fri"))</f>
        <v/>
      </c>
      <c r="M290" s="27" t="str">
        <f aca="false">IF(J290="","",IF(J290=1,"Every week",R290+1&amp;" of "&amp;J290))</f>
        <v/>
      </c>
      <c r="N290" s="28" t="str">
        <f aca="false">IF(J290="","",Settings!$B$4+R290*7+Q290)</f>
        <v/>
      </c>
      <c r="O290" s="28" t="str">
        <f aca="true">IF(J290="","",N290+MAX(0,ROUNDUP((TODAY()-N290)/(J290*7),0))*J290*7)</f>
        <v/>
      </c>
      <c r="P290" s="27" t="str">
        <f aca="false">IF(J290="","",MOD(K290-1,J290*4))</f>
        <v/>
      </c>
      <c r="Q290" s="27" t="str">
        <f aca="false">IF(J290="","",MOD(P290,4))</f>
        <v/>
      </c>
      <c r="R290" s="27" t="str">
        <f aca="false">IF(J290="","",INT(P290/4))</f>
        <v/>
      </c>
      <c r="S290" s="27" t="str">
        <f aca="false">IF(J290="","",IF(AND('Daily Count Sheet'!$H$3=Q290,MOD('Daily Count Sheet'!$I$3,J290)=R290),1,""))</f>
        <v/>
      </c>
      <c r="T290" s="27" t="str">
        <f aca="false">IF(S290=1,COUNTIF($S$2:S290,1),"")</f>
        <v/>
      </c>
    </row>
    <row r="291" customFormat="false" ht="15" hidden="false" customHeight="false" outlineLevel="0" collapsed="false">
      <c r="H291" s="26"/>
      <c r="I291" s="27" t="str">
        <f aca="false">IF(A291="","",IF(H291&lt;&gt;"",UPPER(TRIM(H291)),IFERROR(CHOOSE(VALUE(E291)+1,"A","B","C","D"),IF(OR(LEFT(UPPER(TRIM(E291)),1)="F",UPPER(TRIM(E291))="A"),"A",IF(OR(LEFT(UPPER(TRIM(E291)),1)="M",UPPER(TRIM(E291))="B"),"B",IF(OR(LEFT(UPPER(TRIM(E291)),2)="SL",UPPER(TRIM(E291))="C"),"C",IF(OR(LEFT(UPPER(TRIM(E291)),1)="D",UPPER(TRIM(E291))="D"),"D","")))))))</f>
        <v/>
      </c>
      <c r="J291" s="27" t="str">
        <f aca="false">IF(I291="","",IF(AND(I291="D",Settings!$B$6&lt;&gt;"Yes"),"",IFERROR(INDEX(Settings!$C$9:$C$12,MATCH(I291,Settings!$A$9:$A$12,0)),"")))</f>
        <v/>
      </c>
      <c r="K291" s="27" t="str">
        <f aca="false">IF(J291="","",COUNTIF($I$2:I291,I291))</f>
        <v/>
      </c>
      <c r="L291" s="27" t="str">
        <f aca="false">IF(J291="","",CHOOSE(Q291+1,"Tue","Wed","Thu","Fri"))</f>
        <v/>
      </c>
      <c r="M291" s="27" t="str">
        <f aca="false">IF(J291="","",IF(J291=1,"Every week",R291+1&amp;" of "&amp;J291))</f>
        <v/>
      </c>
      <c r="N291" s="28" t="str">
        <f aca="false">IF(J291="","",Settings!$B$4+R291*7+Q291)</f>
        <v/>
      </c>
      <c r="O291" s="28" t="str">
        <f aca="true">IF(J291="","",N291+MAX(0,ROUNDUP((TODAY()-N291)/(J291*7),0))*J291*7)</f>
        <v/>
      </c>
      <c r="P291" s="27" t="str">
        <f aca="false">IF(J291="","",MOD(K291-1,J291*4))</f>
        <v/>
      </c>
      <c r="Q291" s="27" t="str">
        <f aca="false">IF(J291="","",MOD(P291,4))</f>
        <v/>
      </c>
      <c r="R291" s="27" t="str">
        <f aca="false">IF(J291="","",INT(P291/4))</f>
        <v/>
      </c>
      <c r="S291" s="27" t="str">
        <f aca="false">IF(J291="","",IF(AND('Daily Count Sheet'!$H$3=Q291,MOD('Daily Count Sheet'!$I$3,J291)=R291),1,""))</f>
        <v/>
      </c>
      <c r="T291" s="27" t="str">
        <f aca="false">IF(S291=1,COUNTIF($S$2:S291,1),"")</f>
        <v/>
      </c>
    </row>
    <row r="292" customFormat="false" ht="15" hidden="false" customHeight="false" outlineLevel="0" collapsed="false">
      <c r="H292" s="26"/>
      <c r="I292" s="27" t="str">
        <f aca="false">IF(A292="","",IF(H292&lt;&gt;"",UPPER(TRIM(H292)),IFERROR(CHOOSE(VALUE(E292)+1,"A","B","C","D"),IF(OR(LEFT(UPPER(TRIM(E292)),1)="F",UPPER(TRIM(E292))="A"),"A",IF(OR(LEFT(UPPER(TRIM(E292)),1)="M",UPPER(TRIM(E292))="B"),"B",IF(OR(LEFT(UPPER(TRIM(E292)),2)="SL",UPPER(TRIM(E292))="C"),"C",IF(OR(LEFT(UPPER(TRIM(E292)),1)="D",UPPER(TRIM(E292))="D"),"D","")))))))</f>
        <v/>
      </c>
      <c r="J292" s="27" t="str">
        <f aca="false">IF(I292="","",IF(AND(I292="D",Settings!$B$6&lt;&gt;"Yes"),"",IFERROR(INDEX(Settings!$C$9:$C$12,MATCH(I292,Settings!$A$9:$A$12,0)),"")))</f>
        <v/>
      </c>
      <c r="K292" s="27" t="str">
        <f aca="false">IF(J292="","",COUNTIF($I$2:I292,I292))</f>
        <v/>
      </c>
      <c r="L292" s="27" t="str">
        <f aca="false">IF(J292="","",CHOOSE(Q292+1,"Tue","Wed","Thu","Fri"))</f>
        <v/>
      </c>
      <c r="M292" s="27" t="str">
        <f aca="false">IF(J292="","",IF(J292=1,"Every week",R292+1&amp;" of "&amp;J292))</f>
        <v/>
      </c>
      <c r="N292" s="28" t="str">
        <f aca="false">IF(J292="","",Settings!$B$4+R292*7+Q292)</f>
        <v/>
      </c>
      <c r="O292" s="28" t="str">
        <f aca="true">IF(J292="","",N292+MAX(0,ROUNDUP((TODAY()-N292)/(J292*7),0))*J292*7)</f>
        <v/>
      </c>
      <c r="P292" s="27" t="str">
        <f aca="false">IF(J292="","",MOD(K292-1,J292*4))</f>
        <v/>
      </c>
      <c r="Q292" s="27" t="str">
        <f aca="false">IF(J292="","",MOD(P292,4))</f>
        <v/>
      </c>
      <c r="R292" s="27" t="str">
        <f aca="false">IF(J292="","",INT(P292/4))</f>
        <v/>
      </c>
      <c r="S292" s="27" t="str">
        <f aca="false">IF(J292="","",IF(AND('Daily Count Sheet'!$H$3=Q292,MOD('Daily Count Sheet'!$I$3,J292)=R292),1,""))</f>
        <v/>
      </c>
      <c r="T292" s="27" t="str">
        <f aca="false">IF(S292=1,COUNTIF($S$2:S292,1),"")</f>
        <v/>
      </c>
    </row>
    <row r="293" customFormat="false" ht="15" hidden="false" customHeight="false" outlineLevel="0" collapsed="false">
      <c r="H293" s="26"/>
      <c r="I293" s="27" t="str">
        <f aca="false">IF(A293="","",IF(H293&lt;&gt;"",UPPER(TRIM(H293)),IFERROR(CHOOSE(VALUE(E293)+1,"A","B","C","D"),IF(OR(LEFT(UPPER(TRIM(E293)),1)="F",UPPER(TRIM(E293))="A"),"A",IF(OR(LEFT(UPPER(TRIM(E293)),1)="M",UPPER(TRIM(E293))="B"),"B",IF(OR(LEFT(UPPER(TRIM(E293)),2)="SL",UPPER(TRIM(E293))="C"),"C",IF(OR(LEFT(UPPER(TRIM(E293)),1)="D",UPPER(TRIM(E293))="D"),"D","")))))))</f>
        <v/>
      </c>
      <c r="J293" s="27" t="str">
        <f aca="false">IF(I293="","",IF(AND(I293="D",Settings!$B$6&lt;&gt;"Yes"),"",IFERROR(INDEX(Settings!$C$9:$C$12,MATCH(I293,Settings!$A$9:$A$12,0)),"")))</f>
        <v/>
      </c>
      <c r="K293" s="27" t="str">
        <f aca="false">IF(J293="","",COUNTIF($I$2:I293,I293))</f>
        <v/>
      </c>
      <c r="L293" s="27" t="str">
        <f aca="false">IF(J293="","",CHOOSE(Q293+1,"Tue","Wed","Thu","Fri"))</f>
        <v/>
      </c>
      <c r="M293" s="27" t="str">
        <f aca="false">IF(J293="","",IF(J293=1,"Every week",R293+1&amp;" of "&amp;J293))</f>
        <v/>
      </c>
      <c r="N293" s="28" t="str">
        <f aca="false">IF(J293="","",Settings!$B$4+R293*7+Q293)</f>
        <v/>
      </c>
      <c r="O293" s="28" t="str">
        <f aca="true">IF(J293="","",N293+MAX(0,ROUNDUP((TODAY()-N293)/(J293*7),0))*J293*7)</f>
        <v/>
      </c>
      <c r="P293" s="27" t="str">
        <f aca="false">IF(J293="","",MOD(K293-1,J293*4))</f>
        <v/>
      </c>
      <c r="Q293" s="27" t="str">
        <f aca="false">IF(J293="","",MOD(P293,4))</f>
        <v/>
      </c>
      <c r="R293" s="27" t="str">
        <f aca="false">IF(J293="","",INT(P293/4))</f>
        <v/>
      </c>
      <c r="S293" s="27" t="str">
        <f aca="false">IF(J293="","",IF(AND('Daily Count Sheet'!$H$3=Q293,MOD('Daily Count Sheet'!$I$3,J293)=R293),1,""))</f>
        <v/>
      </c>
      <c r="T293" s="27" t="str">
        <f aca="false">IF(S293=1,COUNTIF($S$2:S293,1),"")</f>
        <v/>
      </c>
    </row>
    <row r="294" customFormat="false" ht="15" hidden="false" customHeight="false" outlineLevel="0" collapsed="false">
      <c r="H294" s="26"/>
      <c r="I294" s="27" t="str">
        <f aca="false">IF(A294="","",IF(H294&lt;&gt;"",UPPER(TRIM(H294)),IFERROR(CHOOSE(VALUE(E294)+1,"A","B","C","D"),IF(OR(LEFT(UPPER(TRIM(E294)),1)="F",UPPER(TRIM(E294))="A"),"A",IF(OR(LEFT(UPPER(TRIM(E294)),1)="M",UPPER(TRIM(E294))="B"),"B",IF(OR(LEFT(UPPER(TRIM(E294)),2)="SL",UPPER(TRIM(E294))="C"),"C",IF(OR(LEFT(UPPER(TRIM(E294)),1)="D",UPPER(TRIM(E294))="D"),"D","")))))))</f>
        <v/>
      </c>
      <c r="J294" s="27" t="str">
        <f aca="false">IF(I294="","",IF(AND(I294="D",Settings!$B$6&lt;&gt;"Yes"),"",IFERROR(INDEX(Settings!$C$9:$C$12,MATCH(I294,Settings!$A$9:$A$12,0)),"")))</f>
        <v/>
      </c>
      <c r="K294" s="27" t="str">
        <f aca="false">IF(J294="","",COUNTIF($I$2:I294,I294))</f>
        <v/>
      </c>
      <c r="L294" s="27" t="str">
        <f aca="false">IF(J294="","",CHOOSE(Q294+1,"Tue","Wed","Thu","Fri"))</f>
        <v/>
      </c>
      <c r="M294" s="27" t="str">
        <f aca="false">IF(J294="","",IF(J294=1,"Every week",R294+1&amp;" of "&amp;J294))</f>
        <v/>
      </c>
      <c r="N294" s="28" t="str">
        <f aca="false">IF(J294="","",Settings!$B$4+R294*7+Q294)</f>
        <v/>
      </c>
      <c r="O294" s="28" t="str">
        <f aca="true">IF(J294="","",N294+MAX(0,ROUNDUP((TODAY()-N294)/(J294*7),0))*J294*7)</f>
        <v/>
      </c>
      <c r="P294" s="27" t="str">
        <f aca="false">IF(J294="","",MOD(K294-1,J294*4))</f>
        <v/>
      </c>
      <c r="Q294" s="27" t="str">
        <f aca="false">IF(J294="","",MOD(P294,4))</f>
        <v/>
      </c>
      <c r="R294" s="27" t="str">
        <f aca="false">IF(J294="","",INT(P294/4))</f>
        <v/>
      </c>
      <c r="S294" s="27" t="str">
        <f aca="false">IF(J294="","",IF(AND('Daily Count Sheet'!$H$3=Q294,MOD('Daily Count Sheet'!$I$3,J294)=R294),1,""))</f>
        <v/>
      </c>
      <c r="T294" s="27" t="str">
        <f aca="false">IF(S294=1,COUNTIF($S$2:S294,1),"")</f>
        <v/>
      </c>
    </row>
    <row r="295" customFormat="false" ht="15" hidden="false" customHeight="false" outlineLevel="0" collapsed="false">
      <c r="H295" s="26"/>
      <c r="I295" s="27" t="str">
        <f aca="false">IF(A295="","",IF(H295&lt;&gt;"",UPPER(TRIM(H295)),IFERROR(CHOOSE(VALUE(E295)+1,"A","B","C","D"),IF(OR(LEFT(UPPER(TRIM(E295)),1)="F",UPPER(TRIM(E295))="A"),"A",IF(OR(LEFT(UPPER(TRIM(E295)),1)="M",UPPER(TRIM(E295))="B"),"B",IF(OR(LEFT(UPPER(TRIM(E295)),2)="SL",UPPER(TRIM(E295))="C"),"C",IF(OR(LEFT(UPPER(TRIM(E295)),1)="D",UPPER(TRIM(E295))="D"),"D","")))))))</f>
        <v/>
      </c>
      <c r="J295" s="27" t="str">
        <f aca="false">IF(I295="","",IF(AND(I295="D",Settings!$B$6&lt;&gt;"Yes"),"",IFERROR(INDEX(Settings!$C$9:$C$12,MATCH(I295,Settings!$A$9:$A$12,0)),"")))</f>
        <v/>
      </c>
      <c r="K295" s="27" t="str">
        <f aca="false">IF(J295="","",COUNTIF($I$2:I295,I295))</f>
        <v/>
      </c>
      <c r="L295" s="27" t="str">
        <f aca="false">IF(J295="","",CHOOSE(Q295+1,"Tue","Wed","Thu","Fri"))</f>
        <v/>
      </c>
      <c r="M295" s="27" t="str">
        <f aca="false">IF(J295="","",IF(J295=1,"Every week",R295+1&amp;" of "&amp;J295))</f>
        <v/>
      </c>
      <c r="N295" s="28" t="str">
        <f aca="false">IF(J295="","",Settings!$B$4+R295*7+Q295)</f>
        <v/>
      </c>
      <c r="O295" s="28" t="str">
        <f aca="true">IF(J295="","",N295+MAX(0,ROUNDUP((TODAY()-N295)/(J295*7),0))*J295*7)</f>
        <v/>
      </c>
      <c r="P295" s="27" t="str">
        <f aca="false">IF(J295="","",MOD(K295-1,J295*4))</f>
        <v/>
      </c>
      <c r="Q295" s="27" t="str">
        <f aca="false">IF(J295="","",MOD(P295,4))</f>
        <v/>
      </c>
      <c r="R295" s="27" t="str">
        <f aca="false">IF(J295="","",INT(P295/4))</f>
        <v/>
      </c>
      <c r="S295" s="27" t="str">
        <f aca="false">IF(J295="","",IF(AND('Daily Count Sheet'!$H$3=Q295,MOD('Daily Count Sheet'!$I$3,J295)=R295),1,""))</f>
        <v/>
      </c>
      <c r="T295" s="27" t="str">
        <f aca="false">IF(S295=1,COUNTIF($S$2:S295,1),"")</f>
        <v/>
      </c>
    </row>
    <row r="296" customFormat="false" ht="15" hidden="false" customHeight="false" outlineLevel="0" collapsed="false">
      <c r="H296" s="26"/>
      <c r="I296" s="27" t="str">
        <f aca="false">IF(A296="","",IF(H296&lt;&gt;"",UPPER(TRIM(H296)),IFERROR(CHOOSE(VALUE(E296)+1,"A","B","C","D"),IF(OR(LEFT(UPPER(TRIM(E296)),1)="F",UPPER(TRIM(E296))="A"),"A",IF(OR(LEFT(UPPER(TRIM(E296)),1)="M",UPPER(TRIM(E296))="B"),"B",IF(OR(LEFT(UPPER(TRIM(E296)),2)="SL",UPPER(TRIM(E296))="C"),"C",IF(OR(LEFT(UPPER(TRIM(E296)),1)="D",UPPER(TRIM(E296))="D"),"D","")))))))</f>
        <v/>
      </c>
      <c r="J296" s="27" t="str">
        <f aca="false">IF(I296="","",IF(AND(I296="D",Settings!$B$6&lt;&gt;"Yes"),"",IFERROR(INDEX(Settings!$C$9:$C$12,MATCH(I296,Settings!$A$9:$A$12,0)),"")))</f>
        <v/>
      </c>
      <c r="K296" s="27" t="str">
        <f aca="false">IF(J296="","",COUNTIF($I$2:I296,I296))</f>
        <v/>
      </c>
      <c r="L296" s="27" t="str">
        <f aca="false">IF(J296="","",CHOOSE(Q296+1,"Tue","Wed","Thu","Fri"))</f>
        <v/>
      </c>
      <c r="M296" s="27" t="str">
        <f aca="false">IF(J296="","",IF(J296=1,"Every week",R296+1&amp;" of "&amp;J296))</f>
        <v/>
      </c>
      <c r="N296" s="28" t="str">
        <f aca="false">IF(J296="","",Settings!$B$4+R296*7+Q296)</f>
        <v/>
      </c>
      <c r="O296" s="28" t="str">
        <f aca="true">IF(J296="","",N296+MAX(0,ROUNDUP((TODAY()-N296)/(J296*7),0))*J296*7)</f>
        <v/>
      </c>
      <c r="P296" s="27" t="str">
        <f aca="false">IF(J296="","",MOD(K296-1,J296*4))</f>
        <v/>
      </c>
      <c r="Q296" s="27" t="str">
        <f aca="false">IF(J296="","",MOD(P296,4))</f>
        <v/>
      </c>
      <c r="R296" s="27" t="str">
        <f aca="false">IF(J296="","",INT(P296/4))</f>
        <v/>
      </c>
      <c r="S296" s="27" t="str">
        <f aca="false">IF(J296="","",IF(AND('Daily Count Sheet'!$H$3=Q296,MOD('Daily Count Sheet'!$I$3,J296)=R296),1,""))</f>
        <v/>
      </c>
      <c r="T296" s="27" t="str">
        <f aca="false">IF(S296=1,COUNTIF($S$2:S296,1),"")</f>
        <v/>
      </c>
    </row>
    <row r="297" customFormat="false" ht="15" hidden="false" customHeight="false" outlineLevel="0" collapsed="false">
      <c r="H297" s="26"/>
      <c r="I297" s="27" t="str">
        <f aca="false">IF(A297="","",IF(H297&lt;&gt;"",UPPER(TRIM(H297)),IFERROR(CHOOSE(VALUE(E297)+1,"A","B","C","D"),IF(OR(LEFT(UPPER(TRIM(E297)),1)="F",UPPER(TRIM(E297))="A"),"A",IF(OR(LEFT(UPPER(TRIM(E297)),1)="M",UPPER(TRIM(E297))="B"),"B",IF(OR(LEFT(UPPER(TRIM(E297)),2)="SL",UPPER(TRIM(E297))="C"),"C",IF(OR(LEFT(UPPER(TRIM(E297)),1)="D",UPPER(TRIM(E297))="D"),"D","")))))))</f>
        <v/>
      </c>
      <c r="J297" s="27" t="str">
        <f aca="false">IF(I297="","",IF(AND(I297="D",Settings!$B$6&lt;&gt;"Yes"),"",IFERROR(INDEX(Settings!$C$9:$C$12,MATCH(I297,Settings!$A$9:$A$12,0)),"")))</f>
        <v/>
      </c>
      <c r="K297" s="27" t="str">
        <f aca="false">IF(J297="","",COUNTIF($I$2:I297,I297))</f>
        <v/>
      </c>
      <c r="L297" s="27" t="str">
        <f aca="false">IF(J297="","",CHOOSE(Q297+1,"Tue","Wed","Thu","Fri"))</f>
        <v/>
      </c>
      <c r="M297" s="27" t="str">
        <f aca="false">IF(J297="","",IF(J297=1,"Every week",R297+1&amp;" of "&amp;J297))</f>
        <v/>
      </c>
      <c r="N297" s="28" t="str">
        <f aca="false">IF(J297="","",Settings!$B$4+R297*7+Q297)</f>
        <v/>
      </c>
      <c r="O297" s="28" t="str">
        <f aca="true">IF(J297="","",N297+MAX(0,ROUNDUP((TODAY()-N297)/(J297*7),0))*J297*7)</f>
        <v/>
      </c>
      <c r="P297" s="27" t="str">
        <f aca="false">IF(J297="","",MOD(K297-1,J297*4))</f>
        <v/>
      </c>
      <c r="Q297" s="27" t="str">
        <f aca="false">IF(J297="","",MOD(P297,4))</f>
        <v/>
      </c>
      <c r="R297" s="27" t="str">
        <f aca="false">IF(J297="","",INT(P297/4))</f>
        <v/>
      </c>
      <c r="S297" s="27" t="str">
        <f aca="false">IF(J297="","",IF(AND('Daily Count Sheet'!$H$3=Q297,MOD('Daily Count Sheet'!$I$3,J297)=R297),1,""))</f>
        <v/>
      </c>
      <c r="T297" s="27" t="str">
        <f aca="false">IF(S297=1,COUNTIF($S$2:S297,1),"")</f>
        <v/>
      </c>
    </row>
    <row r="298" customFormat="false" ht="15" hidden="false" customHeight="false" outlineLevel="0" collapsed="false">
      <c r="H298" s="26"/>
      <c r="I298" s="27" t="str">
        <f aca="false">IF(A298="","",IF(H298&lt;&gt;"",UPPER(TRIM(H298)),IFERROR(CHOOSE(VALUE(E298)+1,"A","B","C","D"),IF(OR(LEFT(UPPER(TRIM(E298)),1)="F",UPPER(TRIM(E298))="A"),"A",IF(OR(LEFT(UPPER(TRIM(E298)),1)="M",UPPER(TRIM(E298))="B"),"B",IF(OR(LEFT(UPPER(TRIM(E298)),2)="SL",UPPER(TRIM(E298))="C"),"C",IF(OR(LEFT(UPPER(TRIM(E298)),1)="D",UPPER(TRIM(E298))="D"),"D","")))))))</f>
        <v/>
      </c>
      <c r="J298" s="27" t="str">
        <f aca="false">IF(I298="","",IF(AND(I298="D",Settings!$B$6&lt;&gt;"Yes"),"",IFERROR(INDEX(Settings!$C$9:$C$12,MATCH(I298,Settings!$A$9:$A$12,0)),"")))</f>
        <v/>
      </c>
      <c r="K298" s="27" t="str">
        <f aca="false">IF(J298="","",COUNTIF($I$2:I298,I298))</f>
        <v/>
      </c>
      <c r="L298" s="27" t="str">
        <f aca="false">IF(J298="","",CHOOSE(Q298+1,"Tue","Wed","Thu","Fri"))</f>
        <v/>
      </c>
      <c r="M298" s="27" t="str">
        <f aca="false">IF(J298="","",IF(J298=1,"Every week",R298+1&amp;" of "&amp;J298))</f>
        <v/>
      </c>
      <c r="N298" s="28" t="str">
        <f aca="false">IF(J298="","",Settings!$B$4+R298*7+Q298)</f>
        <v/>
      </c>
      <c r="O298" s="28" t="str">
        <f aca="true">IF(J298="","",N298+MAX(0,ROUNDUP((TODAY()-N298)/(J298*7),0))*J298*7)</f>
        <v/>
      </c>
      <c r="P298" s="27" t="str">
        <f aca="false">IF(J298="","",MOD(K298-1,J298*4))</f>
        <v/>
      </c>
      <c r="Q298" s="27" t="str">
        <f aca="false">IF(J298="","",MOD(P298,4))</f>
        <v/>
      </c>
      <c r="R298" s="27" t="str">
        <f aca="false">IF(J298="","",INT(P298/4))</f>
        <v/>
      </c>
      <c r="S298" s="27" t="str">
        <f aca="false">IF(J298="","",IF(AND('Daily Count Sheet'!$H$3=Q298,MOD('Daily Count Sheet'!$I$3,J298)=R298),1,""))</f>
        <v/>
      </c>
      <c r="T298" s="27" t="str">
        <f aca="false">IF(S298=1,COUNTIF($S$2:S298,1),"")</f>
        <v/>
      </c>
    </row>
    <row r="299" customFormat="false" ht="15" hidden="false" customHeight="false" outlineLevel="0" collapsed="false">
      <c r="H299" s="26"/>
      <c r="I299" s="27" t="str">
        <f aca="false">IF(A299="","",IF(H299&lt;&gt;"",UPPER(TRIM(H299)),IFERROR(CHOOSE(VALUE(E299)+1,"A","B","C","D"),IF(OR(LEFT(UPPER(TRIM(E299)),1)="F",UPPER(TRIM(E299))="A"),"A",IF(OR(LEFT(UPPER(TRIM(E299)),1)="M",UPPER(TRIM(E299))="B"),"B",IF(OR(LEFT(UPPER(TRIM(E299)),2)="SL",UPPER(TRIM(E299))="C"),"C",IF(OR(LEFT(UPPER(TRIM(E299)),1)="D",UPPER(TRIM(E299))="D"),"D","")))))))</f>
        <v/>
      </c>
      <c r="J299" s="27" t="str">
        <f aca="false">IF(I299="","",IF(AND(I299="D",Settings!$B$6&lt;&gt;"Yes"),"",IFERROR(INDEX(Settings!$C$9:$C$12,MATCH(I299,Settings!$A$9:$A$12,0)),"")))</f>
        <v/>
      </c>
      <c r="K299" s="27" t="str">
        <f aca="false">IF(J299="","",COUNTIF($I$2:I299,I299))</f>
        <v/>
      </c>
      <c r="L299" s="27" t="str">
        <f aca="false">IF(J299="","",CHOOSE(Q299+1,"Tue","Wed","Thu","Fri"))</f>
        <v/>
      </c>
      <c r="M299" s="27" t="str">
        <f aca="false">IF(J299="","",IF(J299=1,"Every week",R299+1&amp;" of "&amp;J299))</f>
        <v/>
      </c>
      <c r="N299" s="28" t="str">
        <f aca="false">IF(J299="","",Settings!$B$4+R299*7+Q299)</f>
        <v/>
      </c>
      <c r="O299" s="28" t="str">
        <f aca="true">IF(J299="","",N299+MAX(0,ROUNDUP((TODAY()-N299)/(J299*7),0))*J299*7)</f>
        <v/>
      </c>
      <c r="P299" s="27" t="str">
        <f aca="false">IF(J299="","",MOD(K299-1,J299*4))</f>
        <v/>
      </c>
      <c r="Q299" s="27" t="str">
        <f aca="false">IF(J299="","",MOD(P299,4))</f>
        <v/>
      </c>
      <c r="R299" s="27" t="str">
        <f aca="false">IF(J299="","",INT(P299/4))</f>
        <v/>
      </c>
      <c r="S299" s="27" t="str">
        <f aca="false">IF(J299="","",IF(AND('Daily Count Sheet'!$H$3=Q299,MOD('Daily Count Sheet'!$I$3,J299)=R299),1,""))</f>
        <v/>
      </c>
      <c r="T299" s="27" t="str">
        <f aca="false">IF(S299=1,COUNTIF($S$2:S299,1),"")</f>
        <v/>
      </c>
    </row>
    <row r="300" customFormat="false" ht="15" hidden="false" customHeight="false" outlineLevel="0" collapsed="false">
      <c r="H300" s="26"/>
      <c r="I300" s="27" t="str">
        <f aca="false">IF(A300="","",IF(H300&lt;&gt;"",UPPER(TRIM(H300)),IFERROR(CHOOSE(VALUE(E300)+1,"A","B","C","D"),IF(OR(LEFT(UPPER(TRIM(E300)),1)="F",UPPER(TRIM(E300))="A"),"A",IF(OR(LEFT(UPPER(TRIM(E300)),1)="M",UPPER(TRIM(E300))="B"),"B",IF(OR(LEFT(UPPER(TRIM(E300)),2)="SL",UPPER(TRIM(E300))="C"),"C",IF(OR(LEFT(UPPER(TRIM(E300)),1)="D",UPPER(TRIM(E300))="D"),"D","")))))))</f>
        <v/>
      </c>
      <c r="J300" s="27" t="str">
        <f aca="false">IF(I300="","",IF(AND(I300="D",Settings!$B$6&lt;&gt;"Yes"),"",IFERROR(INDEX(Settings!$C$9:$C$12,MATCH(I300,Settings!$A$9:$A$12,0)),"")))</f>
        <v/>
      </c>
      <c r="K300" s="27" t="str">
        <f aca="false">IF(J300="","",COUNTIF($I$2:I300,I300))</f>
        <v/>
      </c>
      <c r="L300" s="27" t="str">
        <f aca="false">IF(J300="","",CHOOSE(Q300+1,"Tue","Wed","Thu","Fri"))</f>
        <v/>
      </c>
      <c r="M300" s="27" t="str">
        <f aca="false">IF(J300="","",IF(J300=1,"Every week",R300+1&amp;" of "&amp;J300))</f>
        <v/>
      </c>
      <c r="N300" s="28" t="str">
        <f aca="false">IF(J300="","",Settings!$B$4+R300*7+Q300)</f>
        <v/>
      </c>
      <c r="O300" s="28" t="str">
        <f aca="true">IF(J300="","",N300+MAX(0,ROUNDUP((TODAY()-N300)/(J300*7),0))*J300*7)</f>
        <v/>
      </c>
      <c r="P300" s="27" t="str">
        <f aca="false">IF(J300="","",MOD(K300-1,J300*4))</f>
        <v/>
      </c>
      <c r="Q300" s="27" t="str">
        <f aca="false">IF(J300="","",MOD(P300,4))</f>
        <v/>
      </c>
      <c r="R300" s="27" t="str">
        <f aca="false">IF(J300="","",INT(P300/4))</f>
        <v/>
      </c>
      <c r="S300" s="27" t="str">
        <f aca="false">IF(J300="","",IF(AND('Daily Count Sheet'!$H$3=Q300,MOD('Daily Count Sheet'!$I$3,J300)=R300),1,""))</f>
        <v/>
      </c>
      <c r="T300" s="27" t="str">
        <f aca="false">IF(S300=1,COUNTIF($S$2:S300,1),"")</f>
        <v/>
      </c>
    </row>
    <row r="301" customFormat="false" ht="15" hidden="false" customHeight="false" outlineLevel="0" collapsed="false">
      <c r="H301" s="26"/>
      <c r="I301" s="27" t="str">
        <f aca="false">IF(A301="","",IF(H301&lt;&gt;"",UPPER(TRIM(H301)),IFERROR(CHOOSE(VALUE(E301)+1,"A","B","C","D"),IF(OR(LEFT(UPPER(TRIM(E301)),1)="F",UPPER(TRIM(E301))="A"),"A",IF(OR(LEFT(UPPER(TRIM(E301)),1)="M",UPPER(TRIM(E301))="B"),"B",IF(OR(LEFT(UPPER(TRIM(E301)),2)="SL",UPPER(TRIM(E301))="C"),"C",IF(OR(LEFT(UPPER(TRIM(E301)),1)="D",UPPER(TRIM(E301))="D"),"D","")))))))</f>
        <v/>
      </c>
      <c r="J301" s="27" t="str">
        <f aca="false">IF(I301="","",IF(AND(I301="D",Settings!$B$6&lt;&gt;"Yes"),"",IFERROR(INDEX(Settings!$C$9:$C$12,MATCH(I301,Settings!$A$9:$A$12,0)),"")))</f>
        <v/>
      </c>
      <c r="K301" s="27" t="str">
        <f aca="false">IF(J301="","",COUNTIF($I$2:I301,I301))</f>
        <v/>
      </c>
      <c r="L301" s="27" t="str">
        <f aca="false">IF(J301="","",CHOOSE(Q301+1,"Tue","Wed","Thu","Fri"))</f>
        <v/>
      </c>
      <c r="M301" s="27" t="str">
        <f aca="false">IF(J301="","",IF(J301=1,"Every week",R301+1&amp;" of "&amp;J301))</f>
        <v/>
      </c>
      <c r="N301" s="28" t="str">
        <f aca="false">IF(J301="","",Settings!$B$4+R301*7+Q301)</f>
        <v/>
      </c>
      <c r="O301" s="28" t="str">
        <f aca="true">IF(J301="","",N301+MAX(0,ROUNDUP((TODAY()-N301)/(J301*7),0))*J301*7)</f>
        <v/>
      </c>
      <c r="P301" s="27" t="str">
        <f aca="false">IF(J301="","",MOD(K301-1,J301*4))</f>
        <v/>
      </c>
      <c r="Q301" s="27" t="str">
        <f aca="false">IF(J301="","",MOD(P301,4))</f>
        <v/>
      </c>
      <c r="R301" s="27" t="str">
        <f aca="false">IF(J301="","",INT(P301/4))</f>
        <v/>
      </c>
      <c r="S301" s="27" t="str">
        <f aca="false">IF(J301="","",IF(AND('Daily Count Sheet'!$H$3=Q301,MOD('Daily Count Sheet'!$I$3,J301)=R301),1,""))</f>
        <v/>
      </c>
      <c r="T301" s="27" t="str">
        <f aca="false">IF(S301=1,COUNTIF($S$2:S301,1),"")</f>
        <v/>
      </c>
    </row>
    <row r="302" customFormat="false" ht="15" hidden="false" customHeight="false" outlineLevel="0" collapsed="false">
      <c r="H302" s="26"/>
      <c r="I302" s="27" t="str">
        <f aca="false">IF(A302="","",IF(H302&lt;&gt;"",UPPER(TRIM(H302)),IFERROR(CHOOSE(VALUE(E302)+1,"A","B","C","D"),IF(OR(LEFT(UPPER(TRIM(E302)),1)="F",UPPER(TRIM(E302))="A"),"A",IF(OR(LEFT(UPPER(TRIM(E302)),1)="M",UPPER(TRIM(E302))="B"),"B",IF(OR(LEFT(UPPER(TRIM(E302)),2)="SL",UPPER(TRIM(E302))="C"),"C",IF(OR(LEFT(UPPER(TRIM(E302)),1)="D",UPPER(TRIM(E302))="D"),"D","")))))))</f>
        <v/>
      </c>
      <c r="J302" s="27" t="str">
        <f aca="false">IF(I302="","",IF(AND(I302="D",Settings!$B$6&lt;&gt;"Yes"),"",IFERROR(INDEX(Settings!$C$9:$C$12,MATCH(I302,Settings!$A$9:$A$12,0)),"")))</f>
        <v/>
      </c>
      <c r="K302" s="27" t="str">
        <f aca="false">IF(J302="","",COUNTIF($I$2:I302,I302))</f>
        <v/>
      </c>
      <c r="L302" s="27" t="str">
        <f aca="false">IF(J302="","",CHOOSE(Q302+1,"Tue","Wed","Thu","Fri"))</f>
        <v/>
      </c>
      <c r="M302" s="27" t="str">
        <f aca="false">IF(J302="","",IF(J302=1,"Every week",R302+1&amp;" of "&amp;J302))</f>
        <v/>
      </c>
      <c r="N302" s="28" t="str">
        <f aca="false">IF(J302="","",Settings!$B$4+R302*7+Q302)</f>
        <v/>
      </c>
      <c r="O302" s="28" t="str">
        <f aca="true">IF(J302="","",N302+MAX(0,ROUNDUP((TODAY()-N302)/(J302*7),0))*J302*7)</f>
        <v/>
      </c>
      <c r="P302" s="27" t="str">
        <f aca="false">IF(J302="","",MOD(K302-1,J302*4))</f>
        <v/>
      </c>
      <c r="Q302" s="27" t="str">
        <f aca="false">IF(J302="","",MOD(P302,4))</f>
        <v/>
      </c>
      <c r="R302" s="27" t="str">
        <f aca="false">IF(J302="","",INT(P302/4))</f>
        <v/>
      </c>
      <c r="S302" s="27" t="str">
        <f aca="false">IF(J302="","",IF(AND('Daily Count Sheet'!$H$3=Q302,MOD('Daily Count Sheet'!$I$3,J302)=R302),1,""))</f>
        <v/>
      </c>
      <c r="T302" s="27" t="str">
        <f aca="false">IF(S302=1,COUNTIF($S$2:S302,1),"")</f>
        <v/>
      </c>
    </row>
    <row r="303" customFormat="false" ht="15" hidden="false" customHeight="false" outlineLevel="0" collapsed="false">
      <c r="H303" s="26"/>
      <c r="I303" s="27" t="str">
        <f aca="false">IF(A303="","",IF(H303&lt;&gt;"",UPPER(TRIM(H303)),IFERROR(CHOOSE(VALUE(E303)+1,"A","B","C","D"),IF(OR(LEFT(UPPER(TRIM(E303)),1)="F",UPPER(TRIM(E303))="A"),"A",IF(OR(LEFT(UPPER(TRIM(E303)),1)="M",UPPER(TRIM(E303))="B"),"B",IF(OR(LEFT(UPPER(TRIM(E303)),2)="SL",UPPER(TRIM(E303))="C"),"C",IF(OR(LEFT(UPPER(TRIM(E303)),1)="D",UPPER(TRIM(E303))="D"),"D","")))))))</f>
        <v/>
      </c>
      <c r="J303" s="27" t="str">
        <f aca="false">IF(I303="","",IF(AND(I303="D",Settings!$B$6&lt;&gt;"Yes"),"",IFERROR(INDEX(Settings!$C$9:$C$12,MATCH(I303,Settings!$A$9:$A$12,0)),"")))</f>
        <v/>
      </c>
      <c r="K303" s="27" t="str">
        <f aca="false">IF(J303="","",COUNTIF($I$2:I303,I303))</f>
        <v/>
      </c>
      <c r="L303" s="27" t="str">
        <f aca="false">IF(J303="","",CHOOSE(Q303+1,"Tue","Wed","Thu","Fri"))</f>
        <v/>
      </c>
      <c r="M303" s="27" t="str">
        <f aca="false">IF(J303="","",IF(J303=1,"Every week",R303+1&amp;" of "&amp;J303))</f>
        <v/>
      </c>
      <c r="N303" s="28" t="str">
        <f aca="false">IF(J303="","",Settings!$B$4+R303*7+Q303)</f>
        <v/>
      </c>
      <c r="O303" s="28" t="str">
        <f aca="true">IF(J303="","",N303+MAX(0,ROUNDUP((TODAY()-N303)/(J303*7),0))*J303*7)</f>
        <v/>
      </c>
      <c r="P303" s="27" t="str">
        <f aca="false">IF(J303="","",MOD(K303-1,J303*4))</f>
        <v/>
      </c>
      <c r="Q303" s="27" t="str">
        <f aca="false">IF(J303="","",MOD(P303,4))</f>
        <v/>
      </c>
      <c r="R303" s="27" t="str">
        <f aca="false">IF(J303="","",INT(P303/4))</f>
        <v/>
      </c>
      <c r="S303" s="27" t="str">
        <f aca="false">IF(J303="","",IF(AND('Daily Count Sheet'!$H$3=Q303,MOD('Daily Count Sheet'!$I$3,J303)=R303),1,""))</f>
        <v/>
      </c>
      <c r="T303" s="27" t="str">
        <f aca="false">IF(S303=1,COUNTIF($S$2:S303,1),"")</f>
        <v/>
      </c>
    </row>
    <row r="304" customFormat="false" ht="15" hidden="false" customHeight="false" outlineLevel="0" collapsed="false">
      <c r="H304" s="26"/>
      <c r="I304" s="27" t="str">
        <f aca="false">IF(A304="","",IF(H304&lt;&gt;"",UPPER(TRIM(H304)),IFERROR(CHOOSE(VALUE(E304)+1,"A","B","C","D"),IF(OR(LEFT(UPPER(TRIM(E304)),1)="F",UPPER(TRIM(E304))="A"),"A",IF(OR(LEFT(UPPER(TRIM(E304)),1)="M",UPPER(TRIM(E304))="B"),"B",IF(OR(LEFT(UPPER(TRIM(E304)),2)="SL",UPPER(TRIM(E304))="C"),"C",IF(OR(LEFT(UPPER(TRIM(E304)),1)="D",UPPER(TRIM(E304))="D"),"D","")))))))</f>
        <v/>
      </c>
      <c r="J304" s="27" t="str">
        <f aca="false">IF(I304="","",IF(AND(I304="D",Settings!$B$6&lt;&gt;"Yes"),"",IFERROR(INDEX(Settings!$C$9:$C$12,MATCH(I304,Settings!$A$9:$A$12,0)),"")))</f>
        <v/>
      </c>
      <c r="K304" s="27" t="str">
        <f aca="false">IF(J304="","",COUNTIF($I$2:I304,I304))</f>
        <v/>
      </c>
      <c r="L304" s="27" t="str">
        <f aca="false">IF(J304="","",CHOOSE(Q304+1,"Tue","Wed","Thu","Fri"))</f>
        <v/>
      </c>
      <c r="M304" s="27" t="str">
        <f aca="false">IF(J304="","",IF(J304=1,"Every week",R304+1&amp;" of "&amp;J304))</f>
        <v/>
      </c>
      <c r="N304" s="28" t="str">
        <f aca="false">IF(J304="","",Settings!$B$4+R304*7+Q304)</f>
        <v/>
      </c>
      <c r="O304" s="28" t="str">
        <f aca="true">IF(J304="","",N304+MAX(0,ROUNDUP((TODAY()-N304)/(J304*7),0))*J304*7)</f>
        <v/>
      </c>
      <c r="P304" s="27" t="str">
        <f aca="false">IF(J304="","",MOD(K304-1,J304*4))</f>
        <v/>
      </c>
      <c r="Q304" s="27" t="str">
        <f aca="false">IF(J304="","",MOD(P304,4))</f>
        <v/>
      </c>
      <c r="R304" s="27" t="str">
        <f aca="false">IF(J304="","",INT(P304/4))</f>
        <v/>
      </c>
      <c r="S304" s="27" t="str">
        <f aca="false">IF(J304="","",IF(AND('Daily Count Sheet'!$H$3=Q304,MOD('Daily Count Sheet'!$I$3,J304)=R304),1,""))</f>
        <v/>
      </c>
      <c r="T304" s="27" t="str">
        <f aca="false">IF(S304=1,COUNTIF($S$2:S304,1),"")</f>
        <v/>
      </c>
    </row>
    <row r="305" customFormat="false" ht="15" hidden="false" customHeight="false" outlineLevel="0" collapsed="false">
      <c r="H305" s="26"/>
      <c r="I305" s="27" t="str">
        <f aca="false">IF(A305="","",IF(H305&lt;&gt;"",UPPER(TRIM(H305)),IFERROR(CHOOSE(VALUE(E305)+1,"A","B","C","D"),IF(OR(LEFT(UPPER(TRIM(E305)),1)="F",UPPER(TRIM(E305))="A"),"A",IF(OR(LEFT(UPPER(TRIM(E305)),1)="M",UPPER(TRIM(E305))="B"),"B",IF(OR(LEFT(UPPER(TRIM(E305)),2)="SL",UPPER(TRIM(E305))="C"),"C",IF(OR(LEFT(UPPER(TRIM(E305)),1)="D",UPPER(TRIM(E305))="D"),"D","")))))))</f>
        <v/>
      </c>
      <c r="J305" s="27" t="str">
        <f aca="false">IF(I305="","",IF(AND(I305="D",Settings!$B$6&lt;&gt;"Yes"),"",IFERROR(INDEX(Settings!$C$9:$C$12,MATCH(I305,Settings!$A$9:$A$12,0)),"")))</f>
        <v/>
      </c>
      <c r="K305" s="27" t="str">
        <f aca="false">IF(J305="","",COUNTIF($I$2:I305,I305))</f>
        <v/>
      </c>
      <c r="L305" s="27" t="str">
        <f aca="false">IF(J305="","",CHOOSE(Q305+1,"Tue","Wed","Thu","Fri"))</f>
        <v/>
      </c>
      <c r="M305" s="27" t="str">
        <f aca="false">IF(J305="","",IF(J305=1,"Every week",R305+1&amp;" of "&amp;J305))</f>
        <v/>
      </c>
      <c r="N305" s="28" t="str">
        <f aca="false">IF(J305="","",Settings!$B$4+R305*7+Q305)</f>
        <v/>
      </c>
      <c r="O305" s="28" t="str">
        <f aca="true">IF(J305="","",N305+MAX(0,ROUNDUP((TODAY()-N305)/(J305*7),0))*J305*7)</f>
        <v/>
      </c>
      <c r="P305" s="27" t="str">
        <f aca="false">IF(J305="","",MOD(K305-1,J305*4))</f>
        <v/>
      </c>
      <c r="Q305" s="27" t="str">
        <f aca="false">IF(J305="","",MOD(P305,4))</f>
        <v/>
      </c>
      <c r="R305" s="27" t="str">
        <f aca="false">IF(J305="","",INT(P305/4))</f>
        <v/>
      </c>
      <c r="S305" s="27" t="str">
        <f aca="false">IF(J305="","",IF(AND('Daily Count Sheet'!$H$3=Q305,MOD('Daily Count Sheet'!$I$3,J305)=R305),1,""))</f>
        <v/>
      </c>
      <c r="T305" s="27" t="str">
        <f aca="false">IF(S305=1,COUNTIF($S$2:S305,1),"")</f>
        <v/>
      </c>
    </row>
    <row r="306" customFormat="false" ht="15" hidden="false" customHeight="false" outlineLevel="0" collapsed="false">
      <c r="H306" s="26"/>
      <c r="I306" s="27" t="str">
        <f aca="false">IF(A306="","",IF(H306&lt;&gt;"",UPPER(TRIM(H306)),IFERROR(CHOOSE(VALUE(E306)+1,"A","B","C","D"),IF(OR(LEFT(UPPER(TRIM(E306)),1)="F",UPPER(TRIM(E306))="A"),"A",IF(OR(LEFT(UPPER(TRIM(E306)),1)="M",UPPER(TRIM(E306))="B"),"B",IF(OR(LEFT(UPPER(TRIM(E306)),2)="SL",UPPER(TRIM(E306))="C"),"C",IF(OR(LEFT(UPPER(TRIM(E306)),1)="D",UPPER(TRIM(E306))="D"),"D","")))))))</f>
        <v/>
      </c>
      <c r="J306" s="27" t="str">
        <f aca="false">IF(I306="","",IF(AND(I306="D",Settings!$B$6&lt;&gt;"Yes"),"",IFERROR(INDEX(Settings!$C$9:$C$12,MATCH(I306,Settings!$A$9:$A$12,0)),"")))</f>
        <v/>
      </c>
      <c r="K306" s="27" t="str">
        <f aca="false">IF(J306="","",COUNTIF($I$2:I306,I306))</f>
        <v/>
      </c>
      <c r="L306" s="27" t="str">
        <f aca="false">IF(J306="","",CHOOSE(Q306+1,"Tue","Wed","Thu","Fri"))</f>
        <v/>
      </c>
      <c r="M306" s="27" t="str">
        <f aca="false">IF(J306="","",IF(J306=1,"Every week",R306+1&amp;" of "&amp;J306))</f>
        <v/>
      </c>
      <c r="N306" s="28" t="str">
        <f aca="false">IF(J306="","",Settings!$B$4+R306*7+Q306)</f>
        <v/>
      </c>
      <c r="O306" s="28" t="str">
        <f aca="true">IF(J306="","",N306+MAX(0,ROUNDUP((TODAY()-N306)/(J306*7),0))*J306*7)</f>
        <v/>
      </c>
      <c r="P306" s="27" t="str">
        <f aca="false">IF(J306="","",MOD(K306-1,J306*4))</f>
        <v/>
      </c>
      <c r="Q306" s="27" t="str">
        <f aca="false">IF(J306="","",MOD(P306,4))</f>
        <v/>
      </c>
      <c r="R306" s="27" t="str">
        <f aca="false">IF(J306="","",INT(P306/4))</f>
        <v/>
      </c>
      <c r="S306" s="27" t="str">
        <f aca="false">IF(J306="","",IF(AND('Daily Count Sheet'!$H$3=Q306,MOD('Daily Count Sheet'!$I$3,J306)=R306),1,""))</f>
        <v/>
      </c>
      <c r="T306" s="27" t="str">
        <f aca="false">IF(S306=1,COUNTIF($S$2:S306,1),"")</f>
        <v/>
      </c>
    </row>
    <row r="307" customFormat="false" ht="15" hidden="false" customHeight="false" outlineLevel="0" collapsed="false">
      <c r="H307" s="26"/>
      <c r="I307" s="27" t="str">
        <f aca="false">IF(A307="","",IF(H307&lt;&gt;"",UPPER(TRIM(H307)),IFERROR(CHOOSE(VALUE(E307)+1,"A","B","C","D"),IF(OR(LEFT(UPPER(TRIM(E307)),1)="F",UPPER(TRIM(E307))="A"),"A",IF(OR(LEFT(UPPER(TRIM(E307)),1)="M",UPPER(TRIM(E307))="B"),"B",IF(OR(LEFT(UPPER(TRIM(E307)),2)="SL",UPPER(TRIM(E307))="C"),"C",IF(OR(LEFT(UPPER(TRIM(E307)),1)="D",UPPER(TRIM(E307))="D"),"D","")))))))</f>
        <v/>
      </c>
      <c r="J307" s="27" t="str">
        <f aca="false">IF(I307="","",IF(AND(I307="D",Settings!$B$6&lt;&gt;"Yes"),"",IFERROR(INDEX(Settings!$C$9:$C$12,MATCH(I307,Settings!$A$9:$A$12,0)),"")))</f>
        <v/>
      </c>
      <c r="K307" s="27" t="str">
        <f aca="false">IF(J307="","",COUNTIF($I$2:I307,I307))</f>
        <v/>
      </c>
      <c r="L307" s="27" t="str">
        <f aca="false">IF(J307="","",CHOOSE(Q307+1,"Tue","Wed","Thu","Fri"))</f>
        <v/>
      </c>
      <c r="M307" s="27" t="str">
        <f aca="false">IF(J307="","",IF(J307=1,"Every week",R307+1&amp;" of "&amp;J307))</f>
        <v/>
      </c>
      <c r="N307" s="28" t="str">
        <f aca="false">IF(J307="","",Settings!$B$4+R307*7+Q307)</f>
        <v/>
      </c>
      <c r="O307" s="28" t="str">
        <f aca="true">IF(J307="","",N307+MAX(0,ROUNDUP((TODAY()-N307)/(J307*7),0))*J307*7)</f>
        <v/>
      </c>
      <c r="P307" s="27" t="str">
        <f aca="false">IF(J307="","",MOD(K307-1,J307*4))</f>
        <v/>
      </c>
      <c r="Q307" s="27" t="str">
        <f aca="false">IF(J307="","",MOD(P307,4))</f>
        <v/>
      </c>
      <c r="R307" s="27" t="str">
        <f aca="false">IF(J307="","",INT(P307/4))</f>
        <v/>
      </c>
      <c r="S307" s="27" t="str">
        <f aca="false">IF(J307="","",IF(AND('Daily Count Sheet'!$H$3=Q307,MOD('Daily Count Sheet'!$I$3,J307)=R307),1,""))</f>
        <v/>
      </c>
      <c r="T307" s="27" t="str">
        <f aca="false">IF(S307=1,COUNTIF($S$2:S307,1),"")</f>
        <v/>
      </c>
    </row>
    <row r="308" customFormat="false" ht="15" hidden="false" customHeight="false" outlineLevel="0" collapsed="false">
      <c r="H308" s="26"/>
      <c r="I308" s="27" t="str">
        <f aca="false">IF(A308="","",IF(H308&lt;&gt;"",UPPER(TRIM(H308)),IFERROR(CHOOSE(VALUE(E308)+1,"A","B","C","D"),IF(OR(LEFT(UPPER(TRIM(E308)),1)="F",UPPER(TRIM(E308))="A"),"A",IF(OR(LEFT(UPPER(TRIM(E308)),1)="M",UPPER(TRIM(E308))="B"),"B",IF(OR(LEFT(UPPER(TRIM(E308)),2)="SL",UPPER(TRIM(E308))="C"),"C",IF(OR(LEFT(UPPER(TRIM(E308)),1)="D",UPPER(TRIM(E308))="D"),"D","")))))))</f>
        <v/>
      </c>
      <c r="J308" s="27" t="str">
        <f aca="false">IF(I308="","",IF(AND(I308="D",Settings!$B$6&lt;&gt;"Yes"),"",IFERROR(INDEX(Settings!$C$9:$C$12,MATCH(I308,Settings!$A$9:$A$12,0)),"")))</f>
        <v/>
      </c>
      <c r="K308" s="27" t="str">
        <f aca="false">IF(J308="","",COUNTIF($I$2:I308,I308))</f>
        <v/>
      </c>
      <c r="L308" s="27" t="str">
        <f aca="false">IF(J308="","",CHOOSE(Q308+1,"Tue","Wed","Thu","Fri"))</f>
        <v/>
      </c>
      <c r="M308" s="27" t="str">
        <f aca="false">IF(J308="","",IF(J308=1,"Every week",R308+1&amp;" of "&amp;J308))</f>
        <v/>
      </c>
      <c r="N308" s="28" t="str">
        <f aca="false">IF(J308="","",Settings!$B$4+R308*7+Q308)</f>
        <v/>
      </c>
      <c r="O308" s="28" t="str">
        <f aca="true">IF(J308="","",N308+MAX(0,ROUNDUP((TODAY()-N308)/(J308*7),0))*J308*7)</f>
        <v/>
      </c>
      <c r="P308" s="27" t="str">
        <f aca="false">IF(J308="","",MOD(K308-1,J308*4))</f>
        <v/>
      </c>
      <c r="Q308" s="27" t="str">
        <f aca="false">IF(J308="","",MOD(P308,4))</f>
        <v/>
      </c>
      <c r="R308" s="27" t="str">
        <f aca="false">IF(J308="","",INT(P308/4))</f>
        <v/>
      </c>
      <c r="S308" s="27" t="str">
        <f aca="false">IF(J308="","",IF(AND('Daily Count Sheet'!$H$3=Q308,MOD('Daily Count Sheet'!$I$3,J308)=R308),1,""))</f>
        <v/>
      </c>
      <c r="T308" s="27" t="str">
        <f aca="false">IF(S308=1,COUNTIF($S$2:S308,1),"")</f>
        <v/>
      </c>
    </row>
    <row r="309" customFormat="false" ht="15" hidden="false" customHeight="false" outlineLevel="0" collapsed="false">
      <c r="H309" s="26"/>
      <c r="I309" s="27" t="str">
        <f aca="false">IF(A309="","",IF(H309&lt;&gt;"",UPPER(TRIM(H309)),IFERROR(CHOOSE(VALUE(E309)+1,"A","B","C","D"),IF(OR(LEFT(UPPER(TRIM(E309)),1)="F",UPPER(TRIM(E309))="A"),"A",IF(OR(LEFT(UPPER(TRIM(E309)),1)="M",UPPER(TRIM(E309))="B"),"B",IF(OR(LEFT(UPPER(TRIM(E309)),2)="SL",UPPER(TRIM(E309))="C"),"C",IF(OR(LEFT(UPPER(TRIM(E309)),1)="D",UPPER(TRIM(E309))="D"),"D","")))))))</f>
        <v/>
      </c>
      <c r="J309" s="27" t="str">
        <f aca="false">IF(I309="","",IF(AND(I309="D",Settings!$B$6&lt;&gt;"Yes"),"",IFERROR(INDEX(Settings!$C$9:$C$12,MATCH(I309,Settings!$A$9:$A$12,0)),"")))</f>
        <v/>
      </c>
      <c r="K309" s="27" t="str">
        <f aca="false">IF(J309="","",COUNTIF($I$2:I309,I309))</f>
        <v/>
      </c>
      <c r="L309" s="27" t="str">
        <f aca="false">IF(J309="","",CHOOSE(Q309+1,"Tue","Wed","Thu","Fri"))</f>
        <v/>
      </c>
      <c r="M309" s="27" t="str">
        <f aca="false">IF(J309="","",IF(J309=1,"Every week",R309+1&amp;" of "&amp;J309))</f>
        <v/>
      </c>
      <c r="N309" s="28" t="str">
        <f aca="false">IF(J309="","",Settings!$B$4+R309*7+Q309)</f>
        <v/>
      </c>
      <c r="O309" s="28" t="str">
        <f aca="true">IF(J309="","",N309+MAX(0,ROUNDUP((TODAY()-N309)/(J309*7),0))*J309*7)</f>
        <v/>
      </c>
      <c r="P309" s="27" t="str">
        <f aca="false">IF(J309="","",MOD(K309-1,J309*4))</f>
        <v/>
      </c>
      <c r="Q309" s="27" t="str">
        <f aca="false">IF(J309="","",MOD(P309,4))</f>
        <v/>
      </c>
      <c r="R309" s="27" t="str">
        <f aca="false">IF(J309="","",INT(P309/4))</f>
        <v/>
      </c>
      <c r="S309" s="27" t="str">
        <f aca="false">IF(J309="","",IF(AND('Daily Count Sheet'!$H$3=Q309,MOD('Daily Count Sheet'!$I$3,J309)=R309),1,""))</f>
        <v/>
      </c>
      <c r="T309" s="27" t="str">
        <f aca="false">IF(S309=1,COUNTIF($S$2:S309,1),"")</f>
        <v/>
      </c>
    </row>
    <row r="310" customFormat="false" ht="15" hidden="false" customHeight="false" outlineLevel="0" collapsed="false">
      <c r="H310" s="26"/>
      <c r="I310" s="27" t="str">
        <f aca="false">IF(A310="","",IF(H310&lt;&gt;"",UPPER(TRIM(H310)),IFERROR(CHOOSE(VALUE(E310)+1,"A","B","C","D"),IF(OR(LEFT(UPPER(TRIM(E310)),1)="F",UPPER(TRIM(E310))="A"),"A",IF(OR(LEFT(UPPER(TRIM(E310)),1)="M",UPPER(TRIM(E310))="B"),"B",IF(OR(LEFT(UPPER(TRIM(E310)),2)="SL",UPPER(TRIM(E310))="C"),"C",IF(OR(LEFT(UPPER(TRIM(E310)),1)="D",UPPER(TRIM(E310))="D"),"D","")))))))</f>
        <v/>
      </c>
      <c r="J310" s="27" t="str">
        <f aca="false">IF(I310="","",IF(AND(I310="D",Settings!$B$6&lt;&gt;"Yes"),"",IFERROR(INDEX(Settings!$C$9:$C$12,MATCH(I310,Settings!$A$9:$A$12,0)),"")))</f>
        <v/>
      </c>
      <c r="K310" s="27" t="str">
        <f aca="false">IF(J310="","",COUNTIF($I$2:I310,I310))</f>
        <v/>
      </c>
      <c r="L310" s="27" t="str">
        <f aca="false">IF(J310="","",CHOOSE(Q310+1,"Tue","Wed","Thu","Fri"))</f>
        <v/>
      </c>
      <c r="M310" s="27" t="str">
        <f aca="false">IF(J310="","",IF(J310=1,"Every week",R310+1&amp;" of "&amp;J310))</f>
        <v/>
      </c>
      <c r="N310" s="28" t="str">
        <f aca="false">IF(J310="","",Settings!$B$4+R310*7+Q310)</f>
        <v/>
      </c>
      <c r="O310" s="28" t="str">
        <f aca="true">IF(J310="","",N310+MAX(0,ROUNDUP((TODAY()-N310)/(J310*7),0))*J310*7)</f>
        <v/>
      </c>
      <c r="P310" s="27" t="str">
        <f aca="false">IF(J310="","",MOD(K310-1,J310*4))</f>
        <v/>
      </c>
      <c r="Q310" s="27" t="str">
        <f aca="false">IF(J310="","",MOD(P310,4))</f>
        <v/>
      </c>
      <c r="R310" s="27" t="str">
        <f aca="false">IF(J310="","",INT(P310/4))</f>
        <v/>
      </c>
      <c r="S310" s="27" t="str">
        <f aca="false">IF(J310="","",IF(AND('Daily Count Sheet'!$H$3=Q310,MOD('Daily Count Sheet'!$I$3,J310)=R310),1,""))</f>
        <v/>
      </c>
      <c r="T310" s="27" t="str">
        <f aca="false">IF(S310=1,COUNTIF($S$2:S310,1),"")</f>
        <v/>
      </c>
    </row>
    <row r="311" customFormat="false" ht="15" hidden="false" customHeight="false" outlineLevel="0" collapsed="false">
      <c r="H311" s="26"/>
      <c r="I311" s="27" t="str">
        <f aca="false">IF(A311="","",IF(H311&lt;&gt;"",UPPER(TRIM(H311)),IFERROR(CHOOSE(VALUE(E311)+1,"A","B","C","D"),IF(OR(LEFT(UPPER(TRIM(E311)),1)="F",UPPER(TRIM(E311))="A"),"A",IF(OR(LEFT(UPPER(TRIM(E311)),1)="M",UPPER(TRIM(E311))="B"),"B",IF(OR(LEFT(UPPER(TRIM(E311)),2)="SL",UPPER(TRIM(E311))="C"),"C",IF(OR(LEFT(UPPER(TRIM(E311)),1)="D",UPPER(TRIM(E311))="D"),"D","")))))))</f>
        <v/>
      </c>
      <c r="J311" s="27" t="str">
        <f aca="false">IF(I311="","",IF(AND(I311="D",Settings!$B$6&lt;&gt;"Yes"),"",IFERROR(INDEX(Settings!$C$9:$C$12,MATCH(I311,Settings!$A$9:$A$12,0)),"")))</f>
        <v/>
      </c>
      <c r="K311" s="27" t="str">
        <f aca="false">IF(J311="","",COUNTIF($I$2:I311,I311))</f>
        <v/>
      </c>
      <c r="L311" s="27" t="str">
        <f aca="false">IF(J311="","",CHOOSE(Q311+1,"Tue","Wed","Thu","Fri"))</f>
        <v/>
      </c>
      <c r="M311" s="27" t="str">
        <f aca="false">IF(J311="","",IF(J311=1,"Every week",R311+1&amp;" of "&amp;J311))</f>
        <v/>
      </c>
      <c r="N311" s="28" t="str">
        <f aca="false">IF(J311="","",Settings!$B$4+R311*7+Q311)</f>
        <v/>
      </c>
      <c r="O311" s="28" t="str">
        <f aca="true">IF(J311="","",N311+MAX(0,ROUNDUP((TODAY()-N311)/(J311*7),0))*J311*7)</f>
        <v/>
      </c>
      <c r="P311" s="27" t="str">
        <f aca="false">IF(J311="","",MOD(K311-1,J311*4))</f>
        <v/>
      </c>
      <c r="Q311" s="27" t="str">
        <f aca="false">IF(J311="","",MOD(P311,4))</f>
        <v/>
      </c>
      <c r="R311" s="27" t="str">
        <f aca="false">IF(J311="","",INT(P311/4))</f>
        <v/>
      </c>
      <c r="S311" s="27" t="str">
        <f aca="false">IF(J311="","",IF(AND('Daily Count Sheet'!$H$3=Q311,MOD('Daily Count Sheet'!$I$3,J311)=R311),1,""))</f>
        <v/>
      </c>
      <c r="T311" s="27" t="str">
        <f aca="false">IF(S311=1,COUNTIF($S$2:S311,1),"")</f>
        <v/>
      </c>
    </row>
    <row r="312" customFormat="false" ht="15" hidden="false" customHeight="false" outlineLevel="0" collapsed="false">
      <c r="H312" s="26"/>
      <c r="I312" s="27" t="str">
        <f aca="false">IF(A312="","",IF(H312&lt;&gt;"",UPPER(TRIM(H312)),IFERROR(CHOOSE(VALUE(E312)+1,"A","B","C","D"),IF(OR(LEFT(UPPER(TRIM(E312)),1)="F",UPPER(TRIM(E312))="A"),"A",IF(OR(LEFT(UPPER(TRIM(E312)),1)="M",UPPER(TRIM(E312))="B"),"B",IF(OR(LEFT(UPPER(TRIM(E312)),2)="SL",UPPER(TRIM(E312))="C"),"C",IF(OR(LEFT(UPPER(TRIM(E312)),1)="D",UPPER(TRIM(E312))="D"),"D","")))))))</f>
        <v/>
      </c>
      <c r="J312" s="27" t="str">
        <f aca="false">IF(I312="","",IF(AND(I312="D",Settings!$B$6&lt;&gt;"Yes"),"",IFERROR(INDEX(Settings!$C$9:$C$12,MATCH(I312,Settings!$A$9:$A$12,0)),"")))</f>
        <v/>
      </c>
      <c r="K312" s="27" t="str">
        <f aca="false">IF(J312="","",COUNTIF($I$2:I312,I312))</f>
        <v/>
      </c>
      <c r="L312" s="27" t="str">
        <f aca="false">IF(J312="","",CHOOSE(Q312+1,"Tue","Wed","Thu","Fri"))</f>
        <v/>
      </c>
      <c r="M312" s="27" t="str">
        <f aca="false">IF(J312="","",IF(J312=1,"Every week",R312+1&amp;" of "&amp;J312))</f>
        <v/>
      </c>
      <c r="N312" s="28" t="str">
        <f aca="false">IF(J312="","",Settings!$B$4+R312*7+Q312)</f>
        <v/>
      </c>
      <c r="O312" s="28" t="str">
        <f aca="true">IF(J312="","",N312+MAX(0,ROUNDUP((TODAY()-N312)/(J312*7),0))*J312*7)</f>
        <v/>
      </c>
      <c r="P312" s="27" t="str">
        <f aca="false">IF(J312="","",MOD(K312-1,J312*4))</f>
        <v/>
      </c>
      <c r="Q312" s="27" t="str">
        <f aca="false">IF(J312="","",MOD(P312,4))</f>
        <v/>
      </c>
      <c r="R312" s="27" t="str">
        <f aca="false">IF(J312="","",INT(P312/4))</f>
        <v/>
      </c>
      <c r="S312" s="27" t="str">
        <f aca="false">IF(J312="","",IF(AND('Daily Count Sheet'!$H$3=Q312,MOD('Daily Count Sheet'!$I$3,J312)=R312),1,""))</f>
        <v/>
      </c>
      <c r="T312" s="27" t="str">
        <f aca="false">IF(S312=1,COUNTIF($S$2:S312,1),"")</f>
        <v/>
      </c>
    </row>
    <row r="313" customFormat="false" ht="15" hidden="false" customHeight="false" outlineLevel="0" collapsed="false">
      <c r="H313" s="26"/>
      <c r="I313" s="27" t="str">
        <f aca="false">IF(A313="","",IF(H313&lt;&gt;"",UPPER(TRIM(H313)),IFERROR(CHOOSE(VALUE(E313)+1,"A","B","C","D"),IF(OR(LEFT(UPPER(TRIM(E313)),1)="F",UPPER(TRIM(E313))="A"),"A",IF(OR(LEFT(UPPER(TRIM(E313)),1)="M",UPPER(TRIM(E313))="B"),"B",IF(OR(LEFT(UPPER(TRIM(E313)),2)="SL",UPPER(TRIM(E313))="C"),"C",IF(OR(LEFT(UPPER(TRIM(E313)),1)="D",UPPER(TRIM(E313))="D"),"D","")))))))</f>
        <v/>
      </c>
      <c r="J313" s="27" t="str">
        <f aca="false">IF(I313="","",IF(AND(I313="D",Settings!$B$6&lt;&gt;"Yes"),"",IFERROR(INDEX(Settings!$C$9:$C$12,MATCH(I313,Settings!$A$9:$A$12,0)),"")))</f>
        <v/>
      </c>
      <c r="K313" s="27" t="str">
        <f aca="false">IF(J313="","",COUNTIF($I$2:I313,I313))</f>
        <v/>
      </c>
      <c r="L313" s="27" t="str">
        <f aca="false">IF(J313="","",CHOOSE(Q313+1,"Tue","Wed","Thu","Fri"))</f>
        <v/>
      </c>
      <c r="M313" s="27" t="str">
        <f aca="false">IF(J313="","",IF(J313=1,"Every week",R313+1&amp;" of "&amp;J313))</f>
        <v/>
      </c>
      <c r="N313" s="28" t="str">
        <f aca="false">IF(J313="","",Settings!$B$4+R313*7+Q313)</f>
        <v/>
      </c>
      <c r="O313" s="28" t="str">
        <f aca="true">IF(J313="","",N313+MAX(0,ROUNDUP((TODAY()-N313)/(J313*7),0))*J313*7)</f>
        <v/>
      </c>
      <c r="P313" s="27" t="str">
        <f aca="false">IF(J313="","",MOD(K313-1,J313*4))</f>
        <v/>
      </c>
      <c r="Q313" s="27" t="str">
        <f aca="false">IF(J313="","",MOD(P313,4))</f>
        <v/>
      </c>
      <c r="R313" s="27" t="str">
        <f aca="false">IF(J313="","",INT(P313/4))</f>
        <v/>
      </c>
      <c r="S313" s="27" t="str">
        <f aca="false">IF(J313="","",IF(AND('Daily Count Sheet'!$H$3=Q313,MOD('Daily Count Sheet'!$I$3,J313)=R313),1,""))</f>
        <v/>
      </c>
      <c r="T313" s="27" t="str">
        <f aca="false">IF(S313=1,COUNTIF($S$2:S313,1),"")</f>
        <v/>
      </c>
    </row>
    <row r="314" customFormat="false" ht="15" hidden="false" customHeight="false" outlineLevel="0" collapsed="false">
      <c r="H314" s="26"/>
      <c r="I314" s="27" t="str">
        <f aca="false">IF(A314="","",IF(H314&lt;&gt;"",UPPER(TRIM(H314)),IFERROR(CHOOSE(VALUE(E314)+1,"A","B","C","D"),IF(OR(LEFT(UPPER(TRIM(E314)),1)="F",UPPER(TRIM(E314))="A"),"A",IF(OR(LEFT(UPPER(TRIM(E314)),1)="M",UPPER(TRIM(E314))="B"),"B",IF(OR(LEFT(UPPER(TRIM(E314)),2)="SL",UPPER(TRIM(E314))="C"),"C",IF(OR(LEFT(UPPER(TRIM(E314)),1)="D",UPPER(TRIM(E314))="D"),"D","")))))))</f>
        <v/>
      </c>
      <c r="J314" s="27" t="str">
        <f aca="false">IF(I314="","",IF(AND(I314="D",Settings!$B$6&lt;&gt;"Yes"),"",IFERROR(INDEX(Settings!$C$9:$C$12,MATCH(I314,Settings!$A$9:$A$12,0)),"")))</f>
        <v/>
      </c>
      <c r="K314" s="27" t="str">
        <f aca="false">IF(J314="","",COUNTIF($I$2:I314,I314))</f>
        <v/>
      </c>
      <c r="L314" s="27" t="str">
        <f aca="false">IF(J314="","",CHOOSE(Q314+1,"Tue","Wed","Thu","Fri"))</f>
        <v/>
      </c>
      <c r="M314" s="27" t="str">
        <f aca="false">IF(J314="","",IF(J314=1,"Every week",R314+1&amp;" of "&amp;J314))</f>
        <v/>
      </c>
      <c r="N314" s="28" t="str">
        <f aca="false">IF(J314="","",Settings!$B$4+R314*7+Q314)</f>
        <v/>
      </c>
      <c r="O314" s="28" t="str">
        <f aca="true">IF(J314="","",N314+MAX(0,ROUNDUP((TODAY()-N314)/(J314*7),0))*J314*7)</f>
        <v/>
      </c>
      <c r="P314" s="27" t="str">
        <f aca="false">IF(J314="","",MOD(K314-1,J314*4))</f>
        <v/>
      </c>
      <c r="Q314" s="27" t="str">
        <f aca="false">IF(J314="","",MOD(P314,4))</f>
        <v/>
      </c>
      <c r="R314" s="27" t="str">
        <f aca="false">IF(J314="","",INT(P314/4))</f>
        <v/>
      </c>
      <c r="S314" s="27" t="str">
        <f aca="false">IF(J314="","",IF(AND('Daily Count Sheet'!$H$3=Q314,MOD('Daily Count Sheet'!$I$3,J314)=R314),1,""))</f>
        <v/>
      </c>
      <c r="T314" s="27" t="str">
        <f aca="false">IF(S314=1,COUNTIF($S$2:S314,1),"")</f>
        <v/>
      </c>
    </row>
    <row r="315" customFormat="false" ht="15" hidden="false" customHeight="false" outlineLevel="0" collapsed="false">
      <c r="H315" s="26"/>
      <c r="I315" s="27" t="str">
        <f aca="false">IF(A315="","",IF(H315&lt;&gt;"",UPPER(TRIM(H315)),IFERROR(CHOOSE(VALUE(E315)+1,"A","B","C","D"),IF(OR(LEFT(UPPER(TRIM(E315)),1)="F",UPPER(TRIM(E315))="A"),"A",IF(OR(LEFT(UPPER(TRIM(E315)),1)="M",UPPER(TRIM(E315))="B"),"B",IF(OR(LEFT(UPPER(TRIM(E315)),2)="SL",UPPER(TRIM(E315))="C"),"C",IF(OR(LEFT(UPPER(TRIM(E315)),1)="D",UPPER(TRIM(E315))="D"),"D","")))))))</f>
        <v/>
      </c>
      <c r="J315" s="27" t="str">
        <f aca="false">IF(I315="","",IF(AND(I315="D",Settings!$B$6&lt;&gt;"Yes"),"",IFERROR(INDEX(Settings!$C$9:$C$12,MATCH(I315,Settings!$A$9:$A$12,0)),"")))</f>
        <v/>
      </c>
      <c r="K315" s="27" t="str">
        <f aca="false">IF(J315="","",COUNTIF($I$2:I315,I315))</f>
        <v/>
      </c>
      <c r="L315" s="27" t="str">
        <f aca="false">IF(J315="","",CHOOSE(Q315+1,"Tue","Wed","Thu","Fri"))</f>
        <v/>
      </c>
      <c r="M315" s="27" t="str">
        <f aca="false">IF(J315="","",IF(J315=1,"Every week",R315+1&amp;" of "&amp;J315))</f>
        <v/>
      </c>
      <c r="N315" s="28" t="str">
        <f aca="false">IF(J315="","",Settings!$B$4+R315*7+Q315)</f>
        <v/>
      </c>
      <c r="O315" s="28" t="str">
        <f aca="true">IF(J315="","",N315+MAX(0,ROUNDUP((TODAY()-N315)/(J315*7),0))*J315*7)</f>
        <v/>
      </c>
      <c r="P315" s="27" t="str">
        <f aca="false">IF(J315="","",MOD(K315-1,J315*4))</f>
        <v/>
      </c>
      <c r="Q315" s="27" t="str">
        <f aca="false">IF(J315="","",MOD(P315,4))</f>
        <v/>
      </c>
      <c r="R315" s="27" t="str">
        <f aca="false">IF(J315="","",INT(P315/4))</f>
        <v/>
      </c>
      <c r="S315" s="27" t="str">
        <f aca="false">IF(J315="","",IF(AND('Daily Count Sheet'!$H$3=Q315,MOD('Daily Count Sheet'!$I$3,J315)=R315),1,""))</f>
        <v/>
      </c>
      <c r="T315" s="27" t="str">
        <f aca="false">IF(S315=1,COUNTIF($S$2:S315,1),"")</f>
        <v/>
      </c>
    </row>
    <row r="316" customFormat="false" ht="15" hidden="false" customHeight="false" outlineLevel="0" collapsed="false">
      <c r="H316" s="26"/>
      <c r="I316" s="27" t="str">
        <f aca="false">IF(A316="","",IF(H316&lt;&gt;"",UPPER(TRIM(H316)),IFERROR(CHOOSE(VALUE(E316)+1,"A","B","C","D"),IF(OR(LEFT(UPPER(TRIM(E316)),1)="F",UPPER(TRIM(E316))="A"),"A",IF(OR(LEFT(UPPER(TRIM(E316)),1)="M",UPPER(TRIM(E316))="B"),"B",IF(OR(LEFT(UPPER(TRIM(E316)),2)="SL",UPPER(TRIM(E316))="C"),"C",IF(OR(LEFT(UPPER(TRIM(E316)),1)="D",UPPER(TRIM(E316))="D"),"D","")))))))</f>
        <v/>
      </c>
      <c r="J316" s="27" t="str">
        <f aca="false">IF(I316="","",IF(AND(I316="D",Settings!$B$6&lt;&gt;"Yes"),"",IFERROR(INDEX(Settings!$C$9:$C$12,MATCH(I316,Settings!$A$9:$A$12,0)),"")))</f>
        <v/>
      </c>
      <c r="K316" s="27" t="str">
        <f aca="false">IF(J316="","",COUNTIF($I$2:I316,I316))</f>
        <v/>
      </c>
      <c r="L316" s="27" t="str">
        <f aca="false">IF(J316="","",CHOOSE(Q316+1,"Tue","Wed","Thu","Fri"))</f>
        <v/>
      </c>
      <c r="M316" s="27" t="str">
        <f aca="false">IF(J316="","",IF(J316=1,"Every week",R316+1&amp;" of "&amp;J316))</f>
        <v/>
      </c>
      <c r="N316" s="28" t="str">
        <f aca="false">IF(J316="","",Settings!$B$4+R316*7+Q316)</f>
        <v/>
      </c>
      <c r="O316" s="28" t="str">
        <f aca="true">IF(J316="","",N316+MAX(0,ROUNDUP((TODAY()-N316)/(J316*7),0))*J316*7)</f>
        <v/>
      </c>
      <c r="P316" s="27" t="str">
        <f aca="false">IF(J316="","",MOD(K316-1,J316*4))</f>
        <v/>
      </c>
      <c r="Q316" s="27" t="str">
        <f aca="false">IF(J316="","",MOD(P316,4))</f>
        <v/>
      </c>
      <c r="R316" s="27" t="str">
        <f aca="false">IF(J316="","",INT(P316/4))</f>
        <v/>
      </c>
      <c r="S316" s="27" t="str">
        <f aca="false">IF(J316="","",IF(AND('Daily Count Sheet'!$H$3=Q316,MOD('Daily Count Sheet'!$I$3,J316)=R316),1,""))</f>
        <v/>
      </c>
      <c r="T316" s="27" t="str">
        <f aca="false">IF(S316=1,COUNTIF($S$2:S316,1),"")</f>
        <v/>
      </c>
    </row>
    <row r="317" customFormat="false" ht="15" hidden="false" customHeight="false" outlineLevel="0" collapsed="false">
      <c r="H317" s="26"/>
      <c r="I317" s="27" t="str">
        <f aca="false">IF(A317="","",IF(H317&lt;&gt;"",UPPER(TRIM(H317)),IFERROR(CHOOSE(VALUE(E317)+1,"A","B","C","D"),IF(OR(LEFT(UPPER(TRIM(E317)),1)="F",UPPER(TRIM(E317))="A"),"A",IF(OR(LEFT(UPPER(TRIM(E317)),1)="M",UPPER(TRIM(E317))="B"),"B",IF(OR(LEFT(UPPER(TRIM(E317)),2)="SL",UPPER(TRIM(E317))="C"),"C",IF(OR(LEFT(UPPER(TRIM(E317)),1)="D",UPPER(TRIM(E317))="D"),"D","")))))))</f>
        <v/>
      </c>
      <c r="J317" s="27" t="str">
        <f aca="false">IF(I317="","",IF(AND(I317="D",Settings!$B$6&lt;&gt;"Yes"),"",IFERROR(INDEX(Settings!$C$9:$C$12,MATCH(I317,Settings!$A$9:$A$12,0)),"")))</f>
        <v/>
      </c>
      <c r="K317" s="27" t="str">
        <f aca="false">IF(J317="","",COUNTIF($I$2:I317,I317))</f>
        <v/>
      </c>
      <c r="L317" s="27" t="str">
        <f aca="false">IF(J317="","",CHOOSE(Q317+1,"Tue","Wed","Thu","Fri"))</f>
        <v/>
      </c>
      <c r="M317" s="27" t="str">
        <f aca="false">IF(J317="","",IF(J317=1,"Every week",R317+1&amp;" of "&amp;J317))</f>
        <v/>
      </c>
      <c r="N317" s="28" t="str">
        <f aca="false">IF(J317="","",Settings!$B$4+R317*7+Q317)</f>
        <v/>
      </c>
      <c r="O317" s="28" t="str">
        <f aca="true">IF(J317="","",N317+MAX(0,ROUNDUP((TODAY()-N317)/(J317*7),0))*J317*7)</f>
        <v/>
      </c>
      <c r="P317" s="27" t="str">
        <f aca="false">IF(J317="","",MOD(K317-1,J317*4))</f>
        <v/>
      </c>
      <c r="Q317" s="27" t="str">
        <f aca="false">IF(J317="","",MOD(P317,4))</f>
        <v/>
      </c>
      <c r="R317" s="27" t="str">
        <f aca="false">IF(J317="","",INT(P317/4))</f>
        <v/>
      </c>
      <c r="S317" s="27" t="str">
        <f aca="false">IF(J317="","",IF(AND('Daily Count Sheet'!$H$3=Q317,MOD('Daily Count Sheet'!$I$3,J317)=R317),1,""))</f>
        <v/>
      </c>
      <c r="T317" s="27" t="str">
        <f aca="false">IF(S317=1,COUNTIF($S$2:S317,1),"")</f>
        <v/>
      </c>
    </row>
    <row r="318" customFormat="false" ht="15" hidden="false" customHeight="false" outlineLevel="0" collapsed="false">
      <c r="H318" s="26"/>
      <c r="I318" s="27" t="str">
        <f aca="false">IF(A318="","",IF(H318&lt;&gt;"",UPPER(TRIM(H318)),IFERROR(CHOOSE(VALUE(E318)+1,"A","B","C","D"),IF(OR(LEFT(UPPER(TRIM(E318)),1)="F",UPPER(TRIM(E318))="A"),"A",IF(OR(LEFT(UPPER(TRIM(E318)),1)="M",UPPER(TRIM(E318))="B"),"B",IF(OR(LEFT(UPPER(TRIM(E318)),2)="SL",UPPER(TRIM(E318))="C"),"C",IF(OR(LEFT(UPPER(TRIM(E318)),1)="D",UPPER(TRIM(E318))="D"),"D","")))))))</f>
        <v/>
      </c>
      <c r="J318" s="27" t="str">
        <f aca="false">IF(I318="","",IF(AND(I318="D",Settings!$B$6&lt;&gt;"Yes"),"",IFERROR(INDEX(Settings!$C$9:$C$12,MATCH(I318,Settings!$A$9:$A$12,0)),"")))</f>
        <v/>
      </c>
      <c r="K318" s="27" t="str">
        <f aca="false">IF(J318="","",COUNTIF($I$2:I318,I318))</f>
        <v/>
      </c>
      <c r="L318" s="27" t="str">
        <f aca="false">IF(J318="","",CHOOSE(Q318+1,"Tue","Wed","Thu","Fri"))</f>
        <v/>
      </c>
      <c r="M318" s="27" t="str">
        <f aca="false">IF(J318="","",IF(J318=1,"Every week",R318+1&amp;" of "&amp;J318))</f>
        <v/>
      </c>
      <c r="N318" s="28" t="str">
        <f aca="false">IF(J318="","",Settings!$B$4+R318*7+Q318)</f>
        <v/>
      </c>
      <c r="O318" s="28" t="str">
        <f aca="true">IF(J318="","",N318+MAX(0,ROUNDUP((TODAY()-N318)/(J318*7),0))*J318*7)</f>
        <v/>
      </c>
      <c r="P318" s="27" t="str">
        <f aca="false">IF(J318="","",MOD(K318-1,J318*4))</f>
        <v/>
      </c>
      <c r="Q318" s="27" t="str">
        <f aca="false">IF(J318="","",MOD(P318,4))</f>
        <v/>
      </c>
      <c r="R318" s="27" t="str">
        <f aca="false">IF(J318="","",INT(P318/4))</f>
        <v/>
      </c>
      <c r="S318" s="27" t="str">
        <f aca="false">IF(J318="","",IF(AND('Daily Count Sheet'!$H$3=Q318,MOD('Daily Count Sheet'!$I$3,J318)=R318),1,""))</f>
        <v/>
      </c>
      <c r="T318" s="27" t="str">
        <f aca="false">IF(S318=1,COUNTIF($S$2:S318,1),"")</f>
        <v/>
      </c>
    </row>
    <row r="319" customFormat="false" ht="15" hidden="false" customHeight="false" outlineLevel="0" collapsed="false">
      <c r="H319" s="26"/>
      <c r="I319" s="27" t="str">
        <f aca="false">IF(A319="","",IF(H319&lt;&gt;"",UPPER(TRIM(H319)),IFERROR(CHOOSE(VALUE(E319)+1,"A","B","C","D"),IF(OR(LEFT(UPPER(TRIM(E319)),1)="F",UPPER(TRIM(E319))="A"),"A",IF(OR(LEFT(UPPER(TRIM(E319)),1)="M",UPPER(TRIM(E319))="B"),"B",IF(OR(LEFT(UPPER(TRIM(E319)),2)="SL",UPPER(TRIM(E319))="C"),"C",IF(OR(LEFT(UPPER(TRIM(E319)),1)="D",UPPER(TRIM(E319))="D"),"D","")))))))</f>
        <v/>
      </c>
      <c r="J319" s="27" t="str">
        <f aca="false">IF(I319="","",IF(AND(I319="D",Settings!$B$6&lt;&gt;"Yes"),"",IFERROR(INDEX(Settings!$C$9:$C$12,MATCH(I319,Settings!$A$9:$A$12,0)),"")))</f>
        <v/>
      </c>
      <c r="K319" s="27" t="str">
        <f aca="false">IF(J319="","",COUNTIF($I$2:I319,I319))</f>
        <v/>
      </c>
      <c r="L319" s="27" t="str">
        <f aca="false">IF(J319="","",CHOOSE(Q319+1,"Tue","Wed","Thu","Fri"))</f>
        <v/>
      </c>
      <c r="M319" s="27" t="str">
        <f aca="false">IF(J319="","",IF(J319=1,"Every week",R319+1&amp;" of "&amp;J319))</f>
        <v/>
      </c>
      <c r="N319" s="28" t="str">
        <f aca="false">IF(J319="","",Settings!$B$4+R319*7+Q319)</f>
        <v/>
      </c>
      <c r="O319" s="28" t="str">
        <f aca="true">IF(J319="","",N319+MAX(0,ROUNDUP((TODAY()-N319)/(J319*7),0))*J319*7)</f>
        <v/>
      </c>
      <c r="P319" s="27" t="str">
        <f aca="false">IF(J319="","",MOD(K319-1,J319*4))</f>
        <v/>
      </c>
      <c r="Q319" s="27" t="str">
        <f aca="false">IF(J319="","",MOD(P319,4))</f>
        <v/>
      </c>
      <c r="R319" s="27" t="str">
        <f aca="false">IF(J319="","",INT(P319/4))</f>
        <v/>
      </c>
      <c r="S319" s="27" t="str">
        <f aca="false">IF(J319="","",IF(AND('Daily Count Sheet'!$H$3=Q319,MOD('Daily Count Sheet'!$I$3,J319)=R319),1,""))</f>
        <v/>
      </c>
      <c r="T319" s="27" t="str">
        <f aca="false">IF(S319=1,COUNTIF($S$2:S319,1),"")</f>
        <v/>
      </c>
    </row>
    <row r="320" customFormat="false" ht="15" hidden="false" customHeight="false" outlineLevel="0" collapsed="false">
      <c r="H320" s="26"/>
      <c r="I320" s="27" t="str">
        <f aca="false">IF(A320="","",IF(H320&lt;&gt;"",UPPER(TRIM(H320)),IFERROR(CHOOSE(VALUE(E320)+1,"A","B","C","D"),IF(OR(LEFT(UPPER(TRIM(E320)),1)="F",UPPER(TRIM(E320))="A"),"A",IF(OR(LEFT(UPPER(TRIM(E320)),1)="M",UPPER(TRIM(E320))="B"),"B",IF(OR(LEFT(UPPER(TRIM(E320)),2)="SL",UPPER(TRIM(E320))="C"),"C",IF(OR(LEFT(UPPER(TRIM(E320)),1)="D",UPPER(TRIM(E320))="D"),"D","")))))))</f>
        <v/>
      </c>
      <c r="J320" s="27" t="str">
        <f aca="false">IF(I320="","",IF(AND(I320="D",Settings!$B$6&lt;&gt;"Yes"),"",IFERROR(INDEX(Settings!$C$9:$C$12,MATCH(I320,Settings!$A$9:$A$12,0)),"")))</f>
        <v/>
      </c>
      <c r="K320" s="27" t="str">
        <f aca="false">IF(J320="","",COUNTIF($I$2:I320,I320))</f>
        <v/>
      </c>
      <c r="L320" s="27" t="str">
        <f aca="false">IF(J320="","",CHOOSE(Q320+1,"Tue","Wed","Thu","Fri"))</f>
        <v/>
      </c>
      <c r="M320" s="27" t="str">
        <f aca="false">IF(J320="","",IF(J320=1,"Every week",R320+1&amp;" of "&amp;J320))</f>
        <v/>
      </c>
      <c r="N320" s="28" t="str">
        <f aca="false">IF(J320="","",Settings!$B$4+R320*7+Q320)</f>
        <v/>
      </c>
      <c r="O320" s="28" t="str">
        <f aca="true">IF(J320="","",N320+MAX(0,ROUNDUP((TODAY()-N320)/(J320*7),0))*J320*7)</f>
        <v/>
      </c>
      <c r="P320" s="27" t="str">
        <f aca="false">IF(J320="","",MOD(K320-1,J320*4))</f>
        <v/>
      </c>
      <c r="Q320" s="27" t="str">
        <f aca="false">IF(J320="","",MOD(P320,4))</f>
        <v/>
      </c>
      <c r="R320" s="27" t="str">
        <f aca="false">IF(J320="","",INT(P320/4))</f>
        <v/>
      </c>
      <c r="S320" s="27" t="str">
        <f aca="false">IF(J320="","",IF(AND('Daily Count Sheet'!$H$3=Q320,MOD('Daily Count Sheet'!$I$3,J320)=R320),1,""))</f>
        <v/>
      </c>
      <c r="T320" s="27" t="str">
        <f aca="false">IF(S320=1,COUNTIF($S$2:S320,1),"")</f>
        <v/>
      </c>
    </row>
    <row r="321" customFormat="false" ht="15" hidden="false" customHeight="false" outlineLevel="0" collapsed="false">
      <c r="H321" s="26"/>
      <c r="I321" s="27" t="str">
        <f aca="false">IF(A321="","",IF(H321&lt;&gt;"",UPPER(TRIM(H321)),IFERROR(CHOOSE(VALUE(E321)+1,"A","B","C","D"),IF(OR(LEFT(UPPER(TRIM(E321)),1)="F",UPPER(TRIM(E321))="A"),"A",IF(OR(LEFT(UPPER(TRIM(E321)),1)="M",UPPER(TRIM(E321))="B"),"B",IF(OR(LEFT(UPPER(TRIM(E321)),2)="SL",UPPER(TRIM(E321))="C"),"C",IF(OR(LEFT(UPPER(TRIM(E321)),1)="D",UPPER(TRIM(E321))="D"),"D","")))))))</f>
        <v/>
      </c>
      <c r="J321" s="27" t="str">
        <f aca="false">IF(I321="","",IF(AND(I321="D",Settings!$B$6&lt;&gt;"Yes"),"",IFERROR(INDEX(Settings!$C$9:$C$12,MATCH(I321,Settings!$A$9:$A$12,0)),"")))</f>
        <v/>
      </c>
      <c r="K321" s="27" t="str">
        <f aca="false">IF(J321="","",COUNTIF($I$2:I321,I321))</f>
        <v/>
      </c>
      <c r="L321" s="27" t="str">
        <f aca="false">IF(J321="","",CHOOSE(Q321+1,"Tue","Wed","Thu","Fri"))</f>
        <v/>
      </c>
      <c r="M321" s="27" t="str">
        <f aca="false">IF(J321="","",IF(J321=1,"Every week",R321+1&amp;" of "&amp;J321))</f>
        <v/>
      </c>
      <c r="N321" s="28" t="str">
        <f aca="false">IF(J321="","",Settings!$B$4+R321*7+Q321)</f>
        <v/>
      </c>
      <c r="O321" s="28" t="str">
        <f aca="true">IF(J321="","",N321+MAX(0,ROUNDUP((TODAY()-N321)/(J321*7),0))*J321*7)</f>
        <v/>
      </c>
      <c r="P321" s="27" t="str">
        <f aca="false">IF(J321="","",MOD(K321-1,J321*4))</f>
        <v/>
      </c>
      <c r="Q321" s="27" t="str">
        <f aca="false">IF(J321="","",MOD(P321,4))</f>
        <v/>
      </c>
      <c r="R321" s="27" t="str">
        <f aca="false">IF(J321="","",INT(P321/4))</f>
        <v/>
      </c>
      <c r="S321" s="27" t="str">
        <f aca="false">IF(J321="","",IF(AND('Daily Count Sheet'!$H$3=Q321,MOD('Daily Count Sheet'!$I$3,J321)=R321),1,""))</f>
        <v/>
      </c>
      <c r="T321" s="27" t="str">
        <f aca="false">IF(S321=1,COUNTIF($S$2:S321,1),"")</f>
        <v/>
      </c>
    </row>
    <row r="322" customFormat="false" ht="15" hidden="false" customHeight="false" outlineLevel="0" collapsed="false">
      <c r="H322" s="26"/>
      <c r="I322" s="27" t="str">
        <f aca="false">IF(A322="","",IF(H322&lt;&gt;"",UPPER(TRIM(H322)),IFERROR(CHOOSE(VALUE(E322)+1,"A","B","C","D"),IF(OR(LEFT(UPPER(TRIM(E322)),1)="F",UPPER(TRIM(E322))="A"),"A",IF(OR(LEFT(UPPER(TRIM(E322)),1)="M",UPPER(TRIM(E322))="B"),"B",IF(OR(LEFT(UPPER(TRIM(E322)),2)="SL",UPPER(TRIM(E322))="C"),"C",IF(OR(LEFT(UPPER(TRIM(E322)),1)="D",UPPER(TRIM(E322))="D"),"D","")))))))</f>
        <v/>
      </c>
      <c r="J322" s="27" t="str">
        <f aca="false">IF(I322="","",IF(AND(I322="D",Settings!$B$6&lt;&gt;"Yes"),"",IFERROR(INDEX(Settings!$C$9:$C$12,MATCH(I322,Settings!$A$9:$A$12,0)),"")))</f>
        <v/>
      </c>
      <c r="K322" s="27" t="str">
        <f aca="false">IF(J322="","",COUNTIF($I$2:I322,I322))</f>
        <v/>
      </c>
      <c r="L322" s="27" t="str">
        <f aca="false">IF(J322="","",CHOOSE(Q322+1,"Tue","Wed","Thu","Fri"))</f>
        <v/>
      </c>
      <c r="M322" s="27" t="str">
        <f aca="false">IF(J322="","",IF(J322=1,"Every week",R322+1&amp;" of "&amp;J322))</f>
        <v/>
      </c>
      <c r="N322" s="28" t="str">
        <f aca="false">IF(J322="","",Settings!$B$4+R322*7+Q322)</f>
        <v/>
      </c>
      <c r="O322" s="28" t="str">
        <f aca="true">IF(J322="","",N322+MAX(0,ROUNDUP((TODAY()-N322)/(J322*7),0))*J322*7)</f>
        <v/>
      </c>
      <c r="P322" s="27" t="str">
        <f aca="false">IF(J322="","",MOD(K322-1,J322*4))</f>
        <v/>
      </c>
      <c r="Q322" s="27" t="str">
        <f aca="false">IF(J322="","",MOD(P322,4))</f>
        <v/>
      </c>
      <c r="R322" s="27" t="str">
        <f aca="false">IF(J322="","",INT(P322/4))</f>
        <v/>
      </c>
      <c r="S322" s="27" t="str">
        <f aca="false">IF(J322="","",IF(AND('Daily Count Sheet'!$H$3=Q322,MOD('Daily Count Sheet'!$I$3,J322)=R322),1,""))</f>
        <v/>
      </c>
      <c r="T322" s="27" t="str">
        <f aca="false">IF(S322=1,COUNTIF($S$2:S322,1),"")</f>
        <v/>
      </c>
    </row>
    <row r="323" customFormat="false" ht="15" hidden="false" customHeight="false" outlineLevel="0" collapsed="false">
      <c r="H323" s="26"/>
      <c r="I323" s="27" t="str">
        <f aca="false">IF(A323="","",IF(H323&lt;&gt;"",UPPER(TRIM(H323)),IFERROR(CHOOSE(VALUE(E323)+1,"A","B","C","D"),IF(OR(LEFT(UPPER(TRIM(E323)),1)="F",UPPER(TRIM(E323))="A"),"A",IF(OR(LEFT(UPPER(TRIM(E323)),1)="M",UPPER(TRIM(E323))="B"),"B",IF(OR(LEFT(UPPER(TRIM(E323)),2)="SL",UPPER(TRIM(E323))="C"),"C",IF(OR(LEFT(UPPER(TRIM(E323)),1)="D",UPPER(TRIM(E323))="D"),"D","")))))))</f>
        <v/>
      </c>
      <c r="J323" s="27" t="str">
        <f aca="false">IF(I323="","",IF(AND(I323="D",Settings!$B$6&lt;&gt;"Yes"),"",IFERROR(INDEX(Settings!$C$9:$C$12,MATCH(I323,Settings!$A$9:$A$12,0)),"")))</f>
        <v/>
      </c>
      <c r="K323" s="27" t="str">
        <f aca="false">IF(J323="","",COUNTIF($I$2:I323,I323))</f>
        <v/>
      </c>
      <c r="L323" s="27" t="str">
        <f aca="false">IF(J323="","",CHOOSE(Q323+1,"Tue","Wed","Thu","Fri"))</f>
        <v/>
      </c>
      <c r="M323" s="27" t="str">
        <f aca="false">IF(J323="","",IF(J323=1,"Every week",R323+1&amp;" of "&amp;J323))</f>
        <v/>
      </c>
      <c r="N323" s="28" t="str">
        <f aca="false">IF(J323="","",Settings!$B$4+R323*7+Q323)</f>
        <v/>
      </c>
      <c r="O323" s="28" t="str">
        <f aca="true">IF(J323="","",N323+MAX(0,ROUNDUP((TODAY()-N323)/(J323*7),0))*J323*7)</f>
        <v/>
      </c>
      <c r="P323" s="27" t="str">
        <f aca="false">IF(J323="","",MOD(K323-1,J323*4))</f>
        <v/>
      </c>
      <c r="Q323" s="27" t="str">
        <f aca="false">IF(J323="","",MOD(P323,4))</f>
        <v/>
      </c>
      <c r="R323" s="27" t="str">
        <f aca="false">IF(J323="","",INT(P323/4))</f>
        <v/>
      </c>
      <c r="S323" s="27" t="str">
        <f aca="false">IF(J323="","",IF(AND('Daily Count Sheet'!$H$3=Q323,MOD('Daily Count Sheet'!$I$3,J323)=R323),1,""))</f>
        <v/>
      </c>
      <c r="T323" s="27" t="str">
        <f aca="false">IF(S323=1,COUNTIF($S$2:S323,1),"")</f>
        <v/>
      </c>
    </row>
    <row r="324" customFormat="false" ht="15" hidden="false" customHeight="false" outlineLevel="0" collapsed="false">
      <c r="H324" s="26"/>
      <c r="I324" s="27" t="str">
        <f aca="false">IF(A324="","",IF(H324&lt;&gt;"",UPPER(TRIM(H324)),IFERROR(CHOOSE(VALUE(E324)+1,"A","B","C","D"),IF(OR(LEFT(UPPER(TRIM(E324)),1)="F",UPPER(TRIM(E324))="A"),"A",IF(OR(LEFT(UPPER(TRIM(E324)),1)="M",UPPER(TRIM(E324))="B"),"B",IF(OR(LEFT(UPPER(TRIM(E324)),2)="SL",UPPER(TRIM(E324))="C"),"C",IF(OR(LEFT(UPPER(TRIM(E324)),1)="D",UPPER(TRIM(E324))="D"),"D","")))))))</f>
        <v/>
      </c>
      <c r="J324" s="27" t="str">
        <f aca="false">IF(I324="","",IF(AND(I324="D",Settings!$B$6&lt;&gt;"Yes"),"",IFERROR(INDEX(Settings!$C$9:$C$12,MATCH(I324,Settings!$A$9:$A$12,0)),"")))</f>
        <v/>
      </c>
      <c r="K324" s="27" t="str">
        <f aca="false">IF(J324="","",COUNTIF($I$2:I324,I324))</f>
        <v/>
      </c>
      <c r="L324" s="27" t="str">
        <f aca="false">IF(J324="","",CHOOSE(Q324+1,"Tue","Wed","Thu","Fri"))</f>
        <v/>
      </c>
      <c r="M324" s="27" t="str">
        <f aca="false">IF(J324="","",IF(J324=1,"Every week",R324+1&amp;" of "&amp;J324))</f>
        <v/>
      </c>
      <c r="N324" s="28" t="str">
        <f aca="false">IF(J324="","",Settings!$B$4+R324*7+Q324)</f>
        <v/>
      </c>
      <c r="O324" s="28" t="str">
        <f aca="true">IF(J324="","",N324+MAX(0,ROUNDUP((TODAY()-N324)/(J324*7),0))*J324*7)</f>
        <v/>
      </c>
      <c r="P324" s="27" t="str">
        <f aca="false">IF(J324="","",MOD(K324-1,J324*4))</f>
        <v/>
      </c>
      <c r="Q324" s="27" t="str">
        <f aca="false">IF(J324="","",MOD(P324,4))</f>
        <v/>
      </c>
      <c r="R324" s="27" t="str">
        <f aca="false">IF(J324="","",INT(P324/4))</f>
        <v/>
      </c>
      <c r="S324" s="27" t="str">
        <f aca="false">IF(J324="","",IF(AND('Daily Count Sheet'!$H$3=Q324,MOD('Daily Count Sheet'!$I$3,J324)=R324),1,""))</f>
        <v/>
      </c>
      <c r="T324" s="27" t="str">
        <f aca="false">IF(S324=1,COUNTIF($S$2:S324,1),"")</f>
        <v/>
      </c>
    </row>
    <row r="325" customFormat="false" ht="15" hidden="false" customHeight="false" outlineLevel="0" collapsed="false">
      <c r="H325" s="26"/>
      <c r="I325" s="27" t="str">
        <f aca="false">IF(A325="","",IF(H325&lt;&gt;"",UPPER(TRIM(H325)),IFERROR(CHOOSE(VALUE(E325)+1,"A","B","C","D"),IF(OR(LEFT(UPPER(TRIM(E325)),1)="F",UPPER(TRIM(E325))="A"),"A",IF(OR(LEFT(UPPER(TRIM(E325)),1)="M",UPPER(TRIM(E325))="B"),"B",IF(OR(LEFT(UPPER(TRIM(E325)),2)="SL",UPPER(TRIM(E325))="C"),"C",IF(OR(LEFT(UPPER(TRIM(E325)),1)="D",UPPER(TRIM(E325))="D"),"D","")))))))</f>
        <v/>
      </c>
      <c r="J325" s="27" t="str">
        <f aca="false">IF(I325="","",IF(AND(I325="D",Settings!$B$6&lt;&gt;"Yes"),"",IFERROR(INDEX(Settings!$C$9:$C$12,MATCH(I325,Settings!$A$9:$A$12,0)),"")))</f>
        <v/>
      </c>
      <c r="K325" s="27" t="str">
        <f aca="false">IF(J325="","",COUNTIF($I$2:I325,I325))</f>
        <v/>
      </c>
      <c r="L325" s="27" t="str">
        <f aca="false">IF(J325="","",CHOOSE(Q325+1,"Tue","Wed","Thu","Fri"))</f>
        <v/>
      </c>
      <c r="M325" s="27" t="str">
        <f aca="false">IF(J325="","",IF(J325=1,"Every week",R325+1&amp;" of "&amp;J325))</f>
        <v/>
      </c>
      <c r="N325" s="28" t="str">
        <f aca="false">IF(J325="","",Settings!$B$4+R325*7+Q325)</f>
        <v/>
      </c>
      <c r="O325" s="28" t="str">
        <f aca="true">IF(J325="","",N325+MAX(0,ROUNDUP((TODAY()-N325)/(J325*7),0))*J325*7)</f>
        <v/>
      </c>
      <c r="P325" s="27" t="str">
        <f aca="false">IF(J325="","",MOD(K325-1,J325*4))</f>
        <v/>
      </c>
      <c r="Q325" s="27" t="str">
        <f aca="false">IF(J325="","",MOD(P325,4))</f>
        <v/>
      </c>
      <c r="R325" s="27" t="str">
        <f aca="false">IF(J325="","",INT(P325/4))</f>
        <v/>
      </c>
      <c r="S325" s="27" t="str">
        <f aca="false">IF(J325="","",IF(AND('Daily Count Sheet'!$H$3=Q325,MOD('Daily Count Sheet'!$I$3,J325)=R325),1,""))</f>
        <v/>
      </c>
      <c r="T325" s="27" t="str">
        <f aca="false">IF(S325=1,COUNTIF($S$2:S325,1),"")</f>
        <v/>
      </c>
    </row>
    <row r="326" customFormat="false" ht="15" hidden="false" customHeight="false" outlineLevel="0" collapsed="false">
      <c r="H326" s="26"/>
      <c r="I326" s="27" t="str">
        <f aca="false">IF(A326="","",IF(H326&lt;&gt;"",UPPER(TRIM(H326)),IFERROR(CHOOSE(VALUE(E326)+1,"A","B","C","D"),IF(OR(LEFT(UPPER(TRIM(E326)),1)="F",UPPER(TRIM(E326))="A"),"A",IF(OR(LEFT(UPPER(TRIM(E326)),1)="M",UPPER(TRIM(E326))="B"),"B",IF(OR(LEFT(UPPER(TRIM(E326)),2)="SL",UPPER(TRIM(E326))="C"),"C",IF(OR(LEFT(UPPER(TRIM(E326)),1)="D",UPPER(TRIM(E326))="D"),"D","")))))))</f>
        <v/>
      </c>
      <c r="J326" s="27" t="str">
        <f aca="false">IF(I326="","",IF(AND(I326="D",Settings!$B$6&lt;&gt;"Yes"),"",IFERROR(INDEX(Settings!$C$9:$C$12,MATCH(I326,Settings!$A$9:$A$12,0)),"")))</f>
        <v/>
      </c>
      <c r="K326" s="27" t="str">
        <f aca="false">IF(J326="","",COUNTIF($I$2:I326,I326))</f>
        <v/>
      </c>
      <c r="L326" s="27" t="str">
        <f aca="false">IF(J326="","",CHOOSE(Q326+1,"Tue","Wed","Thu","Fri"))</f>
        <v/>
      </c>
      <c r="M326" s="27" t="str">
        <f aca="false">IF(J326="","",IF(J326=1,"Every week",R326+1&amp;" of "&amp;J326))</f>
        <v/>
      </c>
      <c r="N326" s="28" t="str">
        <f aca="false">IF(J326="","",Settings!$B$4+R326*7+Q326)</f>
        <v/>
      </c>
      <c r="O326" s="28" t="str">
        <f aca="true">IF(J326="","",N326+MAX(0,ROUNDUP((TODAY()-N326)/(J326*7),0))*J326*7)</f>
        <v/>
      </c>
      <c r="P326" s="27" t="str">
        <f aca="false">IF(J326="","",MOD(K326-1,J326*4))</f>
        <v/>
      </c>
      <c r="Q326" s="27" t="str">
        <f aca="false">IF(J326="","",MOD(P326,4))</f>
        <v/>
      </c>
      <c r="R326" s="27" t="str">
        <f aca="false">IF(J326="","",INT(P326/4))</f>
        <v/>
      </c>
      <c r="S326" s="27" t="str">
        <f aca="false">IF(J326="","",IF(AND('Daily Count Sheet'!$H$3=Q326,MOD('Daily Count Sheet'!$I$3,J326)=R326),1,""))</f>
        <v/>
      </c>
      <c r="T326" s="27" t="str">
        <f aca="false">IF(S326=1,COUNTIF($S$2:S326,1),"")</f>
        <v/>
      </c>
    </row>
    <row r="327" customFormat="false" ht="15" hidden="false" customHeight="false" outlineLevel="0" collapsed="false">
      <c r="H327" s="26"/>
      <c r="I327" s="27" t="str">
        <f aca="false">IF(A327="","",IF(H327&lt;&gt;"",UPPER(TRIM(H327)),IFERROR(CHOOSE(VALUE(E327)+1,"A","B","C","D"),IF(OR(LEFT(UPPER(TRIM(E327)),1)="F",UPPER(TRIM(E327))="A"),"A",IF(OR(LEFT(UPPER(TRIM(E327)),1)="M",UPPER(TRIM(E327))="B"),"B",IF(OR(LEFT(UPPER(TRIM(E327)),2)="SL",UPPER(TRIM(E327))="C"),"C",IF(OR(LEFT(UPPER(TRIM(E327)),1)="D",UPPER(TRIM(E327))="D"),"D","")))))))</f>
        <v/>
      </c>
      <c r="J327" s="27" t="str">
        <f aca="false">IF(I327="","",IF(AND(I327="D",Settings!$B$6&lt;&gt;"Yes"),"",IFERROR(INDEX(Settings!$C$9:$C$12,MATCH(I327,Settings!$A$9:$A$12,0)),"")))</f>
        <v/>
      </c>
      <c r="K327" s="27" t="str">
        <f aca="false">IF(J327="","",COUNTIF($I$2:I327,I327))</f>
        <v/>
      </c>
      <c r="L327" s="27" t="str">
        <f aca="false">IF(J327="","",CHOOSE(Q327+1,"Tue","Wed","Thu","Fri"))</f>
        <v/>
      </c>
      <c r="M327" s="27" t="str">
        <f aca="false">IF(J327="","",IF(J327=1,"Every week",R327+1&amp;" of "&amp;J327))</f>
        <v/>
      </c>
      <c r="N327" s="28" t="str">
        <f aca="false">IF(J327="","",Settings!$B$4+R327*7+Q327)</f>
        <v/>
      </c>
      <c r="O327" s="28" t="str">
        <f aca="true">IF(J327="","",N327+MAX(0,ROUNDUP((TODAY()-N327)/(J327*7),0))*J327*7)</f>
        <v/>
      </c>
      <c r="P327" s="27" t="str">
        <f aca="false">IF(J327="","",MOD(K327-1,J327*4))</f>
        <v/>
      </c>
      <c r="Q327" s="27" t="str">
        <f aca="false">IF(J327="","",MOD(P327,4))</f>
        <v/>
      </c>
      <c r="R327" s="27" t="str">
        <f aca="false">IF(J327="","",INT(P327/4))</f>
        <v/>
      </c>
      <c r="S327" s="27" t="str">
        <f aca="false">IF(J327="","",IF(AND('Daily Count Sheet'!$H$3=Q327,MOD('Daily Count Sheet'!$I$3,J327)=R327),1,""))</f>
        <v/>
      </c>
      <c r="T327" s="27" t="str">
        <f aca="false">IF(S327=1,COUNTIF($S$2:S327,1),"")</f>
        <v/>
      </c>
    </row>
    <row r="328" customFormat="false" ht="15" hidden="false" customHeight="false" outlineLevel="0" collapsed="false">
      <c r="H328" s="26"/>
      <c r="I328" s="27" t="str">
        <f aca="false">IF(A328="","",IF(H328&lt;&gt;"",UPPER(TRIM(H328)),IFERROR(CHOOSE(VALUE(E328)+1,"A","B","C","D"),IF(OR(LEFT(UPPER(TRIM(E328)),1)="F",UPPER(TRIM(E328))="A"),"A",IF(OR(LEFT(UPPER(TRIM(E328)),1)="M",UPPER(TRIM(E328))="B"),"B",IF(OR(LEFT(UPPER(TRIM(E328)),2)="SL",UPPER(TRIM(E328))="C"),"C",IF(OR(LEFT(UPPER(TRIM(E328)),1)="D",UPPER(TRIM(E328))="D"),"D","")))))))</f>
        <v/>
      </c>
      <c r="J328" s="27" t="str">
        <f aca="false">IF(I328="","",IF(AND(I328="D",Settings!$B$6&lt;&gt;"Yes"),"",IFERROR(INDEX(Settings!$C$9:$C$12,MATCH(I328,Settings!$A$9:$A$12,0)),"")))</f>
        <v/>
      </c>
      <c r="K328" s="27" t="str">
        <f aca="false">IF(J328="","",COUNTIF($I$2:I328,I328))</f>
        <v/>
      </c>
      <c r="L328" s="27" t="str">
        <f aca="false">IF(J328="","",CHOOSE(Q328+1,"Tue","Wed","Thu","Fri"))</f>
        <v/>
      </c>
      <c r="M328" s="27" t="str">
        <f aca="false">IF(J328="","",IF(J328=1,"Every week",R328+1&amp;" of "&amp;J328))</f>
        <v/>
      </c>
      <c r="N328" s="28" t="str">
        <f aca="false">IF(J328="","",Settings!$B$4+R328*7+Q328)</f>
        <v/>
      </c>
      <c r="O328" s="28" t="str">
        <f aca="true">IF(J328="","",N328+MAX(0,ROUNDUP((TODAY()-N328)/(J328*7),0))*J328*7)</f>
        <v/>
      </c>
      <c r="P328" s="27" t="str">
        <f aca="false">IF(J328="","",MOD(K328-1,J328*4))</f>
        <v/>
      </c>
      <c r="Q328" s="27" t="str">
        <f aca="false">IF(J328="","",MOD(P328,4))</f>
        <v/>
      </c>
      <c r="R328" s="27" t="str">
        <f aca="false">IF(J328="","",INT(P328/4))</f>
        <v/>
      </c>
      <c r="S328" s="27" t="str">
        <f aca="false">IF(J328="","",IF(AND('Daily Count Sheet'!$H$3=Q328,MOD('Daily Count Sheet'!$I$3,J328)=R328),1,""))</f>
        <v/>
      </c>
      <c r="T328" s="27" t="str">
        <f aca="false">IF(S328=1,COUNTIF($S$2:S328,1),"")</f>
        <v/>
      </c>
    </row>
    <row r="329" customFormat="false" ht="15" hidden="false" customHeight="false" outlineLevel="0" collapsed="false">
      <c r="H329" s="26"/>
      <c r="I329" s="27" t="str">
        <f aca="false">IF(A329="","",IF(H329&lt;&gt;"",UPPER(TRIM(H329)),IFERROR(CHOOSE(VALUE(E329)+1,"A","B","C","D"),IF(OR(LEFT(UPPER(TRIM(E329)),1)="F",UPPER(TRIM(E329))="A"),"A",IF(OR(LEFT(UPPER(TRIM(E329)),1)="M",UPPER(TRIM(E329))="B"),"B",IF(OR(LEFT(UPPER(TRIM(E329)),2)="SL",UPPER(TRIM(E329))="C"),"C",IF(OR(LEFT(UPPER(TRIM(E329)),1)="D",UPPER(TRIM(E329))="D"),"D","")))))))</f>
        <v/>
      </c>
      <c r="J329" s="27" t="str">
        <f aca="false">IF(I329="","",IF(AND(I329="D",Settings!$B$6&lt;&gt;"Yes"),"",IFERROR(INDEX(Settings!$C$9:$C$12,MATCH(I329,Settings!$A$9:$A$12,0)),"")))</f>
        <v/>
      </c>
      <c r="K329" s="27" t="str">
        <f aca="false">IF(J329="","",COUNTIF($I$2:I329,I329))</f>
        <v/>
      </c>
      <c r="L329" s="27" t="str">
        <f aca="false">IF(J329="","",CHOOSE(Q329+1,"Tue","Wed","Thu","Fri"))</f>
        <v/>
      </c>
      <c r="M329" s="27" t="str">
        <f aca="false">IF(J329="","",IF(J329=1,"Every week",R329+1&amp;" of "&amp;J329))</f>
        <v/>
      </c>
      <c r="N329" s="28" t="str">
        <f aca="false">IF(J329="","",Settings!$B$4+R329*7+Q329)</f>
        <v/>
      </c>
      <c r="O329" s="28" t="str">
        <f aca="true">IF(J329="","",N329+MAX(0,ROUNDUP((TODAY()-N329)/(J329*7),0))*J329*7)</f>
        <v/>
      </c>
      <c r="P329" s="27" t="str">
        <f aca="false">IF(J329="","",MOD(K329-1,J329*4))</f>
        <v/>
      </c>
      <c r="Q329" s="27" t="str">
        <f aca="false">IF(J329="","",MOD(P329,4))</f>
        <v/>
      </c>
      <c r="R329" s="27" t="str">
        <f aca="false">IF(J329="","",INT(P329/4))</f>
        <v/>
      </c>
      <c r="S329" s="27" t="str">
        <f aca="false">IF(J329="","",IF(AND('Daily Count Sheet'!$H$3=Q329,MOD('Daily Count Sheet'!$I$3,J329)=R329),1,""))</f>
        <v/>
      </c>
      <c r="T329" s="27" t="str">
        <f aca="false">IF(S329=1,COUNTIF($S$2:S329,1),"")</f>
        <v/>
      </c>
    </row>
    <row r="330" customFormat="false" ht="15" hidden="false" customHeight="false" outlineLevel="0" collapsed="false">
      <c r="H330" s="26"/>
      <c r="I330" s="27" t="str">
        <f aca="false">IF(A330="","",IF(H330&lt;&gt;"",UPPER(TRIM(H330)),IFERROR(CHOOSE(VALUE(E330)+1,"A","B","C","D"),IF(OR(LEFT(UPPER(TRIM(E330)),1)="F",UPPER(TRIM(E330))="A"),"A",IF(OR(LEFT(UPPER(TRIM(E330)),1)="M",UPPER(TRIM(E330))="B"),"B",IF(OR(LEFT(UPPER(TRIM(E330)),2)="SL",UPPER(TRIM(E330))="C"),"C",IF(OR(LEFT(UPPER(TRIM(E330)),1)="D",UPPER(TRIM(E330))="D"),"D","")))))))</f>
        <v/>
      </c>
      <c r="J330" s="27" t="str">
        <f aca="false">IF(I330="","",IF(AND(I330="D",Settings!$B$6&lt;&gt;"Yes"),"",IFERROR(INDEX(Settings!$C$9:$C$12,MATCH(I330,Settings!$A$9:$A$12,0)),"")))</f>
        <v/>
      </c>
      <c r="K330" s="27" t="str">
        <f aca="false">IF(J330="","",COUNTIF($I$2:I330,I330))</f>
        <v/>
      </c>
      <c r="L330" s="27" t="str">
        <f aca="false">IF(J330="","",CHOOSE(Q330+1,"Tue","Wed","Thu","Fri"))</f>
        <v/>
      </c>
      <c r="M330" s="27" t="str">
        <f aca="false">IF(J330="","",IF(J330=1,"Every week",R330+1&amp;" of "&amp;J330))</f>
        <v/>
      </c>
      <c r="N330" s="28" t="str">
        <f aca="false">IF(J330="","",Settings!$B$4+R330*7+Q330)</f>
        <v/>
      </c>
      <c r="O330" s="28" t="str">
        <f aca="true">IF(J330="","",N330+MAX(0,ROUNDUP((TODAY()-N330)/(J330*7),0))*J330*7)</f>
        <v/>
      </c>
      <c r="P330" s="27" t="str">
        <f aca="false">IF(J330="","",MOD(K330-1,J330*4))</f>
        <v/>
      </c>
      <c r="Q330" s="27" t="str">
        <f aca="false">IF(J330="","",MOD(P330,4))</f>
        <v/>
      </c>
      <c r="R330" s="27" t="str">
        <f aca="false">IF(J330="","",INT(P330/4))</f>
        <v/>
      </c>
      <c r="S330" s="27" t="str">
        <f aca="false">IF(J330="","",IF(AND('Daily Count Sheet'!$H$3=Q330,MOD('Daily Count Sheet'!$I$3,J330)=R330),1,""))</f>
        <v/>
      </c>
      <c r="T330" s="27" t="str">
        <f aca="false">IF(S330=1,COUNTIF($S$2:S330,1),"")</f>
        <v/>
      </c>
    </row>
    <row r="331" customFormat="false" ht="15" hidden="false" customHeight="false" outlineLevel="0" collapsed="false">
      <c r="H331" s="26"/>
      <c r="I331" s="27" t="str">
        <f aca="false">IF(A331="","",IF(H331&lt;&gt;"",UPPER(TRIM(H331)),IFERROR(CHOOSE(VALUE(E331)+1,"A","B","C","D"),IF(OR(LEFT(UPPER(TRIM(E331)),1)="F",UPPER(TRIM(E331))="A"),"A",IF(OR(LEFT(UPPER(TRIM(E331)),1)="M",UPPER(TRIM(E331))="B"),"B",IF(OR(LEFT(UPPER(TRIM(E331)),2)="SL",UPPER(TRIM(E331))="C"),"C",IF(OR(LEFT(UPPER(TRIM(E331)),1)="D",UPPER(TRIM(E331))="D"),"D","")))))))</f>
        <v/>
      </c>
      <c r="J331" s="27" t="str">
        <f aca="false">IF(I331="","",IF(AND(I331="D",Settings!$B$6&lt;&gt;"Yes"),"",IFERROR(INDEX(Settings!$C$9:$C$12,MATCH(I331,Settings!$A$9:$A$12,0)),"")))</f>
        <v/>
      </c>
      <c r="K331" s="27" t="str">
        <f aca="false">IF(J331="","",COUNTIF($I$2:I331,I331))</f>
        <v/>
      </c>
      <c r="L331" s="27" t="str">
        <f aca="false">IF(J331="","",CHOOSE(Q331+1,"Tue","Wed","Thu","Fri"))</f>
        <v/>
      </c>
      <c r="M331" s="27" t="str">
        <f aca="false">IF(J331="","",IF(J331=1,"Every week",R331+1&amp;" of "&amp;J331))</f>
        <v/>
      </c>
      <c r="N331" s="28" t="str">
        <f aca="false">IF(J331="","",Settings!$B$4+R331*7+Q331)</f>
        <v/>
      </c>
      <c r="O331" s="28" t="str">
        <f aca="true">IF(J331="","",N331+MAX(0,ROUNDUP((TODAY()-N331)/(J331*7),0))*J331*7)</f>
        <v/>
      </c>
      <c r="P331" s="27" t="str">
        <f aca="false">IF(J331="","",MOD(K331-1,J331*4))</f>
        <v/>
      </c>
      <c r="Q331" s="27" t="str">
        <f aca="false">IF(J331="","",MOD(P331,4))</f>
        <v/>
      </c>
      <c r="R331" s="27" t="str">
        <f aca="false">IF(J331="","",INT(P331/4))</f>
        <v/>
      </c>
      <c r="S331" s="27" t="str">
        <f aca="false">IF(J331="","",IF(AND('Daily Count Sheet'!$H$3=Q331,MOD('Daily Count Sheet'!$I$3,J331)=R331),1,""))</f>
        <v/>
      </c>
      <c r="T331" s="27" t="str">
        <f aca="false">IF(S331=1,COUNTIF($S$2:S331,1),"")</f>
        <v/>
      </c>
    </row>
    <row r="332" customFormat="false" ht="15" hidden="false" customHeight="false" outlineLevel="0" collapsed="false">
      <c r="H332" s="26"/>
      <c r="I332" s="27" t="str">
        <f aca="false">IF(A332="","",IF(H332&lt;&gt;"",UPPER(TRIM(H332)),IFERROR(CHOOSE(VALUE(E332)+1,"A","B","C","D"),IF(OR(LEFT(UPPER(TRIM(E332)),1)="F",UPPER(TRIM(E332))="A"),"A",IF(OR(LEFT(UPPER(TRIM(E332)),1)="M",UPPER(TRIM(E332))="B"),"B",IF(OR(LEFT(UPPER(TRIM(E332)),2)="SL",UPPER(TRIM(E332))="C"),"C",IF(OR(LEFT(UPPER(TRIM(E332)),1)="D",UPPER(TRIM(E332))="D"),"D","")))))))</f>
        <v/>
      </c>
      <c r="J332" s="27" t="str">
        <f aca="false">IF(I332="","",IF(AND(I332="D",Settings!$B$6&lt;&gt;"Yes"),"",IFERROR(INDEX(Settings!$C$9:$C$12,MATCH(I332,Settings!$A$9:$A$12,0)),"")))</f>
        <v/>
      </c>
      <c r="K332" s="27" t="str">
        <f aca="false">IF(J332="","",COUNTIF($I$2:I332,I332))</f>
        <v/>
      </c>
      <c r="L332" s="27" t="str">
        <f aca="false">IF(J332="","",CHOOSE(Q332+1,"Tue","Wed","Thu","Fri"))</f>
        <v/>
      </c>
      <c r="M332" s="27" t="str">
        <f aca="false">IF(J332="","",IF(J332=1,"Every week",R332+1&amp;" of "&amp;J332))</f>
        <v/>
      </c>
      <c r="N332" s="28" t="str">
        <f aca="false">IF(J332="","",Settings!$B$4+R332*7+Q332)</f>
        <v/>
      </c>
      <c r="O332" s="28" t="str">
        <f aca="true">IF(J332="","",N332+MAX(0,ROUNDUP((TODAY()-N332)/(J332*7),0))*J332*7)</f>
        <v/>
      </c>
      <c r="P332" s="27" t="str">
        <f aca="false">IF(J332="","",MOD(K332-1,J332*4))</f>
        <v/>
      </c>
      <c r="Q332" s="27" t="str">
        <f aca="false">IF(J332="","",MOD(P332,4))</f>
        <v/>
      </c>
      <c r="R332" s="27" t="str">
        <f aca="false">IF(J332="","",INT(P332/4))</f>
        <v/>
      </c>
      <c r="S332" s="27" t="str">
        <f aca="false">IF(J332="","",IF(AND('Daily Count Sheet'!$H$3=Q332,MOD('Daily Count Sheet'!$I$3,J332)=R332),1,""))</f>
        <v/>
      </c>
      <c r="T332" s="27" t="str">
        <f aca="false">IF(S332=1,COUNTIF($S$2:S332,1),"")</f>
        <v/>
      </c>
    </row>
    <row r="333" customFormat="false" ht="15" hidden="false" customHeight="false" outlineLevel="0" collapsed="false">
      <c r="H333" s="26"/>
      <c r="I333" s="27" t="str">
        <f aca="false">IF(A333="","",IF(H333&lt;&gt;"",UPPER(TRIM(H333)),IFERROR(CHOOSE(VALUE(E333)+1,"A","B","C","D"),IF(OR(LEFT(UPPER(TRIM(E333)),1)="F",UPPER(TRIM(E333))="A"),"A",IF(OR(LEFT(UPPER(TRIM(E333)),1)="M",UPPER(TRIM(E333))="B"),"B",IF(OR(LEFT(UPPER(TRIM(E333)),2)="SL",UPPER(TRIM(E333))="C"),"C",IF(OR(LEFT(UPPER(TRIM(E333)),1)="D",UPPER(TRIM(E333))="D"),"D","")))))))</f>
        <v/>
      </c>
      <c r="J333" s="27" t="str">
        <f aca="false">IF(I333="","",IF(AND(I333="D",Settings!$B$6&lt;&gt;"Yes"),"",IFERROR(INDEX(Settings!$C$9:$C$12,MATCH(I333,Settings!$A$9:$A$12,0)),"")))</f>
        <v/>
      </c>
      <c r="K333" s="27" t="str">
        <f aca="false">IF(J333="","",COUNTIF($I$2:I333,I333))</f>
        <v/>
      </c>
      <c r="L333" s="27" t="str">
        <f aca="false">IF(J333="","",CHOOSE(Q333+1,"Tue","Wed","Thu","Fri"))</f>
        <v/>
      </c>
      <c r="M333" s="27" t="str">
        <f aca="false">IF(J333="","",IF(J333=1,"Every week",R333+1&amp;" of "&amp;J333))</f>
        <v/>
      </c>
      <c r="N333" s="28" t="str">
        <f aca="false">IF(J333="","",Settings!$B$4+R333*7+Q333)</f>
        <v/>
      </c>
      <c r="O333" s="28" t="str">
        <f aca="true">IF(J333="","",N333+MAX(0,ROUNDUP((TODAY()-N333)/(J333*7),0))*J333*7)</f>
        <v/>
      </c>
      <c r="P333" s="27" t="str">
        <f aca="false">IF(J333="","",MOD(K333-1,J333*4))</f>
        <v/>
      </c>
      <c r="Q333" s="27" t="str">
        <f aca="false">IF(J333="","",MOD(P333,4))</f>
        <v/>
      </c>
      <c r="R333" s="27" t="str">
        <f aca="false">IF(J333="","",INT(P333/4))</f>
        <v/>
      </c>
      <c r="S333" s="27" t="str">
        <f aca="false">IF(J333="","",IF(AND('Daily Count Sheet'!$H$3=Q333,MOD('Daily Count Sheet'!$I$3,J333)=R333),1,""))</f>
        <v/>
      </c>
      <c r="T333" s="27" t="str">
        <f aca="false">IF(S333=1,COUNTIF($S$2:S333,1),"")</f>
        <v/>
      </c>
    </row>
    <row r="334" customFormat="false" ht="15" hidden="false" customHeight="false" outlineLevel="0" collapsed="false">
      <c r="H334" s="26"/>
      <c r="I334" s="27" t="str">
        <f aca="false">IF(A334="","",IF(H334&lt;&gt;"",UPPER(TRIM(H334)),IFERROR(CHOOSE(VALUE(E334)+1,"A","B","C","D"),IF(OR(LEFT(UPPER(TRIM(E334)),1)="F",UPPER(TRIM(E334))="A"),"A",IF(OR(LEFT(UPPER(TRIM(E334)),1)="M",UPPER(TRIM(E334))="B"),"B",IF(OR(LEFT(UPPER(TRIM(E334)),2)="SL",UPPER(TRIM(E334))="C"),"C",IF(OR(LEFT(UPPER(TRIM(E334)),1)="D",UPPER(TRIM(E334))="D"),"D","")))))))</f>
        <v/>
      </c>
      <c r="J334" s="27" t="str">
        <f aca="false">IF(I334="","",IF(AND(I334="D",Settings!$B$6&lt;&gt;"Yes"),"",IFERROR(INDEX(Settings!$C$9:$C$12,MATCH(I334,Settings!$A$9:$A$12,0)),"")))</f>
        <v/>
      </c>
      <c r="K334" s="27" t="str">
        <f aca="false">IF(J334="","",COUNTIF($I$2:I334,I334))</f>
        <v/>
      </c>
      <c r="L334" s="27" t="str">
        <f aca="false">IF(J334="","",CHOOSE(Q334+1,"Tue","Wed","Thu","Fri"))</f>
        <v/>
      </c>
      <c r="M334" s="27" t="str">
        <f aca="false">IF(J334="","",IF(J334=1,"Every week",R334+1&amp;" of "&amp;J334))</f>
        <v/>
      </c>
      <c r="N334" s="28" t="str">
        <f aca="false">IF(J334="","",Settings!$B$4+R334*7+Q334)</f>
        <v/>
      </c>
      <c r="O334" s="28" t="str">
        <f aca="true">IF(J334="","",N334+MAX(0,ROUNDUP((TODAY()-N334)/(J334*7),0))*J334*7)</f>
        <v/>
      </c>
      <c r="P334" s="27" t="str">
        <f aca="false">IF(J334="","",MOD(K334-1,J334*4))</f>
        <v/>
      </c>
      <c r="Q334" s="27" t="str">
        <f aca="false">IF(J334="","",MOD(P334,4))</f>
        <v/>
      </c>
      <c r="R334" s="27" t="str">
        <f aca="false">IF(J334="","",INT(P334/4))</f>
        <v/>
      </c>
      <c r="S334" s="27" t="str">
        <f aca="false">IF(J334="","",IF(AND('Daily Count Sheet'!$H$3=Q334,MOD('Daily Count Sheet'!$I$3,J334)=R334),1,""))</f>
        <v/>
      </c>
      <c r="T334" s="27" t="str">
        <f aca="false">IF(S334=1,COUNTIF($S$2:S334,1),"")</f>
        <v/>
      </c>
    </row>
    <row r="335" customFormat="false" ht="15" hidden="false" customHeight="false" outlineLevel="0" collapsed="false">
      <c r="H335" s="26"/>
      <c r="I335" s="27" t="str">
        <f aca="false">IF(A335="","",IF(H335&lt;&gt;"",UPPER(TRIM(H335)),IFERROR(CHOOSE(VALUE(E335)+1,"A","B","C","D"),IF(OR(LEFT(UPPER(TRIM(E335)),1)="F",UPPER(TRIM(E335))="A"),"A",IF(OR(LEFT(UPPER(TRIM(E335)),1)="M",UPPER(TRIM(E335))="B"),"B",IF(OR(LEFT(UPPER(TRIM(E335)),2)="SL",UPPER(TRIM(E335))="C"),"C",IF(OR(LEFT(UPPER(TRIM(E335)),1)="D",UPPER(TRIM(E335))="D"),"D","")))))))</f>
        <v/>
      </c>
      <c r="J335" s="27" t="str">
        <f aca="false">IF(I335="","",IF(AND(I335="D",Settings!$B$6&lt;&gt;"Yes"),"",IFERROR(INDEX(Settings!$C$9:$C$12,MATCH(I335,Settings!$A$9:$A$12,0)),"")))</f>
        <v/>
      </c>
      <c r="K335" s="27" t="str">
        <f aca="false">IF(J335="","",COUNTIF($I$2:I335,I335))</f>
        <v/>
      </c>
      <c r="L335" s="27" t="str">
        <f aca="false">IF(J335="","",CHOOSE(Q335+1,"Tue","Wed","Thu","Fri"))</f>
        <v/>
      </c>
      <c r="M335" s="27" t="str">
        <f aca="false">IF(J335="","",IF(J335=1,"Every week",R335+1&amp;" of "&amp;J335))</f>
        <v/>
      </c>
      <c r="N335" s="28" t="str">
        <f aca="false">IF(J335="","",Settings!$B$4+R335*7+Q335)</f>
        <v/>
      </c>
      <c r="O335" s="28" t="str">
        <f aca="true">IF(J335="","",N335+MAX(0,ROUNDUP((TODAY()-N335)/(J335*7),0))*J335*7)</f>
        <v/>
      </c>
      <c r="P335" s="27" t="str">
        <f aca="false">IF(J335="","",MOD(K335-1,J335*4))</f>
        <v/>
      </c>
      <c r="Q335" s="27" t="str">
        <f aca="false">IF(J335="","",MOD(P335,4))</f>
        <v/>
      </c>
      <c r="R335" s="27" t="str">
        <f aca="false">IF(J335="","",INT(P335/4))</f>
        <v/>
      </c>
      <c r="S335" s="27" t="str">
        <f aca="false">IF(J335="","",IF(AND('Daily Count Sheet'!$H$3=Q335,MOD('Daily Count Sheet'!$I$3,J335)=R335),1,""))</f>
        <v/>
      </c>
      <c r="T335" s="27" t="str">
        <f aca="false">IF(S335=1,COUNTIF($S$2:S335,1),"")</f>
        <v/>
      </c>
    </row>
    <row r="336" customFormat="false" ht="15" hidden="false" customHeight="false" outlineLevel="0" collapsed="false">
      <c r="H336" s="26"/>
      <c r="I336" s="27" t="str">
        <f aca="false">IF(A336="","",IF(H336&lt;&gt;"",UPPER(TRIM(H336)),IFERROR(CHOOSE(VALUE(E336)+1,"A","B","C","D"),IF(OR(LEFT(UPPER(TRIM(E336)),1)="F",UPPER(TRIM(E336))="A"),"A",IF(OR(LEFT(UPPER(TRIM(E336)),1)="M",UPPER(TRIM(E336))="B"),"B",IF(OR(LEFT(UPPER(TRIM(E336)),2)="SL",UPPER(TRIM(E336))="C"),"C",IF(OR(LEFT(UPPER(TRIM(E336)),1)="D",UPPER(TRIM(E336))="D"),"D","")))))))</f>
        <v/>
      </c>
      <c r="J336" s="27" t="str">
        <f aca="false">IF(I336="","",IF(AND(I336="D",Settings!$B$6&lt;&gt;"Yes"),"",IFERROR(INDEX(Settings!$C$9:$C$12,MATCH(I336,Settings!$A$9:$A$12,0)),"")))</f>
        <v/>
      </c>
      <c r="K336" s="27" t="str">
        <f aca="false">IF(J336="","",COUNTIF($I$2:I336,I336))</f>
        <v/>
      </c>
      <c r="L336" s="27" t="str">
        <f aca="false">IF(J336="","",CHOOSE(Q336+1,"Tue","Wed","Thu","Fri"))</f>
        <v/>
      </c>
      <c r="M336" s="27" t="str">
        <f aca="false">IF(J336="","",IF(J336=1,"Every week",R336+1&amp;" of "&amp;J336))</f>
        <v/>
      </c>
      <c r="N336" s="28" t="str">
        <f aca="false">IF(J336="","",Settings!$B$4+R336*7+Q336)</f>
        <v/>
      </c>
      <c r="O336" s="28" t="str">
        <f aca="true">IF(J336="","",N336+MAX(0,ROUNDUP((TODAY()-N336)/(J336*7),0))*J336*7)</f>
        <v/>
      </c>
      <c r="P336" s="27" t="str">
        <f aca="false">IF(J336="","",MOD(K336-1,J336*4))</f>
        <v/>
      </c>
      <c r="Q336" s="27" t="str">
        <f aca="false">IF(J336="","",MOD(P336,4))</f>
        <v/>
      </c>
      <c r="R336" s="27" t="str">
        <f aca="false">IF(J336="","",INT(P336/4))</f>
        <v/>
      </c>
      <c r="S336" s="27" t="str">
        <f aca="false">IF(J336="","",IF(AND('Daily Count Sheet'!$H$3=Q336,MOD('Daily Count Sheet'!$I$3,J336)=R336),1,""))</f>
        <v/>
      </c>
      <c r="T336" s="27" t="str">
        <f aca="false">IF(S336=1,COUNTIF($S$2:S336,1),"")</f>
        <v/>
      </c>
    </row>
    <row r="337" customFormat="false" ht="15" hidden="false" customHeight="false" outlineLevel="0" collapsed="false">
      <c r="H337" s="26"/>
      <c r="I337" s="27" t="str">
        <f aca="false">IF(A337="","",IF(H337&lt;&gt;"",UPPER(TRIM(H337)),IFERROR(CHOOSE(VALUE(E337)+1,"A","B","C","D"),IF(OR(LEFT(UPPER(TRIM(E337)),1)="F",UPPER(TRIM(E337))="A"),"A",IF(OR(LEFT(UPPER(TRIM(E337)),1)="M",UPPER(TRIM(E337))="B"),"B",IF(OR(LEFT(UPPER(TRIM(E337)),2)="SL",UPPER(TRIM(E337))="C"),"C",IF(OR(LEFT(UPPER(TRIM(E337)),1)="D",UPPER(TRIM(E337))="D"),"D","")))))))</f>
        <v/>
      </c>
      <c r="J337" s="27" t="str">
        <f aca="false">IF(I337="","",IF(AND(I337="D",Settings!$B$6&lt;&gt;"Yes"),"",IFERROR(INDEX(Settings!$C$9:$C$12,MATCH(I337,Settings!$A$9:$A$12,0)),"")))</f>
        <v/>
      </c>
      <c r="K337" s="27" t="str">
        <f aca="false">IF(J337="","",COUNTIF($I$2:I337,I337))</f>
        <v/>
      </c>
      <c r="L337" s="27" t="str">
        <f aca="false">IF(J337="","",CHOOSE(Q337+1,"Tue","Wed","Thu","Fri"))</f>
        <v/>
      </c>
      <c r="M337" s="27" t="str">
        <f aca="false">IF(J337="","",IF(J337=1,"Every week",R337+1&amp;" of "&amp;J337))</f>
        <v/>
      </c>
      <c r="N337" s="28" t="str">
        <f aca="false">IF(J337="","",Settings!$B$4+R337*7+Q337)</f>
        <v/>
      </c>
      <c r="O337" s="28" t="str">
        <f aca="true">IF(J337="","",N337+MAX(0,ROUNDUP((TODAY()-N337)/(J337*7),0))*J337*7)</f>
        <v/>
      </c>
      <c r="P337" s="27" t="str">
        <f aca="false">IF(J337="","",MOD(K337-1,J337*4))</f>
        <v/>
      </c>
      <c r="Q337" s="27" t="str">
        <f aca="false">IF(J337="","",MOD(P337,4))</f>
        <v/>
      </c>
      <c r="R337" s="27" t="str">
        <f aca="false">IF(J337="","",INT(P337/4))</f>
        <v/>
      </c>
      <c r="S337" s="27" t="str">
        <f aca="false">IF(J337="","",IF(AND('Daily Count Sheet'!$H$3=Q337,MOD('Daily Count Sheet'!$I$3,J337)=R337),1,""))</f>
        <v/>
      </c>
      <c r="T337" s="27" t="str">
        <f aca="false">IF(S337=1,COUNTIF($S$2:S337,1),"")</f>
        <v/>
      </c>
    </row>
    <row r="338" customFormat="false" ht="15" hidden="false" customHeight="false" outlineLevel="0" collapsed="false">
      <c r="H338" s="26"/>
      <c r="I338" s="27" t="str">
        <f aca="false">IF(A338="","",IF(H338&lt;&gt;"",UPPER(TRIM(H338)),IFERROR(CHOOSE(VALUE(E338)+1,"A","B","C","D"),IF(OR(LEFT(UPPER(TRIM(E338)),1)="F",UPPER(TRIM(E338))="A"),"A",IF(OR(LEFT(UPPER(TRIM(E338)),1)="M",UPPER(TRIM(E338))="B"),"B",IF(OR(LEFT(UPPER(TRIM(E338)),2)="SL",UPPER(TRIM(E338))="C"),"C",IF(OR(LEFT(UPPER(TRIM(E338)),1)="D",UPPER(TRIM(E338))="D"),"D","")))))))</f>
        <v/>
      </c>
      <c r="J338" s="27" t="str">
        <f aca="false">IF(I338="","",IF(AND(I338="D",Settings!$B$6&lt;&gt;"Yes"),"",IFERROR(INDEX(Settings!$C$9:$C$12,MATCH(I338,Settings!$A$9:$A$12,0)),"")))</f>
        <v/>
      </c>
      <c r="K338" s="27" t="str">
        <f aca="false">IF(J338="","",COUNTIF($I$2:I338,I338))</f>
        <v/>
      </c>
      <c r="L338" s="27" t="str">
        <f aca="false">IF(J338="","",CHOOSE(Q338+1,"Tue","Wed","Thu","Fri"))</f>
        <v/>
      </c>
      <c r="M338" s="27" t="str">
        <f aca="false">IF(J338="","",IF(J338=1,"Every week",R338+1&amp;" of "&amp;J338))</f>
        <v/>
      </c>
      <c r="N338" s="28" t="str">
        <f aca="false">IF(J338="","",Settings!$B$4+R338*7+Q338)</f>
        <v/>
      </c>
      <c r="O338" s="28" t="str">
        <f aca="true">IF(J338="","",N338+MAX(0,ROUNDUP((TODAY()-N338)/(J338*7),0))*J338*7)</f>
        <v/>
      </c>
      <c r="P338" s="27" t="str">
        <f aca="false">IF(J338="","",MOD(K338-1,J338*4))</f>
        <v/>
      </c>
      <c r="Q338" s="27" t="str">
        <f aca="false">IF(J338="","",MOD(P338,4))</f>
        <v/>
      </c>
      <c r="R338" s="27" t="str">
        <f aca="false">IF(J338="","",INT(P338/4))</f>
        <v/>
      </c>
      <c r="S338" s="27" t="str">
        <f aca="false">IF(J338="","",IF(AND('Daily Count Sheet'!$H$3=Q338,MOD('Daily Count Sheet'!$I$3,J338)=R338),1,""))</f>
        <v/>
      </c>
      <c r="T338" s="27" t="str">
        <f aca="false">IF(S338=1,COUNTIF($S$2:S338,1),"")</f>
        <v/>
      </c>
    </row>
    <row r="339" customFormat="false" ht="15" hidden="false" customHeight="false" outlineLevel="0" collapsed="false">
      <c r="H339" s="26"/>
      <c r="I339" s="27" t="str">
        <f aca="false">IF(A339="","",IF(H339&lt;&gt;"",UPPER(TRIM(H339)),IFERROR(CHOOSE(VALUE(E339)+1,"A","B","C","D"),IF(OR(LEFT(UPPER(TRIM(E339)),1)="F",UPPER(TRIM(E339))="A"),"A",IF(OR(LEFT(UPPER(TRIM(E339)),1)="M",UPPER(TRIM(E339))="B"),"B",IF(OR(LEFT(UPPER(TRIM(E339)),2)="SL",UPPER(TRIM(E339))="C"),"C",IF(OR(LEFT(UPPER(TRIM(E339)),1)="D",UPPER(TRIM(E339))="D"),"D","")))))))</f>
        <v/>
      </c>
      <c r="J339" s="27" t="str">
        <f aca="false">IF(I339="","",IF(AND(I339="D",Settings!$B$6&lt;&gt;"Yes"),"",IFERROR(INDEX(Settings!$C$9:$C$12,MATCH(I339,Settings!$A$9:$A$12,0)),"")))</f>
        <v/>
      </c>
      <c r="K339" s="27" t="str">
        <f aca="false">IF(J339="","",COUNTIF($I$2:I339,I339))</f>
        <v/>
      </c>
      <c r="L339" s="27" t="str">
        <f aca="false">IF(J339="","",CHOOSE(Q339+1,"Tue","Wed","Thu","Fri"))</f>
        <v/>
      </c>
      <c r="M339" s="27" t="str">
        <f aca="false">IF(J339="","",IF(J339=1,"Every week",R339+1&amp;" of "&amp;J339))</f>
        <v/>
      </c>
      <c r="N339" s="28" t="str">
        <f aca="false">IF(J339="","",Settings!$B$4+R339*7+Q339)</f>
        <v/>
      </c>
      <c r="O339" s="28" t="str">
        <f aca="true">IF(J339="","",N339+MAX(0,ROUNDUP((TODAY()-N339)/(J339*7),0))*J339*7)</f>
        <v/>
      </c>
      <c r="P339" s="27" t="str">
        <f aca="false">IF(J339="","",MOD(K339-1,J339*4))</f>
        <v/>
      </c>
      <c r="Q339" s="27" t="str">
        <f aca="false">IF(J339="","",MOD(P339,4))</f>
        <v/>
      </c>
      <c r="R339" s="27" t="str">
        <f aca="false">IF(J339="","",INT(P339/4))</f>
        <v/>
      </c>
      <c r="S339" s="27" t="str">
        <f aca="false">IF(J339="","",IF(AND('Daily Count Sheet'!$H$3=Q339,MOD('Daily Count Sheet'!$I$3,J339)=R339),1,""))</f>
        <v/>
      </c>
      <c r="T339" s="27" t="str">
        <f aca="false">IF(S339=1,COUNTIF($S$2:S339,1),"")</f>
        <v/>
      </c>
    </row>
    <row r="340" customFormat="false" ht="15" hidden="false" customHeight="false" outlineLevel="0" collapsed="false">
      <c r="H340" s="26"/>
      <c r="I340" s="27" t="str">
        <f aca="false">IF(A340="","",IF(H340&lt;&gt;"",UPPER(TRIM(H340)),IFERROR(CHOOSE(VALUE(E340)+1,"A","B","C","D"),IF(OR(LEFT(UPPER(TRIM(E340)),1)="F",UPPER(TRIM(E340))="A"),"A",IF(OR(LEFT(UPPER(TRIM(E340)),1)="M",UPPER(TRIM(E340))="B"),"B",IF(OR(LEFT(UPPER(TRIM(E340)),2)="SL",UPPER(TRIM(E340))="C"),"C",IF(OR(LEFT(UPPER(TRIM(E340)),1)="D",UPPER(TRIM(E340))="D"),"D","")))))))</f>
        <v/>
      </c>
      <c r="J340" s="27" t="str">
        <f aca="false">IF(I340="","",IF(AND(I340="D",Settings!$B$6&lt;&gt;"Yes"),"",IFERROR(INDEX(Settings!$C$9:$C$12,MATCH(I340,Settings!$A$9:$A$12,0)),"")))</f>
        <v/>
      </c>
      <c r="K340" s="27" t="str">
        <f aca="false">IF(J340="","",COUNTIF($I$2:I340,I340))</f>
        <v/>
      </c>
      <c r="L340" s="27" t="str">
        <f aca="false">IF(J340="","",CHOOSE(Q340+1,"Tue","Wed","Thu","Fri"))</f>
        <v/>
      </c>
      <c r="M340" s="27" t="str">
        <f aca="false">IF(J340="","",IF(J340=1,"Every week",R340+1&amp;" of "&amp;J340))</f>
        <v/>
      </c>
      <c r="N340" s="28" t="str">
        <f aca="false">IF(J340="","",Settings!$B$4+R340*7+Q340)</f>
        <v/>
      </c>
      <c r="O340" s="28" t="str">
        <f aca="true">IF(J340="","",N340+MAX(0,ROUNDUP((TODAY()-N340)/(J340*7),0))*J340*7)</f>
        <v/>
      </c>
      <c r="P340" s="27" t="str">
        <f aca="false">IF(J340="","",MOD(K340-1,J340*4))</f>
        <v/>
      </c>
      <c r="Q340" s="27" t="str">
        <f aca="false">IF(J340="","",MOD(P340,4))</f>
        <v/>
      </c>
      <c r="R340" s="27" t="str">
        <f aca="false">IF(J340="","",INT(P340/4))</f>
        <v/>
      </c>
      <c r="S340" s="27" t="str">
        <f aca="false">IF(J340="","",IF(AND('Daily Count Sheet'!$H$3=Q340,MOD('Daily Count Sheet'!$I$3,J340)=R340),1,""))</f>
        <v/>
      </c>
      <c r="T340" s="27" t="str">
        <f aca="false">IF(S340=1,COUNTIF($S$2:S340,1),"")</f>
        <v/>
      </c>
    </row>
    <row r="341" customFormat="false" ht="15" hidden="false" customHeight="false" outlineLevel="0" collapsed="false">
      <c r="H341" s="26"/>
      <c r="I341" s="27" t="str">
        <f aca="false">IF(A341="","",IF(H341&lt;&gt;"",UPPER(TRIM(H341)),IFERROR(CHOOSE(VALUE(E341)+1,"A","B","C","D"),IF(OR(LEFT(UPPER(TRIM(E341)),1)="F",UPPER(TRIM(E341))="A"),"A",IF(OR(LEFT(UPPER(TRIM(E341)),1)="M",UPPER(TRIM(E341))="B"),"B",IF(OR(LEFT(UPPER(TRIM(E341)),2)="SL",UPPER(TRIM(E341))="C"),"C",IF(OR(LEFT(UPPER(TRIM(E341)),1)="D",UPPER(TRIM(E341))="D"),"D","")))))))</f>
        <v/>
      </c>
      <c r="J341" s="27" t="str">
        <f aca="false">IF(I341="","",IF(AND(I341="D",Settings!$B$6&lt;&gt;"Yes"),"",IFERROR(INDEX(Settings!$C$9:$C$12,MATCH(I341,Settings!$A$9:$A$12,0)),"")))</f>
        <v/>
      </c>
      <c r="K341" s="27" t="str">
        <f aca="false">IF(J341="","",COUNTIF($I$2:I341,I341))</f>
        <v/>
      </c>
      <c r="L341" s="27" t="str">
        <f aca="false">IF(J341="","",CHOOSE(Q341+1,"Tue","Wed","Thu","Fri"))</f>
        <v/>
      </c>
      <c r="M341" s="27" t="str">
        <f aca="false">IF(J341="","",IF(J341=1,"Every week",R341+1&amp;" of "&amp;J341))</f>
        <v/>
      </c>
      <c r="N341" s="28" t="str">
        <f aca="false">IF(J341="","",Settings!$B$4+R341*7+Q341)</f>
        <v/>
      </c>
      <c r="O341" s="28" t="str">
        <f aca="true">IF(J341="","",N341+MAX(0,ROUNDUP((TODAY()-N341)/(J341*7),0))*J341*7)</f>
        <v/>
      </c>
      <c r="P341" s="27" t="str">
        <f aca="false">IF(J341="","",MOD(K341-1,J341*4))</f>
        <v/>
      </c>
      <c r="Q341" s="27" t="str">
        <f aca="false">IF(J341="","",MOD(P341,4))</f>
        <v/>
      </c>
      <c r="R341" s="27" t="str">
        <f aca="false">IF(J341="","",INT(P341/4))</f>
        <v/>
      </c>
      <c r="S341" s="27" t="str">
        <f aca="false">IF(J341="","",IF(AND('Daily Count Sheet'!$H$3=Q341,MOD('Daily Count Sheet'!$I$3,J341)=R341),1,""))</f>
        <v/>
      </c>
      <c r="T341" s="27" t="str">
        <f aca="false">IF(S341=1,COUNTIF($S$2:S341,1),"")</f>
        <v/>
      </c>
    </row>
    <row r="342" customFormat="false" ht="15" hidden="false" customHeight="false" outlineLevel="0" collapsed="false">
      <c r="H342" s="26"/>
      <c r="I342" s="27" t="str">
        <f aca="false">IF(A342="","",IF(H342&lt;&gt;"",UPPER(TRIM(H342)),IFERROR(CHOOSE(VALUE(E342)+1,"A","B","C","D"),IF(OR(LEFT(UPPER(TRIM(E342)),1)="F",UPPER(TRIM(E342))="A"),"A",IF(OR(LEFT(UPPER(TRIM(E342)),1)="M",UPPER(TRIM(E342))="B"),"B",IF(OR(LEFT(UPPER(TRIM(E342)),2)="SL",UPPER(TRIM(E342))="C"),"C",IF(OR(LEFT(UPPER(TRIM(E342)),1)="D",UPPER(TRIM(E342))="D"),"D","")))))))</f>
        <v/>
      </c>
      <c r="J342" s="27" t="str">
        <f aca="false">IF(I342="","",IF(AND(I342="D",Settings!$B$6&lt;&gt;"Yes"),"",IFERROR(INDEX(Settings!$C$9:$C$12,MATCH(I342,Settings!$A$9:$A$12,0)),"")))</f>
        <v/>
      </c>
      <c r="K342" s="27" t="str">
        <f aca="false">IF(J342="","",COUNTIF($I$2:I342,I342))</f>
        <v/>
      </c>
      <c r="L342" s="27" t="str">
        <f aca="false">IF(J342="","",CHOOSE(Q342+1,"Tue","Wed","Thu","Fri"))</f>
        <v/>
      </c>
      <c r="M342" s="27" t="str">
        <f aca="false">IF(J342="","",IF(J342=1,"Every week",R342+1&amp;" of "&amp;J342))</f>
        <v/>
      </c>
      <c r="N342" s="28" t="str">
        <f aca="false">IF(J342="","",Settings!$B$4+R342*7+Q342)</f>
        <v/>
      </c>
      <c r="O342" s="28" t="str">
        <f aca="true">IF(J342="","",N342+MAX(0,ROUNDUP((TODAY()-N342)/(J342*7),0))*J342*7)</f>
        <v/>
      </c>
      <c r="P342" s="27" t="str">
        <f aca="false">IF(J342="","",MOD(K342-1,J342*4))</f>
        <v/>
      </c>
      <c r="Q342" s="27" t="str">
        <f aca="false">IF(J342="","",MOD(P342,4))</f>
        <v/>
      </c>
      <c r="R342" s="27" t="str">
        <f aca="false">IF(J342="","",INT(P342/4))</f>
        <v/>
      </c>
      <c r="S342" s="27" t="str">
        <f aca="false">IF(J342="","",IF(AND('Daily Count Sheet'!$H$3=Q342,MOD('Daily Count Sheet'!$I$3,J342)=R342),1,""))</f>
        <v/>
      </c>
      <c r="T342" s="27" t="str">
        <f aca="false">IF(S342=1,COUNTIF($S$2:S342,1),"")</f>
        <v/>
      </c>
    </row>
    <row r="343" customFormat="false" ht="15" hidden="false" customHeight="false" outlineLevel="0" collapsed="false">
      <c r="H343" s="26"/>
      <c r="I343" s="27" t="str">
        <f aca="false">IF(A343="","",IF(H343&lt;&gt;"",UPPER(TRIM(H343)),IFERROR(CHOOSE(VALUE(E343)+1,"A","B","C","D"),IF(OR(LEFT(UPPER(TRIM(E343)),1)="F",UPPER(TRIM(E343))="A"),"A",IF(OR(LEFT(UPPER(TRIM(E343)),1)="M",UPPER(TRIM(E343))="B"),"B",IF(OR(LEFT(UPPER(TRIM(E343)),2)="SL",UPPER(TRIM(E343))="C"),"C",IF(OR(LEFT(UPPER(TRIM(E343)),1)="D",UPPER(TRIM(E343))="D"),"D","")))))))</f>
        <v/>
      </c>
      <c r="J343" s="27" t="str">
        <f aca="false">IF(I343="","",IF(AND(I343="D",Settings!$B$6&lt;&gt;"Yes"),"",IFERROR(INDEX(Settings!$C$9:$C$12,MATCH(I343,Settings!$A$9:$A$12,0)),"")))</f>
        <v/>
      </c>
      <c r="K343" s="27" t="str">
        <f aca="false">IF(J343="","",COUNTIF($I$2:I343,I343))</f>
        <v/>
      </c>
      <c r="L343" s="27" t="str">
        <f aca="false">IF(J343="","",CHOOSE(Q343+1,"Tue","Wed","Thu","Fri"))</f>
        <v/>
      </c>
      <c r="M343" s="27" t="str">
        <f aca="false">IF(J343="","",IF(J343=1,"Every week",R343+1&amp;" of "&amp;J343))</f>
        <v/>
      </c>
      <c r="N343" s="28" t="str">
        <f aca="false">IF(J343="","",Settings!$B$4+R343*7+Q343)</f>
        <v/>
      </c>
      <c r="O343" s="28" t="str">
        <f aca="true">IF(J343="","",N343+MAX(0,ROUNDUP((TODAY()-N343)/(J343*7),0))*J343*7)</f>
        <v/>
      </c>
      <c r="P343" s="27" t="str">
        <f aca="false">IF(J343="","",MOD(K343-1,J343*4))</f>
        <v/>
      </c>
      <c r="Q343" s="27" t="str">
        <f aca="false">IF(J343="","",MOD(P343,4))</f>
        <v/>
      </c>
      <c r="R343" s="27" t="str">
        <f aca="false">IF(J343="","",INT(P343/4))</f>
        <v/>
      </c>
      <c r="S343" s="27" t="str">
        <f aca="false">IF(J343="","",IF(AND('Daily Count Sheet'!$H$3=Q343,MOD('Daily Count Sheet'!$I$3,J343)=R343),1,""))</f>
        <v/>
      </c>
      <c r="T343" s="27" t="str">
        <f aca="false">IF(S343=1,COUNTIF($S$2:S343,1),"")</f>
        <v/>
      </c>
    </row>
    <row r="344" customFormat="false" ht="15" hidden="false" customHeight="false" outlineLevel="0" collapsed="false">
      <c r="H344" s="26"/>
      <c r="I344" s="27" t="str">
        <f aca="false">IF(A344="","",IF(H344&lt;&gt;"",UPPER(TRIM(H344)),IFERROR(CHOOSE(VALUE(E344)+1,"A","B","C","D"),IF(OR(LEFT(UPPER(TRIM(E344)),1)="F",UPPER(TRIM(E344))="A"),"A",IF(OR(LEFT(UPPER(TRIM(E344)),1)="M",UPPER(TRIM(E344))="B"),"B",IF(OR(LEFT(UPPER(TRIM(E344)),2)="SL",UPPER(TRIM(E344))="C"),"C",IF(OR(LEFT(UPPER(TRIM(E344)),1)="D",UPPER(TRIM(E344))="D"),"D","")))))))</f>
        <v/>
      </c>
      <c r="J344" s="27" t="str">
        <f aca="false">IF(I344="","",IF(AND(I344="D",Settings!$B$6&lt;&gt;"Yes"),"",IFERROR(INDEX(Settings!$C$9:$C$12,MATCH(I344,Settings!$A$9:$A$12,0)),"")))</f>
        <v/>
      </c>
      <c r="K344" s="27" t="str">
        <f aca="false">IF(J344="","",COUNTIF($I$2:I344,I344))</f>
        <v/>
      </c>
      <c r="L344" s="27" t="str">
        <f aca="false">IF(J344="","",CHOOSE(Q344+1,"Tue","Wed","Thu","Fri"))</f>
        <v/>
      </c>
      <c r="M344" s="27" t="str">
        <f aca="false">IF(J344="","",IF(J344=1,"Every week",R344+1&amp;" of "&amp;J344))</f>
        <v/>
      </c>
      <c r="N344" s="28" t="str">
        <f aca="false">IF(J344="","",Settings!$B$4+R344*7+Q344)</f>
        <v/>
      </c>
      <c r="O344" s="28" t="str">
        <f aca="true">IF(J344="","",N344+MAX(0,ROUNDUP((TODAY()-N344)/(J344*7),0))*J344*7)</f>
        <v/>
      </c>
      <c r="P344" s="27" t="str">
        <f aca="false">IF(J344="","",MOD(K344-1,J344*4))</f>
        <v/>
      </c>
      <c r="Q344" s="27" t="str">
        <f aca="false">IF(J344="","",MOD(P344,4))</f>
        <v/>
      </c>
      <c r="R344" s="27" t="str">
        <f aca="false">IF(J344="","",INT(P344/4))</f>
        <v/>
      </c>
      <c r="S344" s="27" t="str">
        <f aca="false">IF(J344="","",IF(AND('Daily Count Sheet'!$H$3=Q344,MOD('Daily Count Sheet'!$I$3,J344)=R344),1,""))</f>
        <v/>
      </c>
      <c r="T344" s="27" t="str">
        <f aca="false">IF(S344=1,COUNTIF($S$2:S344,1),"")</f>
        <v/>
      </c>
    </row>
    <row r="345" customFormat="false" ht="15" hidden="false" customHeight="false" outlineLevel="0" collapsed="false">
      <c r="H345" s="26"/>
      <c r="I345" s="27" t="str">
        <f aca="false">IF(A345="","",IF(H345&lt;&gt;"",UPPER(TRIM(H345)),IFERROR(CHOOSE(VALUE(E345)+1,"A","B","C","D"),IF(OR(LEFT(UPPER(TRIM(E345)),1)="F",UPPER(TRIM(E345))="A"),"A",IF(OR(LEFT(UPPER(TRIM(E345)),1)="M",UPPER(TRIM(E345))="B"),"B",IF(OR(LEFT(UPPER(TRIM(E345)),2)="SL",UPPER(TRIM(E345))="C"),"C",IF(OR(LEFT(UPPER(TRIM(E345)),1)="D",UPPER(TRIM(E345))="D"),"D","")))))))</f>
        <v/>
      </c>
      <c r="J345" s="27" t="str">
        <f aca="false">IF(I345="","",IF(AND(I345="D",Settings!$B$6&lt;&gt;"Yes"),"",IFERROR(INDEX(Settings!$C$9:$C$12,MATCH(I345,Settings!$A$9:$A$12,0)),"")))</f>
        <v/>
      </c>
      <c r="K345" s="27" t="str">
        <f aca="false">IF(J345="","",COUNTIF($I$2:I345,I345))</f>
        <v/>
      </c>
      <c r="L345" s="27" t="str">
        <f aca="false">IF(J345="","",CHOOSE(Q345+1,"Tue","Wed","Thu","Fri"))</f>
        <v/>
      </c>
      <c r="M345" s="27" t="str">
        <f aca="false">IF(J345="","",IF(J345=1,"Every week",R345+1&amp;" of "&amp;J345))</f>
        <v/>
      </c>
      <c r="N345" s="28" t="str">
        <f aca="false">IF(J345="","",Settings!$B$4+R345*7+Q345)</f>
        <v/>
      </c>
      <c r="O345" s="28" t="str">
        <f aca="true">IF(J345="","",N345+MAX(0,ROUNDUP((TODAY()-N345)/(J345*7),0))*J345*7)</f>
        <v/>
      </c>
      <c r="P345" s="27" t="str">
        <f aca="false">IF(J345="","",MOD(K345-1,J345*4))</f>
        <v/>
      </c>
      <c r="Q345" s="27" t="str">
        <f aca="false">IF(J345="","",MOD(P345,4))</f>
        <v/>
      </c>
      <c r="R345" s="27" t="str">
        <f aca="false">IF(J345="","",INT(P345/4))</f>
        <v/>
      </c>
      <c r="S345" s="27" t="str">
        <f aca="false">IF(J345="","",IF(AND('Daily Count Sheet'!$H$3=Q345,MOD('Daily Count Sheet'!$I$3,J345)=R345),1,""))</f>
        <v/>
      </c>
      <c r="T345" s="27" t="str">
        <f aca="false">IF(S345=1,COUNTIF($S$2:S345,1),"")</f>
        <v/>
      </c>
    </row>
    <row r="346" customFormat="false" ht="15" hidden="false" customHeight="false" outlineLevel="0" collapsed="false">
      <c r="H346" s="26"/>
      <c r="I346" s="27" t="str">
        <f aca="false">IF(A346="","",IF(H346&lt;&gt;"",UPPER(TRIM(H346)),IFERROR(CHOOSE(VALUE(E346)+1,"A","B","C","D"),IF(OR(LEFT(UPPER(TRIM(E346)),1)="F",UPPER(TRIM(E346))="A"),"A",IF(OR(LEFT(UPPER(TRIM(E346)),1)="M",UPPER(TRIM(E346))="B"),"B",IF(OR(LEFT(UPPER(TRIM(E346)),2)="SL",UPPER(TRIM(E346))="C"),"C",IF(OR(LEFT(UPPER(TRIM(E346)),1)="D",UPPER(TRIM(E346))="D"),"D","")))))))</f>
        <v/>
      </c>
      <c r="J346" s="27" t="str">
        <f aca="false">IF(I346="","",IF(AND(I346="D",Settings!$B$6&lt;&gt;"Yes"),"",IFERROR(INDEX(Settings!$C$9:$C$12,MATCH(I346,Settings!$A$9:$A$12,0)),"")))</f>
        <v/>
      </c>
      <c r="K346" s="27" t="str">
        <f aca="false">IF(J346="","",COUNTIF($I$2:I346,I346))</f>
        <v/>
      </c>
      <c r="L346" s="27" t="str">
        <f aca="false">IF(J346="","",CHOOSE(Q346+1,"Tue","Wed","Thu","Fri"))</f>
        <v/>
      </c>
      <c r="M346" s="27" t="str">
        <f aca="false">IF(J346="","",IF(J346=1,"Every week",R346+1&amp;" of "&amp;J346))</f>
        <v/>
      </c>
      <c r="N346" s="28" t="str">
        <f aca="false">IF(J346="","",Settings!$B$4+R346*7+Q346)</f>
        <v/>
      </c>
      <c r="O346" s="28" t="str">
        <f aca="true">IF(J346="","",N346+MAX(0,ROUNDUP((TODAY()-N346)/(J346*7),0))*J346*7)</f>
        <v/>
      </c>
      <c r="P346" s="27" t="str">
        <f aca="false">IF(J346="","",MOD(K346-1,J346*4))</f>
        <v/>
      </c>
      <c r="Q346" s="27" t="str">
        <f aca="false">IF(J346="","",MOD(P346,4))</f>
        <v/>
      </c>
      <c r="R346" s="27" t="str">
        <f aca="false">IF(J346="","",INT(P346/4))</f>
        <v/>
      </c>
      <c r="S346" s="27" t="str">
        <f aca="false">IF(J346="","",IF(AND('Daily Count Sheet'!$H$3=Q346,MOD('Daily Count Sheet'!$I$3,J346)=R346),1,""))</f>
        <v/>
      </c>
      <c r="T346" s="27" t="str">
        <f aca="false">IF(S346=1,COUNTIF($S$2:S346,1),"")</f>
        <v/>
      </c>
    </row>
    <row r="347" customFormat="false" ht="15" hidden="false" customHeight="false" outlineLevel="0" collapsed="false">
      <c r="H347" s="26"/>
      <c r="I347" s="27" t="str">
        <f aca="false">IF(A347="","",IF(H347&lt;&gt;"",UPPER(TRIM(H347)),IFERROR(CHOOSE(VALUE(E347)+1,"A","B","C","D"),IF(OR(LEFT(UPPER(TRIM(E347)),1)="F",UPPER(TRIM(E347))="A"),"A",IF(OR(LEFT(UPPER(TRIM(E347)),1)="M",UPPER(TRIM(E347))="B"),"B",IF(OR(LEFT(UPPER(TRIM(E347)),2)="SL",UPPER(TRIM(E347))="C"),"C",IF(OR(LEFT(UPPER(TRIM(E347)),1)="D",UPPER(TRIM(E347))="D"),"D","")))))))</f>
        <v/>
      </c>
      <c r="J347" s="27" t="str">
        <f aca="false">IF(I347="","",IF(AND(I347="D",Settings!$B$6&lt;&gt;"Yes"),"",IFERROR(INDEX(Settings!$C$9:$C$12,MATCH(I347,Settings!$A$9:$A$12,0)),"")))</f>
        <v/>
      </c>
      <c r="K347" s="27" t="str">
        <f aca="false">IF(J347="","",COUNTIF($I$2:I347,I347))</f>
        <v/>
      </c>
      <c r="L347" s="27" t="str">
        <f aca="false">IF(J347="","",CHOOSE(Q347+1,"Tue","Wed","Thu","Fri"))</f>
        <v/>
      </c>
      <c r="M347" s="27" t="str">
        <f aca="false">IF(J347="","",IF(J347=1,"Every week",R347+1&amp;" of "&amp;J347))</f>
        <v/>
      </c>
      <c r="N347" s="28" t="str">
        <f aca="false">IF(J347="","",Settings!$B$4+R347*7+Q347)</f>
        <v/>
      </c>
      <c r="O347" s="28" t="str">
        <f aca="true">IF(J347="","",N347+MAX(0,ROUNDUP((TODAY()-N347)/(J347*7),0))*J347*7)</f>
        <v/>
      </c>
      <c r="P347" s="27" t="str">
        <f aca="false">IF(J347="","",MOD(K347-1,J347*4))</f>
        <v/>
      </c>
      <c r="Q347" s="27" t="str">
        <f aca="false">IF(J347="","",MOD(P347,4))</f>
        <v/>
      </c>
      <c r="R347" s="27" t="str">
        <f aca="false">IF(J347="","",INT(P347/4))</f>
        <v/>
      </c>
      <c r="S347" s="27" t="str">
        <f aca="false">IF(J347="","",IF(AND('Daily Count Sheet'!$H$3=Q347,MOD('Daily Count Sheet'!$I$3,J347)=R347),1,""))</f>
        <v/>
      </c>
      <c r="T347" s="27" t="str">
        <f aca="false">IF(S347=1,COUNTIF($S$2:S347,1),"")</f>
        <v/>
      </c>
    </row>
    <row r="348" customFormat="false" ht="15" hidden="false" customHeight="false" outlineLevel="0" collapsed="false">
      <c r="H348" s="26"/>
      <c r="I348" s="27" t="str">
        <f aca="false">IF(A348="","",IF(H348&lt;&gt;"",UPPER(TRIM(H348)),IFERROR(CHOOSE(VALUE(E348)+1,"A","B","C","D"),IF(OR(LEFT(UPPER(TRIM(E348)),1)="F",UPPER(TRIM(E348))="A"),"A",IF(OR(LEFT(UPPER(TRIM(E348)),1)="M",UPPER(TRIM(E348))="B"),"B",IF(OR(LEFT(UPPER(TRIM(E348)),2)="SL",UPPER(TRIM(E348))="C"),"C",IF(OR(LEFT(UPPER(TRIM(E348)),1)="D",UPPER(TRIM(E348))="D"),"D","")))))))</f>
        <v/>
      </c>
      <c r="J348" s="27" t="str">
        <f aca="false">IF(I348="","",IF(AND(I348="D",Settings!$B$6&lt;&gt;"Yes"),"",IFERROR(INDEX(Settings!$C$9:$C$12,MATCH(I348,Settings!$A$9:$A$12,0)),"")))</f>
        <v/>
      </c>
      <c r="K348" s="27" t="str">
        <f aca="false">IF(J348="","",COUNTIF($I$2:I348,I348))</f>
        <v/>
      </c>
      <c r="L348" s="27" t="str">
        <f aca="false">IF(J348="","",CHOOSE(Q348+1,"Tue","Wed","Thu","Fri"))</f>
        <v/>
      </c>
      <c r="M348" s="27" t="str">
        <f aca="false">IF(J348="","",IF(J348=1,"Every week",R348+1&amp;" of "&amp;J348))</f>
        <v/>
      </c>
      <c r="N348" s="28" t="str">
        <f aca="false">IF(J348="","",Settings!$B$4+R348*7+Q348)</f>
        <v/>
      </c>
      <c r="O348" s="28" t="str">
        <f aca="true">IF(J348="","",N348+MAX(0,ROUNDUP((TODAY()-N348)/(J348*7),0))*J348*7)</f>
        <v/>
      </c>
      <c r="P348" s="27" t="str">
        <f aca="false">IF(J348="","",MOD(K348-1,J348*4))</f>
        <v/>
      </c>
      <c r="Q348" s="27" t="str">
        <f aca="false">IF(J348="","",MOD(P348,4))</f>
        <v/>
      </c>
      <c r="R348" s="27" t="str">
        <f aca="false">IF(J348="","",INT(P348/4))</f>
        <v/>
      </c>
      <c r="S348" s="27" t="str">
        <f aca="false">IF(J348="","",IF(AND('Daily Count Sheet'!$H$3=Q348,MOD('Daily Count Sheet'!$I$3,J348)=R348),1,""))</f>
        <v/>
      </c>
      <c r="T348" s="27" t="str">
        <f aca="false">IF(S348=1,COUNTIF($S$2:S348,1),"")</f>
        <v/>
      </c>
    </row>
    <row r="349" customFormat="false" ht="15" hidden="false" customHeight="false" outlineLevel="0" collapsed="false">
      <c r="H349" s="26"/>
      <c r="I349" s="27" t="str">
        <f aca="false">IF(A349="","",IF(H349&lt;&gt;"",UPPER(TRIM(H349)),IFERROR(CHOOSE(VALUE(E349)+1,"A","B","C","D"),IF(OR(LEFT(UPPER(TRIM(E349)),1)="F",UPPER(TRIM(E349))="A"),"A",IF(OR(LEFT(UPPER(TRIM(E349)),1)="M",UPPER(TRIM(E349))="B"),"B",IF(OR(LEFT(UPPER(TRIM(E349)),2)="SL",UPPER(TRIM(E349))="C"),"C",IF(OR(LEFT(UPPER(TRIM(E349)),1)="D",UPPER(TRIM(E349))="D"),"D","")))))))</f>
        <v/>
      </c>
      <c r="J349" s="27" t="str">
        <f aca="false">IF(I349="","",IF(AND(I349="D",Settings!$B$6&lt;&gt;"Yes"),"",IFERROR(INDEX(Settings!$C$9:$C$12,MATCH(I349,Settings!$A$9:$A$12,0)),"")))</f>
        <v/>
      </c>
      <c r="K349" s="27" t="str">
        <f aca="false">IF(J349="","",COUNTIF($I$2:I349,I349))</f>
        <v/>
      </c>
      <c r="L349" s="27" t="str">
        <f aca="false">IF(J349="","",CHOOSE(Q349+1,"Tue","Wed","Thu","Fri"))</f>
        <v/>
      </c>
      <c r="M349" s="27" t="str">
        <f aca="false">IF(J349="","",IF(J349=1,"Every week",R349+1&amp;" of "&amp;J349))</f>
        <v/>
      </c>
      <c r="N349" s="28" t="str">
        <f aca="false">IF(J349="","",Settings!$B$4+R349*7+Q349)</f>
        <v/>
      </c>
      <c r="O349" s="28" t="str">
        <f aca="true">IF(J349="","",N349+MAX(0,ROUNDUP((TODAY()-N349)/(J349*7),0))*J349*7)</f>
        <v/>
      </c>
      <c r="P349" s="27" t="str">
        <f aca="false">IF(J349="","",MOD(K349-1,J349*4))</f>
        <v/>
      </c>
      <c r="Q349" s="27" t="str">
        <f aca="false">IF(J349="","",MOD(P349,4))</f>
        <v/>
      </c>
      <c r="R349" s="27" t="str">
        <f aca="false">IF(J349="","",INT(P349/4))</f>
        <v/>
      </c>
      <c r="S349" s="27" t="str">
        <f aca="false">IF(J349="","",IF(AND('Daily Count Sheet'!$H$3=Q349,MOD('Daily Count Sheet'!$I$3,J349)=R349),1,""))</f>
        <v/>
      </c>
      <c r="T349" s="27" t="str">
        <f aca="false">IF(S349=1,COUNTIF($S$2:S349,1),"")</f>
        <v/>
      </c>
    </row>
    <row r="350" customFormat="false" ht="15" hidden="false" customHeight="false" outlineLevel="0" collapsed="false">
      <c r="H350" s="26"/>
      <c r="I350" s="27" t="str">
        <f aca="false">IF(A350="","",IF(H350&lt;&gt;"",UPPER(TRIM(H350)),IFERROR(CHOOSE(VALUE(E350)+1,"A","B","C","D"),IF(OR(LEFT(UPPER(TRIM(E350)),1)="F",UPPER(TRIM(E350))="A"),"A",IF(OR(LEFT(UPPER(TRIM(E350)),1)="M",UPPER(TRIM(E350))="B"),"B",IF(OR(LEFT(UPPER(TRIM(E350)),2)="SL",UPPER(TRIM(E350))="C"),"C",IF(OR(LEFT(UPPER(TRIM(E350)),1)="D",UPPER(TRIM(E350))="D"),"D","")))))))</f>
        <v/>
      </c>
      <c r="J350" s="27" t="str">
        <f aca="false">IF(I350="","",IF(AND(I350="D",Settings!$B$6&lt;&gt;"Yes"),"",IFERROR(INDEX(Settings!$C$9:$C$12,MATCH(I350,Settings!$A$9:$A$12,0)),"")))</f>
        <v/>
      </c>
      <c r="K350" s="27" t="str">
        <f aca="false">IF(J350="","",COUNTIF($I$2:I350,I350))</f>
        <v/>
      </c>
      <c r="L350" s="27" t="str">
        <f aca="false">IF(J350="","",CHOOSE(Q350+1,"Tue","Wed","Thu","Fri"))</f>
        <v/>
      </c>
      <c r="M350" s="27" t="str">
        <f aca="false">IF(J350="","",IF(J350=1,"Every week",R350+1&amp;" of "&amp;J350))</f>
        <v/>
      </c>
      <c r="N350" s="28" t="str">
        <f aca="false">IF(J350="","",Settings!$B$4+R350*7+Q350)</f>
        <v/>
      </c>
      <c r="O350" s="28" t="str">
        <f aca="true">IF(J350="","",N350+MAX(0,ROUNDUP((TODAY()-N350)/(J350*7),0))*J350*7)</f>
        <v/>
      </c>
      <c r="P350" s="27" t="str">
        <f aca="false">IF(J350="","",MOD(K350-1,J350*4))</f>
        <v/>
      </c>
      <c r="Q350" s="27" t="str">
        <f aca="false">IF(J350="","",MOD(P350,4))</f>
        <v/>
      </c>
      <c r="R350" s="27" t="str">
        <f aca="false">IF(J350="","",INT(P350/4))</f>
        <v/>
      </c>
      <c r="S350" s="27" t="str">
        <f aca="false">IF(J350="","",IF(AND('Daily Count Sheet'!$H$3=Q350,MOD('Daily Count Sheet'!$I$3,J350)=R350),1,""))</f>
        <v/>
      </c>
      <c r="T350" s="27" t="str">
        <f aca="false">IF(S350=1,COUNTIF($S$2:S350,1),"")</f>
        <v/>
      </c>
    </row>
    <row r="351" customFormat="false" ht="15" hidden="false" customHeight="false" outlineLevel="0" collapsed="false">
      <c r="H351" s="26"/>
      <c r="I351" s="27" t="str">
        <f aca="false">IF(A351="","",IF(H351&lt;&gt;"",UPPER(TRIM(H351)),IFERROR(CHOOSE(VALUE(E351)+1,"A","B","C","D"),IF(OR(LEFT(UPPER(TRIM(E351)),1)="F",UPPER(TRIM(E351))="A"),"A",IF(OR(LEFT(UPPER(TRIM(E351)),1)="M",UPPER(TRIM(E351))="B"),"B",IF(OR(LEFT(UPPER(TRIM(E351)),2)="SL",UPPER(TRIM(E351))="C"),"C",IF(OR(LEFT(UPPER(TRIM(E351)),1)="D",UPPER(TRIM(E351))="D"),"D","")))))))</f>
        <v/>
      </c>
      <c r="J351" s="27" t="str">
        <f aca="false">IF(I351="","",IF(AND(I351="D",Settings!$B$6&lt;&gt;"Yes"),"",IFERROR(INDEX(Settings!$C$9:$C$12,MATCH(I351,Settings!$A$9:$A$12,0)),"")))</f>
        <v/>
      </c>
      <c r="K351" s="27" t="str">
        <f aca="false">IF(J351="","",COUNTIF($I$2:I351,I351))</f>
        <v/>
      </c>
      <c r="L351" s="27" t="str">
        <f aca="false">IF(J351="","",CHOOSE(Q351+1,"Tue","Wed","Thu","Fri"))</f>
        <v/>
      </c>
      <c r="M351" s="27" t="str">
        <f aca="false">IF(J351="","",IF(J351=1,"Every week",R351+1&amp;" of "&amp;J351))</f>
        <v/>
      </c>
      <c r="N351" s="28" t="str">
        <f aca="false">IF(J351="","",Settings!$B$4+R351*7+Q351)</f>
        <v/>
      </c>
      <c r="O351" s="28" t="str">
        <f aca="true">IF(J351="","",N351+MAX(0,ROUNDUP((TODAY()-N351)/(J351*7),0))*J351*7)</f>
        <v/>
      </c>
      <c r="P351" s="27" t="str">
        <f aca="false">IF(J351="","",MOD(K351-1,J351*4))</f>
        <v/>
      </c>
      <c r="Q351" s="27" t="str">
        <f aca="false">IF(J351="","",MOD(P351,4))</f>
        <v/>
      </c>
      <c r="R351" s="27" t="str">
        <f aca="false">IF(J351="","",INT(P351/4))</f>
        <v/>
      </c>
      <c r="S351" s="27" t="str">
        <f aca="false">IF(J351="","",IF(AND('Daily Count Sheet'!$H$3=Q351,MOD('Daily Count Sheet'!$I$3,J351)=R351),1,""))</f>
        <v/>
      </c>
      <c r="T351" s="27" t="str">
        <f aca="false">IF(S351=1,COUNTIF($S$2:S351,1),"")</f>
        <v/>
      </c>
    </row>
    <row r="352" customFormat="false" ht="15" hidden="false" customHeight="false" outlineLevel="0" collapsed="false">
      <c r="H352" s="26"/>
      <c r="I352" s="27" t="str">
        <f aca="false">IF(A352="","",IF(H352&lt;&gt;"",UPPER(TRIM(H352)),IFERROR(CHOOSE(VALUE(E352)+1,"A","B","C","D"),IF(OR(LEFT(UPPER(TRIM(E352)),1)="F",UPPER(TRIM(E352))="A"),"A",IF(OR(LEFT(UPPER(TRIM(E352)),1)="M",UPPER(TRIM(E352))="B"),"B",IF(OR(LEFT(UPPER(TRIM(E352)),2)="SL",UPPER(TRIM(E352))="C"),"C",IF(OR(LEFT(UPPER(TRIM(E352)),1)="D",UPPER(TRIM(E352))="D"),"D","")))))))</f>
        <v/>
      </c>
      <c r="J352" s="27" t="str">
        <f aca="false">IF(I352="","",IF(AND(I352="D",Settings!$B$6&lt;&gt;"Yes"),"",IFERROR(INDEX(Settings!$C$9:$C$12,MATCH(I352,Settings!$A$9:$A$12,0)),"")))</f>
        <v/>
      </c>
      <c r="K352" s="27" t="str">
        <f aca="false">IF(J352="","",COUNTIF($I$2:I352,I352))</f>
        <v/>
      </c>
      <c r="L352" s="27" t="str">
        <f aca="false">IF(J352="","",CHOOSE(Q352+1,"Tue","Wed","Thu","Fri"))</f>
        <v/>
      </c>
      <c r="M352" s="27" t="str">
        <f aca="false">IF(J352="","",IF(J352=1,"Every week",R352+1&amp;" of "&amp;J352))</f>
        <v/>
      </c>
      <c r="N352" s="28" t="str">
        <f aca="false">IF(J352="","",Settings!$B$4+R352*7+Q352)</f>
        <v/>
      </c>
      <c r="O352" s="28" t="str">
        <f aca="true">IF(J352="","",N352+MAX(0,ROUNDUP((TODAY()-N352)/(J352*7),0))*J352*7)</f>
        <v/>
      </c>
      <c r="P352" s="27" t="str">
        <f aca="false">IF(J352="","",MOD(K352-1,J352*4))</f>
        <v/>
      </c>
      <c r="Q352" s="27" t="str">
        <f aca="false">IF(J352="","",MOD(P352,4))</f>
        <v/>
      </c>
      <c r="R352" s="27" t="str">
        <f aca="false">IF(J352="","",INT(P352/4))</f>
        <v/>
      </c>
      <c r="S352" s="27" t="str">
        <f aca="false">IF(J352="","",IF(AND('Daily Count Sheet'!$H$3=Q352,MOD('Daily Count Sheet'!$I$3,J352)=R352),1,""))</f>
        <v/>
      </c>
      <c r="T352" s="27" t="str">
        <f aca="false">IF(S352=1,COUNTIF($S$2:S352,1),"")</f>
        <v/>
      </c>
    </row>
    <row r="353" customFormat="false" ht="15" hidden="false" customHeight="false" outlineLevel="0" collapsed="false">
      <c r="H353" s="26"/>
      <c r="I353" s="27" t="str">
        <f aca="false">IF(A353="","",IF(H353&lt;&gt;"",UPPER(TRIM(H353)),IFERROR(CHOOSE(VALUE(E353)+1,"A","B","C","D"),IF(OR(LEFT(UPPER(TRIM(E353)),1)="F",UPPER(TRIM(E353))="A"),"A",IF(OR(LEFT(UPPER(TRIM(E353)),1)="M",UPPER(TRIM(E353))="B"),"B",IF(OR(LEFT(UPPER(TRIM(E353)),2)="SL",UPPER(TRIM(E353))="C"),"C",IF(OR(LEFT(UPPER(TRIM(E353)),1)="D",UPPER(TRIM(E353))="D"),"D","")))))))</f>
        <v/>
      </c>
      <c r="J353" s="27" t="str">
        <f aca="false">IF(I353="","",IF(AND(I353="D",Settings!$B$6&lt;&gt;"Yes"),"",IFERROR(INDEX(Settings!$C$9:$C$12,MATCH(I353,Settings!$A$9:$A$12,0)),"")))</f>
        <v/>
      </c>
      <c r="K353" s="27" t="str">
        <f aca="false">IF(J353="","",COUNTIF($I$2:I353,I353))</f>
        <v/>
      </c>
      <c r="L353" s="27" t="str">
        <f aca="false">IF(J353="","",CHOOSE(Q353+1,"Tue","Wed","Thu","Fri"))</f>
        <v/>
      </c>
      <c r="M353" s="27" t="str">
        <f aca="false">IF(J353="","",IF(J353=1,"Every week",R353+1&amp;" of "&amp;J353))</f>
        <v/>
      </c>
      <c r="N353" s="28" t="str">
        <f aca="false">IF(J353="","",Settings!$B$4+R353*7+Q353)</f>
        <v/>
      </c>
      <c r="O353" s="28" t="str">
        <f aca="true">IF(J353="","",N353+MAX(0,ROUNDUP((TODAY()-N353)/(J353*7),0))*J353*7)</f>
        <v/>
      </c>
      <c r="P353" s="27" t="str">
        <f aca="false">IF(J353="","",MOD(K353-1,J353*4))</f>
        <v/>
      </c>
      <c r="Q353" s="27" t="str">
        <f aca="false">IF(J353="","",MOD(P353,4))</f>
        <v/>
      </c>
      <c r="R353" s="27" t="str">
        <f aca="false">IF(J353="","",INT(P353/4))</f>
        <v/>
      </c>
      <c r="S353" s="27" t="str">
        <f aca="false">IF(J353="","",IF(AND('Daily Count Sheet'!$H$3=Q353,MOD('Daily Count Sheet'!$I$3,J353)=R353),1,""))</f>
        <v/>
      </c>
      <c r="T353" s="27" t="str">
        <f aca="false">IF(S353=1,COUNTIF($S$2:S353,1),"")</f>
        <v/>
      </c>
    </row>
    <row r="354" customFormat="false" ht="15" hidden="false" customHeight="false" outlineLevel="0" collapsed="false">
      <c r="H354" s="26"/>
      <c r="I354" s="27" t="str">
        <f aca="false">IF(A354="","",IF(H354&lt;&gt;"",UPPER(TRIM(H354)),IFERROR(CHOOSE(VALUE(E354)+1,"A","B","C","D"),IF(OR(LEFT(UPPER(TRIM(E354)),1)="F",UPPER(TRIM(E354))="A"),"A",IF(OR(LEFT(UPPER(TRIM(E354)),1)="M",UPPER(TRIM(E354))="B"),"B",IF(OR(LEFT(UPPER(TRIM(E354)),2)="SL",UPPER(TRIM(E354))="C"),"C",IF(OR(LEFT(UPPER(TRIM(E354)),1)="D",UPPER(TRIM(E354))="D"),"D","")))))))</f>
        <v/>
      </c>
      <c r="J354" s="27" t="str">
        <f aca="false">IF(I354="","",IF(AND(I354="D",Settings!$B$6&lt;&gt;"Yes"),"",IFERROR(INDEX(Settings!$C$9:$C$12,MATCH(I354,Settings!$A$9:$A$12,0)),"")))</f>
        <v/>
      </c>
      <c r="K354" s="27" t="str">
        <f aca="false">IF(J354="","",COUNTIF($I$2:I354,I354))</f>
        <v/>
      </c>
      <c r="L354" s="27" t="str">
        <f aca="false">IF(J354="","",CHOOSE(Q354+1,"Tue","Wed","Thu","Fri"))</f>
        <v/>
      </c>
      <c r="M354" s="27" t="str">
        <f aca="false">IF(J354="","",IF(J354=1,"Every week",R354+1&amp;" of "&amp;J354))</f>
        <v/>
      </c>
      <c r="N354" s="28" t="str">
        <f aca="false">IF(J354="","",Settings!$B$4+R354*7+Q354)</f>
        <v/>
      </c>
      <c r="O354" s="28" t="str">
        <f aca="true">IF(J354="","",N354+MAX(0,ROUNDUP((TODAY()-N354)/(J354*7),0))*J354*7)</f>
        <v/>
      </c>
      <c r="P354" s="27" t="str">
        <f aca="false">IF(J354="","",MOD(K354-1,J354*4))</f>
        <v/>
      </c>
      <c r="Q354" s="27" t="str">
        <f aca="false">IF(J354="","",MOD(P354,4))</f>
        <v/>
      </c>
      <c r="R354" s="27" t="str">
        <f aca="false">IF(J354="","",INT(P354/4))</f>
        <v/>
      </c>
      <c r="S354" s="27" t="str">
        <f aca="false">IF(J354="","",IF(AND('Daily Count Sheet'!$H$3=Q354,MOD('Daily Count Sheet'!$I$3,J354)=R354),1,""))</f>
        <v/>
      </c>
      <c r="T354" s="27" t="str">
        <f aca="false">IF(S354=1,COUNTIF($S$2:S354,1),"")</f>
        <v/>
      </c>
    </row>
    <row r="355" customFormat="false" ht="15" hidden="false" customHeight="false" outlineLevel="0" collapsed="false">
      <c r="H355" s="26"/>
      <c r="I355" s="27" t="str">
        <f aca="false">IF(A355="","",IF(H355&lt;&gt;"",UPPER(TRIM(H355)),IFERROR(CHOOSE(VALUE(E355)+1,"A","B","C","D"),IF(OR(LEFT(UPPER(TRIM(E355)),1)="F",UPPER(TRIM(E355))="A"),"A",IF(OR(LEFT(UPPER(TRIM(E355)),1)="M",UPPER(TRIM(E355))="B"),"B",IF(OR(LEFT(UPPER(TRIM(E355)),2)="SL",UPPER(TRIM(E355))="C"),"C",IF(OR(LEFT(UPPER(TRIM(E355)),1)="D",UPPER(TRIM(E355))="D"),"D","")))))))</f>
        <v/>
      </c>
      <c r="J355" s="27" t="str">
        <f aca="false">IF(I355="","",IF(AND(I355="D",Settings!$B$6&lt;&gt;"Yes"),"",IFERROR(INDEX(Settings!$C$9:$C$12,MATCH(I355,Settings!$A$9:$A$12,0)),"")))</f>
        <v/>
      </c>
      <c r="K355" s="27" t="str">
        <f aca="false">IF(J355="","",COUNTIF($I$2:I355,I355))</f>
        <v/>
      </c>
      <c r="L355" s="27" t="str">
        <f aca="false">IF(J355="","",CHOOSE(Q355+1,"Tue","Wed","Thu","Fri"))</f>
        <v/>
      </c>
      <c r="M355" s="27" t="str">
        <f aca="false">IF(J355="","",IF(J355=1,"Every week",R355+1&amp;" of "&amp;J355))</f>
        <v/>
      </c>
      <c r="N355" s="28" t="str">
        <f aca="false">IF(J355="","",Settings!$B$4+R355*7+Q355)</f>
        <v/>
      </c>
      <c r="O355" s="28" t="str">
        <f aca="true">IF(J355="","",N355+MAX(0,ROUNDUP((TODAY()-N355)/(J355*7),0))*J355*7)</f>
        <v/>
      </c>
      <c r="P355" s="27" t="str">
        <f aca="false">IF(J355="","",MOD(K355-1,J355*4))</f>
        <v/>
      </c>
      <c r="Q355" s="27" t="str">
        <f aca="false">IF(J355="","",MOD(P355,4))</f>
        <v/>
      </c>
      <c r="R355" s="27" t="str">
        <f aca="false">IF(J355="","",INT(P355/4))</f>
        <v/>
      </c>
      <c r="S355" s="27" t="str">
        <f aca="false">IF(J355="","",IF(AND('Daily Count Sheet'!$H$3=Q355,MOD('Daily Count Sheet'!$I$3,J355)=R355),1,""))</f>
        <v/>
      </c>
      <c r="T355" s="27" t="str">
        <f aca="false">IF(S355=1,COUNTIF($S$2:S355,1),"")</f>
        <v/>
      </c>
    </row>
    <row r="356" customFormat="false" ht="15" hidden="false" customHeight="false" outlineLevel="0" collapsed="false">
      <c r="H356" s="26"/>
      <c r="I356" s="27" t="str">
        <f aca="false">IF(A356="","",IF(H356&lt;&gt;"",UPPER(TRIM(H356)),IFERROR(CHOOSE(VALUE(E356)+1,"A","B","C","D"),IF(OR(LEFT(UPPER(TRIM(E356)),1)="F",UPPER(TRIM(E356))="A"),"A",IF(OR(LEFT(UPPER(TRIM(E356)),1)="M",UPPER(TRIM(E356))="B"),"B",IF(OR(LEFT(UPPER(TRIM(E356)),2)="SL",UPPER(TRIM(E356))="C"),"C",IF(OR(LEFT(UPPER(TRIM(E356)),1)="D",UPPER(TRIM(E356))="D"),"D","")))))))</f>
        <v/>
      </c>
      <c r="J356" s="27" t="str">
        <f aca="false">IF(I356="","",IF(AND(I356="D",Settings!$B$6&lt;&gt;"Yes"),"",IFERROR(INDEX(Settings!$C$9:$C$12,MATCH(I356,Settings!$A$9:$A$12,0)),"")))</f>
        <v/>
      </c>
      <c r="K356" s="27" t="str">
        <f aca="false">IF(J356="","",COUNTIF($I$2:I356,I356))</f>
        <v/>
      </c>
      <c r="L356" s="27" t="str">
        <f aca="false">IF(J356="","",CHOOSE(Q356+1,"Tue","Wed","Thu","Fri"))</f>
        <v/>
      </c>
      <c r="M356" s="27" t="str">
        <f aca="false">IF(J356="","",IF(J356=1,"Every week",R356+1&amp;" of "&amp;J356))</f>
        <v/>
      </c>
      <c r="N356" s="28" t="str">
        <f aca="false">IF(J356="","",Settings!$B$4+R356*7+Q356)</f>
        <v/>
      </c>
      <c r="O356" s="28" t="str">
        <f aca="true">IF(J356="","",N356+MAX(0,ROUNDUP((TODAY()-N356)/(J356*7),0))*J356*7)</f>
        <v/>
      </c>
      <c r="P356" s="27" t="str">
        <f aca="false">IF(J356="","",MOD(K356-1,J356*4))</f>
        <v/>
      </c>
      <c r="Q356" s="27" t="str">
        <f aca="false">IF(J356="","",MOD(P356,4))</f>
        <v/>
      </c>
      <c r="R356" s="27" t="str">
        <f aca="false">IF(J356="","",INT(P356/4))</f>
        <v/>
      </c>
      <c r="S356" s="27" t="str">
        <f aca="false">IF(J356="","",IF(AND('Daily Count Sheet'!$H$3=Q356,MOD('Daily Count Sheet'!$I$3,J356)=R356),1,""))</f>
        <v/>
      </c>
      <c r="T356" s="27" t="str">
        <f aca="false">IF(S356=1,COUNTIF($S$2:S356,1),"")</f>
        <v/>
      </c>
    </row>
    <row r="357" customFormat="false" ht="15" hidden="false" customHeight="false" outlineLevel="0" collapsed="false">
      <c r="H357" s="26"/>
      <c r="I357" s="27" t="str">
        <f aca="false">IF(A357="","",IF(H357&lt;&gt;"",UPPER(TRIM(H357)),IFERROR(CHOOSE(VALUE(E357)+1,"A","B","C","D"),IF(OR(LEFT(UPPER(TRIM(E357)),1)="F",UPPER(TRIM(E357))="A"),"A",IF(OR(LEFT(UPPER(TRIM(E357)),1)="M",UPPER(TRIM(E357))="B"),"B",IF(OR(LEFT(UPPER(TRIM(E357)),2)="SL",UPPER(TRIM(E357))="C"),"C",IF(OR(LEFT(UPPER(TRIM(E357)),1)="D",UPPER(TRIM(E357))="D"),"D","")))))))</f>
        <v/>
      </c>
      <c r="J357" s="27" t="str">
        <f aca="false">IF(I357="","",IF(AND(I357="D",Settings!$B$6&lt;&gt;"Yes"),"",IFERROR(INDEX(Settings!$C$9:$C$12,MATCH(I357,Settings!$A$9:$A$12,0)),"")))</f>
        <v/>
      </c>
      <c r="K357" s="27" t="str">
        <f aca="false">IF(J357="","",COUNTIF($I$2:I357,I357))</f>
        <v/>
      </c>
      <c r="L357" s="27" t="str">
        <f aca="false">IF(J357="","",CHOOSE(Q357+1,"Tue","Wed","Thu","Fri"))</f>
        <v/>
      </c>
      <c r="M357" s="27" t="str">
        <f aca="false">IF(J357="","",IF(J357=1,"Every week",R357+1&amp;" of "&amp;J357))</f>
        <v/>
      </c>
      <c r="N357" s="28" t="str">
        <f aca="false">IF(J357="","",Settings!$B$4+R357*7+Q357)</f>
        <v/>
      </c>
      <c r="O357" s="28" t="str">
        <f aca="true">IF(J357="","",N357+MAX(0,ROUNDUP((TODAY()-N357)/(J357*7),0))*J357*7)</f>
        <v/>
      </c>
      <c r="P357" s="27" t="str">
        <f aca="false">IF(J357="","",MOD(K357-1,J357*4))</f>
        <v/>
      </c>
      <c r="Q357" s="27" t="str">
        <f aca="false">IF(J357="","",MOD(P357,4))</f>
        <v/>
      </c>
      <c r="R357" s="27" t="str">
        <f aca="false">IF(J357="","",INT(P357/4))</f>
        <v/>
      </c>
      <c r="S357" s="27" t="str">
        <f aca="false">IF(J357="","",IF(AND('Daily Count Sheet'!$H$3=Q357,MOD('Daily Count Sheet'!$I$3,J357)=R357),1,""))</f>
        <v/>
      </c>
      <c r="T357" s="27" t="str">
        <f aca="false">IF(S357=1,COUNTIF($S$2:S357,1),"")</f>
        <v/>
      </c>
    </row>
    <row r="358" customFormat="false" ht="15" hidden="false" customHeight="false" outlineLevel="0" collapsed="false">
      <c r="H358" s="26"/>
      <c r="I358" s="27" t="str">
        <f aca="false">IF(A358="","",IF(H358&lt;&gt;"",UPPER(TRIM(H358)),IFERROR(CHOOSE(VALUE(E358)+1,"A","B","C","D"),IF(OR(LEFT(UPPER(TRIM(E358)),1)="F",UPPER(TRIM(E358))="A"),"A",IF(OR(LEFT(UPPER(TRIM(E358)),1)="M",UPPER(TRIM(E358))="B"),"B",IF(OR(LEFT(UPPER(TRIM(E358)),2)="SL",UPPER(TRIM(E358))="C"),"C",IF(OR(LEFT(UPPER(TRIM(E358)),1)="D",UPPER(TRIM(E358))="D"),"D","")))))))</f>
        <v/>
      </c>
      <c r="J358" s="27" t="str">
        <f aca="false">IF(I358="","",IF(AND(I358="D",Settings!$B$6&lt;&gt;"Yes"),"",IFERROR(INDEX(Settings!$C$9:$C$12,MATCH(I358,Settings!$A$9:$A$12,0)),"")))</f>
        <v/>
      </c>
      <c r="K358" s="27" t="str">
        <f aca="false">IF(J358="","",COUNTIF($I$2:I358,I358))</f>
        <v/>
      </c>
      <c r="L358" s="27" t="str">
        <f aca="false">IF(J358="","",CHOOSE(Q358+1,"Tue","Wed","Thu","Fri"))</f>
        <v/>
      </c>
      <c r="M358" s="27" t="str">
        <f aca="false">IF(J358="","",IF(J358=1,"Every week",R358+1&amp;" of "&amp;J358))</f>
        <v/>
      </c>
      <c r="N358" s="28" t="str">
        <f aca="false">IF(J358="","",Settings!$B$4+R358*7+Q358)</f>
        <v/>
      </c>
      <c r="O358" s="28" t="str">
        <f aca="true">IF(J358="","",N358+MAX(0,ROUNDUP((TODAY()-N358)/(J358*7),0))*J358*7)</f>
        <v/>
      </c>
      <c r="P358" s="27" t="str">
        <f aca="false">IF(J358="","",MOD(K358-1,J358*4))</f>
        <v/>
      </c>
      <c r="Q358" s="27" t="str">
        <f aca="false">IF(J358="","",MOD(P358,4))</f>
        <v/>
      </c>
      <c r="R358" s="27" t="str">
        <f aca="false">IF(J358="","",INT(P358/4))</f>
        <v/>
      </c>
      <c r="S358" s="27" t="str">
        <f aca="false">IF(J358="","",IF(AND('Daily Count Sheet'!$H$3=Q358,MOD('Daily Count Sheet'!$I$3,J358)=R358),1,""))</f>
        <v/>
      </c>
      <c r="T358" s="27" t="str">
        <f aca="false">IF(S358=1,COUNTIF($S$2:S358,1),"")</f>
        <v/>
      </c>
    </row>
    <row r="359" customFormat="false" ht="15" hidden="false" customHeight="false" outlineLevel="0" collapsed="false">
      <c r="H359" s="26"/>
      <c r="I359" s="27" t="str">
        <f aca="false">IF(A359="","",IF(H359&lt;&gt;"",UPPER(TRIM(H359)),IFERROR(CHOOSE(VALUE(E359)+1,"A","B","C","D"),IF(OR(LEFT(UPPER(TRIM(E359)),1)="F",UPPER(TRIM(E359))="A"),"A",IF(OR(LEFT(UPPER(TRIM(E359)),1)="M",UPPER(TRIM(E359))="B"),"B",IF(OR(LEFT(UPPER(TRIM(E359)),2)="SL",UPPER(TRIM(E359))="C"),"C",IF(OR(LEFT(UPPER(TRIM(E359)),1)="D",UPPER(TRIM(E359))="D"),"D","")))))))</f>
        <v/>
      </c>
      <c r="J359" s="27" t="str">
        <f aca="false">IF(I359="","",IF(AND(I359="D",Settings!$B$6&lt;&gt;"Yes"),"",IFERROR(INDEX(Settings!$C$9:$C$12,MATCH(I359,Settings!$A$9:$A$12,0)),"")))</f>
        <v/>
      </c>
      <c r="K359" s="27" t="str">
        <f aca="false">IF(J359="","",COUNTIF($I$2:I359,I359))</f>
        <v/>
      </c>
      <c r="L359" s="27" t="str">
        <f aca="false">IF(J359="","",CHOOSE(Q359+1,"Tue","Wed","Thu","Fri"))</f>
        <v/>
      </c>
      <c r="M359" s="27" t="str">
        <f aca="false">IF(J359="","",IF(J359=1,"Every week",R359+1&amp;" of "&amp;J359))</f>
        <v/>
      </c>
      <c r="N359" s="28" t="str">
        <f aca="false">IF(J359="","",Settings!$B$4+R359*7+Q359)</f>
        <v/>
      </c>
      <c r="O359" s="28" t="str">
        <f aca="true">IF(J359="","",N359+MAX(0,ROUNDUP((TODAY()-N359)/(J359*7),0))*J359*7)</f>
        <v/>
      </c>
      <c r="P359" s="27" t="str">
        <f aca="false">IF(J359="","",MOD(K359-1,J359*4))</f>
        <v/>
      </c>
      <c r="Q359" s="27" t="str">
        <f aca="false">IF(J359="","",MOD(P359,4))</f>
        <v/>
      </c>
      <c r="R359" s="27" t="str">
        <f aca="false">IF(J359="","",INT(P359/4))</f>
        <v/>
      </c>
      <c r="S359" s="27" t="str">
        <f aca="false">IF(J359="","",IF(AND('Daily Count Sheet'!$H$3=Q359,MOD('Daily Count Sheet'!$I$3,J359)=R359),1,""))</f>
        <v/>
      </c>
      <c r="T359" s="27" t="str">
        <f aca="false">IF(S359=1,COUNTIF($S$2:S359,1),"")</f>
        <v/>
      </c>
    </row>
    <row r="360" customFormat="false" ht="15" hidden="false" customHeight="false" outlineLevel="0" collapsed="false">
      <c r="H360" s="26"/>
      <c r="I360" s="27" t="str">
        <f aca="false">IF(A360="","",IF(H360&lt;&gt;"",UPPER(TRIM(H360)),IFERROR(CHOOSE(VALUE(E360)+1,"A","B","C","D"),IF(OR(LEFT(UPPER(TRIM(E360)),1)="F",UPPER(TRIM(E360))="A"),"A",IF(OR(LEFT(UPPER(TRIM(E360)),1)="M",UPPER(TRIM(E360))="B"),"B",IF(OR(LEFT(UPPER(TRIM(E360)),2)="SL",UPPER(TRIM(E360))="C"),"C",IF(OR(LEFT(UPPER(TRIM(E360)),1)="D",UPPER(TRIM(E360))="D"),"D","")))))))</f>
        <v/>
      </c>
      <c r="J360" s="27" t="str">
        <f aca="false">IF(I360="","",IF(AND(I360="D",Settings!$B$6&lt;&gt;"Yes"),"",IFERROR(INDEX(Settings!$C$9:$C$12,MATCH(I360,Settings!$A$9:$A$12,0)),"")))</f>
        <v/>
      </c>
      <c r="K360" s="27" t="str">
        <f aca="false">IF(J360="","",COUNTIF($I$2:I360,I360))</f>
        <v/>
      </c>
      <c r="L360" s="27" t="str">
        <f aca="false">IF(J360="","",CHOOSE(Q360+1,"Tue","Wed","Thu","Fri"))</f>
        <v/>
      </c>
      <c r="M360" s="27" t="str">
        <f aca="false">IF(J360="","",IF(J360=1,"Every week",R360+1&amp;" of "&amp;J360))</f>
        <v/>
      </c>
      <c r="N360" s="28" t="str">
        <f aca="false">IF(J360="","",Settings!$B$4+R360*7+Q360)</f>
        <v/>
      </c>
      <c r="O360" s="28" t="str">
        <f aca="true">IF(J360="","",N360+MAX(0,ROUNDUP((TODAY()-N360)/(J360*7),0))*J360*7)</f>
        <v/>
      </c>
      <c r="P360" s="27" t="str">
        <f aca="false">IF(J360="","",MOD(K360-1,J360*4))</f>
        <v/>
      </c>
      <c r="Q360" s="27" t="str">
        <f aca="false">IF(J360="","",MOD(P360,4))</f>
        <v/>
      </c>
      <c r="R360" s="27" t="str">
        <f aca="false">IF(J360="","",INT(P360/4))</f>
        <v/>
      </c>
      <c r="S360" s="27" t="str">
        <f aca="false">IF(J360="","",IF(AND('Daily Count Sheet'!$H$3=Q360,MOD('Daily Count Sheet'!$I$3,J360)=R360),1,""))</f>
        <v/>
      </c>
      <c r="T360" s="27" t="str">
        <f aca="false">IF(S360=1,COUNTIF($S$2:S360,1),"")</f>
        <v/>
      </c>
    </row>
    <row r="361" customFormat="false" ht="15" hidden="false" customHeight="false" outlineLevel="0" collapsed="false">
      <c r="H361" s="26"/>
      <c r="I361" s="27" t="str">
        <f aca="false">IF(A361="","",IF(H361&lt;&gt;"",UPPER(TRIM(H361)),IFERROR(CHOOSE(VALUE(E361)+1,"A","B","C","D"),IF(OR(LEFT(UPPER(TRIM(E361)),1)="F",UPPER(TRIM(E361))="A"),"A",IF(OR(LEFT(UPPER(TRIM(E361)),1)="M",UPPER(TRIM(E361))="B"),"B",IF(OR(LEFT(UPPER(TRIM(E361)),2)="SL",UPPER(TRIM(E361))="C"),"C",IF(OR(LEFT(UPPER(TRIM(E361)),1)="D",UPPER(TRIM(E361))="D"),"D","")))))))</f>
        <v/>
      </c>
      <c r="J361" s="27" t="str">
        <f aca="false">IF(I361="","",IF(AND(I361="D",Settings!$B$6&lt;&gt;"Yes"),"",IFERROR(INDEX(Settings!$C$9:$C$12,MATCH(I361,Settings!$A$9:$A$12,0)),"")))</f>
        <v/>
      </c>
      <c r="K361" s="27" t="str">
        <f aca="false">IF(J361="","",COUNTIF($I$2:I361,I361))</f>
        <v/>
      </c>
      <c r="L361" s="27" t="str">
        <f aca="false">IF(J361="","",CHOOSE(Q361+1,"Tue","Wed","Thu","Fri"))</f>
        <v/>
      </c>
      <c r="M361" s="27" t="str">
        <f aca="false">IF(J361="","",IF(J361=1,"Every week",R361+1&amp;" of "&amp;J361))</f>
        <v/>
      </c>
      <c r="N361" s="28" t="str">
        <f aca="false">IF(J361="","",Settings!$B$4+R361*7+Q361)</f>
        <v/>
      </c>
      <c r="O361" s="28" t="str">
        <f aca="true">IF(J361="","",N361+MAX(0,ROUNDUP((TODAY()-N361)/(J361*7),0))*J361*7)</f>
        <v/>
      </c>
      <c r="P361" s="27" t="str">
        <f aca="false">IF(J361="","",MOD(K361-1,J361*4))</f>
        <v/>
      </c>
      <c r="Q361" s="27" t="str">
        <f aca="false">IF(J361="","",MOD(P361,4))</f>
        <v/>
      </c>
      <c r="R361" s="27" t="str">
        <f aca="false">IF(J361="","",INT(P361/4))</f>
        <v/>
      </c>
      <c r="S361" s="27" t="str">
        <f aca="false">IF(J361="","",IF(AND('Daily Count Sheet'!$H$3=Q361,MOD('Daily Count Sheet'!$I$3,J361)=R361),1,""))</f>
        <v/>
      </c>
      <c r="T361" s="27" t="str">
        <f aca="false">IF(S361=1,COUNTIF($S$2:S361,1),"")</f>
        <v/>
      </c>
    </row>
    <row r="362" customFormat="false" ht="15" hidden="false" customHeight="false" outlineLevel="0" collapsed="false">
      <c r="H362" s="26"/>
      <c r="I362" s="27" t="str">
        <f aca="false">IF(A362="","",IF(H362&lt;&gt;"",UPPER(TRIM(H362)),IFERROR(CHOOSE(VALUE(E362)+1,"A","B","C","D"),IF(OR(LEFT(UPPER(TRIM(E362)),1)="F",UPPER(TRIM(E362))="A"),"A",IF(OR(LEFT(UPPER(TRIM(E362)),1)="M",UPPER(TRIM(E362))="B"),"B",IF(OR(LEFT(UPPER(TRIM(E362)),2)="SL",UPPER(TRIM(E362))="C"),"C",IF(OR(LEFT(UPPER(TRIM(E362)),1)="D",UPPER(TRIM(E362))="D"),"D","")))))))</f>
        <v/>
      </c>
      <c r="J362" s="27" t="str">
        <f aca="false">IF(I362="","",IF(AND(I362="D",Settings!$B$6&lt;&gt;"Yes"),"",IFERROR(INDEX(Settings!$C$9:$C$12,MATCH(I362,Settings!$A$9:$A$12,0)),"")))</f>
        <v/>
      </c>
      <c r="K362" s="27" t="str">
        <f aca="false">IF(J362="","",COUNTIF($I$2:I362,I362))</f>
        <v/>
      </c>
      <c r="L362" s="27" t="str">
        <f aca="false">IF(J362="","",CHOOSE(Q362+1,"Tue","Wed","Thu","Fri"))</f>
        <v/>
      </c>
      <c r="M362" s="27" t="str">
        <f aca="false">IF(J362="","",IF(J362=1,"Every week",R362+1&amp;" of "&amp;J362))</f>
        <v/>
      </c>
      <c r="N362" s="28" t="str">
        <f aca="false">IF(J362="","",Settings!$B$4+R362*7+Q362)</f>
        <v/>
      </c>
      <c r="O362" s="28" t="str">
        <f aca="true">IF(J362="","",N362+MAX(0,ROUNDUP((TODAY()-N362)/(J362*7),0))*J362*7)</f>
        <v/>
      </c>
      <c r="P362" s="27" t="str">
        <f aca="false">IF(J362="","",MOD(K362-1,J362*4))</f>
        <v/>
      </c>
      <c r="Q362" s="27" t="str">
        <f aca="false">IF(J362="","",MOD(P362,4))</f>
        <v/>
      </c>
      <c r="R362" s="27" t="str">
        <f aca="false">IF(J362="","",INT(P362/4))</f>
        <v/>
      </c>
      <c r="S362" s="27" t="str">
        <f aca="false">IF(J362="","",IF(AND('Daily Count Sheet'!$H$3=Q362,MOD('Daily Count Sheet'!$I$3,J362)=R362),1,""))</f>
        <v/>
      </c>
      <c r="T362" s="27" t="str">
        <f aca="false">IF(S362=1,COUNTIF($S$2:S362,1),"")</f>
        <v/>
      </c>
    </row>
    <row r="363" customFormat="false" ht="15" hidden="false" customHeight="false" outlineLevel="0" collapsed="false">
      <c r="H363" s="26"/>
      <c r="I363" s="27" t="str">
        <f aca="false">IF(A363="","",IF(H363&lt;&gt;"",UPPER(TRIM(H363)),IFERROR(CHOOSE(VALUE(E363)+1,"A","B","C","D"),IF(OR(LEFT(UPPER(TRIM(E363)),1)="F",UPPER(TRIM(E363))="A"),"A",IF(OR(LEFT(UPPER(TRIM(E363)),1)="M",UPPER(TRIM(E363))="B"),"B",IF(OR(LEFT(UPPER(TRIM(E363)),2)="SL",UPPER(TRIM(E363))="C"),"C",IF(OR(LEFT(UPPER(TRIM(E363)),1)="D",UPPER(TRIM(E363))="D"),"D","")))))))</f>
        <v/>
      </c>
      <c r="J363" s="27" t="str">
        <f aca="false">IF(I363="","",IF(AND(I363="D",Settings!$B$6&lt;&gt;"Yes"),"",IFERROR(INDEX(Settings!$C$9:$C$12,MATCH(I363,Settings!$A$9:$A$12,0)),"")))</f>
        <v/>
      </c>
      <c r="K363" s="27" t="str">
        <f aca="false">IF(J363="","",COUNTIF($I$2:I363,I363))</f>
        <v/>
      </c>
      <c r="L363" s="27" t="str">
        <f aca="false">IF(J363="","",CHOOSE(Q363+1,"Tue","Wed","Thu","Fri"))</f>
        <v/>
      </c>
      <c r="M363" s="27" t="str">
        <f aca="false">IF(J363="","",IF(J363=1,"Every week",R363+1&amp;" of "&amp;J363))</f>
        <v/>
      </c>
      <c r="N363" s="28" t="str">
        <f aca="false">IF(J363="","",Settings!$B$4+R363*7+Q363)</f>
        <v/>
      </c>
      <c r="O363" s="28" t="str">
        <f aca="true">IF(J363="","",N363+MAX(0,ROUNDUP((TODAY()-N363)/(J363*7),0))*J363*7)</f>
        <v/>
      </c>
      <c r="P363" s="27" t="str">
        <f aca="false">IF(J363="","",MOD(K363-1,J363*4))</f>
        <v/>
      </c>
      <c r="Q363" s="27" t="str">
        <f aca="false">IF(J363="","",MOD(P363,4))</f>
        <v/>
      </c>
      <c r="R363" s="27" t="str">
        <f aca="false">IF(J363="","",INT(P363/4))</f>
        <v/>
      </c>
      <c r="S363" s="27" t="str">
        <f aca="false">IF(J363="","",IF(AND('Daily Count Sheet'!$H$3=Q363,MOD('Daily Count Sheet'!$I$3,J363)=R363),1,""))</f>
        <v/>
      </c>
      <c r="T363" s="27" t="str">
        <f aca="false">IF(S363=1,COUNTIF($S$2:S363,1),"")</f>
        <v/>
      </c>
    </row>
    <row r="364" customFormat="false" ht="15" hidden="false" customHeight="false" outlineLevel="0" collapsed="false">
      <c r="H364" s="26"/>
      <c r="I364" s="27" t="str">
        <f aca="false">IF(A364="","",IF(H364&lt;&gt;"",UPPER(TRIM(H364)),IFERROR(CHOOSE(VALUE(E364)+1,"A","B","C","D"),IF(OR(LEFT(UPPER(TRIM(E364)),1)="F",UPPER(TRIM(E364))="A"),"A",IF(OR(LEFT(UPPER(TRIM(E364)),1)="M",UPPER(TRIM(E364))="B"),"B",IF(OR(LEFT(UPPER(TRIM(E364)),2)="SL",UPPER(TRIM(E364))="C"),"C",IF(OR(LEFT(UPPER(TRIM(E364)),1)="D",UPPER(TRIM(E364))="D"),"D","")))))))</f>
        <v/>
      </c>
      <c r="J364" s="27" t="str">
        <f aca="false">IF(I364="","",IF(AND(I364="D",Settings!$B$6&lt;&gt;"Yes"),"",IFERROR(INDEX(Settings!$C$9:$C$12,MATCH(I364,Settings!$A$9:$A$12,0)),"")))</f>
        <v/>
      </c>
      <c r="K364" s="27" t="str">
        <f aca="false">IF(J364="","",COUNTIF($I$2:I364,I364))</f>
        <v/>
      </c>
      <c r="L364" s="27" t="str">
        <f aca="false">IF(J364="","",CHOOSE(Q364+1,"Tue","Wed","Thu","Fri"))</f>
        <v/>
      </c>
      <c r="M364" s="27" t="str">
        <f aca="false">IF(J364="","",IF(J364=1,"Every week",R364+1&amp;" of "&amp;J364))</f>
        <v/>
      </c>
      <c r="N364" s="28" t="str">
        <f aca="false">IF(J364="","",Settings!$B$4+R364*7+Q364)</f>
        <v/>
      </c>
      <c r="O364" s="28" t="str">
        <f aca="true">IF(J364="","",N364+MAX(0,ROUNDUP((TODAY()-N364)/(J364*7),0))*J364*7)</f>
        <v/>
      </c>
      <c r="P364" s="27" t="str">
        <f aca="false">IF(J364="","",MOD(K364-1,J364*4))</f>
        <v/>
      </c>
      <c r="Q364" s="27" t="str">
        <f aca="false">IF(J364="","",MOD(P364,4))</f>
        <v/>
      </c>
      <c r="R364" s="27" t="str">
        <f aca="false">IF(J364="","",INT(P364/4))</f>
        <v/>
      </c>
      <c r="S364" s="27" t="str">
        <f aca="false">IF(J364="","",IF(AND('Daily Count Sheet'!$H$3=Q364,MOD('Daily Count Sheet'!$I$3,J364)=R364),1,""))</f>
        <v/>
      </c>
      <c r="T364" s="27" t="str">
        <f aca="false">IF(S364=1,COUNTIF($S$2:S364,1),"")</f>
        <v/>
      </c>
    </row>
    <row r="365" customFormat="false" ht="15" hidden="false" customHeight="false" outlineLevel="0" collapsed="false">
      <c r="H365" s="26"/>
      <c r="I365" s="27" t="str">
        <f aca="false">IF(A365="","",IF(H365&lt;&gt;"",UPPER(TRIM(H365)),IFERROR(CHOOSE(VALUE(E365)+1,"A","B","C","D"),IF(OR(LEFT(UPPER(TRIM(E365)),1)="F",UPPER(TRIM(E365))="A"),"A",IF(OR(LEFT(UPPER(TRIM(E365)),1)="M",UPPER(TRIM(E365))="B"),"B",IF(OR(LEFT(UPPER(TRIM(E365)),2)="SL",UPPER(TRIM(E365))="C"),"C",IF(OR(LEFT(UPPER(TRIM(E365)),1)="D",UPPER(TRIM(E365))="D"),"D","")))))))</f>
        <v/>
      </c>
      <c r="J365" s="27" t="str">
        <f aca="false">IF(I365="","",IF(AND(I365="D",Settings!$B$6&lt;&gt;"Yes"),"",IFERROR(INDEX(Settings!$C$9:$C$12,MATCH(I365,Settings!$A$9:$A$12,0)),"")))</f>
        <v/>
      </c>
      <c r="K365" s="27" t="str">
        <f aca="false">IF(J365="","",COUNTIF($I$2:I365,I365))</f>
        <v/>
      </c>
      <c r="L365" s="27" t="str">
        <f aca="false">IF(J365="","",CHOOSE(Q365+1,"Tue","Wed","Thu","Fri"))</f>
        <v/>
      </c>
      <c r="M365" s="27" t="str">
        <f aca="false">IF(J365="","",IF(J365=1,"Every week",R365+1&amp;" of "&amp;J365))</f>
        <v/>
      </c>
      <c r="N365" s="28" t="str">
        <f aca="false">IF(J365="","",Settings!$B$4+R365*7+Q365)</f>
        <v/>
      </c>
      <c r="O365" s="28" t="str">
        <f aca="true">IF(J365="","",N365+MAX(0,ROUNDUP((TODAY()-N365)/(J365*7),0))*J365*7)</f>
        <v/>
      </c>
      <c r="P365" s="27" t="str">
        <f aca="false">IF(J365="","",MOD(K365-1,J365*4))</f>
        <v/>
      </c>
      <c r="Q365" s="27" t="str">
        <f aca="false">IF(J365="","",MOD(P365,4))</f>
        <v/>
      </c>
      <c r="R365" s="27" t="str">
        <f aca="false">IF(J365="","",INT(P365/4))</f>
        <v/>
      </c>
      <c r="S365" s="27" t="str">
        <f aca="false">IF(J365="","",IF(AND('Daily Count Sheet'!$H$3=Q365,MOD('Daily Count Sheet'!$I$3,J365)=R365),1,""))</f>
        <v/>
      </c>
      <c r="T365" s="27" t="str">
        <f aca="false">IF(S365=1,COUNTIF($S$2:S365,1),"")</f>
        <v/>
      </c>
    </row>
    <row r="366" customFormat="false" ht="15" hidden="false" customHeight="false" outlineLevel="0" collapsed="false">
      <c r="H366" s="26"/>
      <c r="I366" s="27" t="str">
        <f aca="false">IF(A366="","",IF(H366&lt;&gt;"",UPPER(TRIM(H366)),IFERROR(CHOOSE(VALUE(E366)+1,"A","B","C","D"),IF(OR(LEFT(UPPER(TRIM(E366)),1)="F",UPPER(TRIM(E366))="A"),"A",IF(OR(LEFT(UPPER(TRIM(E366)),1)="M",UPPER(TRIM(E366))="B"),"B",IF(OR(LEFT(UPPER(TRIM(E366)),2)="SL",UPPER(TRIM(E366))="C"),"C",IF(OR(LEFT(UPPER(TRIM(E366)),1)="D",UPPER(TRIM(E366))="D"),"D","")))))))</f>
        <v/>
      </c>
      <c r="J366" s="27" t="str">
        <f aca="false">IF(I366="","",IF(AND(I366="D",Settings!$B$6&lt;&gt;"Yes"),"",IFERROR(INDEX(Settings!$C$9:$C$12,MATCH(I366,Settings!$A$9:$A$12,0)),"")))</f>
        <v/>
      </c>
      <c r="K366" s="27" t="str">
        <f aca="false">IF(J366="","",COUNTIF($I$2:I366,I366))</f>
        <v/>
      </c>
      <c r="L366" s="27" t="str">
        <f aca="false">IF(J366="","",CHOOSE(Q366+1,"Tue","Wed","Thu","Fri"))</f>
        <v/>
      </c>
      <c r="M366" s="27" t="str">
        <f aca="false">IF(J366="","",IF(J366=1,"Every week",R366+1&amp;" of "&amp;J366))</f>
        <v/>
      </c>
      <c r="N366" s="28" t="str">
        <f aca="false">IF(J366="","",Settings!$B$4+R366*7+Q366)</f>
        <v/>
      </c>
      <c r="O366" s="28" t="str">
        <f aca="true">IF(J366="","",N366+MAX(0,ROUNDUP((TODAY()-N366)/(J366*7),0))*J366*7)</f>
        <v/>
      </c>
      <c r="P366" s="27" t="str">
        <f aca="false">IF(J366="","",MOD(K366-1,J366*4))</f>
        <v/>
      </c>
      <c r="Q366" s="27" t="str">
        <f aca="false">IF(J366="","",MOD(P366,4))</f>
        <v/>
      </c>
      <c r="R366" s="27" t="str">
        <f aca="false">IF(J366="","",INT(P366/4))</f>
        <v/>
      </c>
      <c r="S366" s="27" t="str">
        <f aca="false">IF(J366="","",IF(AND('Daily Count Sheet'!$H$3=Q366,MOD('Daily Count Sheet'!$I$3,J366)=R366),1,""))</f>
        <v/>
      </c>
      <c r="T366" s="27" t="str">
        <f aca="false">IF(S366=1,COUNTIF($S$2:S366,1),"")</f>
        <v/>
      </c>
    </row>
    <row r="367" customFormat="false" ht="15" hidden="false" customHeight="false" outlineLevel="0" collapsed="false">
      <c r="H367" s="26"/>
      <c r="I367" s="27" t="str">
        <f aca="false">IF(A367="","",IF(H367&lt;&gt;"",UPPER(TRIM(H367)),IFERROR(CHOOSE(VALUE(E367)+1,"A","B","C","D"),IF(OR(LEFT(UPPER(TRIM(E367)),1)="F",UPPER(TRIM(E367))="A"),"A",IF(OR(LEFT(UPPER(TRIM(E367)),1)="M",UPPER(TRIM(E367))="B"),"B",IF(OR(LEFT(UPPER(TRIM(E367)),2)="SL",UPPER(TRIM(E367))="C"),"C",IF(OR(LEFT(UPPER(TRIM(E367)),1)="D",UPPER(TRIM(E367))="D"),"D","")))))))</f>
        <v/>
      </c>
      <c r="J367" s="27" t="str">
        <f aca="false">IF(I367="","",IF(AND(I367="D",Settings!$B$6&lt;&gt;"Yes"),"",IFERROR(INDEX(Settings!$C$9:$C$12,MATCH(I367,Settings!$A$9:$A$12,0)),"")))</f>
        <v/>
      </c>
      <c r="K367" s="27" t="str">
        <f aca="false">IF(J367="","",COUNTIF($I$2:I367,I367))</f>
        <v/>
      </c>
      <c r="L367" s="27" t="str">
        <f aca="false">IF(J367="","",CHOOSE(Q367+1,"Tue","Wed","Thu","Fri"))</f>
        <v/>
      </c>
      <c r="M367" s="27" t="str">
        <f aca="false">IF(J367="","",IF(J367=1,"Every week",R367+1&amp;" of "&amp;J367))</f>
        <v/>
      </c>
      <c r="N367" s="28" t="str">
        <f aca="false">IF(J367="","",Settings!$B$4+R367*7+Q367)</f>
        <v/>
      </c>
      <c r="O367" s="28" t="str">
        <f aca="true">IF(J367="","",N367+MAX(0,ROUNDUP((TODAY()-N367)/(J367*7),0))*J367*7)</f>
        <v/>
      </c>
      <c r="P367" s="27" t="str">
        <f aca="false">IF(J367="","",MOD(K367-1,J367*4))</f>
        <v/>
      </c>
      <c r="Q367" s="27" t="str">
        <f aca="false">IF(J367="","",MOD(P367,4))</f>
        <v/>
      </c>
      <c r="R367" s="27" t="str">
        <f aca="false">IF(J367="","",INT(P367/4))</f>
        <v/>
      </c>
      <c r="S367" s="27" t="str">
        <f aca="false">IF(J367="","",IF(AND('Daily Count Sheet'!$H$3=Q367,MOD('Daily Count Sheet'!$I$3,J367)=R367),1,""))</f>
        <v/>
      </c>
      <c r="T367" s="27" t="str">
        <f aca="false">IF(S367=1,COUNTIF($S$2:S367,1),"")</f>
        <v/>
      </c>
    </row>
    <row r="368" customFormat="false" ht="15" hidden="false" customHeight="false" outlineLevel="0" collapsed="false">
      <c r="H368" s="26"/>
      <c r="I368" s="27" t="str">
        <f aca="false">IF(A368="","",IF(H368&lt;&gt;"",UPPER(TRIM(H368)),IFERROR(CHOOSE(VALUE(E368)+1,"A","B","C","D"),IF(OR(LEFT(UPPER(TRIM(E368)),1)="F",UPPER(TRIM(E368))="A"),"A",IF(OR(LEFT(UPPER(TRIM(E368)),1)="M",UPPER(TRIM(E368))="B"),"B",IF(OR(LEFT(UPPER(TRIM(E368)),2)="SL",UPPER(TRIM(E368))="C"),"C",IF(OR(LEFT(UPPER(TRIM(E368)),1)="D",UPPER(TRIM(E368))="D"),"D","")))))))</f>
        <v/>
      </c>
      <c r="J368" s="27" t="str">
        <f aca="false">IF(I368="","",IF(AND(I368="D",Settings!$B$6&lt;&gt;"Yes"),"",IFERROR(INDEX(Settings!$C$9:$C$12,MATCH(I368,Settings!$A$9:$A$12,0)),"")))</f>
        <v/>
      </c>
      <c r="K368" s="27" t="str">
        <f aca="false">IF(J368="","",COUNTIF($I$2:I368,I368))</f>
        <v/>
      </c>
      <c r="L368" s="27" t="str">
        <f aca="false">IF(J368="","",CHOOSE(Q368+1,"Tue","Wed","Thu","Fri"))</f>
        <v/>
      </c>
      <c r="M368" s="27" t="str">
        <f aca="false">IF(J368="","",IF(J368=1,"Every week",R368+1&amp;" of "&amp;J368))</f>
        <v/>
      </c>
      <c r="N368" s="28" t="str">
        <f aca="false">IF(J368="","",Settings!$B$4+R368*7+Q368)</f>
        <v/>
      </c>
      <c r="O368" s="28" t="str">
        <f aca="true">IF(J368="","",N368+MAX(0,ROUNDUP((TODAY()-N368)/(J368*7),0))*J368*7)</f>
        <v/>
      </c>
      <c r="P368" s="27" t="str">
        <f aca="false">IF(J368="","",MOD(K368-1,J368*4))</f>
        <v/>
      </c>
      <c r="Q368" s="27" t="str">
        <f aca="false">IF(J368="","",MOD(P368,4))</f>
        <v/>
      </c>
      <c r="R368" s="27" t="str">
        <f aca="false">IF(J368="","",INT(P368/4))</f>
        <v/>
      </c>
      <c r="S368" s="27" t="str">
        <f aca="false">IF(J368="","",IF(AND('Daily Count Sheet'!$H$3=Q368,MOD('Daily Count Sheet'!$I$3,J368)=R368),1,""))</f>
        <v/>
      </c>
      <c r="T368" s="27" t="str">
        <f aca="false">IF(S368=1,COUNTIF($S$2:S368,1),"")</f>
        <v/>
      </c>
    </row>
    <row r="369" customFormat="false" ht="15" hidden="false" customHeight="false" outlineLevel="0" collapsed="false">
      <c r="H369" s="26"/>
      <c r="I369" s="27" t="str">
        <f aca="false">IF(A369="","",IF(H369&lt;&gt;"",UPPER(TRIM(H369)),IFERROR(CHOOSE(VALUE(E369)+1,"A","B","C","D"),IF(OR(LEFT(UPPER(TRIM(E369)),1)="F",UPPER(TRIM(E369))="A"),"A",IF(OR(LEFT(UPPER(TRIM(E369)),1)="M",UPPER(TRIM(E369))="B"),"B",IF(OR(LEFT(UPPER(TRIM(E369)),2)="SL",UPPER(TRIM(E369))="C"),"C",IF(OR(LEFT(UPPER(TRIM(E369)),1)="D",UPPER(TRIM(E369))="D"),"D","")))))))</f>
        <v/>
      </c>
      <c r="J369" s="27" t="str">
        <f aca="false">IF(I369="","",IF(AND(I369="D",Settings!$B$6&lt;&gt;"Yes"),"",IFERROR(INDEX(Settings!$C$9:$C$12,MATCH(I369,Settings!$A$9:$A$12,0)),"")))</f>
        <v/>
      </c>
      <c r="K369" s="27" t="str">
        <f aca="false">IF(J369="","",COUNTIF($I$2:I369,I369))</f>
        <v/>
      </c>
      <c r="L369" s="27" t="str">
        <f aca="false">IF(J369="","",CHOOSE(Q369+1,"Tue","Wed","Thu","Fri"))</f>
        <v/>
      </c>
      <c r="M369" s="27" t="str">
        <f aca="false">IF(J369="","",IF(J369=1,"Every week",R369+1&amp;" of "&amp;J369))</f>
        <v/>
      </c>
      <c r="N369" s="28" t="str">
        <f aca="false">IF(J369="","",Settings!$B$4+R369*7+Q369)</f>
        <v/>
      </c>
      <c r="O369" s="28" t="str">
        <f aca="true">IF(J369="","",N369+MAX(0,ROUNDUP((TODAY()-N369)/(J369*7),0))*J369*7)</f>
        <v/>
      </c>
      <c r="P369" s="27" t="str">
        <f aca="false">IF(J369="","",MOD(K369-1,J369*4))</f>
        <v/>
      </c>
      <c r="Q369" s="27" t="str">
        <f aca="false">IF(J369="","",MOD(P369,4))</f>
        <v/>
      </c>
      <c r="R369" s="27" t="str">
        <f aca="false">IF(J369="","",INT(P369/4))</f>
        <v/>
      </c>
      <c r="S369" s="27" t="str">
        <f aca="false">IF(J369="","",IF(AND('Daily Count Sheet'!$H$3=Q369,MOD('Daily Count Sheet'!$I$3,J369)=R369),1,""))</f>
        <v/>
      </c>
      <c r="T369" s="27" t="str">
        <f aca="false">IF(S369=1,COUNTIF($S$2:S369,1),"")</f>
        <v/>
      </c>
    </row>
    <row r="370" customFormat="false" ht="15" hidden="false" customHeight="false" outlineLevel="0" collapsed="false">
      <c r="H370" s="26"/>
      <c r="I370" s="27" t="str">
        <f aca="false">IF(A370="","",IF(H370&lt;&gt;"",UPPER(TRIM(H370)),IFERROR(CHOOSE(VALUE(E370)+1,"A","B","C","D"),IF(OR(LEFT(UPPER(TRIM(E370)),1)="F",UPPER(TRIM(E370))="A"),"A",IF(OR(LEFT(UPPER(TRIM(E370)),1)="M",UPPER(TRIM(E370))="B"),"B",IF(OR(LEFT(UPPER(TRIM(E370)),2)="SL",UPPER(TRIM(E370))="C"),"C",IF(OR(LEFT(UPPER(TRIM(E370)),1)="D",UPPER(TRIM(E370))="D"),"D","")))))))</f>
        <v/>
      </c>
      <c r="J370" s="27" t="str">
        <f aca="false">IF(I370="","",IF(AND(I370="D",Settings!$B$6&lt;&gt;"Yes"),"",IFERROR(INDEX(Settings!$C$9:$C$12,MATCH(I370,Settings!$A$9:$A$12,0)),"")))</f>
        <v/>
      </c>
      <c r="K370" s="27" t="str">
        <f aca="false">IF(J370="","",COUNTIF($I$2:I370,I370))</f>
        <v/>
      </c>
      <c r="L370" s="27" t="str">
        <f aca="false">IF(J370="","",CHOOSE(Q370+1,"Tue","Wed","Thu","Fri"))</f>
        <v/>
      </c>
      <c r="M370" s="27" t="str">
        <f aca="false">IF(J370="","",IF(J370=1,"Every week",R370+1&amp;" of "&amp;J370))</f>
        <v/>
      </c>
      <c r="N370" s="28" t="str">
        <f aca="false">IF(J370="","",Settings!$B$4+R370*7+Q370)</f>
        <v/>
      </c>
      <c r="O370" s="28" t="str">
        <f aca="true">IF(J370="","",N370+MAX(0,ROUNDUP((TODAY()-N370)/(J370*7),0))*J370*7)</f>
        <v/>
      </c>
      <c r="P370" s="27" t="str">
        <f aca="false">IF(J370="","",MOD(K370-1,J370*4))</f>
        <v/>
      </c>
      <c r="Q370" s="27" t="str">
        <f aca="false">IF(J370="","",MOD(P370,4))</f>
        <v/>
      </c>
      <c r="R370" s="27" t="str">
        <f aca="false">IF(J370="","",INT(P370/4))</f>
        <v/>
      </c>
      <c r="S370" s="27" t="str">
        <f aca="false">IF(J370="","",IF(AND('Daily Count Sheet'!$H$3=Q370,MOD('Daily Count Sheet'!$I$3,J370)=R370),1,""))</f>
        <v/>
      </c>
      <c r="T370" s="27" t="str">
        <f aca="false">IF(S370=1,COUNTIF($S$2:S370,1),"")</f>
        <v/>
      </c>
    </row>
    <row r="371" customFormat="false" ht="15" hidden="false" customHeight="false" outlineLevel="0" collapsed="false">
      <c r="H371" s="26"/>
      <c r="I371" s="27" t="str">
        <f aca="false">IF(A371="","",IF(H371&lt;&gt;"",UPPER(TRIM(H371)),IFERROR(CHOOSE(VALUE(E371)+1,"A","B","C","D"),IF(OR(LEFT(UPPER(TRIM(E371)),1)="F",UPPER(TRIM(E371))="A"),"A",IF(OR(LEFT(UPPER(TRIM(E371)),1)="M",UPPER(TRIM(E371))="B"),"B",IF(OR(LEFT(UPPER(TRIM(E371)),2)="SL",UPPER(TRIM(E371))="C"),"C",IF(OR(LEFT(UPPER(TRIM(E371)),1)="D",UPPER(TRIM(E371))="D"),"D","")))))))</f>
        <v/>
      </c>
      <c r="J371" s="27" t="str">
        <f aca="false">IF(I371="","",IF(AND(I371="D",Settings!$B$6&lt;&gt;"Yes"),"",IFERROR(INDEX(Settings!$C$9:$C$12,MATCH(I371,Settings!$A$9:$A$12,0)),"")))</f>
        <v/>
      </c>
      <c r="K371" s="27" t="str">
        <f aca="false">IF(J371="","",COUNTIF($I$2:I371,I371))</f>
        <v/>
      </c>
      <c r="L371" s="27" t="str">
        <f aca="false">IF(J371="","",CHOOSE(Q371+1,"Tue","Wed","Thu","Fri"))</f>
        <v/>
      </c>
      <c r="M371" s="27" t="str">
        <f aca="false">IF(J371="","",IF(J371=1,"Every week",R371+1&amp;" of "&amp;J371))</f>
        <v/>
      </c>
      <c r="N371" s="28" t="str">
        <f aca="false">IF(J371="","",Settings!$B$4+R371*7+Q371)</f>
        <v/>
      </c>
      <c r="O371" s="28" t="str">
        <f aca="true">IF(J371="","",N371+MAX(0,ROUNDUP((TODAY()-N371)/(J371*7),0))*J371*7)</f>
        <v/>
      </c>
      <c r="P371" s="27" t="str">
        <f aca="false">IF(J371="","",MOD(K371-1,J371*4))</f>
        <v/>
      </c>
      <c r="Q371" s="27" t="str">
        <f aca="false">IF(J371="","",MOD(P371,4))</f>
        <v/>
      </c>
      <c r="R371" s="27" t="str">
        <f aca="false">IF(J371="","",INT(P371/4))</f>
        <v/>
      </c>
      <c r="S371" s="27" t="str">
        <f aca="false">IF(J371="","",IF(AND('Daily Count Sheet'!$H$3=Q371,MOD('Daily Count Sheet'!$I$3,J371)=R371),1,""))</f>
        <v/>
      </c>
      <c r="T371" s="27" t="str">
        <f aca="false">IF(S371=1,COUNTIF($S$2:S371,1),"")</f>
        <v/>
      </c>
    </row>
    <row r="372" customFormat="false" ht="15" hidden="false" customHeight="false" outlineLevel="0" collapsed="false">
      <c r="H372" s="26"/>
      <c r="I372" s="27" t="str">
        <f aca="false">IF(A372="","",IF(H372&lt;&gt;"",UPPER(TRIM(H372)),IFERROR(CHOOSE(VALUE(E372)+1,"A","B","C","D"),IF(OR(LEFT(UPPER(TRIM(E372)),1)="F",UPPER(TRIM(E372))="A"),"A",IF(OR(LEFT(UPPER(TRIM(E372)),1)="M",UPPER(TRIM(E372))="B"),"B",IF(OR(LEFT(UPPER(TRIM(E372)),2)="SL",UPPER(TRIM(E372))="C"),"C",IF(OR(LEFT(UPPER(TRIM(E372)),1)="D",UPPER(TRIM(E372))="D"),"D","")))))))</f>
        <v/>
      </c>
      <c r="J372" s="27" t="str">
        <f aca="false">IF(I372="","",IF(AND(I372="D",Settings!$B$6&lt;&gt;"Yes"),"",IFERROR(INDEX(Settings!$C$9:$C$12,MATCH(I372,Settings!$A$9:$A$12,0)),"")))</f>
        <v/>
      </c>
      <c r="K372" s="27" t="str">
        <f aca="false">IF(J372="","",COUNTIF($I$2:I372,I372))</f>
        <v/>
      </c>
      <c r="L372" s="27" t="str">
        <f aca="false">IF(J372="","",CHOOSE(Q372+1,"Tue","Wed","Thu","Fri"))</f>
        <v/>
      </c>
      <c r="M372" s="27" t="str">
        <f aca="false">IF(J372="","",IF(J372=1,"Every week",R372+1&amp;" of "&amp;J372))</f>
        <v/>
      </c>
      <c r="N372" s="28" t="str">
        <f aca="false">IF(J372="","",Settings!$B$4+R372*7+Q372)</f>
        <v/>
      </c>
      <c r="O372" s="28" t="str">
        <f aca="true">IF(J372="","",N372+MAX(0,ROUNDUP((TODAY()-N372)/(J372*7),0))*J372*7)</f>
        <v/>
      </c>
      <c r="P372" s="27" t="str">
        <f aca="false">IF(J372="","",MOD(K372-1,J372*4))</f>
        <v/>
      </c>
      <c r="Q372" s="27" t="str">
        <f aca="false">IF(J372="","",MOD(P372,4))</f>
        <v/>
      </c>
      <c r="R372" s="27" t="str">
        <f aca="false">IF(J372="","",INT(P372/4))</f>
        <v/>
      </c>
      <c r="S372" s="27" t="str">
        <f aca="false">IF(J372="","",IF(AND('Daily Count Sheet'!$H$3=Q372,MOD('Daily Count Sheet'!$I$3,J372)=R372),1,""))</f>
        <v/>
      </c>
      <c r="T372" s="27" t="str">
        <f aca="false">IF(S372=1,COUNTIF($S$2:S372,1),"")</f>
        <v/>
      </c>
    </row>
    <row r="373" customFormat="false" ht="15" hidden="false" customHeight="false" outlineLevel="0" collapsed="false">
      <c r="H373" s="26"/>
      <c r="I373" s="27" t="str">
        <f aca="false">IF(A373="","",IF(H373&lt;&gt;"",UPPER(TRIM(H373)),IFERROR(CHOOSE(VALUE(E373)+1,"A","B","C","D"),IF(OR(LEFT(UPPER(TRIM(E373)),1)="F",UPPER(TRIM(E373))="A"),"A",IF(OR(LEFT(UPPER(TRIM(E373)),1)="M",UPPER(TRIM(E373))="B"),"B",IF(OR(LEFT(UPPER(TRIM(E373)),2)="SL",UPPER(TRIM(E373))="C"),"C",IF(OR(LEFT(UPPER(TRIM(E373)),1)="D",UPPER(TRIM(E373))="D"),"D","")))))))</f>
        <v/>
      </c>
      <c r="J373" s="27" t="str">
        <f aca="false">IF(I373="","",IF(AND(I373="D",Settings!$B$6&lt;&gt;"Yes"),"",IFERROR(INDEX(Settings!$C$9:$C$12,MATCH(I373,Settings!$A$9:$A$12,0)),"")))</f>
        <v/>
      </c>
      <c r="K373" s="27" t="str">
        <f aca="false">IF(J373="","",COUNTIF($I$2:I373,I373))</f>
        <v/>
      </c>
      <c r="L373" s="27" t="str">
        <f aca="false">IF(J373="","",CHOOSE(Q373+1,"Tue","Wed","Thu","Fri"))</f>
        <v/>
      </c>
      <c r="M373" s="27" t="str">
        <f aca="false">IF(J373="","",IF(J373=1,"Every week",R373+1&amp;" of "&amp;J373))</f>
        <v/>
      </c>
      <c r="N373" s="28" t="str">
        <f aca="false">IF(J373="","",Settings!$B$4+R373*7+Q373)</f>
        <v/>
      </c>
      <c r="O373" s="28" t="str">
        <f aca="true">IF(J373="","",N373+MAX(0,ROUNDUP((TODAY()-N373)/(J373*7),0))*J373*7)</f>
        <v/>
      </c>
      <c r="P373" s="27" t="str">
        <f aca="false">IF(J373="","",MOD(K373-1,J373*4))</f>
        <v/>
      </c>
      <c r="Q373" s="27" t="str">
        <f aca="false">IF(J373="","",MOD(P373,4))</f>
        <v/>
      </c>
      <c r="R373" s="27" t="str">
        <f aca="false">IF(J373="","",INT(P373/4))</f>
        <v/>
      </c>
      <c r="S373" s="27" t="str">
        <f aca="false">IF(J373="","",IF(AND('Daily Count Sheet'!$H$3=Q373,MOD('Daily Count Sheet'!$I$3,J373)=R373),1,""))</f>
        <v/>
      </c>
      <c r="T373" s="27" t="str">
        <f aca="false">IF(S373=1,COUNTIF($S$2:S373,1),"")</f>
        <v/>
      </c>
    </row>
    <row r="374" customFormat="false" ht="15" hidden="false" customHeight="false" outlineLevel="0" collapsed="false">
      <c r="H374" s="26"/>
      <c r="I374" s="27" t="str">
        <f aca="false">IF(A374="","",IF(H374&lt;&gt;"",UPPER(TRIM(H374)),IFERROR(CHOOSE(VALUE(E374)+1,"A","B","C","D"),IF(OR(LEFT(UPPER(TRIM(E374)),1)="F",UPPER(TRIM(E374))="A"),"A",IF(OR(LEFT(UPPER(TRIM(E374)),1)="M",UPPER(TRIM(E374))="B"),"B",IF(OR(LEFT(UPPER(TRIM(E374)),2)="SL",UPPER(TRIM(E374))="C"),"C",IF(OR(LEFT(UPPER(TRIM(E374)),1)="D",UPPER(TRIM(E374))="D"),"D","")))))))</f>
        <v/>
      </c>
      <c r="J374" s="27" t="str">
        <f aca="false">IF(I374="","",IF(AND(I374="D",Settings!$B$6&lt;&gt;"Yes"),"",IFERROR(INDEX(Settings!$C$9:$C$12,MATCH(I374,Settings!$A$9:$A$12,0)),"")))</f>
        <v/>
      </c>
      <c r="K374" s="27" t="str">
        <f aca="false">IF(J374="","",COUNTIF($I$2:I374,I374))</f>
        <v/>
      </c>
      <c r="L374" s="27" t="str">
        <f aca="false">IF(J374="","",CHOOSE(Q374+1,"Tue","Wed","Thu","Fri"))</f>
        <v/>
      </c>
      <c r="M374" s="27" t="str">
        <f aca="false">IF(J374="","",IF(J374=1,"Every week",R374+1&amp;" of "&amp;J374))</f>
        <v/>
      </c>
      <c r="N374" s="28" t="str">
        <f aca="false">IF(J374="","",Settings!$B$4+R374*7+Q374)</f>
        <v/>
      </c>
      <c r="O374" s="28" t="str">
        <f aca="true">IF(J374="","",N374+MAX(0,ROUNDUP((TODAY()-N374)/(J374*7),0))*J374*7)</f>
        <v/>
      </c>
      <c r="P374" s="27" t="str">
        <f aca="false">IF(J374="","",MOD(K374-1,J374*4))</f>
        <v/>
      </c>
      <c r="Q374" s="27" t="str">
        <f aca="false">IF(J374="","",MOD(P374,4))</f>
        <v/>
      </c>
      <c r="R374" s="27" t="str">
        <f aca="false">IF(J374="","",INT(P374/4))</f>
        <v/>
      </c>
      <c r="S374" s="27" t="str">
        <f aca="false">IF(J374="","",IF(AND('Daily Count Sheet'!$H$3=Q374,MOD('Daily Count Sheet'!$I$3,J374)=R374),1,""))</f>
        <v/>
      </c>
      <c r="T374" s="27" t="str">
        <f aca="false">IF(S374=1,COUNTIF($S$2:S374,1),"")</f>
        <v/>
      </c>
    </row>
    <row r="375" customFormat="false" ht="15" hidden="false" customHeight="false" outlineLevel="0" collapsed="false">
      <c r="H375" s="26"/>
      <c r="I375" s="27" t="str">
        <f aca="false">IF(A375="","",IF(H375&lt;&gt;"",UPPER(TRIM(H375)),IFERROR(CHOOSE(VALUE(E375)+1,"A","B","C","D"),IF(OR(LEFT(UPPER(TRIM(E375)),1)="F",UPPER(TRIM(E375))="A"),"A",IF(OR(LEFT(UPPER(TRIM(E375)),1)="M",UPPER(TRIM(E375))="B"),"B",IF(OR(LEFT(UPPER(TRIM(E375)),2)="SL",UPPER(TRIM(E375))="C"),"C",IF(OR(LEFT(UPPER(TRIM(E375)),1)="D",UPPER(TRIM(E375))="D"),"D","")))))))</f>
        <v/>
      </c>
      <c r="J375" s="27" t="str">
        <f aca="false">IF(I375="","",IF(AND(I375="D",Settings!$B$6&lt;&gt;"Yes"),"",IFERROR(INDEX(Settings!$C$9:$C$12,MATCH(I375,Settings!$A$9:$A$12,0)),"")))</f>
        <v/>
      </c>
      <c r="K375" s="27" t="str">
        <f aca="false">IF(J375="","",COUNTIF($I$2:I375,I375))</f>
        <v/>
      </c>
      <c r="L375" s="27" t="str">
        <f aca="false">IF(J375="","",CHOOSE(Q375+1,"Tue","Wed","Thu","Fri"))</f>
        <v/>
      </c>
      <c r="M375" s="27" t="str">
        <f aca="false">IF(J375="","",IF(J375=1,"Every week",R375+1&amp;" of "&amp;J375))</f>
        <v/>
      </c>
      <c r="N375" s="28" t="str">
        <f aca="false">IF(J375="","",Settings!$B$4+R375*7+Q375)</f>
        <v/>
      </c>
      <c r="O375" s="28" t="str">
        <f aca="true">IF(J375="","",N375+MAX(0,ROUNDUP((TODAY()-N375)/(J375*7),0))*J375*7)</f>
        <v/>
      </c>
      <c r="P375" s="27" t="str">
        <f aca="false">IF(J375="","",MOD(K375-1,J375*4))</f>
        <v/>
      </c>
      <c r="Q375" s="27" t="str">
        <f aca="false">IF(J375="","",MOD(P375,4))</f>
        <v/>
      </c>
      <c r="R375" s="27" t="str">
        <f aca="false">IF(J375="","",INT(P375/4))</f>
        <v/>
      </c>
      <c r="S375" s="27" t="str">
        <f aca="false">IF(J375="","",IF(AND('Daily Count Sheet'!$H$3=Q375,MOD('Daily Count Sheet'!$I$3,J375)=R375),1,""))</f>
        <v/>
      </c>
      <c r="T375" s="27" t="str">
        <f aca="false">IF(S375=1,COUNTIF($S$2:S375,1),"")</f>
        <v/>
      </c>
    </row>
    <row r="376" customFormat="false" ht="15" hidden="false" customHeight="false" outlineLevel="0" collapsed="false">
      <c r="H376" s="26"/>
      <c r="I376" s="27" t="str">
        <f aca="false">IF(A376="","",IF(H376&lt;&gt;"",UPPER(TRIM(H376)),IFERROR(CHOOSE(VALUE(E376)+1,"A","B","C","D"),IF(OR(LEFT(UPPER(TRIM(E376)),1)="F",UPPER(TRIM(E376))="A"),"A",IF(OR(LEFT(UPPER(TRIM(E376)),1)="M",UPPER(TRIM(E376))="B"),"B",IF(OR(LEFT(UPPER(TRIM(E376)),2)="SL",UPPER(TRIM(E376))="C"),"C",IF(OR(LEFT(UPPER(TRIM(E376)),1)="D",UPPER(TRIM(E376))="D"),"D","")))))))</f>
        <v/>
      </c>
      <c r="J376" s="27" t="str">
        <f aca="false">IF(I376="","",IF(AND(I376="D",Settings!$B$6&lt;&gt;"Yes"),"",IFERROR(INDEX(Settings!$C$9:$C$12,MATCH(I376,Settings!$A$9:$A$12,0)),"")))</f>
        <v/>
      </c>
      <c r="K376" s="27" t="str">
        <f aca="false">IF(J376="","",COUNTIF($I$2:I376,I376))</f>
        <v/>
      </c>
      <c r="L376" s="27" t="str">
        <f aca="false">IF(J376="","",CHOOSE(Q376+1,"Tue","Wed","Thu","Fri"))</f>
        <v/>
      </c>
      <c r="M376" s="27" t="str">
        <f aca="false">IF(J376="","",IF(J376=1,"Every week",R376+1&amp;" of "&amp;J376))</f>
        <v/>
      </c>
      <c r="N376" s="28" t="str">
        <f aca="false">IF(J376="","",Settings!$B$4+R376*7+Q376)</f>
        <v/>
      </c>
      <c r="O376" s="28" t="str">
        <f aca="true">IF(J376="","",N376+MAX(0,ROUNDUP((TODAY()-N376)/(J376*7),0))*J376*7)</f>
        <v/>
      </c>
      <c r="P376" s="27" t="str">
        <f aca="false">IF(J376="","",MOD(K376-1,J376*4))</f>
        <v/>
      </c>
      <c r="Q376" s="27" t="str">
        <f aca="false">IF(J376="","",MOD(P376,4))</f>
        <v/>
      </c>
      <c r="R376" s="27" t="str">
        <f aca="false">IF(J376="","",INT(P376/4))</f>
        <v/>
      </c>
      <c r="S376" s="27" t="str">
        <f aca="false">IF(J376="","",IF(AND('Daily Count Sheet'!$H$3=Q376,MOD('Daily Count Sheet'!$I$3,J376)=R376),1,""))</f>
        <v/>
      </c>
      <c r="T376" s="27" t="str">
        <f aca="false">IF(S376=1,COUNTIF($S$2:S376,1),"")</f>
        <v/>
      </c>
    </row>
    <row r="377" customFormat="false" ht="15" hidden="false" customHeight="false" outlineLevel="0" collapsed="false">
      <c r="H377" s="26"/>
      <c r="I377" s="27" t="str">
        <f aca="false">IF(A377="","",IF(H377&lt;&gt;"",UPPER(TRIM(H377)),IFERROR(CHOOSE(VALUE(E377)+1,"A","B","C","D"),IF(OR(LEFT(UPPER(TRIM(E377)),1)="F",UPPER(TRIM(E377))="A"),"A",IF(OR(LEFT(UPPER(TRIM(E377)),1)="M",UPPER(TRIM(E377))="B"),"B",IF(OR(LEFT(UPPER(TRIM(E377)),2)="SL",UPPER(TRIM(E377))="C"),"C",IF(OR(LEFT(UPPER(TRIM(E377)),1)="D",UPPER(TRIM(E377))="D"),"D","")))))))</f>
        <v/>
      </c>
      <c r="J377" s="27" t="str">
        <f aca="false">IF(I377="","",IF(AND(I377="D",Settings!$B$6&lt;&gt;"Yes"),"",IFERROR(INDEX(Settings!$C$9:$C$12,MATCH(I377,Settings!$A$9:$A$12,0)),"")))</f>
        <v/>
      </c>
      <c r="K377" s="27" t="str">
        <f aca="false">IF(J377="","",COUNTIF($I$2:I377,I377))</f>
        <v/>
      </c>
      <c r="L377" s="27" t="str">
        <f aca="false">IF(J377="","",CHOOSE(Q377+1,"Tue","Wed","Thu","Fri"))</f>
        <v/>
      </c>
      <c r="M377" s="27" t="str">
        <f aca="false">IF(J377="","",IF(J377=1,"Every week",R377+1&amp;" of "&amp;J377))</f>
        <v/>
      </c>
      <c r="N377" s="28" t="str">
        <f aca="false">IF(J377="","",Settings!$B$4+R377*7+Q377)</f>
        <v/>
      </c>
      <c r="O377" s="28" t="str">
        <f aca="true">IF(J377="","",N377+MAX(0,ROUNDUP((TODAY()-N377)/(J377*7),0))*J377*7)</f>
        <v/>
      </c>
      <c r="P377" s="27" t="str">
        <f aca="false">IF(J377="","",MOD(K377-1,J377*4))</f>
        <v/>
      </c>
      <c r="Q377" s="27" t="str">
        <f aca="false">IF(J377="","",MOD(P377,4))</f>
        <v/>
      </c>
      <c r="R377" s="27" t="str">
        <f aca="false">IF(J377="","",INT(P377/4))</f>
        <v/>
      </c>
      <c r="S377" s="27" t="str">
        <f aca="false">IF(J377="","",IF(AND('Daily Count Sheet'!$H$3=Q377,MOD('Daily Count Sheet'!$I$3,J377)=R377),1,""))</f>
        <v/>
      </c>
      <c r="T377" s="27" t="str">
        <f aca="false">IF(S377=1,COUNTIF($S$2:S377,1),"")</f>
        <v/>
      </c>
    </row>
    <row r="378" customFormat="false" ht="15" hidden="false" customHeight="false" outlineLevel="0" collapsed="false">
      <c r="H378" s="26"/>
      <c r="I378" s="27" t="str">
        <f aca="false">IF(A378="","",IF(H378&lt;&gt;"",UPPER(TRIM(H378)),IFERROR(CHOOSE(VALUE(E378)+1,"A","B","C","D"),IF(OR(LEFT(UPPER(TRIM(E378)),1)="F",UPPER(TRIM(E378))="A"),"A",IF(OR(LEFT(UPPER(TRIM(E378)),1)="M",UPPER(TRIM(E378))="B"),"B",IF(OR(LEFT(UPPER(TRIM(E378)),2)="SL",UPPER(TRIM(E378))="C"),"C",IF(OR(LEFT(UPPER(TRIM(E378)),1)="D",UPPER(TRIM(E378))="D"),"D","")))))))</f>
        <v/>
      </c>
      <c r="J378" s="27" t="str">
        <f aca="false">IF(I378="","",IF(AND(I378="D",Settings!$B$6&lt;&gt;"Yes"),"",IFERROR(INDEX(Settings!$C$9:$C$12,MATCH(I378,Settings!$A$9:$A$12,0)),"")))</f>
        <v/>
      </c>
      <c r="K378" s="27" t="str">
        <f aca="false">IF(J378="","",COUNTIF($I$2:I378,I378))</f>
        <v/>
      </c>
      <c r="L378" s="27" t="str">
        <f aca="false">IF(J378="","",CHOOSE(Q378+1,"Tue","Wed","Thu","Fri"))</f>
        <v/>
      </c>
      <c r="M378" s="27" t="str">
        <f aca="false">IF(J378="","",IF(J378=1,"Every week",R378+1&amp;" of "&amp;J378))</f>
        <v/>
      </c>
      <c r="N378" s="28" t="str">
        <f aca="false">IF(J378="","",Settings!$B$4+R378*7+Q378)</f>
        <v/>
      </c>
      <c r="O378" s="28" t="str">
        <f aca="true">IF(J378="","",N378+MAX(0,ROUNDUP((TODAY()-N378)/(J378*7),0))*J378*7)</f>
        <v/>
      </c>
      <c r="P378" s="27" t="str">
        <f aca="false">IF(J378="","",MOD(K378-1,J378*4))</f>
        <v/>
      </c>
      <c r="Q378" s="27" t="str">
        <f aca="false">IF(J378="","",MOD(P378,4))</f>
        <v/>
      </c>
      <c r="R378" s="27" t="str">
        <f aca="false">IF(J378="","",INT(P378/4))</f>
        <v/>
      </c>
      <c r="S378" s="27" t="str">
        <f aca="false">IF(J378="","",IF(AND('Daily Count Sheet'!$H$3=Q378,MOD('Daily Count Sheet'!$I$3,J378)=R378),1,""))</f>
        <v/>
      </c>
      <c r="T378" s="27" t="str">
        <f aca="false">IF(S378=1,COUNTIF($S$2:S378,1),"")</f>
        <v/>
      </c>
    </row>
    <row r="379" customFormat="false" ht="15" hidden="false" customHeight="false" outlineLevel="0" collapsed="false">
      <c r="H379" s="26"/>
      <c r="I379" s="27" t="str">
        <f aca="false">IF(A379="","",IF(H379&lt;&gt;"",UPPER(TRIM(H379)),IFERROR(CHOOSE(VALUE(E379)+1,"A","B","C","D"),IF(OR(LEFT(UPPER(TRIM(E379)),1)="F",UPPER(TRIM(E379))="A"),"A",IF(OR(LEFT(UPPER(TRIM(E379)),1)="M",UPPER(TRIM(E379))="B"),"B",IF(OR(LEFT(UPPER(TRIM(E379)),2)="SL",UPPER(TRIM(E379))="C"),"C",IF(OR(LEFT(UPPER(TRIM(E379)),1)="D",UPPER(TRIM(E379))="D"),"D","")))))))</f>
        <v/>
      </c>
      <c r="J379" s="27" t="str">
        <f aca="false">IF(I379="","",IF(AND(I379="D",Settings!$B$6&lt;&gt;"Yes"),"",IFERROR(INDEX(Settings!$C$9:$C$12,MATCH(I379,Settings!$A$9:$A$12,0)),"")))</f>
        <v/>
      </c>
      <c r="K379" s="27" t="str">
        <f aca="false">IF(J379="","",COUNTIF($I$2:I379,I379))</f>
        <v/>
      </c>
      <c r="L379" s="27" t="str">
        <f aca="false">IF(J379="","",CHOOSE(Q379+1,"Tue","Wed","Thu","Fri"))</f>
        <v/>
      </c>
      <c r="M379" s="27" t="str">
        <f aca="false">IF(J379="","",IF(J379=1,"Every week",R379+1&amp;" of "&amp;J379))</f>
        <v/>
      </c>
      <c r="N379" s="28" t="str">
        <f aca="false">IF(J379="","",Settings!$B$4+R379*7+Q379)</f>
        <v/>
      </c>
      <c r="O379" s="28" t="str">
        <f aca="true">IF(J379="","",N379+MAX(0,ROUNDUP((TODAY()-N379)/(J379*7),0))*J379*7)</f>
        <v/>
      </c>
      <c r="P379" s="27" t="str">
        <f aca="false">IF(J379="","",MOD(K379-1,J379*4))</f>
        <v/>
      </c>
      <c r="Q379" s="27" t="str">
        <f aca="false">IF(J379="","",MOD(P379,4))</f>
        <v/>
      </c>
      <c r="R379" s="27" t="str">
        <f aca="false">IF(J379="","",INT(P379/4))</f>
        <v/>
      </c>
      <c r="S379" s="27" t="str">
        <f aca="false">IF(J379="","",IF(AND('Daily Count Sheet'!$H$3=Q379,MOD('Daily Count Sheet'!$I$3,J379)=R379),1,""))</f>
        <v/>
      </c>
      <c r="T379" s="27" t="str">
        <f aca="false">IF(S379=1,COUNTIF($S$2:S379,1),"")</f>
        <v/>
      </c>
    </row>
    <row r="380" customFormat="false" ht="15" hidden="false" customHeight="false" outlineLevel="0" collapsed="false">
      <c r="H380" s="26"/>
      <c r="I380" s="27" t="str">
        <f aca="false">IF(A380="","",IF(H380&lt;&gt;"",UPPER(TRIM(H380)),IFERROR(CHOOSE(VALUE(E380)+1,"A","B","C","D"),IF(OR(LEFT(UPPER(TRIM(E380)),1)="F",UPPER(TRIM(E380))="A"),"A",IF(OR(LEFT(UPPER(TRIM(E380)),1)="M",UPPER(TRIM(E380))="B"),"B",IF(OR(LEFT(UPPER(TRIM(E380)),2)="SL",UPPER(TRIM(E380))="C"),"C",IF(OR(LEFT(UPPER(TRIM(E380)),1)="D",UPPER(TRIM(E380))="D"),"D","")))))))</f>
        <v/>
      </c>
      <c r="J380" s="27" t="str">
        <f aca="false">IF(I380="","",IF(AND(I380="D",Settings!$B$6&lt;&gt;"Yes"),"",IFERROR(INDEX(Settings!$C$9:$C$12,MATCH(I380,Settings!$A$9:$A$12,0)),"")))</f>
        <v/>
      </c>
      <c r="K380" s="27" t="str">
        <f aca="false">IF(J380="","",COUNTIF($I$2:I380,I380))</f>
        <v/>
      </c>
      <c r="L380" s="27" t="str">
        <f aca="false">IF(J380="","",CHOOSE(Q380+1,"Tue","Wed","Thu","Fri"))</f>
        <v/>
      </c>
      <c r="M380" s="27" t="str">
        <f aca="false">IF(J380="","",IF(J380=1,"Every week",R380+1&amp;" of "&amp;J380))</f>
        <v/>
      </c>
      <c r="N380" s="28" t="str">
        <f aca="false">IF(J380="","",Settings!$B$4+R380*7+Q380)</f>
        <v/>
      </c>
      <c r="O380" s="28" t="str">
        <f aca="true">IF(J380="","",N380+MAX(0,ROUNDUP((TODAY()-N380)/(J380*7),0))*J380*7)</f>
        <v/>
      </c>
      <c r="P380" s="27" t="str">
        <f aca="false">IF(J380="","",MOD(K380-1,J380*4))</f>
        <v/>
      </c>
      <c r="Q380" s="27" t="str">
        <f aca="false">IF(J380="","",MOD(P380,4))</f>
        <v/>
      </c>
      <c r="R380" s="27" t="str">
        <f aca="false">IF(J380="","",INT(P380/4))</f>
        <v/>
      </c>
      <c r="S380" s="27" t="str">
        <f aca="false">IF(J380="","",IF(AND('Daily Count Sheet'!$H$3=Q380,MOD('Daily Count Sheet'!$I$3,J380)=R380),1,""))</f>
        <v/>
      </c>
      <c r="T380" s="27" t="str">
        <f aca="false">IF(S380=1,COUNTIF($S$2:S380,1),"")</f>
        <v/>
      </c>
    </row>
    <row r="381" customFormat="false" ht="15" hidden="false" customHeight="false" outlineLevel="0" collapsed="false">
      <c r="H381" s="26"/>
      <c r="I381" s="27" t="str">
        <f aca="false">IF(A381="","",IF(H381&lt;&gt;"",UPPER(TRIM(H381)),IFERROR(CHOOSE(VALUE(E381)+1,"A","B","C","D"),IF(OR(LEFT(UPPER(TRIM(E381)),1)="F",UPPER(TRIM(E381))="A"),"A",IF(OR(LEFT(UPPER(TRIM(E381)),1)="M",UPPER(TRIM(E381))="B"),"B",IF(OR(LEFT(UPPER(TRIM(E381)),2)="SL",UPPER(TRIM(E381))="C"),"C",IF(OR(LEFT(UPPER(TRIM(E381)),1)="D",UPPER(TRIM(E381))="D"),"D","")))))))</f>
        <v/>
      </c>
      <c r="J381" s="27" t="str">
        <f aca="false">IF(I381="","",IF(AND(I381="D",Settings!$B$6&lt;&gt;"Yes"),"",IFERROR(INDEX(Settings!$C$9:$C$12,MATCH(I381,Settings!$A$9:$A$12,0)),"")))</f>
        <v/>
      </c>
      <c r="K381" s="27" t="str">
        <f aca="false">IF(J381="","",COUNTIF($I$2:I381,I381))</f>
        <v/>
      </c>
      <c r="L381" s="27" t="str">
        <f aca="false">IF(J381="","",CHOOSE(Q381+1,"Tue","Wed","Thu","Fri"))</f>
        <v/>
      </c>
      <c r="M381" s="27" t="str">
        <f aca="false">IF(J381="","",IF(J381=1,"Every week",R381+1&amp;" of "&amp;J381))</f>
        <v/>
      </c>
      <c r="N381" s="28" t="str">
        <f aca="false">IF(J381="","",Settings!$B$4+R381*7+Q381)</f>
        <v/>
      </c>
      <c r="O381" s="28" t="str">
        <f aca="true">IF(J381="","",N381+MAX(0,ROUNDUP((TODAY()-N381)/(J381*7),0))*J381*7)</f>
        <v/>
      </c>
      <c r="P381" s="27" t="str">
        <f aca="false">IF(J381="","",MOD(K381-1,J381*4))</f>
        <v/>
      </c>
      <c r="Q381" s="27" t="str">
        <f aca="false">IF(J381="","",MOD(P381,4))</f>
        <v/>
      </c>
      <c r="R381" s="27" t="str">
        <f aca="false">IF(J381="","",INT(P381/4))</f>
        <v/>
      </c>
      <c r="S381" s="27" t="str">
        <f aca="false">IF(J381="","",IF(AND('Daily Count Sheet'!$H$3=Q381,MOD('Daily Count Sheet'!$I$3,J381)=R381),1,""))</f>
        <v/>
      </c>
      <c r="T381" s="27" t="str">
        <f aca="false">IF(S381=1,COUNTIF($S$2:S381,1),"")</f>
        <v/>
      </c>
    </row>
    <row r="382" customFormat="false" ht="15" hidden="false" customHeight="false" outlineLevel="0" collapsed="false">
      <c r="H382" s="26"/>
      <c r="I382" s="27" t="str">
        <f aca="false">IF(A382="","",IF(H382&lt;&gt;"",UPPER(TRIM(H382)),IFERROR(CHOOSE(VALUE(E382)+1,"A","B","C","D"),IF(OR(LEFT(UPPER(TRIM(E382)),1)="F",UPPER(TRIM(E382))="A"),"A",IF(OR(LEFT(UPPER(TRIM(E382)),1)="M",UPPER(TRIM(E382))="B"),"B",IF(OR(LEFT(UPPER(TRIM(E382)),2)="SL",UPPER(TRIM(E382))="C"),"C",IF(OR(LEFT(UPPER(TRIM(E382)),1)="D",UPPER(TRIM(E382))="D"),"D","")))))))</f>
        <v/>
      </c>
      <c r="J382" s="27" t="str">
        <f aca="false">IF(I382="","",IF(AND(I382="D",Settings!$B$6&lt;&gt;"Yes"),"",IFERROR(INDEX(Settings!$C$9:$C$12,MATCH(I382,Settings!$A$9:$A$12,0)),"")))</f>
        <v/>
      </c>
      <c r="K382" s="27" t="str">
        <f aca="false">IF(J382="","",COUNTIF($I$2:I382,I382))</f>
        <v/>
      </c>
      <c r="L382" s="27" t="str">
        <f aca="false">IF(J382="","",CHOOSE(Q382+1,"Tue","Wed","Thu","Fri"))</f>
        <v/>
      </c>
      <c r="M382" s="27" t="str">
        <f aca="false">IF(J382="","",IF(J382=1,"Every week",R382+1&amp;" of "&amp;J382))</f>
        <v/>
      </c>
      <c r="N382" s="28" t="str">
        <f aca="false">IF(J382="","",Settings!$B$4+R382*7+Q382)</f>
        <v/>
      </c>
      <c r="O382" s="28" t="str">
        <f aca="true">IF(J382="","",N382+MAX(0,ROUNDUP((TODAY()-N382)/(J382*7),0))*J382*7)</f>
        <v/>
      </c>
      <c r="P382" s="27" t="str">
        <f aca="false">IF(J382="","",MOD(K382-1,J382*4))</f>
        <v/>
      </c>
      <c r="Q382" s="27" t="str">
        <f aca="false">IF(J382="","",MOD(P382,4))</f>
        <v/>
      </c>
      <c r="R382" s="27" t="str">
        <f aca="false">IF(J382="","",INT(P382/4))</f>
        <v/>
      </c>
      <c r="S382" s="27" t="str">
        <f aca="false">IF(J382="","",IF(AND('Daily Count Sheet'!$H$3=Q382,MOD('Daily Count Sheet'!$I$3,J382)=R382),1,""))</f>
        <v/>
      </c>
      <c r="T382" s="27" t="str">
        <f aca="false">IF(S382=1,COUNTIF($S$2:S382,1),"")</f>
        <v/>
      </c>
    </row>
    <row r="383" customFormat="false" ht="15" hidden="false" customHeight="false" outlineLevel="0" collapsed="false">
      <c r="H383" s="26"/>
      <c r="I383" s="27" t="str">
        <f aca="false">IF(A383="","",IF(H383&lt;&gt;"",UPPER(TRIM(H383)),IFERROR(CHOOSE(VALUE(E383)+1,"A","B","C","D"),IF(OR(LEFT(UPPER(TRIM(E383)),1)="F",UPPER(TRIM(E383))="A"),"A",IF(OR(LEFT(UPPER(TRIM(E383)),1)="M",UPPER(TRIM(E383))="B"),"B",IF(OR(LEFT(UPPER(TRIM(E383)),2)="SL",UPPER(TRIM(E383))="C"),"C",IF(OR(LEFT(UPPER(TRIM(E383)),1)="D",UPPER(TRIM(E383))="D"),"D","")))))))</f>
        <v/>
      </c>
      <c r="J383" s="27" t="str">
        <f aca="false">IF(I383="","",IF(AND(I383="D",Settings!$B$6&lt;&gt;"Yes"),"",IFERROR(INDEX(Settings!$C$9:$C$12,MATCH(I383,Settings!$A$9:$A$12,0)),"")))</f>
        <v/>
      </c>
      <c r="K383" s="27" t="str">
        <f aca="false">IF(J383="","",COUNTIF($I$2:I383,I383))</f>
        <v/>
      </c>
      <c r="L383" s="27" t="str">
        <f aca="false">IF(J383="","",CHOOSE(Q383+1,"Tue","Wed","Thu","Fri"))</f>
        <v/>
      </c>
      <c r="M383" s="27" t="str">
        <f aca="false">IF(J383="","",IF(J383=1,"Every week",R383+1&amp;" of "&amp;J383))</f>
        <v/>
      </c>
      <c r="N383" s="28" t="str">
        <f aca="false">IF(J383="","",Settings!$B$4+R383*7+Q383)</f>
        <v/>
      </c>
      <c r="O383" s="28" t="str">
        <f aca="true">IF(J383="","",N383+MAX(0,ROUNDUP((TODAY()-N383)/(J383*7),0))*J383*7)</f>
        <v/>
      </c>
      <c r="P383" s="27" t="str">
        <f aca="false">IF(J383="","",MOD(K383-1,J383*4))</f>
        <v/>
      </c>
      <c r="Q383" s="27" t="str">
        <f aca="false">IF(J383="","",MOD(P383,4))</f>
        <v/>
      </c>
      <c r="R383" s="27" t="str">
        <f aca="false">IF(J383="","",INT(P383/4))</f>
        <v/>
      </c>
      <c r="S383" s="27" t="str">
        <f aca="false">IF(J383="","",IF(AND('Daily Count Sheet'!$H$3=Q383,MOD('Daily Count Sheet'!$I$3,J383)=R383),1,""))</f>
        <v/>
      </c>
      <c r="T383" s="27" t="str">
        <f aca="false">IF(S383=1,COUNTIF($S$2:S383,1),"")</f>
        <v/>
      </c>
    </row>
    <row r="384" customFormat="false" ht="15" hidden="false" customHeight="false" outlineLevel="0" collapsed="false">
      <c r="H384" s="26"/>
      <c r="I384" s="27" t="str">
        <f aca="false">IF(A384="","",IF(H384&lt;&gt;"",UPPER(TRIM(H384)),IFERROR(CHOOSE(VALUE(E384)+1,"A","B","C","D"),IF(OR(LEFT(UPPER(TRIM(E384)),1)="F",UPPER(TRIM(E384))="A"),"A",IF(OR(LEFT(UPPER(TRIM(E384)),1)="M",UPPER(TRIM(E384))="B"),"B",IF(OR(LEFT(UPPER(TRIM(E384)),2)="SL",UPPER(TRIM(E384))="C"),"C",IF(OR(LEFT(UPPER(TRIM(E384)),1)="D",UPPER(TRIM(E384))="D"),"D","")))))))</f>
        <v/>
      </c>
      <c r="J384" s="27" t="str">
        <f aca="false">IF(I384="","",IF(AND(I384="D",Settings!$B$6&lt;&gt;"Yes"),"",IFERROR(INDEX(Settings!$C$9:$C$12,MATCH(I384,Settings!$A$9:$A$12,0)),"")))</f>
        <v/>
      </c>
      <c r="K384" s="27" t="str">
        <f aca="false">IF(J384="","",COUNTIF($I$2:I384,I384))</f>
        <v/>
      </c>
      <c r="L384" s="27" t="str">
        <f aca="false">IF(J384="","",CHOOSE(Q384+1,"Tue","Wed","Thu","Fri"))</f>
        <v/>
      </c>
      <c r="M384" s="27" t="str">
        <f aca="false">IF(J384="","",IF(J384=1,"Every week",R384+1&amp;" of "&amp;J384))</f>
        <v/>
      </c>
      <c r="N384" s="28" t="str">
        <f aca="false">IF(J384="","",Settings!$B$4+R384*7+Q384)</f>
        <v/>
      </c>
      <c r="O384" s="28" t="str">
        <f aca="true">IF(J384="","",N384+MAX(0,ROUNDUP((TODAY()-N384)/(J384*7),0))*J384*7)</f>
        <v/>
      </c>
      <c r="P384" s="27" t="str">
        <f aca="false">IF(J384="","",MOD(K384-1,J384*4))</f>
        <v/>
      </c>
      <c r="Q384" s="27" t="str">
        <f aca="false">IF(J384="","",MOD(P384,4))</f>
        <v/>
      </c>
      <c r="R384" s="27" t="str">
        <f aca="false">IF(J384="","",INT(P384/4))</f>
        <v/>
      </c>
      <c r="S384" s="27" t="str">
        <f aca="false">IF(J384="","",IF(AND('Daily Count Sheet'!$H$3=Q384,MOD('Daily Count Sheet'!$I$3,J384)=R384),1,""))</f>
        <v/>
      </c>
      <c r="T384" s="27" t="str">
        <f aca="false">IF(S384=1,COUNTIF($S$2:S384,1),"")</f>
        <v/>
      </c>
    </row>
    <row r="385" customFormat="false" ht="15" hidden="false" customHeight="false" outlineLevel="0" collapsed="false">
      <c r="H385" s="26"/>
      <c r="I385" s="27" t="str">
        <f aca="false">IF(A385="","",IF(H385&lt;&gt;"",UPPER(TRIM(H385)),IFERROR(CHOOSE(VALUE(E385)+1,"A","B","C","D"),IF(OR(LEFT(UPPER(TRIM(E385)),1)="F",UPPER(TRIM(E385))="A"),"A",IF(OR(LEFT(UPPER(TRIM(E385)),1)="M",UPPER(TRIM(E385))="B"),"B",IF(OR(LEFT(UPPER(TRIM(E385)),2)="SL",UPPER(TRIM(E385))="C"),"C",IF(OR(LEFT(UPPER(TRIM(E385)),1)="D",UPPER(TRIM(E385))="D"),"D","")))))))</f>
        <v/>
      </c>
      <c r="J385" s="27" t="str">
        <f aca="false">IF(I385="","",IF(AND(I385="D",Settings!$B$6&lt;&gt;"Yes"),"",IFERROR(INDEX(Settings!$C$9:$C$12,MATCH(I385,Settings!$A$9:$A$12,0)),"")))</f>
        <v/>
      </c>
      <c r="K385" s="27" t="str">
        <f aca="false">IF(J385="","",COUNTIF($I$2:I385,I385))</f>
        <v/>
      </c>
      <c r="L385" s="27" t="str">
        <f aca="false">IF(J385="","",CHOOSE(Q385+1,"Tue","Wed","Thu","Fri"))</f>
        <v/>
      </c>
      <c r="M385" s="27" t="str">
        <f aca="false">IF(J385="","",IF(J385=1,"Every week",R385+1&amp;" of "&amp;J385))</f>
        <v/>
      </c>
      <c r="N385" s="28" t="str">
        <f aca="false">IF(J385="","",Settings!$B$4+R385*7+Q385)</f>
        <v/>
      </c>
      <c r="O385" s="28" t="str">
        <f aca="true">IF(J385="","",N385+MAX(0,ROUNDUP((TODAY()-N385)/(J385*7),0))*J385*7)</f>
        <v/>
      </c>
      <c r="P385" s="27" t="str">
        <f aca="false">IF(J385="","",MOD(K385-1,J385*4))</f>
        <v/>
      </c>
      <c r="Q385" s="27" t="str">
        <f aca="false">IF(J385="","",MOD(P385,4))</f>
        <v/>
      </c>
      <c r="R385" s="27" t="str">
        <f aca="false">IF(J385="","",INT(P385/4))</f>
        <v/>
      </c>
      <c r="S385" s="27" t="str">
        <f aca="false">IF(J385="","",IF(AND('Daily Count Sheet'!$H$3=Q385,MOD('Daily Count Sheet'!$I$3,J385)=R385),1,""))</f>
        <v/>
      </c>
      <c r="T385" s="27" t="str">
        <f aca="false">IF(S385=1,COUNTIF($S$2:S385,1),"")</f>
        <v/>
      </c>
    </row>
    <row r="386" customFormat="false" ht="15" hidden="false" customHeight="false" outlineLevel="0" collapsed="false">
      <c r="H386" s="26"/>
      <c r="I386" s="27" t="str">
        <f aca="false">IF(A386="","",IF(H386&lt;&gt;"",UPPER(TRIM(H386)),IFERROR(CHOOSE(VALUE(E386)+1,"A","B","C","D"),IF(OR(LEFT(UPPER(TRIM(E386)),1)="F",UPPER(TRIM(E386))="A"),"A",IF(OR(LEFT(UPPER(TRIM(E386)),1)="M",UPPER(TRIM(E386))="B"),"B",IF(OR(LEFT(UPPER(TRIM(E386)),2)="SL",UPPER(TRIM(E386))="C"),"C",IF(OR(LEFT(UPPER(TRIM(E386)),1)="D",UPPER(TRIM(E386))="D"),"D","")))))))</f>
        <v/>
      </c>
      <c r="J386" s="27" t="str">
        <f aca="false">IF(I386="","",IF(AND(I386="D",Settings!$B$6&lt;&gt;"Yes"),"",IFERROR(INDEX(Settings!$C$9:$C$12,MATCH(I386,Settings!$A$9:$A$12,0)),"")))</f>
        <v/>
      </c>
      <c r="K386" s="27" t="str">
        <f aca="false">IF(J386="","",COUNTIF($I$2:I386,I386))</f>
        <v/>
      </c>
      <c r="L386" s="27" t="str">
        <f aca="false">IF(J386="","",CHOOSE(Q386+1,"Tue","Wed","Thu","Fri"))</f>
        <v/>
      </c>
      <c r="M386" s="27" t="str">
        <f aca="false">IF(J386="","",IF(J386=1,"Every week",R386+1&amp;" of "&amp;J386))</f>
        <v/>
      </c>
      <c r="N386" s="28" t="str">
        <f aca="false">IF(J386="","",Settings!$B$4+R386*7+Q386)</f>
        <v/>
      </c>
      <c r="O386" s="28" t="str">
        <f aca="true">IF(J386="","",N386+MAX(0,ROUNDUP((TODAY()-N386)/(J386*7),0))*J386*7)</f>
        <v/>
      </c>
      <c r="P386" s="27" t="str">
        <f aca="false">IF(J386="","",MOD(K386-1,J386*4))</f>
        <v/>
      </c>
      <c r="Q386" s="27" t="str">
        <f aca="false">IF(J386="","",MOD(P386,4))</f>
        <v/>
      </c>
      <c r="R386" s="27" t="str">
        <f aca="false">IF(J386="","",INT(P386/4))</f>
        <v/>
      </c>
      <c r="S386" s="27" t="str">
        <f aca="false">IF(J386="","",IF(AND('Daily Count Sheet'!$H$3=Q386,MOD('Daily Count Sheet'!$I$3,J386)=R386),1,""))</f>
        <v/>
      </c>
      <c r="T386" s="27" t="str">
        <f aca="false">IF(S386=1,COUNTIF($S$2:S386,1),"")</f>
        <v/>
      </c>
    </row>
    <row r="387" customFormat="false" ht="15" hidden="false" customHeight="false" outlineLevel="0" collapsed="false">
      <c r="H387" s="26"/>
      <c r="I387" s="27" t="str">
        <f aca="false">IF(A387="","",IF(H387&lt;&gt;"",UPPER(TRIM(H387)),IFERROR(CHOOSE(VALUE(E387)+1,"A","B","C","D"),IF(OR(LEFT(UPPER(TRIM(E387)),1)="F",UPPER(TRIM(E387))="A"),"A",IF(OR(LEFT(UPPER(TRIM(E387)),1)="M",UPPER(TRIM(E387))="B"),"B",IF(OR(LEFT(UPPER(TRIM(E387)),2)="SL",UPPER(TRIM(E387))="C"),"C",IF(OR(LEFT(UPPER(TRIM(E387)),1)="D",UPPER(TRIM(E387))="D"),"D","")))))))</f>
        <v/>
      </c>
      <c r="J387" s="27" t="str">
        <f aca="false">IF(I387="","",IF(AND(I387="D",Settings!$B$6&lt;&gt;"Yes"),"",IFERROR(INDEX(Settings!$C$9:$C$12,MATCH(I387,Settings!$A$9:$A$12,0)),"")))</f>
        <v/>
      </c>
      <c r="K387" s="27" t="str">
        <f aca="false">IF(J387="","",COUNTIF($I$2:I387,I387))</f>
        <v/>
      </c>
      <c r="L387" s="27" t="str">
        <f aca="false">IF(J387="","",CHOOSE(Q387+1,"Tue","Wed","Thu","Fri"))</f>
        <v/>
      </c>
      <c r="M387" s="27" t="str">
        <f aca="false">IF(J387="","",IF(J387=1,"Every week",R387+1&amp;" of "&amp;J387))</f>
        <v/>
      </c>
      <c r="N387" s="28" t="str">
        <f aca="false">IF(J387="","",Settings!$B$4+R387*7+Q387)</f>
        <v/>
      </c>
      <c r="O387" s="28" t="str">
        <f aca="true">IF(J387="","",N387+MAX(0,ROUNDUP((TODAY()-N387)/(J387*7),0))*J387*7)</f>
        <v/>
      </c>
      <c r="P387" s="27" t="str">
        <f aca="false">IF(J387="","",MOD(K387-1,J387*4))</f>
        <v/>
      </c>
      <c r="Q387" s="27" t="str">
        <f aca="false">IF(J387="","",MOD(P387,4))</f>
        <v/>
      </c>
      <c r="R387" s="27" t="str">
        <f aca="false">IF(J387="","",INT(P387/4))</f>
        <v/>
      </c>
      <c r="S387" s="27" t="str">
        <f aca="false">IF(J387="","",IF(AND('Daily Count Sheet'!$H$3=Q387,MOD('Daily Count Sheet'!$I$3,J387)=R387),1,""))</f>
        <v/>
      </c>
      <c r="T387" s="27" t="str">
        <f aca="false">IF(S387=1,COUNTIF($S$2:S387,1),"")</f>
        <v/>
      </c>
    </row>
    <row r="388" customFormat="false" ht="15" hidden="false" customHeight="false" outlineLevel="0" collapsed="false">
      <c r="H388" s="26"/>
      <c r="I388" s="27" t="str">
        <f aca="false">IF(A388="","",IF(H388&lt;&gt;"",UPPER(TRIM(H388)),IFERROR(CHOOSE(VALUE(E388)+1,"A","B","C","D"),IF(OR(LEFT(UPPER(TRIM(E388)),1)="F",UPPER(TRIM(E388))="A"),"A",IF(OR(LEFT(UPPER(TRIM(E388)),1)="M",UPPER(TRIM(E388))="B"),"B",IF(OR(LEFT(UPPER(TRIM(E388)),2)="SL",UPPER(TRIM(E388))="C"),"C",IF(OR(LEFT(UPPER(TRIM(E388)),1)="D",UPPER(TRIM(E388))="D"),"D","")))))))</f>
        <v/>
      </c>
      <c r="J388" s="27" t="str">
        <f aca="false">IF(I388="","",IF(AND(I388="D",Settings!$B$6&lt;&gt;"Yes"),"",IFERROR(INDEX(Settings!$C$9:$C$12,MATCH(I388,Settings!$A$9:$A$12,0)),"")))</f>
        <v/>
      </c>
      <c r="K388" s="27" t="str">
        <f aca="false">IF(J388="","",COUNTIF($I$2:I388,I388))</f>
        <v/>
      </c>
      <c r="L388" s="27" t="str">
        <f aca="false">IF(J388="","",CHOOSE(Q388+1,"Tue","Wed","Thu","Fri"))</f>
        <v/>
      </c>
      <c r="M388" s="27" t="str">
        <f aca="false">IF(J388="","",IF(J388=1,"Every week",R388+1&amp;" of "&amp;J388))</f>
        <v/>
      </c>
      <c r="N388" s="28" t="str">
        <f aca="false">IF(J388="","",Settings!$B$4+R388*7+Q388)</f>
        <v/>
      </c>
      <c r="O388" s="28" t="str">
        <f aca="true">IF(J388="","",N388+MAX(0,ROUNDUP((TODAY()-N388)/(J388*7),0))*J388*7)</f>
        <v/>
      </c>
      <c r="P388" s="27" t="str">
        <f aca="false">IF(J388="","",MOD(K388-1,J388*4))</f>
        <v/>
      </c>
      <c r="Q388" s="27" t="str">
        <f aca="false">IF(J388="","",MOD(P388,4))</f>
        <v/>
      </c>
      <c r="R388" s="27" t="str">
        <f aca="false">IF(J388="","",INT(P388/4))</f>
        <v/>
      </c>
      <c r="S388" s="27" t="str">
        <f aca="false">IF(J388="","",IF(AND('Daily Count Sheet'!$H$3=Q388,MOD('Daily Count Sheet'!$I$3,J388)=R388),1,""))</f>
        <v/>
      </c>
      <c r="T388" s="27" t="str">
        <f aca="false">IF(S388=1,COUNTIF($S$2:S388,1),"")</f>
        <v/>
      </c>
    </row>
    <row r="389" customFormat="false" ht="15" hidden="false" customHeight="false" outlineLevel="0" collapsed="false">
      <c r="H389" s="26"/>
      <c r="I389" s="27" t="str">
        <f aca="false">IF(A389="","",IF(H389&lt;&gt;"",UPPER(TRIM(H389)),IFERROR(CHOOSE(VALUE(E389)+1,"A","B","C","D"),IF(OR(LEFT(UPPER(TRIM(E389)),1)="F",UPPER(TRIM(E389))="A"),"A",IF(OR(LEFT(UPPER(TRIM(E389)),1)="M",UPPER(TRIM(E389))="B"),"B",IF(OR(LEFT(UPPER(TRIM(E389)),2)="SL",UPPER(TRIM(E389))="C"),"C",IF(OR(LEFT(UPPER(TRIM(E389)),1)="D",UPPER(TRIM(E389))="D"),"D","")))))))</f>
        <v/>
      </c>
      <c r="J389" s="27" t="str">
        <f aca="false">IF(I389="","",IF(AND(I389="D",Settings!$B$6&lt;&gt;"Yes"),"",IFERROR(INDEX(Settings!$C$9:$C$12,MATCH(I389,Settings!$A$9:$A$12,0)),"")))</f>
        <v/>
      </c>
      <c r="K389" s="27" t="str">
        <f aca="false">IF(J389="","",COUNTIF($I$2:I389,I389))</f>
        <v/>
      </c>
      <c r="L389" s="27" t="str">
        <f aca="false">IF(J389="","",CHOOSE(Q389+1,"Tue","Wed","Thu","Fri"))</f>
        <v/>
      </c>
      <c r="M389" s="27" t="str">
        <f aca="false">IF(J389="","",IF(J389=1,"Every week",R389+1&amp;" of "&amp;J389))</f>
        <v/>
      </c>
      <c r="N389" s="28" t="str">
        <f aca="false">IF(J389="","",Settings!$B$4+R389*7+Q389)</f>
        <v/>
      </c>
      <c r="O389" s="28" t="str">
        <f aca="true">IF(J389="","",N389+MAX(0,ROUNDUP((TODAY()-N389)/(J389*7),0))*J389*7)</f>
        <v/>
      </c>
      <c r="P389" s="27" t="str">
        <f aca="false">IF(J389="","",MOD(K389-1,J389*4))</f>
        <v/>
      </c>
      <c r="Q389" s="27" t="str">
        <f aca="false">IF(J389="","",MOD(P389,4))</f>
        <v/>
      </c>
      <c r="R389" s="27" t="str">
        <f aca="false">IF(J389="","",INT(P389/4))</f>
        <v/>
      </c>
      <c r="S389" s="27" t="str">
        <f aca="false">IF(J389="","",IF(AND('Daily Count Sheet'!$H$3=Q389,MOD('Daily Count Sheet'!$I$3,J389)=R389),1,""))</f>
        <v/>
      </c>
      <c r="T389" s="27" t="str">
        <f aca="false">IF(S389=1,COUNTIF($S$2:S389,1),"")</f>
        <v/>
      </c>
    </row>
    <row r="390" customFormat="false" ht="15" hidden="false" customHeight="false" outlineLevel="0" collapsed="false">
      <c r="H390" s="26"/>
      <c r="I390" s="27" t="str">
        <f aca="false">IF(A390="","",IF(H390&lt;&gt;"",UPPER(TRIM(H390)),IFERROR(CHOOSE(VALUE(E390)+1,"A","B","C","D"),IF(OR(LEFT(UPPER(TRIM(E390)),1)="F",UPPER(TRIM(E390))="A"),"A",IF(OR(LEFT(UPPER(TRIM(E390)),1)="M",UPPER(TRIM(E390))="B"),"B",IF(OR(LEFT(UPPER(TRIM(E390)),2)="SL",UPPER(TRIM(E390))="C"),"C",IF(OR(LEFT(UPPER(TRIM(E390)),1)="D",UPPER(TRIM(E390))="D"),"D","")))))))</f>
        <v/>
      </c>
      <c r="J390" s="27" t="str">
        <f aca="false">IF(I390="","",IF(AND(I390="D",Settings!$B$6&lt;&gt;"Yes"),"",IFERROR(INDEX(Settings!$C$9:$C$12,MATCH(I390,Settings!$A$9:$A$12,0)),"")))</f>
        <v/>
      </c>
      <c r="K390" s="27" t="str">
        <f aca="false">IF(J390="","",COUNTIF($I$2:I390,I390))</f>
        <v/>
      </c>
      <c r="L390" s="27" t="str">
        <f aca="false">IF(J390="","",CHOOSE(Q390+1,"Tue","Wed","Thu","Fri"))</f>
        <v/>
      </c>
      <c r="M390" s="27" t="str">
        <f aca="false">IF(J390="","",IF(J390=1,"Every week",R390+1&amp;" of "&amp;J390))</f>
        <v/>
      </c>
      <c r="N390" s="28" t="str">
        <f aca="false">IF(J390="","",Settings!$B$4+R390*7+Q390)</f>
        <v/>
      </c>
      <c r="O390" s="28" t="str">
        <f aca="true">IF(J390="","",N390+MAX(0,ROUNDUP((TODAY()-N390)/(J390*7),0))*J390*7)</f>
        <v/>
      </c>
      <c r="P390" s="27" t="str">
        <f aca="false">IF(J390="","",MOD(K390-1,J390*4))</f>
        <v/>
      </c>
      <c r="Q390" s="27" t="str">
        <f aca="false">IF(J390="","",MOD(P390,4))</f>
        <v/>
      </c>
      <c r="R390" s="27" t="str">
        <f aca="false">IF(J390="","",INT(P390/4))</f>
        <v/>
      </c>
      <c r="S390" s="27" t="str">
        <f aca="false">IF(J390="","",IF(AND('Daily Count Sheet'!$H$3=Q390,MOD('Daily Count Sheet'!$I$3,J390)=R390),1,""))</f>
        <v/>
      </c>
      <c r="T390" s="27" t="str">
        <f aca="false">IF(S390=1,COUNTIF($S$2:S390,1),"")</f>
        <v/>
      </c>
    </row>
    <row r="391" customFormat="false" ht="15" hidden="false" customHeight="false" outlineLevel="0" collapsed="false">
      <c r="H391" s="26"/>
      <c r="I391" s="27" t="str">
        <f aca="false">IF(A391="","",IF(H391&lt;&gt;"",UPPER(TRIM(H391)),IFERROR(CHOOSE(VALUE(E391)+1,"A","B","C","D"),IF(OR(LEFT(UPPER(TRIM(E391)),1)="F",UPPER(TRIM(E391))="A"),"A",IF(OR(LEFT(UPPER(TRIM(E391)),1)="M",UPPER(TRIM(E391))="B"),"B",IF(OR(LEFT(UPPER(TRIM(E391)),2)="SL",UPPER(TRIM(E391))="C"),"C",IF(OR(LEFT(UPPER(TRIM(E391)),1)="D",UPPER(TRIM(E391))="D"),"D","")))))))</f>
        <v/>
      </c>
      <c r="J391" s="27" t="str">
        <f aca="false">IF(I391="","",IF(AND(I391="D",Settings!$B$6&lt;&gt;"Yes"),"",IFERROR(INDEX(Settings!$C$9:$C$12,MATCH(I391,Settings!$A$9:$A$12,0)),"")))</f>
        <v/>
      </c>
      <c r="K391" s="27" t="str">
        <f aca="false">IF(J391="","",COUNTIF($I$2:I391,I391))</f>
        <v/>
      </c>
      <c r="L391" s="27" t="str">
        <f aca="false">IF(J391="","",CHOOSE(Q391+1,"Tue","Wed","Thu","Fri"))</f>
        <v/>
      </c>
      <c r="M391" s="27" t="str">
        <f aca="false">IF(J391="","",IF(J391=1,"Every week",R391+1&amp;" of "&amp;J391))</f>
        <v/>
      </c>
      <c r="N391" s="28" t="str">
        <f aca="false">IF(J391="","",Settings!$B$4+R391*7+Q391)</f>
        <v/>
      </c>
      <c r="O391" s="28" t="str">
        <f aca="true">IF(J391="","",N391+MAX(0,ROUNDUP((TODAY()-N391)/(J391*7),0))*J391*7)</f>
        <v/>
      </c>
      <c r="P391" s="27" t="str">
        <f aca="false">IF(J391="","",MOD(K391-1,J391*4))</f>
        <v/>
      </c>
      <c r="Q391" s="27" t="str">
        <f aca="false">IF(J391="","",MOD(P391,4))</f>
        <v/>
      </c>
      <c r="R391" s="27" t="str">
        <f aca="false">IF(J391="","",INT(P391/4))</f>
        <v/>
      </c>
      <c r="S391" s="27" t="str">
        <f aca="false">IF(J391="","",IF(AND('Daily Count Sheet'!$H$3=Q391,MOD('Daily Count Sheet'!$I$3,J391)=R391),1,""))</f>
        <v/>
      </c>
      <c r="T391" s="27" t="str">
        <f aca="false">IF(S391=1,COUNTIF($S$2:S391,1),"")</f>
        <v/>
      </c>
    </row>
    <row r="392" customFormat="false" ht="15" hidden="false" customHeight="false" outlineLevel="0" collapsed="false">
      <c r="H392" s="26"/>
      <c r="I392" s="27" t="str">
        <f aca="false">IF(A392="","",IF(H392&lt;&gt;"",UPPER(TRIM(H392)),IFERROR(CHOOSE(VALUE(E392)+1,"A","B","C","D"),IF(OR(LEFT(UPPER(TRIM(E392)),1)="F",UPPER(TRIM(E392))="A"),"A",IF(OR(LEFT(UPPER(TRIM(E392)),1)="M",UPPER(TRIM(E392))="B"),"B",IF(OR(LEFT(UPPER(TRIM(E392)),2)="SL",UPPER(TRIM(E392))="C"),"C",IF(OR(LEFT(UPPER(TRIM(E392)),1)="D",UPPER(TRIM(E392))="D"),"D","")))))))</f>
        <v/>
      </c>
      <c r="J392" s="27" t="str">
        <f aca="false">IF(I392="","",IF(AND(I392="D",Settings!$B$6&lt;&gt;"Yes"),"",IFERROR(INDEX(Settings!$C$9:$C$12,MATCH(I392,Settings!$A$9:$A$12,0)),"")))</f>
        <v/>
      </c>
      <c r="K392" s="27" t="str">
        <f aca="false">IF(J392="","",COUNTIF($I$2:I392,I392))</f>
        <v/>
      </c>
      <c r="L392" s="27" t="str">
        <f aca="false">IF(J392="","",CHOOSE(Q392+1,"Tue","Wed","Thu","Fri"))</f>
        <v/>
      </c>
      <c r="M392" s="27" t="str">
        <f aca="false">IF(J392="","",IF(J392=1,"Every week",R392+1&amp;" of "&amp;J392))</f>
        <v/>
      </c>
      <c r="N392" s="28" t="str">
        <f aca="false">IF(J392="","",Settings!$B$4+R392*7+Q392)</f>
        <v/>
      </c>
      <c r="O392" s="28" t="str">
        <f aca="true">IF(J392="","",N392+MAX(0,ROUNDUP((TODAY()-N392)/(J392*7),0))*J392*7)</f>
        <v/>
      </c>
      <c r="P392" s="27" t="str">
        <f aca="false">IF(J392="","",MOD(K392-1,J392*4))</f>
        <v/>
      </c>
      <c r="Q392" s="27" t="str">
        <f aca="false">IF(J392="","",MOD(P392,4))</f>
        <v/>
      </c>
      <c r="R392" s="27" t="str">
        <f aca="false">IF(J392="","",INT(P392/4))</f>
        <v/>
      </c>
      <c r="S392" s="27" t="str">
        <f aca="false">IF(J392="","",IF(AND('Daily Count Sheet'!$H$3=Q392,MOD('Daily Count Sheet'!$I$3,J392)=R392),1,""))</f>
        <v/>
      </c>
      <c r="T392" s="27" t="str">
        <f aca="false">IF(S392=1,COUNTIF($S$2:S392,1),"")</f>
        <v/>
      </c>
    </row>
    <row r="393" customFormat="false" ht="15" hidden="false" customHeight="false" outlineLevel="0" collapsed="false">
      <c r="H393" s="26"/>
      <c r="I393" s="27" t="str">
        <f aca="false">IF(A393="","",IF(H393&lt;&gt;"",UPPER(TRIM(H393)),IFERROR(CHOOSE(VALUE(E393)+1,"A","B","C","D"),IF(OR(LEFT(UPPER(TRIM(E393)),1)="F",UPPER(TRIM(E393))="A"),"A",IF(OR(LEFT(UPPER(TRIM(E393)),1)="M",UPPER(TRIM(E393))="B"),"B",IF(OR(LEFT(UPPER(TRIM(E393)),2)="SL",UPPER(TRIM(E393))="C"),"C",IF(OR(LEFT(UPPER(TRIM(E393)),1)="D",UPPER(TRIM(E393))="D"),"D","")))))))</f>
        <v/>
      </c>
      <c r="J393" s="27" t="str">
        <f aca="false">IF(I393="","",IF(AND(I393="D",Settings!$B$6&lt;&gt;"Yes"),"",IFERROR(INDEX(Settings!$C$9:$C$12,MATCH(I393,Settings!$A$9:$A$12,0)),"")))</f>
        <v/>
      </c>
      <c r="K393" s="27" t="str">
        <f aca="false">IF(J393="","",COUNTIF($I$2:I393,I393))</f>
        <v/>
      </c>
      <c r="L393" s="27" t="str">
        <f aca="false">IF(J393="","",CHOOSE(Q393+1,"Tue","Wed","Thu","Fri"))</f>
        <v/>
      </c>
      <c r="M393" s="27" t="str">
        <f aca="false">IF(J393="","",IF(J393=1,"Every week",R393+1&amp;" of "&amp;J393))</f>
        <v/>
      </c>
      <c r="N393" s="28" t="str">
        <f aca="false">IF(J393="","",Settings!$B$4+R393*7+Q393)</f>
        <v/>
      </c>
      <c r="O393" s="28" t="str">
        <f aca="true">IF(J393="","",N393+MAX(0,ROUNDUP((TODAY()-N393)/(J393*7),0))*J393*7)</f>
        <v/>
      </c>
      <c r="P393" s="27" t="str">
        <f aca="false">IF(J393="","",MOD(K393-1,J393*4))</f>
        <v/>
      </c>
      <c r="Q393" s="27" t="str">
        <f aca="false">IF(J393="","",MOD(P393,4))</f>
        <v/>
      </c>
      <c r="R393" s="27" t="str">
        <f aca="false">IF(J393="","",INT(P393/4))</f>
        <v/>
      </c>
      <c r="S393" s="27" t="str">
        <f aca="false">IF(J393="","",IF(AND('Daily Count Sheet'!$H$3=Q393,MOD('Daily Count Sheet'!$I$3,J393)=R393),1,""))</f>
        <v/>
      </c>
      <c r="T393" s="27" t="str">
        <f aca="false">IF(S393=1,COUNTIF($S$2:S393,1),"")</f>
        <v/>
      </c>
    </row>
    <row r="394" customFormat="false" ht="15" hidden="false" customHeight="false" outlineLevel="0" collapsed="false">
      <c r="H394" s="26"/>
      <c r="I394" s="27" t="str">
        <f aca="false">IF(A394="","",IF(H394&lt;&gt;"",UPPER(TRIM(H394)),IFERROR(CHOOSE(VALUE(E394)+1,"A","B","C","D"),IF(OR(LEFT(UPPER(TRIM(E394)),1)="F",UPPER(TRIM(E394))="A"),"A",IF(OR(LEFT(UPPER(TRIM(E394)),1)="M",UPPER(TRIM(E394))="B"),"B",IF(OR(LEFT(UPPER(TRIM(E394)),2)="SL",UPPER(TRIM(E394))="C"),"C",IF(OR(LEFT(UPPER(TRIM(E394)),1)="D",UPPER(TRIM(E394))="D"),"D","")))))))</f>
        <v/>
      </c>
      <c r="J394" s="27" t="str">
        <f aca="false">IF(I394="","",IF(AND(I394="D",Settings!$B$6&lt;&gt;"Yes"),"",IFERROR(INDEX(Settings!$C$9:$C$12,MATCH(I394,Settings!$A$9:$A$12,0)),"")))</f>
        <v/>
      </c>
      <c r="K394" s="27" t="str">
        <f aca="false">IF(J394="","",COUNTIF($I$2:I394,I394))</f>
        <v/>
      </c>
      <c r="L394" s="27" t="str">
        <f aca="false">IF(J394="","",CHOOSE(Q394+1,"Tue","Wed","Thu","Fri"))</f>
        <v/>
      </c>
      <c r="M394" s="27" t="str">
        <f aca="false">IF(J394="","",IF(J394=1,"Every week",R394+1&amp;" of "&amp;J394))</f>
        <v/>
      </c>
      <c r="N394" s="28" t="str">
        <f aca="false">IF(J394="","",Settings!$B$4+R394*7+Q394)</f>
        <v/>
      </c>
      <c r="O394" s="28" t="str">
        <f aca="true">IF(J394="","",N394+MAX(0,ROUNDUP((TODAY()-N394)/(J394*7),0))*J394*7)</f>
        <v/>
      </c>
      <c r="P394" s="27" t="str">
        <f aca="false">IF(J394="","",MOD(K394-1,J394*4))</f>
        <v/>
      </c>
      <c r="Q394" s="27" t="str">
        <f aca="false">IF(J394="","",MOD(P394,4))</f>
        <v/>
      </c>
      <c r="R394" s="27" t="str">
        <f aca="false">IF(J394="","",INT(P394/4))</f>
        <v/>
      </c>
      <c r="S394" s="27" t="str">
        <f aca="false">IF(J394="","",IF(AND('Daily Count Sheet'!$H$3=Q394,MOD('Daily Count Sheet'!$I$3,J394)=R394),1,""))</f>
        <v/>
      </c>
      <c r="T394" s="27" t="str">
        <f aca="false">IF(S394=1,COUNTIF($S$2:S394,1),"")</f>
        <v/>
      </c>
    </row>
    <row r="395" customFormat="false" ht="15" hidden="false" customHeight="false" outlineLevel="0" collapsed="false">
      <c r="H395" s="26"/>
      <c r="I395" s="27" t="str">
        <f aca="false">IF(A395="","",IF(H395&lt;&gt;"",UPPER(TRIM(H395)),IFERROR(CHOOSE(VALUE(E395)+1,"A","B","C","D"),IF(OR(LEFT(UPPER(TRIM(E395)),1)="F",UPPER(TRIM(E395))="A"),"A",IF(OR(LEFT(UPPER(TRIM(E395)),1)="M",UPPER(TRIM(E395))="B"),"B",IF(OR(LEFT(UPPER(TRIM(E395)),2)="SL",UPPER(TRIM(E395))="C"),"C",IF(OR(LEFT(UPPER(TRIM(E395)),1)="D",UPPER(TRIM(E395))="D"),"D","")))))))</f>
        <v/>
      </c>
      <c r="J395" s="27" t="str">
        <f aca="false">IF(I395="","",IF(AND(I395="D",Settings!$B$6&lt;&gt;"Yes"),"",IFERROR(INDEX(Settings!$C$9:$C$12,MATCH(I395,Settings!$A$9:$A$12,0)),"")))</f>
        <v/>
      </c>
      <c r="K395" s="27" t="str">
        <f aca="false">IF(J395="","",COUNTIF($I$2:I395,I395))</f>
        <v/>
      </c>
      <c r="L395" s="27" t="str">
        <f aca="false">IF(J395="","",CHOOSE(Q395+1,"Tue","Wed","Thu","Fri"))</f>
        <v/>
      </c>
      <c r="M395" s="27" t="str">
        <f aca="false">IF(J395="","",IF(J395=1,"Every week",R395+1&amp;" of "&amp;J395))</f>
        <v/>
      </c>
      <c r="N395" s="28" t="str">
        <f aca="false">IF(J395="","",Settings!$B$4+R395*7+Q395)</f>
        <v/>
      </c>
      <c r="O395" s="28" t="str">
        <f aca="true">IF(J395="","",N395+MAX(0,ROUNDUP((TODAY()-N395)/(J395*7),0))*J395*7)</f>
        <v/>
      </c>
      <c r="P395" s="27" t="str">
        <f aca="false">IF(J395="","",MOD(K395-1,J395*4))</f>
        <v/>
      </c>
      <c r="Q395" s="27" t="str">
        <f aca="false">IF(J395="","",MOD(P395,4))</f>
        <v/>
      </c>
      <c r="R395" s="27" t="str">
        <f aca="false">IF(J395="","",INT(P395/4))</f>
        <v/>
      </c>
      <c r="S395" s="27" t="str">
        <f aca="false">IF(J395="","",IF(AND('Daily Count Sheet'!$H$3=Q395,MOD('Daily Count Sheet'!$I$3,J395)=R395),1,""))</f>
        <v/>
      </c>
      <c r="T395" s="27" t="str">
        <f aca="false">IF(S395=1,COUNTIF($S$2:S395,1),"")</f>
        <v/>
      </c>
    </row>
    <row r="396" customFormat="false" ht="15" hidden="false" customHeight="false" outlineLevel="0" collapsed="false">
      <c r="H396" s="26"/>
      <c r="I396" s="27" t="str">
        <f aca="false">IF(A396="","",IF(H396&lt;&gt;"",UPPER(TRIM(H396)),IFERROR(CHOOSE(VALUE(E396)+1,"A","B","C","D"),IF(OR(LEFT(UPPER(TRIM(E396)),1)="F",UPPER(TRIM(E396))="A"),"A",IF(OR(LEFT(UPPER(TRIM(E396)),1)="M",UPPER(TRIM(E396))="B"),"B",IF(OR(LEFT(UPPER(TRIM(E396)),2)="SL",UPPER(TRIM(E396))="C"),"C",IF(OR(LEFT(UPPER(TRIM(E396)),1)="D",UPPER(TRIM(E396))="D"),"D","")))))))</f>
        <v/>
      </c>
      <c r="J396" s="27" t="str">
        <f aca="false">IF(I396="","",IF(AND(I396="D",Settings!$B$6&lt;&gt;"Yes"),"",IFERROR(INDEX(Settings!$C$9:$C$12,MATCH(I396,Settings!$A$9:$A$12,0)),"")))</f>
        <v/>
      </c>
      <c r="K396" s="27" t="str">
        <f aca="false">IF(J396="","",COUNTIF($I$2:I396,I396))</f>
        <v/>
      </c>
      <c r="L396" s="27" t="str">
        <f aca="false">IF(J396="","",CHOOSE(Q396+1,"Tue","Wed","Thu","Fri"))</f>
        <v/>
      </c>
      <c r="M396" s="27" t="str">
        <f aca="false">IF(J396="","",IF(J396=1,"Every week",R396+1&amp;" of "&amp;J396))</f>
        <v/>
      </c>
      <c r="N396" s="28" t="str">
        <f aca="false">IF(J396="","",Settings!$B$4+R396*7+Q396)</f>
        <v/>
      </c>
      <c r="O396" s="28" t="str">
        <f aca="true">IF(J396="","",N396+MAX(0,ROUNDUP((TODAY()-N396)/(J396*7),0))*J396*7)</f>
        <v/>
      </c>
      <c r="P396" s="27" t="str">
        <f aca="false">IF(J396="","",MOD(K396-1,J396*4))</f>
        <v/>
      </c>
      <c r="Q396" s="27" t="str">
        <f aca="false">IF(J396="","",MOD(P396,4))</f>
        <v/>
      </c>
      <c r="R396" s="27" t="str">
        <f aca="false">IF(J396="","",INT(P396/4))</f>
        <v/>
      </c>
      <c r="S396" s="27" t="str">
        <f aca="false">IF(J396="","",IF(AND('Daily Count Sheet'!$H$3=Q396,MOD('Daily Count Sheet'!$I$3,J396)=R396),1,""))</f>
        <v/>
      </c>
      <c r="T396" s="27" t="str">
        <f aca="false">IF(S396=1,COUNTIF($S$2:S396,1),"")</f>
        <v/>
      </c>
    </row>
    <row r="397" customFormat="false" ht="15" hidden="false" customHeight="false" outlineLevel="0" collapsed="false">
      <c r="H397" s="26"/>
      <c r="I397" s="27" t="str">
        <f aca="false">IF(A397="","",IF(H397&lt;&gt;"",UPPER(TRIM(H397)),IFERROR(CHOOSE(VALUE(E397)+1,"A","B","C","D"),IF(OR(LEFT(UPPER(TRIM(E397)),1)="F",UPPER(TRIM(E397))="A"),"A",IF(OR(LEFT(UPPER(TRIM(E397)),1)="M",UPPER(TRIM(E397))="B"),"B",IF(OR(LEFT(UPPER(TRIM(E397)),2)="SL",UPPER(TRIM(E397))="C"),"C",IF(OR(LEFT(UPPER(TRIM(E397)),1)="D",UPPER(TRIM(E397))="D"),"D","")))))))</f>
        <v/>
      </c>
      <c r="J397" s="27" t="str">
        <f aca="false">IF(I397="","",IF(AND(I397="D",Settings!$B$6&lt;&gt;"Yes"),"",IFERROR(INDEX(Settings!$C$9:$C$12,MATCH(I397,Settings!$A$9:$A$12,0)),"")))</f>
        <v/>
      </c>
      <c r="K397" s="27" t="str">
        <f aca="false">IF(J397="","",COUNTIF($I$2:I397,I397))</f>
        <v/>
      </c>
      <c r="L397" s="27" t="str">
        <f aca="false">IF(J397="","",CHOOSE(Q397+1,"Tue","Wed","Thu","Fri"))</f>
        <v/>
      </c>
      <c r="M397" s="27" t="str">
        <f aca="false">IF(J397="","",IF(J397=1,"Every week",R397+1&amp;" of "&amp;J397))</f>
        <v/>
      </c>
      <c r="N397" s="28" t="str">
        <f aca="false">IF(J397="","",Settings!$B$4+R397*7+Q397)</f>
        <v/>
      </c>
      <c r="O397" s="28" t="str">
        <f aca="true">IF(J397="","",N397+MAX(0,ROUNDUP((TODAY()-N397)/(J397*7),0))*J397*7)</f>
        <v/>
      </c>
      <c r="P397" s="27" t="str">
        <f aca="false">IF(J397="","",MOD(K397-1,J397*4))</f>
        <v/>
      </c>
      <c r="Q397" s="27" t="str">
        <f aca="false">IF(J397="","",MOD(P397,4))</f>
        <v/>
      </c>
      <c r="R397" s="27" t="str">
        <f aca="false">IF(J397="","",INT(P397/4))</f>
        <v/>
      </c>
      <c r="S397" s="27" t="str">
        <f aca="false">IF(J397="","",IF(AND('Daily Count Sheet'!$H$3=Q397,MOD('Daily Count Sheet'!$I$3,J397)=R397),1,""))</f>
        <v/>
      </c>
      <c r="T397" s="27" t="str">
        <f aca="false">IF(S397=1,COUNTIF($S$2:S397,1),"")</f>
        <v/>
      </c>
    </row>
    <row r="398" customFormat="false" ht="15" hidden="false" customHeight="false" outlineLevel="0" collapsed="false">
      <c r="H398" s="26"/>
      <c r="I398" s="27" t="str">
        <f aca="false">IF(A398="","",IF(H398&lt;&gt;"",UPPER(TRIM(H398)),IFERROR(CHOOSE(VALUE(E398)+1,"A","B","C","D"),IF(OR(LEFT(UPPER(TRIM(E398)),1)="F",UPPER(TRIM(E398))="A"),"A",IF(OR(LEFT(UPPER(TRIM(E398)),1)="M",UPPER(TRIM(E398))="B"),"B",IF(OR(LEFT(UPPER(TRIM(E398)),2)="SL",UPPER(TRIM(E398))="C"),"C",IF(OR(LEFT(UPPER(TRIM(E398)),1)="D",UPPER(TRIM(E398))="D"),"D","")))))))</f>
        <v/>
      </c>
      <c r="J398" s="27" t="str">
        <f aca="false">IF(I398="","",IF(AND(I398="D",Settings!$B$6&lt;&gt;"Yes"),"",IFERROR(INDEX(Settings!$C$9:$C$12,MATCH(I398,Settings!$A$9:$A$12,0)),"")))</f>
        <v/>
      </c>
      <c r="K398" s="27" t="str">
        <f aca="false">IF(J398="","",COUNTIF($I$2:I398,I398))</f>
        <v/>
      </c>
      <c r="L398" s="27" t="str">
        <f aca="false">IF(J398="","",CHOOSE(Q398+1,"Tue","Wed","Thu","Fri"))</f>
        <v/>
      </c>
      <c r="M398" s="27" t="str">
        <f aca="false">IF(J398="","",IF(J398=1,"Every week",R398+1&amp;" of "&amp;J398))</f>
        <v/>
      </c>
      <c r="N398" s="28" t="str">
        <f aca="false">IF(J398="","",Settings!$B$4+R398*7+Q398)</f>
        <v/>
      </c>
      <c r="O398" s="28" t="str">
        <f aca="true">IF(J398="","",N398+MAX(0,ROUNDUP((TODAY()-N398)/(J398*7),0))*J398*7)</f>
        <v/>
      </c>
      <c r="P398" s="27" t="str">
        <f aca="false">IF(J398="","",MOD(K398-1,J398*4))</f>
        <v/>
      </c>
      <c r="Q398" s="27" t="str">
        <f aca="false">IF(J398="","",MOD(P398,4))</f>
        <v/>
      </c>
      <c r="R398" s="27" t="str">
        <f aca="false">IF(J398="","",INT(P398/4))</f>
        <v/>
      </c>
      <c r="S398" s="27" t="str">
        <f aca="false">IF(J398="","",IF(AND('Daily Count Sheet'!$H$3=Q398,MOD('Daily Count Sheet'!$I$3,J398)=R398),1,""))</f>
        <v/>
      </c>
      <c r="T398" s="27" t="str">
        <f aca="false">IF(S398=1,COUNTIF($S$2:S398,1),"")</f>
        <v/>
      </c>
    </row>
    <row r="399" customFormat="false" ht="15" hidden="false" customHeight="false" outlineLevel="0" collapsed="false">
      <c r="H399" s="26"/>
      <c r="I399" s="27" t="str">
        <f aca="false">IF(A399="","",IF(H399&lt;&gt;"",UPPER(TRIM(H399)),IFERROR(CHOOSE(VALUE(E399)+1,"A","B","C","D"),IF(OR(LEFT(UPPER(TRIM(E399)),1)="F",UPPER(TRIM(E399))="A"),"A",IF(OR(LEFT(UPPER(TRIM(E399)),1)="M",UPPER(TRIM(E399))="B"),"B",IF(OR(LEFT(UPPER(TRIM(E399)),2)="SL",UPPER(TRIM(E399))="C"),"C",IF(OR(LEFT(UPPER(TRIM(E399)),1)="D",UPPER(TRIM(E399))="D"),"D","")))))))</f>
        <v/>
      </c>
      <c r="J399" s="27" t="str">
        <f aca="false">IF(I399="","",IF(AND(I399="D",Settings!$B$6&lt;&gt;"Yes"),"",IFERROR(INDEX(Settings!$C$9:$C$12,MATCH(I399,Settings!$A$9:$A$12,0)),"")))</f>
        <v/>
      </c>
      <c r="K399" s="27" t="str">
        <f aca="false">IF(J399="","",COUNTIF($I$2:I399,I399))</f>
        <v/>
      </c>
      <c r="L399" s="27" t="str">
        <f aca="false">IF(J399="","",CHOOSE(Q399+1,"Tue","Wed","Thu","Fri"))</f>
        <v/>
      </c>
      <c r="M399" s="27" t="str">
        <f aca="false">IF(J399="","",IF(J399=1,"Every week",R399+1&amp;" of "&amp;J399))</f>
        <v/>
      </c>
      <c r="N399" s="28" t="str">
        <f aca="false">IF(J399="","",Settings!$B$4+R399*7+Q399)</f>
        <v/>
      </c>
      <c r="O399" s="28" t="str">
        <f aca="true">IF(J399="","",N399+MAX(0,ROUNDUP((TODAY()-N399)/(J399*7),0))*J399*7)</f>
        <v/>
      </c>
      <c r="P399" s="27" t="str">
        <f aca="false">IF(J399="","",MOD(K399-1,J399*4))</f>
        <v/>
      </c>
      <c r="Q399" s="27" t="str">
        <f aca="false">IF(J399="","",MOD(P399,4))</f>
        <v/>
      </c>
      <c r="R399" s="27" t="str">
        <f aca="false">IF(J399="","",INT(P399/4))</f>
        <v/>
      </c>
      <c r="S399" s="27" t="str">
        <f aca="false">IF(J399="","",IF(AND('Daily Count Sheet'!$H$3=Q399,MOD('Daily Count Sheet'!$I$3,J399)=R399),1,""))</f>
        <v/>
      </c>
      <c r="T399" s="27" t="str">
        <f aca="false">IF(S399=1,COUNTIF($S$2:S399,1),"")</f>
        <v/>
      </c>
    </row>
    <row r="400" customFormat="false" ht="15" hidden="false" customHeight="false" outlineLevel="0" collapsed="false">
      <c r="H400" s="26"/>
      <c r="I400" s="27" t="str">
        <f aca="false">IF(A400="","",IF(H400&lt;&gt;"",UPPER(TRIM(H400)),IFERROR(CHOOSE(VALUE(E400)+1,"A","B","C","D"),IF(OR(LEFT(UPPER(TRIM(E400)),1)="F",UPPER(TRIM(E400))="A"),"A",IF(OR(LEFT(UPPER(TRIM(E400)),1)="M",UPPER(TRIM(E400))="B"),"B",IF(OR(LEFT(UPPER(TRIM(E400)),2)="SL",UPPER(TRIM(E400))="C"),"C",IF(OR(LEFT(UPPER(TRIM(E400)),1)="D",UPPER(TRIM(E400))="D"),"D","")))))))</f>
        <v/>
      </c>
      <c r="J400" s="27" t="str">
        <f aca="false">IF(I400="","",IF(AND(I400="D",Settings!$B$6&lt;&gt;"Yes"),"",IFERROR(INDEX(Settings!$C$9:$C$12,MATCH(I400,Settings!$A$9:$A$12,0)),"")))</f>
        <v/>
      </c>
      <c r="K400" s="27" t="str">
        <f aca="false">IF(J400="","",COUNTIF($I$2:I400,I400))</f>
        <v/>
      </c>
      <c r="L400" s="27" t="str">
        <f aca="false">IF(J400="","",CHOOSE(Q400+1,"Tue","Wed","Thu","Fri"))</f>
        <v/>
      </c>
      <c r="M400" s="27" t="str">
        <f aca="false">IF(J400="","",IF(J400=1,"Every week",R400+1&amp;" of "&amp;J400))</f>
        <v/>
      </c>
      <c r="N400" s="28" t="str">
        <f aca="false">IF(J400="","",Settings!$B$4+R400*7+Q400)</f>
        <v/>
      </c>
      <c r="O400" s="28" t="str">
        <f aca="true">IF(J400="","",N400+MAX(0,ROUNDUP((TODAY()-N400)/(J400*7),0))*J400*7)</f>
        <v/>
      </c>
      <c r="P400" s="27" t="str">
        <f aca="false">IF(J400="","",MOD(K400-1,J400*4))</f>
        <v/>
      </c>
      <c r="Q400" s="27" t="str">
        <f aca="false">IF(J400="","",MOD(P400,4))</f>
        <v/>
      </c>
      <c r="R400" s="27" t="str">
        <f aca="false">IF(J400="","",INT(P400/4))</f>
        <v/>
      </c>
      <c r="S400" s="27" t="str">
        <f aca="false">IF(J400="","",IF(AND('Daily Count Sheet'!$H$3=Q400,MOD('Daily Count Sheet'!$I$3,J400)=R400),1,""))</f>
        <v/>
      </c>
      <c r="T400" s="27" t="str">
        <f aca="false">IF(S400=1,COUNTIF($S$2:S400,1),"")</f>
        <v/>
      </c>
    </row>
    <row r="401" customFormat="false" ht="15" hidden="false" customHeight="false" outlineLevel="0" collapsed="false">
      <c r="H401" s="26"/>
      <c r="I401" s="27" t="str">
        <f aca="false">IF(A401="","",IF(H401&lt;&gt;"",UPPER(TRIM(H401)),IFERROR(CHOOSE(VALUE(E401)+1,"A","B","C","D"),IF(OR(LEFT(UPPER(TRIM(E401)),1)="F",UPPER(TRIM(E401))="A"),"A",IF(OR(LEFT(UPPER(TRIM(E401)),1)="M",UPPER(TRIM(E401))="B"),"B",IF(OR(LEFT(UPPER(TRIM(E401)),2)="SL",UPPER(TRIM(E401))="C"),"C",IF(OR(LEFT(UPPER(TRIM(E401)),1)="D",UPPER(TRIM(E401))="D"),"D","")))))))</f>
        <v/>
      </c>
      <c r="J401" s="27" t="str">
        <f aca="false">IF(I401="","",IF(AND(I401="D",Settings!$B$6&lt;&gt;"Yes"),"",IFERROR(INDEX(Settings!$C$9:$C$12,MATCH(I401,Settings!$A$9:$A$12,0)),"")))</f>
        <v/>
      </c>
      <c r="K401" s="27" t="str">
        <f aca="false">IF(J401="","",COUNTIF($I$2:I401,I401))</f>
        <v/>
      </c>
      <c r="L401" s="27" t="str">
        <f aca="false">IF(J401="","",CHOOSE(Q401+1,"Tue","Wed","Thu","Fri"))</f>
        <v/>
      </c>
      <c r="M401" s="27" t="str">
        <f aca="false">IF(J401="","",IF(J401=1,"Every week",R401+1&amp;" of "&amp;J401))</f>
        <v/>
      </c>
      <c r="N401" s="28" t="str">
        <f aca="false">IF(J401="","",Settings!$B$4+R401*7+Q401)</f>
        <v/>
      </c>
      <c r="O401" s="28" t="str">
        <f aca="true">IF(J401="","",N401+MAX(0,ROUNDUP((TODAY()-N401)/(J401*7),0))*J401*7)</f>
        <v/>
      </c>
      <c r="P401" s="27" t="str">
        <f aca="false">IF(J401="","",MOD(K401-1,J401*4))</f>
        <v/>
      </c>
      <c r="Q401" s="27" t="str">
        <f aca="false">IF(J401="","",MOD(P401,4))</f>
        <v/>
      </c>
      <c r="R401" s="27" t="str">
        <f aca="false">IF(J401="","",INT(P401/4))</f>
        <v/>
      </c>
      <c r="S401" s="27" t="str">
        <f aca="false">IF(J401="","",IF(AND('Daily Count Sheet'!$H$3=Q401,MOD('Daily Count Sheet'!$I$3,J401)=R401),1,""))</f>
        <v/>
      </c>
      <c r="T401" s="27" t="str">
        <f aca="false">IF(S401=1,COUNTIF($S$2:S401,1),"")</f>
        <v/>
      </c>
    </row>
    <row r="402" customFormat="false" ht="15" hidden="false" customHeight="false" outlineLevel="0" collapsed="false">
      <c r="H402" s="26"/>
      <c r="I402" s="27" t="str">
        <f aca="false">IF(A402="","",IF(H402&lt;&gt;"",UPPER(TRIM(H402)),IFERROR(CHOOSE(VALUE(E402)+1,"A","B","C","D"),IF(OR(LEFT(UPPER(TRIM(E402)),1)="F",UPPER(TRIM(E402))="A"),"A",IF(OR(LEFT(UPPER(TRIM(E402)),1)="M",UPPER(TRIM(E402))="B"),"B",IF(OR(LEFT(UPPER(TRIM(E402)),2)="SL",UPPER(TRIM(E402))="C"),"C",IF(OR(LEFT(UPPER(TRIM(E402)),1)="D",UPPER(TRIM(E402))="D"),"D","")))))))</f>
        <v/>
      </c>
      <c r="J402" s="27" t="str">
        <f aca="false">IF(I402="","",IF(AND(I402="D",Settings!$B$6&lt;&gt;"Yes"),"",IFERROR(INDEX(Settings!$C$9:$C$12,MATCH(I402,Settings!$A$9:$A$12,0)),"")))</f>
        <v/>
      </c>
      <c r="K402" s="27" t="str">
        <f aca="false">IF(J402="","",COUNTIF($I$2:I402,I402))</f>
        <v/>
      </c>
      <c r="L402" s="27" t="str">
        <f aca="false">IF(J402="","",CHOOSE(Q402+1,"Tue","Wed","Thu","Fri"))</f>
        <v/>
      </c>
      <c r="M402" s="27" t="str">
        <f aca="false">IF(J402="","",IF(J402=1,"Every week",R402+1&amp;" of "&amp;J402))</f>
        <v/>
      </c>
      <c r="N402" s="28" t="str">
        <f aca="false">IF(J402="","",Settings!$B$4+R402*7+Q402)</f>
        <v/>
      </c>
      <c r="O402" s="28" t="str">
        <f aca="true">IF(J402="","",N402+MAX(0,ROUNDUP((TODAY()-N402)/(J402*7),0))*J402*7)</f>
        <v/>
      </c>
      <c r="P402" s="27" t="str">
        <f aca="false">IF(J402="","",MOD(K402-1,J402*4))</f>
        <v/>
      </c>
      <c r="Q402" s="27" t="str">
        <f aca="false">IF(J402="","",MOD(P402,4))</f>
        <v/>
      </c>
      <c r="R402" s="27" t="str">
        <f aca="false">IF(J402="","",INT(P402/4))</f>
        <v/>
      </c>
      <c r="S402" s="27" t="str">
        <f aca="false">IF(J402="","",IF(AND('Daily Count Sheet'!$H$3=Q402,MOD('Daily Count Sheet'!$I$3,J402)=R402),1,""))</f>
        <v/>
      </c>
      <c r="T402" s="27" t="str">
        <f aca="false">IF(S402=1,COUNTIF($S$2:S402,1),"")</f>
        <v/>
      </c>
    </row>
    <row r="403" customFormat="false" ht="15" hidden="false" customHeight="false" outlineLevel="0" collapsed="false">
      <c r="H403" s="26"/>
      <c r="I403" s="27" t="str">
        <f aca="false">IF(A403="","",IF(H403&lt;&gt;"",UPPER(TRIM(H403)),IFERROR(CHOOSE(VALUE(E403)+1,"A","B","C","D"),IF(OR(LEFT(UPPER(TRIM(E403)),1)="F",UPPER(TRIM(E403))="A"),"A",IF(OR(LEFT(UPPER(TRIM(E403)),1)="M",UPPER(TRIM(E403))="B"),"B",IF(OR(LEFT(UPPER(TRIM(E403)),2)="SL",UPPER(TRIM(E403))="C"),"C",IF(OR(LEFT(UPPER(TRIM(E403)),1)="D",UPPER(TRIM(E403))="D"),"D","")))))))</f>
        <v/>
      </c>
      <c r="J403" s="27" t="str">
        <f aca="false">IF(I403="","",IF(AND(I403="D",Settings!$B$6&lt;&gt;"Yes"),"",IFERROR(INDEX(Settings!$C$9:$C$12,MATCH(I403,Settings!$A$9:$A$12,0)),"")))</f>
        <v/>
      </c>
      <c r="K403" s="27" t="str">
        <f aca="false">IF(J403="","",COUNTIF($I$2:I403,I403))</f>
        <v/>
      </c>
      <c r="L403" s="27" t="str">
        <f aca="false">IF(J403="","",CHOOSE(Q403+1,"Tue","Wed","Thu","Fri"))</f>
        <v/>
      </c>
      <c r="M403" s="27" t="str">
        <f aca="false">IF(J403="","",IF(J403=1,"Every week",R403+1&amp;" of "&amp;J403))</f>
        <v/>
      </c>
      <c r="N403" s="28" t="str">
        <f aca="false">IF(J403="","",Settings!$B$4+R403*7+Q403)</f>
        <v/>
      </c>
      <c r="O403" s="28" t="str">
        <f aca="true">IF(J403="","",N403+MAX(0,ROUNDUP((TODAY()-N403)/(J403*7),0))*J403*7)</f>
        <v/>
      </c>
      <c r="P403" s="27" t="str">
        <f aca="false">IF(J403="","",MOD(K403-1,J403*4))</f>
        <v/>
      </c>
      <c r="Q403" s="27" t="str">
        <f aca="false">IF(J403="","",MOD(P403,4))</f>
        <v/>
      </c>
      <c r="R403" s="27" t="str">
        <f aca="false">IF(J403="","",INT(P403/4))</f>
        <v/>
      </c>
      <c r="S403" s="27" t="str">
        <f aca="false">IF(J403="","",IF(AND('Daily Count Sheet'!$H$3=Q403,MOD('Daily Count Sheet'!$I$3,J403)=R403),1,""))</f>
        <v/>
      </c>
      <c r="T403" s="27" t="str">
        <f aca="false">IF(S403=1,COUNTIF($S$2:S403,1),"")</f>
        <v/>
      </c>
    </row>
    <row r="404" customFormat="false" ht="15" hidden="false" customHeight="false" outlineLevel="0" collapsed="false">
      <c r="H404" s="26"/>
      <c r="I404" s="27" t="str">
        <f aca="false">IF(A404="","",IF(H404&lt;&gt;"",UPPER(TRIM(H404)),IFERROR(CHOOSE(VALUE(E404)+1,"A","B","C","D"),IF(OR(LEFT(UPPER(TRIM(E404)),1)="F",UPPER(TRIM(E404))="A"),"A",IF(OR(LEFT(UPPER(TRIM(E404)),1)="M",UPPER(TRIM(E404))="B"),"B",IF(OR(LEFT(UPPER(TRIM(E404)),2)="SL",UPPER(TRIM(E404))="C"),"C",IF(OR(LEFT(UPPER(TRIM(E404)),1)="D",UPPER(TRIM(E404))="D"),"D","")))))))</f>
        <v/>
      </c>
      <c r="J404" s="27" t="str">
        <f aca="false">IF(I404="","",IF(AND(I404="D",Settings!$B$6&lt;&gt;"Yes"),"",IFERROR(INDEX(Settings!$C$9:$C$12,MATCH(I404,Settings!$A$9:$A$12,0)),"")))</f>
        <v/>
      </c>
      <c r="K404" s="27" t="str">
        <f aca="false">IF(J404="","",COUNTIF($I$2:I404,I404))</f>
        <v/>
      </c>
      <c r="L404" s="27" t="str">
        <f aca="false">IF(J404="","",CHOOSE(Q404+1,"Tue","Wed","Thu","Fri"))</f>
        <v/>
      </c>
      <c r="M404" s="27" t="str">
        <f aca="false">IF(J404="","",IF(J404=1,"Every week",R404+1&amp;" of "&amp;J404))</f>
        <v/>
      </c>
      <c r="N404" s="28" t="str">
        <f aca="false">IF(J404="","",Settings!$B$4+R404*7+Q404)</f>
        <v/>
      </c>
      <c r="O404" s="28" t="str">
        <f aca="true">IF(J404="","",N404+MAX(0,ROUNDUP((TODAY()-N404)/(J404*7),0))*J404*7)</f>
        <v/>
      </c>
      <c r="P404" s="27" t="str">
        <f aca="false">IF(J404="","",MOD(K404-1,J404*4))</f>
        <v/>
      </c>
      <c r="Q404" s="27" t="str">
        <f aca="false">IF(J404="","",MOD(P404,4))</f>
        <v/>
      </c>
      <c r="R404" s="27" t="str">
        <f aca="false">IF(J404="","",INT(P404/4))</f>
        <v/>
      </c>
      <c r="S404" s="27" t="str">
        <f aca="false">IF(J404="","",IF(AND('Daily Count Sheet'!$H$3=Q404,MOD('Daily Count Sheet'!$I$3,J404)=R404),1,""))</f>
        <v/>
      </c>
      <c r="T404" s="27" t="str">
        <f aca="false">IF(S404=1,COUNTIF($S$2:S404,1),"")</f>
        <v/>
      </c>
    </row>
    <row r="405" customFormat="false" ht="15" hidden="false" customHeight="false" outlineLevel="0" collapsed="false">
      <c r="H405" s="26"/>
      <c r="I405" s="27" t="str">
        <f aca="false">IF(A405="","",IF(H405&lt;&gt;"",UPPER(TRIM(H405)),IFERROR(CHOOSE(VALUE(E405)+1,"A","B","C","D"),IF(OR(LEFT(UPPER(TRIM(E405)),1)="F",UPPER(TRIM(E405))="A"),"A",IF(OR(LEFT(UPPER(TRIM(E405)),1)="M",UPPER(TRIM(E405))="B"),"B",IF(OR(LEFT(UPPER(TRIM(E405)),2)="SL",UPPER(TRIM(E405))="C"),"C",IF(OR(LEFT(UPPER(TRIM(E405)),1)="D",UPPER(TRIM(E405))="D"),"D","")))))))</f>
        <v/>
      </c>
      <c r="J405" s="27" t="str">
        <f aca="false">IF(I405="","",IF(AND(I405="D",Settings!$B$6&lt;&gt;"Yes"),"",IFERROR(INDEX(Settings!$C$9:$C$12,MATCH(I405,Settings!$A$9:$A$12,0)),"")))</f>
        <v/>
      </c>
      <c r="K405" s="27" t="str">
        <f aca="false">IF(J405="","",COUNTIF($I$2:I405,I405))</f>
        <v/>
      </c>
      <c r="L405" s="27" t="str">
        <f aca="false">IF(J405="","",CHOOSE(Q405+1,"Tue","Wed","Thu","Fri"))</f>
        <v/>
      </c>
      <c r="M405" s="27" t="str">
        <f aca="false">IF(J405="","",IF(J405=1,"Every week",R405+1&amp;" of "&amp;J405))</f>
        <v/>
      </c>
      <c r="N405" s="28" t="str">
        <f aca="false">IF(J405="","",Settings!$B$4+R405*7+Q405)</f>
        <v/>
      </c>
      <c r="O405" s="28" t="str">
        <f aca="true">IF(J405="","",N405+MAX(0,ROUNDUP((TODAY()-N405)/(J405*7),0))*J405*7)</f>
        <v/>
      </c>
      <c r="P405" s="27" t="str">
        <f aca="false">IF(J405="","",MOD(K405-1,J405*4))</f>
        <v/>
      </c>
      <c r="Q405" s="27" t="str">
        <f aca="false">IF(J405="","",MOD(P405,4))</f>
        <v/>
      </c>
      <c r="R405" s="27" t="str">
        <f aca="false">IF(J405="","",INT(P405/4))</f>
        <v/>
      </c>
      <c r="S405" s="27" t="str">
        <f aca="false">IF(J405="","",IF(AND('Daily Count Sheet'!$H$3=Q405,MOD('Daily Count Sheet'!$I$3,J405)=R405),1,""))</f>
        <v/>
      </c>
      <c r="T405" s="27" t="str">
        <f aca="false">IF(S405=1,COUNTIF($S$2:S405,1),"")</f>
        <v/>
      </c>
    </row>
    <row r="406" customFormat="false" ht="15" hidden="false" customHeight="false" outlineLevel="0" collapsed="false">
      <c r="H406" s="26"/>
      <c r="I406" s="27" t="str">
        <f aca="false">IF(A406="","",IF(H406&lt;&gt;"",UPPER(TRIM(H406)),IFERROR(CHOOSE(VALUE(E406)+1,"A","B","C","D"),IF(OR(LEFT(UPPER(TRIM(E406)),1)="F",UPPER(TRIM(E406))="A"),"A",IF(OR(LEFT(UPPER(TRIM(E406)),1)="M",UPPER(TRIM(E406))="B"),"B",IF(OR(LEFT(UPPER(TRIM(E406)),2)="SL",UPPER(TRIM(E406))="C"),"C",IF(OR(LEFT(UPPER(TRIM(E406)),1)="D",UPPER(TRIM(E406))="D"),"D","")))))))</f>
        <v/>
      </c>
      <c r="J406" s="27" t="str">
        <f aca="false">IF(I406="","",IF(AND(I406="D",Settings!$B$6&lt;&gt;"Yes"),"",IFERROR(INDEX(Settings!$C$9:$C$12,MATCH(I406,Settings!$A$9:$A$12,0)),"")))</f>
        <v/>
      </c>
      <c r="K406" s="27" t="str">
        <f aca="false">IF(J406="","",COUNTIF($I$2:I406,I406))</f>
        <v/>
      </c>
      <c r="L406" s="27" t="str">
        <f aca="false">IF(J406="","",CHOOSE(Q406+1,"Tue","Wed","Thu","Fri"))</f>
        <v/>
      </c>
      <c r="M406" s="27" t="str">
        <f aca="false">IF(J406="","",IF(J406=1,"Every week",R406+1&amp;" of "&amp;J406))</f>
        <v/>
      </c>
      <c r="N406" s="28" t="str">
        <f aca="false">IF(J406="","",Settings!$B$4+R406*7+Q406)</f>
        <v/>
      </c>
      <c r="O406" s="28" t="str">
        <f aca="true">IF(J406="","",N406+MAX(0,ROUNDUP((TODAY()-N406)/(J406*7),0))*J406*7)</f>
        <v/>
      </c>
      <c r="P406" s="27" t="str">
        <f aca="false">IF(J406="","",MOD(K406-1,J406*4))</f>
        <v/>
      </c>
      <c r="Q406" s="27" t="str">
        <f aca="false">IF(J406="","",MOD(P406,4))</f>
        <v/>
      </c>
      <c r="R406" s="27" t="str">
        <f aca="false">IF(J406="","",INT(P406/4))</f>
        <v/>
      </c>
      <c r="S406" s="27" t="str">
        <f aca="false">IF(J406="","",IF(AND('Daily Count Sheet'!$H$3=Q406,MOD('Daily Count Sheet'!$I$3,J406)=R406),1,""))</f>
        <v/>
      </c>
      <c r="T406" s="27" t="str">
        <f aca="false">IF(S406=1,COUNTIF($S$2:S406,1),"")</f>
        <v/>
      </c>
    </row>
    <row r="407" customFormat="false" ht="15" hidden="false" customHeight="false" outlineLevel="0" collapsed="false">
      <c r="H407" s="26"/>
      <c r="I407" s="27" t="str">
        <f aca="false">IF(A407="","",IF(H407&lt;&gt;"",UPPER(TRIM(H407)),IFERROR(CHOOSE(VALUE(E407)+1,"A","B","C","D"),IF(OR(LEFT(UPPER(TRIM(E407)),1)="F",UPPER(TRIM(E407))="A"),"A",IF(OR(LEFT(UPPER(TRIM(E407)),1)="M",UPPER(TRIM(E407))="B"),"B",IF(OR(LEFT(UPPER(TRIM(E407)),2)="SL",UPPER(TRIM(E407))="C"),"C",IF(OR(LEFT(UPPER(TRIM(E407)),1)="D",UPPER(TRIM(E407))="D"),"D","")))))))</f>
        <v/>
      </c>
      <c r="J407" s="27" t="str">
        <f aca="false">IF(I407="","",IF(AND(I407="D",Settings!$B$6&lt;&gt;"Yes"),"",IFERROR(INDEX(Settings!$C$9:$C$12,MATCH(I407,Settings!$A$9:$A$12,0)),"")))</f>
        <v/>
      </c>
      <c r="K407" s="27" t="str">
        <f aca="false">IF(J407="","",COUNTIF($I$2:I407,I407))</f>
        <v/>
      </c>
      <c r="L407" s="27" t="str">
        <f aca="false">IF(J407="","",CHOOSE(Q407+1,"Tue","Wed","Thu","Fri"))</f>
        <v/>
      </c>
      <c r="M407" s="27" t="str">
        <f aca="false">IF(J407="","",IF(J407=1,"Every week",R407+1&amp;" of "&amp;J407))</f>
        <v/>
      </c>
      <c r="N407" s="28" t="str">
        <f aca="false">IF(J407="","",Settings!$B$4+R407*7+Q407)</f>
        <v/>
      </c>
      <c r="O407" s="28" t="str">
        <f aca="true">IF(J407="","",N407+MAX(0,ROUNDUP((TODAY()-N407)/(J407*7),0))*J407*7)</f>
        <v/>
      </c>
      <c r="P407" s="27" t="str">
        <f aca="false">IF(J407="","",MOD(K407-1,J407*4))</f>
        <v/>
      </c>
      <c r="Q407" s="27" t="str">
        <f aca="false">IF(J407="","",MOD(P407,4))</f>
        <v/>
      </c>
      <c r="R407" s="27" t="str">
        <f aca="false">IF(J407="","",INT(P407/4))</f>
        <v/>
      </c>
      <c r="S407" s="27" t="str">
        <f aca="false">IF(J407="","",IF(AND('Daily Count Sheet'!$H$3=Q407,MOD('Daily Count Sheet'!$I$3,J407)=R407),1,""))</f>
        <v/>
      </c>
      <c r="T407" s="27" t="str">
        <f aca="false">IF(S407=1,COUNTIF($S$2:S407,1),"")</f>
        <v/>
      </c>
    </row>
    <row r="408" customFormat="false" ht="15" hidden="false" customHeight="false" outlineLevel="0" collapsed="false">
      <c r="H408" s="26"/>
      <c r="I408" s="27" t="str">
        <f aca="false">IF(A408="","",IF(H408&lt;&gt;"",UPPER(TRIM(H408)),IFERROR(CHOOSE(VALUE(E408)+1,"A","B","C","D"),IF(OR(LEFT(UPPER(TRIM(E408)),1)="F",UPPER(TRIM(E408))="A"),"A",IF(OR(LEFT(UPPER(TRIM(E408)),1)="M",UPPER(TRIM(E408))="B"),"B",IF(OR(LEFT(UPPER(TRIM(E408)),2)="SL",UPPER(TRIM(E408))="C"),"C",IF(OR(LEFT(UPPER(TRIM(E408)),1)="D",UPPER(TRIM(E408))="D"),"D","")))))))</f>
        <v/>
      </c>
      <c r="J408" s="27" t="str">
        <f aca="false">IF(I408="","",IF(AND(I408="D",Settings!$B$6&lt;&gt;"Yes"),"",IFERROR(INDEX(Settings!$C$9:$C$12,MATCH(I408,Settings!$A$9:$A$12,0)),"")))</f>
        <v/>
      </c>
      <c r="K408" s="27" t="str">
        <f aca="false">IF(J408="","",COUNTIF($I$2:I408,I408))</f>
        <v/>
      </c>
      <c r="L408" s="27" t="str">
        <f aca="false">IF(J408="","",CHOOSE(Q408+1,"Tue","Wed","Thu","Fri"))</f>
        <v/>
      </c>
      <c r="M408" s="27" t="str">
        <f aca="false">IF(J408="","",IF(J408=1,"Every week",R408+1&amp;" of "&amp;J408))</f>
        <v/>
      </c>
      <c r="N408" s="28" t="str">
        <f aca="false">IF(J408="","",Settings!$B$4+R408*7+Q408)</f>
        <v/>
      </c>
      <c r="O408" s="28" t="str">
        <f aca="true">IF(J408="","",N408+MAX(0,ROUNDUP((TODAY()-N408)/(J408*7),0))*J408*7)</f>
        <v/>
      </c>
      <c r="P408" s="27" t="str">
        <f aca="false">IF(J408="","",MOD(K408-1,J408*4))</f>
        <v/>
      </c>
      <c r="Q408" s="27" t="str">
        <f aca="false">IF(J408="","",MOD(P408,4))</f>
        <v/>
      </c>
      <c r="R408" s="27" t="str">
        <f aca="false">IF(J408="","",INT(P408/4))</f>
        <v/>
      </c>
      <c r="S408" s="27" t="str">
        <f aca="false">IF(J408="","",IF(AND('Daily Count Sheet'!$H$3=Q408,MOD('Daily Count Sheet'!$I$3,J408)=R408),1,""))</f>
        <v/>
      </c>
      <c r="T408" s="27" t="str">
        <f aca="false">IF(S408=1,COUNTIF($S$2:S408,1),"")</f>
        <v/>
      </c>
    </row>
    <row r="409" customFormat="false" ht="15" hidden="false" customHeight="false" outlineLevel="0" collapsed="false">
      <c r="H409" s="26"/>
      <c r="I409" s="27" t="str">
        <f aca="false">IF(A409="","",IF(H409&lt;&gt;"",UPPER(TRIM(H409)),IFERROR(CHOOSE(VALUE(E409)+1,"A","B","C","D"),IF(OR(LEFT(UPPER(TRIM(E409)),1)="F",UPPER(TRIM(E409))="A"),"A",IF(OR(LEFT(UPPER(TRIM(E409)),1)="M",UPPER(TRIM(E409))="B"),"B",IF(OR(LEFT(UPPER(TRIM(E409)),2)="SL",UPPER(TRIM(E409))="C"),"C",IF(OR(LEFT(UPPER(TRIM(E409)),1)="D",UPPER(TRIM(E409))="D"),"D","")))))))</f>
        <v/>
      </c>
      <c r="J409" s="27" t="str">
        <f aca="false">IF(I409="","",IF(AND(I409="D",Settings!$B$6&lt;&gt;"Yes"),"",IFERROR(INDEX(Settings!$C$9:$C$12,MATCH(I409,Settings!$A$9:$A$12,0)),"")))</f>
        <v/>
      </c>
      <c r="K409" s="27" t="str">
        <f aca="false">IF(J409="","",COUNTIF($I$2:I409,I409))</f>
        <v/>
      </c>
      <c r="L409" s="27" t="str">
        <f aca="false">IF(J409="","",CHOOSE(Q409+1,"Tue","Wed","Thu","Fri"))</f>
        <v/>
      </c>
      <c r="M409" s="27" t="str">
        <f aca="false">IF(J409="","",IF(J409=1,"Every week",R409+1&amp;" of "&amp;J409))</f>
        <v/>
      </c>
      <c r="N409" s="28" t="str">
        <f aca="false">IF(J409="","",Settings!$B$4+R409*7+Q409)</f>
        <v/>
      </c>
      <c r="O409" s="28" t="str">
        <f aca="true">IF(J409="","",N409+MAX(0,ROUNDUP((TODAY()-N409)/(J409*7),0))*J409*7)</f>
        <v/>
      </c>
      <c r="P409" s="27" t="str">
        <f aca="false">IF(J409="","",MOD(K409-1,J409*4))</f>
        <v/>
      </c>
      <c r="Q409" s="27" t="str">
        <f aca="false">IF(J409="","",MOD(P409,4))</f>
        <v/>
      </c>
      <c r="R409" s="27" t="str">
        <f aca="false">IF(J409="","",INT(P409/4))</f>
        <v/>
      </c>
      <c r="S409" s="27" t="str">
        <f aca="false">IF(J409="","",IF(AND('Daily Count Sheet'!$H$3=Q409,MOD('Daily Count Sheet'!$I$3,J409)=R409),1,""))</f>
        <v/>
      </c>
      <c r="T409" s="27" t="str">
        <f aca="false">IF(S409=1,COUNTIF($S$2:S409,1),"")</f>
        <v/>
      </c>
    </row>
    <row r="410" customFormat="false" ht="15" hidden="false" customHeight="false" outlineLevel="0" collapsed="false">
      <c r="H410" s="26"/>
      <c r="I410" s="27" t="str">
        <f aca="false">IF(A410="","",IF(H410&lt;&gt;"",UPPER(TRIM(H410)),IFERROR(CHOOSE(VALUE(E410)+1,"A","B","C","D"),IF(OR(LEFT(UPPER(TRIM(E410)),1)="F",UPPER(TRIM(E410))="A"),"A",IF(OR(LEFT(UPPER(TRIM(E410)),1)="M",UPPER(TRIM(E410))="B"),"B",IF(OR(LEFT(UPPER(TRIM(E410)),2)="SL",UPPER(TRIM(E410))="C"),"C",IF(OR(LEFT(UPPER(TRIM(E410)),1)="D",UPPER(TRIM(E410))="D"),"D","")))))))</f>
        <v/>
      </c>
      <c r="J410" s="27" t="str">
        <f aca="false">IF(I410="","",IF(AND(I410="D",Settings!$B$6&lt;&gt;"Yes"),"",IFERROR(INDEX(Settings!$C$9:$C$12,MATCH(I410,Settings!$A$9:$A$12,0)),"")))</f>
        <v/>
      </c>
      <c r="K410" s="27" t="str">
        <f aca="false">IF(J410="","",COUNTIF($I$2:I410,I410))</f>
        <v/>
      </c>
      <c r="L410" s="27" t="str">
        <f aca="false">IF(J410="","",CHOOSE(Q410+1,"Tue","Wed","Thu","Fri"))</f>
        <v/>
      </c>
      <c r="M410" s="27" t="str">
        <f aca="false">IF(J410="","",IF(J410=1,"Every week",R410+1&amp;" of "&amp;J410))</f>
        <v/>
      </c>
      <c r="N410" s="28" t="str">
        <f aca="false">IF(J410="","",Settings!$B$4+R410*7+Q410)</f>
        <v/>
      </c>
      <c r="O410" s="28" t="str">
        <f aca="true">IF(J410="","",N410+MAX(0,ROUNDUP((TODAY()-N410)/(J410*7),0))*J410*7)</f>
        <v/>
      </c>
      <c r="P410" s="27" t="str">
        <f aca="false">IF(J410="","",MOD(K410-1,J410*4))</f>
        <v/>
      </c>
      <c r="Q410" s="27" t="str">
        <f aca="false">IF(J410="","",MOD(P410,4))</f>
        <v/>
      </c>
      <c r="R410" s="27" t="str">
        <f aca="false">IF(J410="","",INT(P410/4))</f>
        <v/>
      </c>
      <c r="S410" s="27" t="str">
        <f aca="false">IF(J410="","",IF(AND('Daily Count Sheet'!$H$3=Q410,MOD('Daily Count Sheet'!$I$3,J410)=R410),1,""))</f>
        <v/>
      </c>
      <c r="T410" s="27" t="str">
        <f aca="false">IF(S410=1,COUNTIF($S$2:S410,1),"")</f>
        <v/>
      </c>
    </row>
    <row r="411" customFormat="false" ht="15" hidden="false" customHeight="false" outlineLevel="0" collapsed="false">
      <c r="H411" s="26"/>
      <c r="I411" s="27" t="str">
        <f aca="false">IF(A411="","",IF(H411&lt;&gt;"",UPPER(TRIM(H411)),IFERROR(CHOOSE(VALUE(E411)+1,"A","B","C","D"),IF(OR(LEFT(UPPER(TRIM(E411)),1)="F",UPPER(TRIM(E411))="A"),"A",IF(OR(LEFT(UPPER(TRIM(E411)),1)="M",UPPER(TRIM(E411))="B"),"B",IF(OR(LEFT(UPPER(TRIM(E411)),2)="SL",UPPER(TRIM(E411))="C"),"C",IF(OR(LEFT(UPPER(TRIM(E411)),1)="D",UPPER(TRIM(E411))="D"),"D","")))))))</f>
        <v/>
      </c>
      <c r="J411" s="27" t="str">
        <f aca="false">IF(I411="","",IF(AND(I411="D",Settings!$B$6&lt;&gt;"Yes"),"",IFERROR(INDEX(Settings!$C$9:$C$12,MATCH(I411,Settings!$A$9:$A$12,0)),"")))</f>
        <v/>
      </c>
      <c r="K411" s="27" t="str">
        <f aca="false">IF(J411="","",COUNTIF($I$2:I411,I411))</f>
        <v/>
      </c>
      <c r="L411" s="27" t="str">
        <f aca="false">IF(J411="","",CHOOSE(Q411+1,"Tue","Wed","Thu","Fri"))</f>
        <v/>
      </c>
      <c r="M411" s="27" t="str">
        <f aca="false">IF(J411="","",IF(J411=1,"Every week",R411+1&amp;" of "&amp;J411))</f>
        <v/>
      </c>
      <c r="N411" s="28" t="str">
        <f aca="false">IF(J411="","",Settings!$B$4+R411*7+Q411)</f>
        <v/>
      </c>
      <c r="O411" s="28" t="str">
        <f aca="true">IF(J411="","",N411+MAX(0,ROUNDUP((TODAY()-N411)/(J411*7),0))*J411*7)</f>
        <v/>
      </c>
      <c r="P411" s="27" t="str">
        <f aca="false">IF(J411="","",MOD(K411-1,J411*4))</f>
        <v/>
      </c>
      <c r="Q411" s="27" t="str">
        <f aca="false">IF(J411="","",MOD(P411,4))</f>
        <v/>
      </c>
      <c r="R411" s="27" t="str">
        <f aca="false">IF(J411="","",INT(P411/4))</f>
        <v/>
      </c>
      <c r="S411" s="27" t="str">
        <f aca="false">IF(J411="","",IF(AND('Daily Count Sheet'!$H$3=Q411,MOD('Daily Count Sheet'!$I$3,J411)=R411),1,""))</f>
        <v/>
      </c>
      <c r="T411" s="27" t="str">
        <f aca="false">IF(S411=1,COUNTIF($S$2:S411,1),"")</f>
        <v/>
      </c>
    </row>
    <row r="412" customFormat="false" ht="15" hidden="false" customHeight="false" outlineLevel="0" collapsed="false">
      <c r="H412" s="26"/>
      <c r="I412" s="27" t="str">
        <f aca="false">IF(A412="","",IF(H412&lt;&gt;"",UPPER(TRIM(H412)),IFERROR(CHOOSE(VALUE(E412)+1,"A","B","C","D"),IF(OR(LEFT(UPPER(TRIM(E412)),1)="F",UPPER(TRIM(E412))="A"),"A",IF(OR(LEFT(UPPER(TRIM(E412)),1)="M",UPPER(TRIM(E412))="B"),"B",IF(OR(LEFT(UPPER(TRIM(E412)),2)="SL",UPPER(TRIM(E412))="C"),"C",IF(OR(LEFT(UPPER(TRIM(E412)),1)="D",UPPER(TRIM(E412))="D"),"D","")))))))</f>
        <v/>
      </c>
      <c r="J412" s="27" t="str">
        <f aca="false">IF(I412="","",IF(AND(I412="D",Settings!$B$6&lt;&gt;"Yes"),"",IFERROR(INDEX(Settings!$C$9:$C$12,MATCH(I412,Settings!$A$9:$A$12,0)),"")))</f>
        <v/>
      </c>
      <c r="K412" s="27" t="str">
        <f aca="false">IF(J412="","",COUNTIF($I$2:I412,I412))</f>
        <v/>
      </c>
      <c r="L412" s="27" t="str">
        <f aca="false">IF(J412="","",CHOOSE(Q412+1,"Tue","Wed","Thu","Fri"))</f>
        <v/>
      </c>
      <c r="M412" s="27" t="str">
        <f aca="false">IF(J412="","",IF(J412=1,"Every week",R412+1&amp;" of "&amp;J412))</f>
        <v/>
      </c>
      <c r="N412" s="28" t="str">
        <f aca="false">IF(J412="","",Settings!$B$4+R412*7+Q412)</f>
        <v/>
      </c>
      <c r="O412" s="28" t="str">
        <f aca="true">IF(J412="","",N412+MAX(0,ROUNDUP((TODAY()-N412)/(J412*7),0))*J412*7)</f>
        <v/>
      </c>
      <c r="P412" s="27" t="str">
        <f aca="false">IF(J412="","",MOD(K412-1,J412*4))</f>
        <v/>
      </c>
      <c r="Q412" s="27" t="str">
        <f aca="false">IF(J412="","",MOD(P412,4))</f>
        <v/>
      </c>
      <c r="R412" s="27" t="str">
        <f aca="false">IF(J412="","",INT(P412/4))</f>
        <v/>
      </c>
      <c r="S412" s="27" t="str">
        <f aca="false">IF(J412="","",IF(AND('Daily Count Sheet'!$H$3=Q412,MOD('Daily Count Sheet'!$I$3,J412)=R412),1,""))</f>
        <v/>
      </c>
      <c r="T412" s="27" t="str">
        <f aca="false">IF(S412=1,COUNTIF($S$2:S412,1),"")</f>
        <v/>
      </c>
    </row>
    <row r="413" customFormat="false" ht="15" hidden="false" customHeight="false" outlineLevel="0" collapsed="false">
      <c r="H413" s="26"/>
      <c r="I413" s="27" t="str">
        <f aca="false">IF(A413="","",IF(H413&lt;&gt;"",UPPER(TRIM(H413)),IFERROR(CHOOSE(VALUE(E413)+1,"A","B","C","D"),IF(OR(LEFT(UPPER(TRIM(E413)),1)="F",UPPER(TRIM(E413))="A"),"A",IF(OR(LEFT(UPPER(TRIM(E413)),1)="M",UPPER(TRIM(E413))="B"),"B",IF(OR(LEFT(UPPER(TRIM(E413)),2)="SL",UPPER(TRIM(E413))="C"),"C",IF(OR(LEFT(UPPER(TRIM(E413)),1)="D",UPPER(TRIM(E413))="D"),"D","")))))))</f>
        <v/>
      </c>
      <c r="J413" s="27" t="str">
        <f aca="false">IF(I413="","",IF(AND(I413="D",Settings!$B$6&lt;&gt;"Yes"),"",IFERROR(INDEX(Settings!$C$9:$C$12,MATCH(I413,Settings!$A$9:$A$12,0)),"")))</f>
        <v/>
      </c>
      <c r="K413" s="27" t="str">
        <f aca="false">IF(J413="","",COUNTIF($I$2:I413,I413))</f>
        <v/>
      </c>
      <c r="L413" s="27" t="str">
        <f aca="false">IF(J413="","",CHOOSE(Q413+1,"Tue","Wed","Thu","Fri"))</f>
        <v/>
      </c>
      <c r="M413" s="27" t="str">
        <f aca="false">IF(J413="","",IF(J413=1,"Every week",R413+1&amp;" of "&amp;J413))</f>
        <v/>
      </c>
      <c r="N413" s="28" t="str">
        <f aca="false">IF(J413="","",Settings!$B$4+R413*7+Q413)</f>
        <v/>
      </c>
      <c r="O413" s="28" t="str">
        <f aca="true">IF(J413="","",N413+MAX(0,ROUNDUP((TODAY()-N413)/(J413*7),0))*J413*7)</f>
        <v/>
      </c>
      <c r="P413" s="27" t="str">
        <f aca="false">IF(J413="","",MOD(K413-1,J413*4))</f>
        <v/>
      </c>
      <c r="Q413" s="27" t="str">
        <f aca="false">IF(J413="","",MOD(P413,4))</f>
        <v/>
      </c>
      <c r="R413" s="27" t="str">
        <f aca="false">IF(J413="","",INT(P413/4))</f>
        <v/>
      </c>
      <c r="S413" s="27" t="str">
        <f aca="false">IF(J413="","",IF(AND('Daily Count Sheet'!$H$3=Q413,MOD('Daily Count Sheet'!$I$3,J413)=R413),1,""))</f>
        <v/>
      </c>
      <c r="T413" s="27" t="str">
        <f aca="false">IF(S413=1,COUNTIF($S$2:S413,1),"")</f>
        <v/>
      </c>
    </row>
    <row r="414" customFormat="false" ht="15" hidden="false" customHeight="false" outlineLevel="0" collapsed="false">
      <c r="H414" s="26"/>
      <c r="I414" s="27" t="str">
        <f aca="false">IF(A414="","",IF(H414&lt;&gt;"",UPPER(TRIM(H414)),IFERROR(CHOOSE(VALUE(E414)+1,"A","B","C","D"),IF(OR(LEFT(UPPER(TRIM(E414)),1)="F",UPPER(TRIM(E414))="A"),"A",IF(OR(LEFT(UPPER(TRIM(E414)),1)="M",UPPER(TRIM(E414))="B"),"B",IF(OR(LEFT(UPPER(TRIM(E414)),2)="SL",UPPER(TRIM(E414))="C"),"C",IF(OR(LEFT(UPPER(TRIM(E414)),1)="D",UPPER(TRIM(E414))="D"),"D","")))))))</f>
        <v/>
      </c>
      <c r="J414" s="27" t="str">
        <f aca="false">IF(I414="","",IF(AND(I414="D",Settings!$B$6&lt;&gt;"Yes"),"",IFERROR(INDEX(Settings!$C$9:$C$12,MATCH(I414,Settings!$A$9:$A$12,0)),"")))</f>
        <v/>
      </c>
      <c r="K414" s="27" t="str">
        <f aca="false">IF(J414="","",COUNTIF($I$2:I414,I414))</f>
        <v/>
      </c>
      <c r="L414" s="27" t="str">
        <f aca="false">IF(J414="","",CHOOSE(Q414+1,"Tue","Wed","Thu","Fri"))</f>
        <v/>
      </c>
      <c r="M414" s="27" t="str">
        <f aca="false">IF(J414="","",IF(J414=1,"Every week",R414+1&amp;" of "&amp;J414))</f>
        <v/>
      </c>
      <c r="N414" s="28" t="str">
        <f aca="false">IF(J414="","",Settings!$B$4+R414*7+Q414)</f>
        <v/>
      </c>
      <c r="O414" s="28" t="str">
        <f aca="true">IF(J414="","",N414+MAX(0,ROUNDUP((TODAY()-N414)/(J414*7),0))*J414*7)</f>
        <v/>
      </c>
      <c r="P414" s="27" t="str">
        <f aca="false">IF(J414="","",MOD(K414-1,J414*4))</f>
        <v/>
      </c>
      <c r="Q414" s="27" t="str">
        <f aca="false">IF(J414="","",MOD(P414,4))</f>
        <v/>
      </c>
      <c r="R414" s="27" t="str">
        <f aca="false">IF(J414="","",INT(P414/4))</f>
        <v/>
      </c>
      <c r="S414" s="27" t="str">
        <f aca="false">IF(J414="","",IF(AND('Daily Count Sheet'!$H$3=Q414,MOD('Daily Count Sheet'!$I$3,J414)=R414),1,""))</f>
        <v/>
      </c>
      <c r="T414" s="27" t="str">
        <f aca="false">IF(S414=1,COUNTIF($S$2:S414,1),"")</f>
        <v/>
      </c>
    </row>
    <row r="415" customFormat="false" ht="15" hidden="false" customHeight="false" outlineLevel="0" collapsed="false">
      <c r="H415" s="26"/>
      <c r="I415" s="27" t="str">
        <f aca="false">IF(A415="","",IF(H415&lt;&gt;"",UPPER(TRIM(H415)),IFERROR(CHOOSE(VALUE(E415)+1,"A","B","C","D"),IF(OR(LEFT(UPPER(TRIM(E415)),1)="F",UPPER(TRIM(E415))="A"),"A",IF(OR(LEFT(UPPER(TRIM(E415)),1)="M",UPPER(TRIM(E415))="B"),"B",IF(OR(LEFT(UPPER(TRIM(E415)),2)="SL",UPPER(TRIM(E415))="C"),"C",IF(OR(LEFT(UPPER(TRIM(E415)),1)="D",UPPER(TRIM(E415))="D"),"D","")))))))</f>
        <v/>
      </c>
      <c r="J415" s="27" t="str">
        <f aca="false">IF(I415="","",IF(AND(I415="D",Settings!$B$6&lt;&gt;"Yes"),"",IFERROR(INDEX(Settings!$C$9:$C$12,MATCH(I415,Settings!$A$9:$A$12,0)),"")))</f>
        <v/>
      </c>
      <c r="K415" s="27" t="str">
        <f aca="false">IF(J415="","",COUNTIF($I$2:I415,I415))</f>
        <v/>
      </c>
      <c r="L415" s="27" t="str">
        <f aca="false">IF(J415="","",CHOOSE(Q415+1,"Tue","Wed","Thu","Fri"))</f>
        <v/>
      </c>
      <c r="M415" s="27" t="str">
        <f aca="false">IF(J415="","",IF(J415=1,"Every week",R415+1&amp;" of "&amp;J415))</f>
        <v/>
      </c>
      <c r="N415" s="28" t="str">
        <f aca="false">IF(J415="","",Settings!$B$4+R415*7+Q415)</f>
        <v/>
      </c>
      <c r="O415" s="28" t="str">
        <f aca="true">IF(J415="","",N415+MAX(0,ROUNDUP((TODAY()-N415)/(J415*7),0))*J415*7)</f>
        <v/>
      </c>
      <c r="P415" s="27" t="str">
        <f aca="false">IF(J415="","",MOD(K415-1,J415*4))</f>
        <v/>
      </c>
      <c r="Q415" s="27" t="str">
        <f aca="false">IF(J415="","",MOD(P415,4))</f>
        <v/>
      </c>
      <c r="R415" s="27" t="str">
        <f aca="false">IF(J415="","",INT(P415/4))</f>
        <v/>
      </c>
      <c r="S415" s="27" t="str">
        <f aca="false">IF(J415="","",IF(AND('Daily Count Sheet'!$H$3=Q415,MOD('Daily Count Sheet'!$I$3,J415)=R415),1,""))</f>
        <v/>
      </c>
      <c r="T415" s="27" t="str">
        <f aca="false">IF(S415=1,COUNTIF($S$2:S415,1),"")</f>
        <v/>
      </c>
    </row>
    <row r="416" customFormat="false" ht="15" hidden="false" customHeight="false" outlineLevel="0" collapsed="false">
      <c r="H416" s="26"/>
      <c r="I416" s="27" t="str">
        <f aca="false">IF(A416="","",IF(H416&lt;&gt;"",UPPER(TRIM(H416)),IFERROR(CHOOSE(VALUE(E416)+1,"A","B","C","D"),IF(OR(LEFT(UPPER(TRIM(E416)),1)="F",UPPER(TRIM(E416))="A"),"A",IF(OR(LEFT(UPPER(TRIM(E416)),1)="M",UPPER(TRIM(E416))="B"),"B",IF(OR(LEFT(UPPER(TRIM(E416)),2)="SL",UPPER(TRIM(E416))="C"),"C",IF(OR(LEFT(UPPER(TRIM(E416)),1)="D",UPPER(TRIM(E416))="D"),"D","")))))))</f>
        <v/>
      </c>
      <c r="J416" s="27" t="str">
        <f aca="false">IF(I416="","",IF(AND(I416="D",Settings!$B$6&lt;&gt;"Yes"),"",IFERROR(INDEX(Settings!$C$9:$C$12,MATCH(I416,Settings!$A$9:$A$12,0)),"")))</f>
        <v/>
      </c>
      <c r="K416" s="27" t="str">
        <f aca="false">IF(J416="","",COUNTIF($I$2:I416,I416))</f>
        <v/>
      </c>
      <c r="L416" s="27" t="str">
        <f aca="false">IF(J416="","",CHOOSE(Q416+1,"Tue","Wed","Thu","Fri"))</f>
        <v/>
      </c>
      <c r="M416" s="27" t="str">
        <f aca="false">IF(J416="","",IF(J416=1,"Every week",R416+1&amp;" of "&amp;J416))</f>
        <v/>
      </c>
      <c r="N416" s="28" t="str">
        <f aca="false">IF(J416="","",Settings!$B$4+R416*7+Q416)</f>
        <v/>
      </c>
      <c r="O416" s="28" t="str">
        <f aca="true">IF(J416="","",N416+MAX(0,ROUNDUP((TODAY()-N416)/(J416*7),0))*J416*7)</f>
        <v/>
      </c>
      <c r="P416" s="27" t="str">
        <f aca="false">IF(J416="","",MOD(K416-1,J416*4))</f>
        <v/>
      </c>
      <c r="Q416" s="27" t="str">
        <f aca="false">IF(J416="","",MOD(P416,4))</f>
        <v/>
      </c>
      <c r="R416" s="27" t="str">
        <f aca="false">IF(J416="","",INT(P416/4))</f>
        <v/>
      </c>
      <c r="S416" s="27" t="str">
        <f aca="false">IF(J416="","",IF(AND('Daily Count Sheet'!$H$3=Q416,MOD('Daily Count Sheet'!$I$3,J416)=R416),1,""))</f>
        <v/>
      </c>
      <c r="T416" s="27" t="str">
        <f aca="false">IF(S416=1,COUNTIF($S$2:S416,1),"")</f>
        <v/>
      </c>
    </row>
    <row r="417" customFormat="false" ht="15" hidden="false" customHeight="false" outlineLevel="0" collapsed="false">
      <c r="H417" s="26"/>
      <c r="I417" s="27" t="str">
        <f aca="false">IF(A417="","",IF(H417&lt;&gt;"",UPPER(TRIM(H417)),IFERROR(CHOOSE(VALUE(E417)+1,"A","B","C","D"),IF(OR(LEFT(UPPER(TRIM(E417)),1)="F",UPPER(TRIM(E417))="A"),"A",IF(OR(LEFT(UPPER(TRIM(E417)),1)="M",UPPER(TRIM(E417))="B"),"B",IF(OR(LEFT(UPPER(TRIM(E417)),2)="SL",UPPER(TRIM(E417))="C"),"C",IF(OR(LEFT(UPPER(TRIM(E417)),1)="D",UPPER(TRIM(E417))="D"),"D","")))))))</f>
        <v/>
      </c>
      <c r="J417" s="27" t="str">
        <f aca="false">IF(I417="","",IF(AND(I417="D",Settings!$B$6&lt;&gt;"Yes"),"",IFERROR(INDEX(Settings!$C$9:$C$12,MATCH(I417,Settings!$A$9:$A$12,0)),"")))</f>
        <v/>
      </c>
      <c r="K417" s="27" t="str">
        <f aca="false">IF(J417="","",COUNTIF($I$2:I417,I417))</f>
        <v/>
      </c>
      <c r="L417" s="27" t="str">
        <f aca="false">IF(J417="","",CHOOSE(Q417+1,"Tue","Wed","Thu","Fri"))</f>
        <v/>
      </c>
      <c r="M417" s="27" t="str">
        <f aca="false">IF(J417="","",IF(J417=1,"Every week",R417+1&amp;" of "&amp;J417))</f>
        <v/>
      </c>
      <c r="N417" s="28" t="str">
        <f aca="false">IF(J417="","",Settings!$B$4+R417*7+Q417)</f>
        <v/>
      </c>
      <c r="O417" s="28" t="str">
        <f aca="true">IF(J417="","",N417+MAX(0,ROUNDUP((TODAY()-N417)/(J417*7),0))*J417*7)</f>
        <v/>
      </c>
      <c r="P417" s="27" t="str">
        <f aca="false">IF(J417="","",MOD(K417-1,J417*4))</f>
        <v/>
      </c>
      <c r="Q417" s="27" t="str">
        <f aca="false">IF(J417="","",MOD(P417,4))</f>
        <v/>
      </c>
      <c r="R417" s="27" t="str">
        <f aca="false">IF(J417="","",INT(P417/4))</f>
        <v/>
      </c>
      <c r="S417" s="27" t="str">
        <f aca="false">IF(J417="","",IF(AND('Daily Count Sheet'!$H$3=Q417,MOD('Daily Count Sheet'!$I$3,J417)=R417),1,""))</f>
        <v/>
      </c>
      <c r="T417" s="27" t="str">
        <f aca="false">IF(S417=1,COUNTIF($S$2:S417,1),"")</f>
        <v/>
      </c>
    </row>
    <row r="418" customFormat="false" ht="15" hidden="false" customHeight="false" outlineLevel="0" collapsed="false">
      <c r="H418" s="26"/>
      <c r="I418" s="27" t="str">
        <f aca="false">IF(A418="","",IF(H418&lt;&gt;"",UPPER(TRIM(H418)),IFERROR(CHOOSE(VALUE(E418)+1,"A","B","C","D"),IF(OR(LEFT(UPPER(TRIM(E418)),1)="F",UPPER(TRIM(E418))="A"),"A",IF(OR(LEFT(UPPER(TRIM(E418)),1)="M",UPPER(TRIM(E418))="B"),"B",IF(OR(LEFT(UPPER(TRIM(E418)),2)="SL",UPPER(TRIM(E418))="C"),"C",IF(OR(LEFT(UPPER(TRIM(E418)),1)="D",UPPER(TRIM(E418))="D"),"D","")))))))</f>
        <v/>
      </c>
      <c r="J418" s="27" t="str">
        <f aca="false">IF(I418="","",IF(AND(I418="D",Settings!$B$6&lt;&gt;"Yes"),"",IFERROR(INDEX(Settings!$C$9:$C$12,MATCH(I418,Settings!$A$9:$A$12,0)),"")))</f>
        <v/>
      </c>
      <c r="K418" s="27" t="str">
        <f aca="false">IF(J418="","",COUNTIF($I$2:I418,I418))</f>
        <v/>
      </c>
      <c r="L418" s="27" t="str">
        <f aca="false">IF(J418="","",CHOOSE(Q418+1,"Tue","Wed","Thu","Fri"))</f>
        <v/>
      </c>
      <c r="M418" s="27" t="str">
        <f aca="false">IF(J418="","",IF(J418=1,"Every week",R418+1&amp;" of "&amp;J418))</f>
        <v/>
      </c>
      <c r="N418" s="28" t="str">
        <f aca="false">IF(J418="","",Settings!$B$4+R418*7+Q418)</f>
        <v/>
      </c>
      <c r="O418" s="28" t="str">
        <f aca="true">IF(J418="","",N418+MAX(0,ROUNDUP((TODAY()-N418)/(J418*7),0))*J418*7)</f>
        <v/>
      </c>
      <c r="P418" s="27" t="str">
        <f aca="false">IF(J418="","",MOD(K418-1,J418*4))</f>
        <v/>
      </c>
      <c r="Q418" s="27" t="str">
        <f aca="false">IF(J418="","",MOD(P418,4))</f>
        <v/>
      </c>
      <c r="R418" s="27" t="str">
        <f aca="false">IF(J418="","",INT(P418/4))</f>
        <v/>
      </c>
      <c r="S418" s="27" t="str">
        <f aca="false">IF(J418="","",IF(AND('Daily Count Sheet'!$H$3=Q418,MOD('Daily Count Sheet'!$I$3,J418)=R418),1,""))</f>
        <v/>
      </c>
      <c r="T418" s="27" t="str">
        <f aca="false">IF(S418=1,COUNTIF($S$2:S418,1),"")</f>
        <v/>
      </c>
    </row>
    <row r="419" customFormat="false" ht="15" hidden="false" customHeight="false" outlineLevel="0" collapsed="false">
      <c r="H419" s="26"/>
      <c r="I419" s="27" t="str">
        <f aca="false">IF(A419="","",IF(H419&lt;&gt;"",UPPER(TRIM(H419)),IFERROR(CHOOSE(VALUE(E419)+1,"A","B","C","D"),IF(OR(LEFT(UPPER(TRIM(E419)),1)="F",UPPER(TRIM(E419))="A"),"A",IF(OR(LEFT(UPPER(TRIM(E419)),1)="M",UPPER(TRIM(E419))="B"),"B",IF(OR(LEFT(UPPER(TRIM(E419)),2)="SL",UPPER(TRIM(E419))="C"),"C",IF(OR(LEFT(UPPER(TRIM(E419)),1)="D",UPPER(TRIM(E419))="D"),"D","")))))))</f>
        <v/>
      </c>
      <c r="J419" s="27" t="str">
        <f aca="false">IF(I419="","",IF(AND(I419="D",Settings!$B$6&lt;&gt;"Yes"),"",IFERROR(INDEX(Settings!$C$9:$C$12,MATCH(I419,Settings!$A$9:$A$12,0)),"")))</f>
        <v/>
      </c>
      <c r="K419" s="27" t="str">
        <f aca="false">IF(J419="","",COUNTIF($I$2:I419,I419))</f>
        <v/>
      </c>
      <c r="L419" s="27" t="str">
        <f aca="false">IF(J419="","",CHOOSE(Q419+1,"Tue","Wed","Thu","Fri"))</f>
        <v/>
      </c>
      <c r="M419" s="27" t="str">
        <f aca="false">IF(J419="","",IF(J419=1,"Every week",R419+1&amp;" of "&amp;J419))</f>
        <v/>
      </c>
      <c r="N419" s="28" t="str">
        <f aca="false">IF(J419="","",Settings!$B$4+R419*7+Q419)</f>
        <v/>
      </c>
      <c r="O419" s="28" t="str">
        <f aca="true">IF(J419="","",N419+MAX(0,ROUNDUP((TODAY()-N419)/(J419*7),0))*J419*7)</f>
        <v/>
      </c>
      <c r="P419" s="27" t="str">
        <f aca="false">IF(J419="","",MOD(K419-1,J419*4))</f>
        <v/>
      </c>
      <c r="Q419" s="27" t="str">
        <f aca="false">IF(J419="","",MOD(P419,4))</f>
        <v/>
      </c>
      <c r="R419" s="27" t="str">
        <f aca="false">IF(J419="","",INT(P419/4))</f>
        <v/>
      </c>
      <c r="S419" s="27" t="str">
        <f aca="false">IF(J419="","",IF(AND('Daily Count Sheet'!$H$3=Q419,MOD('Daily Count Sheet'!$I$3,J419)=R419),1,""))</f>
        <v/>
      </c>
      <c r="T419" s="27" t="str">
        <f aca="false">IF(S419=1,COUNTIF($S$2:S419,1),"")</f>
        <v/>
      </c>
    </row>
    <row r="420" customFormat="false" ht="15" hidden="false" customHeight="false" outlineLevel="0" collapsed="false">
      <c r="H420" s="26"/>
      <c r="I420" s="27" t="str">
        <f aca="false">IF(A420="","",IF(H420&lt;&gt;"",UPPER(TRIM(H420)),IFERROR(CHOOSE(VALUE(E420)+1,"A","B","C","D"),IF(OR(LEFT(UPPER(TRIM(E420)),1)="F",UPPER(TRIM(E420))="A"),"A",IF(OR(LEFT(UPPER(TRIM(E420)),1)="M",UPPER(TRIM(E420))="B"),"B",IF(OR(LEFT(UPPER(TRIM(E420)),2)="SL",UPPER(TRIM(E420))="C"),"C",IF(OR(LEFT(UPPER(TRIM(E420)),1)="D",UPPER(TRIM(E420))="D"),"D","")))))))</f>
        <v/>
      </c>
      <c r="J420" s="27" t="str">
        <f aca="false">IF(I420="","",IF(AND(I420="D",Settings!$B$6&lt;&gt;"Yes"),"",IFERROR(INDEX(Settings!$C$9:$C$12,MATCH(I420,Settings!$A$9:$A$12,0)),"")))</f>
        <v/>
      </c>
      <c r="K420" s="27" t="str">
        <f aca="false">IF(J420="","",COUNTIF($I$2:I420,I420))</f>
        <v/>
      </c>
      <c r="L420" s="27" t="str">
        <f aca="false">IF(J420="","",CHOOSE(Q420+1,"Tue","Wed","Thu","Fri"))</f>
        <v/>
      </c>
      <c r="M420" s="27" t="str">
        <f aca="false">IF(J420="","",IF(J420=1,"Every week",R420+1&amp;" of "&amp;J420))</f>
        <v/>
      </c>
      <c r="N420" s="28" t="str">
        <f aca="false">IF(J420="","",Settings!$B$4+R420*7+Q420)</f>
        <v/>
      </c>
      <c r="O420" s="28" t="str">
        <f aca="true">IF(J420="","",N420+MAX(0,ROUNDUP((TODAY()-N420)/(J420*7),0))*J420*7)</f>
        <v/>
      </c>
      <c r="P420" s="27" t="str">
        <f aca="false">IF(J420="","",MOD(K420-1,J420*4))</f>
        <v/>
      </c>
      <c r="Q420" s="27" t="str">
        <f aca="false">IF(J420="","",MOD(P420,4))</f>
        <v/>
      </c>
      <c r="R420" s="27" t="str">
        <f aca="false">IF(J420="","",INT(P420/4))</f>
        <v/>
      </c>
      <c r="S420" s="27" t="str">
        <f aca="false">IF(J420="","",IF(AND('Daily Count Sheet'!$H$3=Q420,MOD('Daily Count Sheet'!$I$3,J420)=R420),1,""))</f>
        <v/>
      </c>
      <c r="T420" s="27" t="str">
        <f aca="false">IF(S420=1,COUNTIF($S$2:S420,1),"")</f>
        <v/>
      </c>
    </row>
    <row r="421" customFormat="false" ht="15" hidden="false" customHeight="false" outlineLevel="0" collapsed="false">
      <c r="H421" s="26"/>
      <c r="I421" s="27" t="str">
        <f aca="false">IF(A421="","",IF(H421&lt;&gt;"",UPPER(TRIM(H421)),IFERROR(CHOOSE(VALUE(E421)+1,"A","B","C","D"),IF(OR(LEFT(UPPER(TRIM(E421)),1)="F",UPPER(TRIM(E421))="A"),"A",IF(OR(LEFT(UPPER(TRIM(E421)),1)="M",UPPER(TRIM(E421))="B"),"B",IF(OR(LEFT(UPPER(TRIM(E421)),2)="SL",UPPER(TRIM(E421))="C"),"C",IF(OR(LEFT(UPPER(TRIM(E421)),1)="D",UPPER(TRIM(E421))="D"),"D","")))))))</f>
        <v/>
      </c>
      <c r="J421" s="27" t="str">
        <f aca="false">IF(I421="","",IF(AND(I421="D",Settings!$B$6&lt;&gt;"Yes"),"",IFERROR(INDEX(Settings!$C$9:$C$12,MATCH(I421,Settings!$A$9:$A$12,0)),"")))</f>
        <v/>
      </c>
      <c r="K421" s="27" t="str">
        <f aca="false">IF(J421="","",COUNTIF($I$2:I421,I421))</f>
        <v/>
      </c>
      <c r="L421" s="27" t="str">
        <f aca="false">IF(J421="","",CHOOSE(Q421+1,"Tue","Wed","Thu","Fri"))</f>
        <v/>
      </c>
      <c r="M421" s="27" t="str">
        <f aca="false">IF(J421="","",IF(J421=1,"Every week",R421+1&amp;" of "&amp;J421))</f>
        <v/>
      </c>
      <c r="N421" s="28" t="str">
        <f aca="false">IF(J421="","",Settings!$B$4+R421*7+Q421)</f>
        <v/>
      </c>
      <c r="O421" s="28" t="str">
        <f aca="true">IF(J421="","",N421+MAX(0,ROUNDUP((TODAY()-N421)/(J421*7),0))*J421*7)</f>
        <v/>
      </c>
      <c r="P421" s="27" t="str">
        <f aca="false">IF(J421="","",MOD(K421-1,J421*4))</f>
        <v/>
      </c>
      <c r="Q421" s="27" t="str">
        <f aca="false">IF(J421="","",MOD(P421,4))</f>
        <v/>
      </c>
      <c r="R421" s="27" t="str">
        <f aca="false">IF(J421="","",INT(P421/4))</f>
        <v/>
      </c>
      <c r="S421" s="27" t="str">
        <f aca="false">IF(J421="","",IF(AND('Daily Count Sheet'!$H$3=Q421,MOD('Daily Count Sheet'!$I$3,J421)=R421),1,""))</f>
        <v/>
      </c>
      <c r="T421" s="27" t="str">
        <f aca="false">IF(S421=1,COUNTIF($S$2:S421,1),"")</f>
        <v/>
      </c>
    </row>
    <row r="422" customFormat="false" ht="15" hidden="false" customHeight="false" outlineLevel="0" collapsed="false">
      <c r="H422" s="26"/>
      <c r="I422" s="27" t="str">
        <f aca="false">IF(A422="","",IF(H422&lt;&gt;"",UPPER(TRIM(H422)),IFERROR(CHOOSE(VALUE(E422)+1,"A","B","C","D"),IF(OR(LEFT(UPPER(TRIM(E422)),1)="F",UPPER(TRIM(E422))="A"),"A",IF(OR(LEFT(UPPER(TRIM(E422)),1)="M",UPPER(TRIM(E422))="B"),"B",IF(OR(LEFT(UPPER(TRIM(E422)),2)="SL",UPPER(TRIM(E422))="C"),"C",IF(OR(LEFT(UPPER(TRIM(E422)),1)="D",UPPER(TRIM(E422))="D"),"D","")))))))</f>
        <v/>
      </c>
      <c r="J422" s="27" t="str">
        <f aca="false">IF(I422="","",IF(AND(I422="D",Settings!$B$6&lt;&gt;"Yes"),"",IFERROR(INDEX(Settings!$C$9:$C$12,MATCH(I422,Settings!$A$9:$A$12,0)),"")))</f>
        <v/>
      </c>
      <c r="K422" s="27" t="str">
        <f aca="false">IF(J422="","",COUNTIF($I$2:I422,I422))</f>
        <v/>
      </c>
      <c r="L422" s="27" t="str">
        <f aca="false">IF(J422="","",CHOOSE(Q422+1,"Tue","Wed","Thu","Fri"))</f>
        <v/>
      </c>
      <c r="M422" s="27" t="str">
        <f aca="false">IF(J422="","",IF(J422=1,"Every week",R422+1&amp;" of "&amp;J422))</f>
        <v/>
      </c>
      <c r="N422" s="28" t="str">
        <f aca="false">IF(J422="","",Settings!$B$4+R422*7+Q422)</f>
        <v/>
      </c>
      <c r="O422" s="28" t="str">
        <f aca="true">IF(J422="","",N422+MAX(0,ROUNDUP((TODAY()-N422)/(J422*7),0))*J422*7)</f>
        <v/>
      </c>
      <c r="P422" s="27" t="str">
        <f aca="false">IF(J422="","",MOD(K422-1,J422*4))</f>
        <v/>
      </c>
      <c r="Q422" s="27" t="str">
        <f aca="false">IF(J422="","",MOD(P422,4))</f>
        <v/>
      </c>
      <c r="R422" s="27" t="str">
        <f aca="false">IF(J422="","",INT(P422/4))</f>
        <v/>
      </c>
      <c r="S422" s="27" t="str">
        <f aca="false">IF(J422="","",IF(AND('Daily Count Sheet'!$H$3=Q422,MOD('Daily Count Sheet'!$I$3,J422)=R422),1,""))</f>
        <v/>
      </c>
      <c r="T422" s="27" t="str">
        <f aca="false">IF(S422=1,COUNTIF($S$2:S422,1),"")</f>
        <v/>
      </c>
    </row>
    <row r="423" customFormat="false" ht="15" hidden="false" customHeight="false" outlineLevel="0" collapsed="false">
      <c r="H423" s="26"/>
      <c r="I423" s="27" t="str">
        <f aca="false">IF(A423="","",IF(H423&lt;&gt;"",UPPER(TRIM(H423)),IFERROR(CHOOSE(VALUE(E423)+1,"A","B","C","D"),IF(OR(LEFT(UPPER(TRIM(E423)),1)="F",UPPER(TRIM(E423))="A"),"A",IF(OR(LEFT(UPPER(TRIM(E423)),1)="M",UPPER(TRIM(E423))="B"),"B",IF(OR(LEFT(UPPER(TRIM(E423)),2)="SL",UPPER(TRIM(E423))="C"),"C",IF(OR(LEFT(UPPER(TRIM(E423)),1)="D",UPPER(TRIM(E423))="D"),"D","")))))))</f>
        <v/>
      </c>
      <c r="J423" s="27" t="str">
        <f aca="false">IF(I423="","",IF(AND(I423="D",Settings!$B$6&lt;&gt;"Yes"),"",IFERROR(INDEX(Settings!$C$9:$C$12,MATCH(I423,Settings!$A$9:$A$12,0)),"")))</f>
        <v/>
      </c>
      <c r="K423" s="27" t="str">
        <f aca="false">IF(J423="","",COUNTIF($I$2:I423,I423))</f>
        <v/>
      </c>
      <c r="L423" s="27" t="str">
        <f aca="false">IF(J423="","",CHOOSE(Q423+1,"Tue","Wed","Thu","Fri"))</f>
        <v/>
      </c>
      <c r="M423" s="27" t="str">
        <f aca="false">IF(J423="","",IF(J423=1,"Every week",R423+1&amp;" of "&amp;J423))</f>
        <v/>
      </c>
      <c r="N423" s="28" t="str">
        <f aca="false">IF(J423="","",Settings!$B$4+R423*7+Q423)</f>
        <v/>
      </c>
      <c r="O423" s="28" t="str">
        <f aca="true">IF(J423="","",N423+MAX(0,ROUNDUP((TODAY()-N423)/(J423*7),0))*J423*7)</f>
        <v/>
      </c>
      <c r="P423" s="27" t="str">
        <f aca="false">IF(J423="","",MOD(K423-1,J423*4))</f>
        <v/>
      </c>
      <c r="Q423" s="27" t="str">
        <f aca="false">IF(J423="","",MOD(P423,4))</f>
        <v/>
      </c>
      <c r="R423" s="27" t="str">
        <f aca="false">IF(J423="","",INT(P423/4))</f>
        <v/>
      </c>
      <c r="S423" s="27" t="str">
        <f aca="false">IF(J423="","",IF(AND('Daily Count Sheet'!$H$3=Q423,MOD('Daily Count Sheet'!$I$3,J423)=R423),1,""))</f>
        <v/>
      </c>
      <c r="T423" s="27" t="str">
        <f aca="false">IF(S423=1,COUNTIF($S$2:S423,1),"")</f>
        <v/>
      </c>
    </row>
    <row r="424" customFormat="false" ht="15" hidden="false" customHeight="false" outlineLevel="0" collapsed="false">
      <c r="H424" s="26"/>
      <c r="I424" s="27" t="str">
        <f aca="false">IF(A424="","",IF(H424&lt;&gt;"",UPPER(TRIM(H424)),IFERROR(CHOOSE(VALUE(E424)+1,"A","B","C","D"),IF(OR(LEFT(UPPER(TRIM(E424)),1)="F",UPPER(TRIM(E424))="A"),"A",IF(OR(LEFT(UPPER(TRIM(E424)),1)="M",UPPER(TRIM(E424))="B"),"B",IF(OR(LEFT(UPPER(TRIM(E424)),2)="SL",UPPER(TRIM(E424))="C"),"C",IF(OR(LEFT(UPPER(TRIM(E424)),1)="D",UPPER(TRIM(E424))="D"),"D","")))))))</f>
        <v/>
      </c>
      <c r="J424" s="27" t="str">
        <f aca="false">IF(I424="","",IF(AND(I424="D",Settings!$B$6&lt;&gt;"Yes"),"",IFERROR(INDEX(Settings!$C$9:$C$12,MATCH(I424,Settings!$A$9:$A$12,0)),"")))</f>
        <v/>
      </c>
      <c r="K424" s="27" t="str">
        <f aca="false">IF(J424="","",COUNTIF($I$2:I424,I424))</f>
        <v/>
      </c>
      <c r="L424" s="27" t="str">
        <f aca="false">IF(J424="","",CHOOSE(Q424+1,"Tue","Wed","Thu","Fri"))</f>
        <v/>
      </c>
      <c r="M424" s="27" t="str">
        <f aca="false">IF(J424="","",IF(J424=1,"Every week",R424+1&amp;" of "&amp;J424))</f>
        <v/>
      </c>
      <c r="N424" s="28" t="str">
        <f aca="false">IF(J424="","",Settings!$B$4+R424*7+Q424)</f>
        <v/>
      </c>
      <c r="O424" s="28" t="str">
        <f aca="true">IF(J424="","",N424+MAX(0,ROUNDUP((TODAY()-N424)/(J424*7),0))*J424*7)</f>
        <v/>
      </c>
      <c r="P424" s="27" t="str">
        <f aca="false">IF(J424="","",MOD(K424-1,J424*4))</f>
        <v/>
      </c>
      <c r="Q424" s="27" t="str">
        <f aca="false">IF(J424="","",MOD(P424,4))</f>
        <v/>
      </c>
      <c r="R424" s="27" t="str">
        <f aca="false">IF(J424="","",INT(P424/4))</f>
        <v/>
      </c>
      <c r="S424" s="27" t="str">
        <f aca="false">IF(J424="","",IF(AND('Daily Count Sheet'!$H$3=Q424,MOD('Daily Count Sheet'!$I$3,J424)=R424),1,""))</f>
        <v/>
      </c>
      <c r="T424" s="27" t="str">
        <f aca="false">IF(S424=1,COUNTIF($S$2:S424,1),"")</f>
        <v/>
      </c>
    </row>
    <row r="425" customFormat="false" ht="15" hidden="false" customHeight="false" outlineLevel="0" collapsed="false">
      <c r="H425" s="26"/>
      <c r="I425" s="27" t="str">
        <f aca="false">IF(A425="","",IF(H425&lt;&gt;"",UPPER(TRIM(H425)),IFERROR(CHOOSE(VALUE(E425)+1,"A","B","C","D"),IF(OR(LEFT(UPPER(TRIM(E425)),1)="F",UPPER(TRIM(E425))="A"),"A",IF(OR(LEFT(UPPER(TRIM(E425)),1)="M",UPPER(TRIM(E425))="B"),"B",IF(OR(LEFT(UPPER(TRIM(E425)),2)="SL",UPPER(TRIM(E425))="C"),"C",IF(OR(LEFT(UPPER(TRIM(E425)),1)="D",UPPER(TRIM(E425))="D"),"D","")))))))</f>
        <v/>
      </c>
      <c r="J425" s="27" t="str">
        <f aca="false">IF(I425="","",IF(AND(I425="D",Settings!$B$6&lt;&gt;"Yes"),"",IFERROR(INDEX(Settings!$C$9:$C$12,MATCH(I425,Settings!$A$9:$A$12,0)),"")))</f>
        <v/>
      </c>
      <c r="K425" s="27" t="str">
        <f aca="false">IF(J425="","",COUNTIF($I$2:I425,I425))</f>
        <v/>
      </c>
      <c r="L425" s="27" t="str">
        <f aca="false">IF(J425="","",CHOOSE(Q425+1,"Tue","Wed","Thu","Fri"))</f>
        <v/>
      </c>
      <c r="M425" s="27" t="str">
        <f aca="false">IF(J425="","",IF(J425=1,"Every week",R425+1&amp;" of "&amp;J425))</f>
        <v/>
      </c>
      <c r="N425" s="28" t="str">
        <f aca="false">IF(J425="","",Settings!$B$4+R425*7+Q425)</f>
        <v/>
      </c>
      <c r="O425" s="28" t="str">
        <f aca="true">IF(J425="","",N425+MAX(0,ROUNDUP((TODAY()-N425)/(J425*7),0))*J425*7)</f>
        <v/>
      </c>
      <c r="P425" s="27" t="str">
        <f aca="false">IF(J425="","",MOD(K425-1,J425*4))</f>
        <v/>
      </c>
      <c r="Q425" s="27" t="str">
        <f aca="false">IF(J425="","",MOD(P425,4))</f>
        <v/>
      </c>
      <c r="R425" s="27" t="str">
        <f aca="false">IF(J425="","",INT(P425/4))</f>
        <v/>
      </c>
      <c r="S425" s="27" t="str">
        <f aca="false">IF(J425="","",IF(AND('Daily Count Sheet'!$H$3=Q425,MOD('Daily Count Sheet'!$I$3,J425)=R425),1,""))</f>
        <v/>
      </c>
      <c r="T425" s="27" t="str">
        <f aca="false">IF(S425=1,COUNTIF($S$2:S425,1),"")</f>
        <v/>
      </c>
    </row>
    <row r="426" customFormat="false" ht="15" hidden="false" customHeight="false" outlineLevel="0" collapsed="false">
      <c r="H426" s="26"/>
      <c r="I426" s="27" t="str">
        <f aca="false">IF(A426="","",IF(H426&lt;&gt;"",UPPER(TRIM(H426)),IFERROR(CHOOSE(VALUE(E426)+1,"A","B","C","D"),IF(OR(LEFT(UPPER(TRIM(E426)),1)="F",UPPER(TRIM(E426))="A"),"A",IF(OR(LEFT(UPPER(TRIM(E426)),1)="M",UPPER(TRIM(E426))="B"),"B",IF(OR(LEFT(UPPER(TRIM(E426)),2)="SL",UPPER(TRIM(E426))="C"),"C",IF(OR(LEFT(UPPER(TRIM(E426)),1)="D",UPPER(TRIM(E426))="D"),"D","")))))))</f>
        <v/>
      </c>
      <c r="J426" s="27" t="str">
        <f aca="false">IF(I426="","",IF(AND(I426="D",Settings!$B$6&lt;&gt;"Yes"),"",IFERROR(INDEX(Settings!$C$9:$C$12,MATCH(I426,Settings!$A$9:$A$12,0)),"")))</f>
        <v/>
      </c>
      <c r="K426" s="27" t="str">
        <f aca="false">IF(J426="","",COUNTIF($I$2:I426,I426))</f>
        <v/>
      </c>
      <c r="L426" s="27" t="str">
        <f aca="false">IF(J426="","",CHOOSE(Q426+1,"Tue","Wed","Thu","Fri"))</f>
        <v/>
      </c>
      <c r="M426" s="27" t="str">
        <f aca="false">IF(J426="","",IF(J426=1,"Every week",R426+1&amp;" of "&amp;J426))</f>
        <v/>
      </c>
      <c r="N426" s="28" t="str">
        <f aca="false">IF(J426="","",Settings!$B$4+R426*7+Q426)</f>
        <v/>
      </c>
      <c r="O426" s="28" t="str">
        <f aca="true">IF(J426="","",N426+MAX(0,ROUNDUP((TODAY()-N426)/(J426*7),0))*J426*7)</f>
        <v/>
      </c>
      <c r="P426" s="27" t="str">
        <f aca="false">IF(J426="","",MOD(K426-1,J426*4))</f>
        <v/>
      </c>
      <c r="Q426" s="27" t="str">
        <f aca="false">IF(J426="","",MOD(P426,4))</f>
        <v/>
      </c>
      <c r="R426" s="27" t="str">
        <f aca="false">IF(J426="","",INT(P426/4))</f>
        <v/>
      </c>
      <c r="S426" s="27" t="str">
        <f aca="false">IF(J426="","",IF(AND('Daily Count Sheet'!$H$3=Q426,MOD('Daily Count Sheet'!$I$3,J426)=R426),1,""))</f>
        <v/>
      </c>
      <c r="T426" s="27" t="str">
        <f aca="false">IF(S426=1,COUNTIF($S$2:S426,1),"")</f>
        <v/>
      </c>
    </row>
    <row r="427" customFormat="false" ht="15" hidden="false" customHeight="false" outlineLevel="0" collapsed="false">
      <c r="H427" s="26"/>
      <c r="I427" s="27" t="str">
        <f aca="false">IF(A427="","",IF(H427&lt;&gt;"",UPPER(TRIM(H427)),IFERROR(CHOOSE(VALUE(E427)+1,"A","B","C","D"),IF(OR(LEFT(UPPER(TRIM(E427)),1)="F",UPPER(TRIM(E427))="A"),"A",IF(OR(LEFT(UPPER(TRIM(E427)),1)="M",UPPER(TRIM(E427))="B"),"B",IF(OR(LEFT(UPPER(TRIM(E427)),2)="SL",UPPER(TRIM(E427))="C"),"C",IF(OR(LEFT(UPPER(TRIM(E427)),1)="D",UPPER(TRIM(E427))="D"),"D","")))))))</f>
        <v/>
      </c>
      <c r="J427" s="27" t="str">
        <f aca="false">IF(I427="","",IF(AND(I427="D",Settings!$B$6&lt;&gt;"Yes"),"",IFERROR(INDEX(Settings!$C$9:$C$12,MATCH(I427,Settings!$A$9:$A$12,0)),"")))</f>
        <v/>
      </c>
      <c r="K427" s="27" t="str">
        <f aca="false">IF(J427="","",COUNTIF($I$2:I427,I427))</f>
        <v/>
      </c>
      <c r="L427" s="27" t="str">
        <f aca="false">IF(J427="","",CHOOSE(Q427+1,"Tue","Wed","Thu","Fri"))</f>
        <v/>
      </c>
      <c r="M427" s="27" t="str">
        <f aca="false">IF(J427="","",IF(J427=1,"Every week",R427+1&amp;" of "&amp;J427))</f>
        <v/>
      </c>
      <c r="N427" s="28" t="str">
        <f aca="false">IF(J427="","",Settings!$B$4+R427*7+Q427)</f>
        <v/>
      </c>
      <c r="O427" s="28" t="str">
        <f aca="true">IF(J427="","",N427+MAX(0,ROUNDUP((TODAY()-N427)/(J427*7),0))*J427*7)</f>
        <v/>
      </c>
      <c r="P427" s="27" t="str">
        <f aca="false">IF(J427="","",MOD(K427-1,J427*4))</f>
        <v/>
      </c>
      <c r="Q427" s="27" t="str">
        <f aca="false">IF(J427="","",MOD(P427,4))</f>
        <v/>
      </c>
      <c r="R427" s="27" t="str">
        <f aca="false">IF(J427="","",INT(P427/4))</f>
        <v/>
      </c>
      <c r="S427" s="27" t="str">
        <f aca="false">IF(J427="","",IF(AND('Daily Count Sheet'!$H$3=Q427,MOD('Daily Count Sheet'!$I$3,J427)=R427),1,""))</f>
        <v/>
      </c>
      <c r="T427" s="27" t="str">
        <f aca="false">IF(S427=1,COUNTIF($S$2:S427,1),"")</f>
        <v/>
      </c>
    </row>
    <row r="428" customFormat="false" ht="15" hidden="false" customHeight="false" outlineLevel="0" collapsed="false">
      <c r="H428" s="26"/>
      <c r="I428" s="27" t="str">
        <f aca="false">IF(A428="","",IF(H428&lt;&gt;"",UPPER(TRIM(H428)),IFERROR(CHOOSE(VALUE(E428)+1,"A","B","C","D"),IF(OR(LEFT(UPPER(TRIM(E428)),1)="F",UPPER(TRIM(E428))="A"),"A",IF(OR(LEFT(UPPER(TRIM(E428)),1)="M",UPPER(TRIM(E428))="B"),"B",IF(OR(LEFT(UPPER(TRIM(E428)),2)="SL",UPPER(TRIM(E428))="C"),"C",IF(OR(LEFT(UPPER(TRIM(E428)),1)="D",UPPER(TRIM(E428))="D"),"D","")))))))</f>
        <v/>
      </c>
      <c r="J428" s="27" t="str">
        <f aca="false">IF(I428="","",IF(AND(I428="D",Settings!$B$6&lt;&gt;"Yes"),"",IFERROR(INDEX(Settings!$C$9:$C$12,MATCH(I428,Settings!$A$9:$A$12,0)),"")))</f>
        <v/>
      </c>
      <c r="K428" s="27" t="str">
        <f aca="false">IF(J428="","",COUNTIF($I$2:I428,I428))</f>
        <v/>
      </c>
      <c r="L428" s="27" t="str">
        <f aca="false">IF(J428="","",CHOOSE(Q428+1,"Tue","Wed","Thu","Fri"))</f>
        <v/>
      </c>
      <c r="M428" s="27" t="str">
        <f aca="false">IF(J428="","",IF(J428=1,"Every week",R428+1&amp;" of "&amp;J428))</f>
        <v/>
      </c>
      <c r="N428" s="28" t="str">
        <f aca="false">IF(J428="","",Settings!$B$4+R428*7+Q428)</f>
        <v/>
      </c>
      <c r="O428" s="28" t="str">
        <f aca="true">IF(J428="","",N428+MAX(0,ROUNDUP((TODAY()-N428)/(J428*7),0))*J428*7)</f>
        <v/>
      </c>
      <c r="P428" s="27" t="str">
        <f aca="false">IF(J428="","",MOD(K428-1,J428*4))</f>
        <v/>
      </c>
      <c r="Q428" s="27" t="str">
        <f aca="false">IF(J428="","",MOD(P428,4))</f>
        <v/>
      </c>
      <c r="R428" s="27" t="str">
        <f aca="false">IF(J428="","",INT(P428/4))</f>
        <v/>
      </c>
      <c r="S428" s="27" t="str">
        <f aca="false">IF(J428="","",IF(AND('Daily Count Sheet'!$H$3=Q428,MOD('Daily Count Sheet'!$I$3,J428)=R428),1,""))</f>
        <v/>
      </c>
      <c r="T428" s="27" t="str">
        <f aca="false">IF(S428=1,COUNTIF($S$2:S428,1),"")</f>
        <v/>
      </c>
    </row>
    <row r="429" customFormat="false" ht="15" hidden="false" customHeight="false" outlineLevel="0" collapsed="false">
      <c r="H429" s="26"/>
      <c r="I429" s="27" t="str">
        <f aca="false">IF(A429="","",IF(H429&lt;&gt;"",UPPER(TRIM(H429)),IFERROR(CHOOSE(VALUE(E429)+1,"A","B","C","D"),IF(OR(LEFT(UPPER(TRIM(E429)),1)="F",UPPER(TRIM(E429))="A"),"A",IF(OR(LEFT(UPPER(TRIM(E429)),1)="M",UPPER(TRIM(E429))="B"),"B",IF(OR(LEFT(UPPER(TRIM(E429)),2)="SL",UPPER(TRIM(E429))="C"),"C",IF(OR(LEFT(UPPER(TRIM(E429)),1)="D",UPPER(TRIM(E429))="D"),"D","")))))))</f>
        <v/>
      </c>
      <c r="J429" s="27" t="str">
        <f aca="false">IF(I429="","",IF(AND(I429="D",Settings!$B$6&lt;&gt;"Yes"),"",IFERROR(INDEX(Settings!$C$9:$C$12,MATCH(I429,Settings!$A$9:$A$12,0)),"")))</f>
        <v/>
      </c>
      <c r="K429" s="27" t="str">
        <f aca="false">IF(J429="","",COUNTIF($I$2:I429,I429))</f>
        <v/>
      </c>
      <c r="L429" s="27" t="str">
        <f aca="false">IF(J429="","",CHOOSE(Q429+1,"Tue","Wed","Thu","Fri"))</f>
        <v/>
      </c>
      <c r="M429" s="27" t="str">
        <f aca="false">IF(J429="","",IF(J429=1,"Every week",R429+1&amp;" of "&amp;J429))</f>
        <v/>
      </c>
      <c r="N429" s="28" t="str">
        <f aca="false">IF(J429="","",Settings!$B$4+R429*7+Q429)</f>
        <v/>
      </c>
      <c r="O429" s="28" t="str">
        <f aca="true">IF(J429="","",N429+MAX(0,ROUNDUP((TODAY()-N429)/(J429*7),0))*J429*7)</f>
        <v/>
      </c>
      <c r="P429" s="27" t="str">
        <f aca="false">IF(J429="","",MOD(K429-1,J429*4))</f>
        <v/>
      </c>
      <c r="Q429" s="27" t="str">
        <f aca="false">IF(J429="","",MOD(P429,4))</f>
        <v/>
      </c>
      <c r="R429" s="27" t="str">
        <f aca="false">IF(J429="","",INT(P429/4))</f>
        <v/>
      </c>
      <c r="S429" s="27" t="str">
        <f aca="false">IF(J429="","",IF(AND('Daily Count Sheet'!$H$3=Q429,MOD('Daily Count Sheet'!$I$3,J429)=R429),1,""))</f>
        <v/>
      </c>
      <c r="T429" s="27" t="str">
        <f aca="false">IF(S429=1,COUNTIF($S$2:S429,1),"")</f>
        <v/>
      </c>
    </row>
    <row r="430" customFormat="false" ht="15" hidden="false" customHeight="false" outlineLevel="0" collapsed="false">
      <c r="H430" s="26"/>
      <c r="I430" s="27" t="str">
        <f aca="false">IF(A430="","",IF(H430&lt;&gt;"",UPPER(TRIM(H430)),IFERROR(CHOOSE(VALUE(E430)+1,"A","B","C","D"),IF(OR(LEFT(UPPER(TRIM(E430)),1)="F",UPPER(TRIM(E430))="A"),"A",IF(OR(LEFT(UPPER(TRIM(E430)),1)="M",UPPER(TRIM(E430))="B"),"B",IF(OR(LEFT(UPPER(TRIM(E430)),2)="SL",UPPER(TRIM(E430))="C"),"C",IF(OR(LEFT(UPPER(TRIM(E430)),1)="D",UPPER(TRIM(E430))="D"),"D","")))))))</f>
        <v/>
      </c>
      <c r="J430" s="27" t="str">
        <f aca="false">IF(I430="","",IF(AND(I430="D",Settings!$B$6&lt;&gt;"Yes"),"",IFERROR(INDEX(Settings!$C$9:$C$12,MATCH(I430,Settings!$A$9:$A$12,0)),"")))</f>
        <v/>
      </c>
      <c r="K430" s="27" t="str">
        <f aca="false">IF(J430="","",COUNTIF($I$2:I430,I430))</f>
        <v/>
      </c>
      <c r="L430" s="27" t="str">
        <f aca="false">IF(J430="","",CHOOSE(Q430+1,"Tue","Wed","Thu","Fri"))</f>
        <v/>
      </c>
      <c r="M430" s="27" t="str">
        <f aca="false">IF(J430="","",IF(J430=1,"Every week",R430+1&amp;" of "&amp;J430))</f>
        <v/>
      </c>
      <c r="N430" s="28" t="str">
        <f aca="false">IF(J430="","",Settings!$B$4+R430*7+Q430)</f>
        <v/>
      </c>
      <c r="O430" s="28" t="str">
        <f aca="true">IF(J430="","",N430+MAX(0,ROUNDUP((TODAY()-N430)/(J430*7),0))*J430*7)</f>
        <v/>
      </c>
      <c r="P430" s="27" t="str">
        <f aca="false">IF(J430="","",MOD(K430-1,J430*4))</f>
        <v/>
      </c>
      <c r="Q430" s="27" t="str">
        <f aca="false">IF(J430="","",MOD(P430,4))</f>
        <v/>
      </c>
      <c r="R430" s="27" t="str">
        <f aca="false">IF(J430="","",INT(P430/4))</f>
        <v/>
      </c>
      <c r="S430" s="27" t="str">
        <f aca="false">IF(J430="","",IF(AND('Daily Count Sheet'!$H$3=Q430,MOD('Daily Count Sheet'!$I$3,J430)=R430),1,""))</f>
        <v/>
      </c>
      <c r="T430" s="27" t="str">
        <f aca="false">IF(S430=1,COUNTIF($S$2:S430,1),"")</f>
        <v/>
      </c>
    </row>
    <row r="431" customFormat="false" ht="15" hidden="false" customHeight="false" outlineLevel="0" collapsed="false">
      <c r="H431" s="26"/>
      <c r="I431" s="27" t="str">
        <f aca="false">IF(A431="","",IF(H431&lt;&gt;"",UPPER(TRIM(H431)),IFERROR(CHOOSE(VALUE(E431)+1,"A","B","C","D"),IF(OR(LEFT(UPPER(TRIM(E431)),1)="F",UPPER(TRIM(E431))="A"),"A",IF(OR(LEFT(UPPER(TRIM(E431)),1)="M",UPPER(TRIM(E431))="B"),"B",IF(OR(LEFT(UPPER(TRIM(E431)),2)="SL",UPPER(TRIM(E431))="C"),"C",IF(OR(LEFT(UPPER(TRIM(E431)),1)="D",UPPER(TRIM(E431))="D"),"D","")))))))</f>
        <v/>
      </c>
      <c r="J431" s="27" t="str">
        <f aca="false">IF(I431="","",IF(AND(I431="D",Settings!$B$6&lt;&gt;"Yes"),"",IFERROR(INDEX(Settings!$C$9:$C$12,MATCH(I431,Settings!$A$9:$A$12,0)),"")))</f>
        <v/>
      </c>
      <c r="K431" s="27" t="str">
        <f aca="false">IF(J431="","",COUNTIF($I$2:I431,I431))</f>
        <v/>
      </c>
      <c r="L431" s="27" t="str">
        <f aca="false">IF(J431="","",CHOOSE(Q431+1,"Tue","Wed","Thu","Fri"))</f>
        <v/>
      </c>
      <c r="M431" s="27" t="str">
        <f aca="false">IF(J431="","",IF(J431=1,"Every week",R431+1&amp;" of "&amp;J431))</f>
        <v/>
      </c>
      <c r="N431" s="28" t="str">
        <f aca="false">IF(J431="","",Settings!$B$4+R431*7+Q431)</f>
        <v/>
      </c>
      <c r="O431" s="28" t="str">
        <f aca="true">IF(J431="","",N431+MAX(0,ROUNDUP((TODAY()-N431)/(J431*7),0))*J431*7)</f>
        <v/>
      </c>
      <c r="P431" s="27" t="str">
        <f aca="false">IF(J431="","",MOD(K431-1,J431*4))</f>
        <v/>
      </c>
      <c r="Q431" s="27" t="str">
        <f aca="false">IF(J431="","",MOD(P431,4))</f>
        <v/>
      </c>
      <c r="R431" s="27" t="str">
        <f aca="false">IF(J431="","",INT(P431/4))</f>
        <v/>
      </c>
      <c r="S431" s="27" t="str">
        <f aca="false">IF(J431="","",IF(AND('Daily Count Sheet'!$H$3=Q431,MOD('Daily Count Sheet'!$I$3,J431)=R431),1,""))</f>
        <v/>
      </c>
      <c r="T431" s="27" t="str">
        <f aca="false">IF(S431=1,COUNTIF($S$2:S431,1),"")</f>
        <v/>
      </c>
    </row>
    <row r="432" customFormat="false" ht="15" hidden="false" customHeight="false" outlineLevel="0" collapsed="false">
      <c r="H432" s="26"/>
      <c r="I432" s="27" t="str">
        <f aca="false">IF(A432="","",IF(H432&lt;&gt;"",UPPER(TRIM(H432)),IFERROR(CHOOSE(VALUE(E432)+1,"A","B","C","D"),IF(OR(LEFT(UPPER(TRIM(E432)),1)="F",UPPER(TRIM(E432))="A"),"A",IF(OR(LEFT(UPPER(TRIM(E432)),1)="M",UPPER(TRIM(E432))="B"),"B",IF(OR(LEFT(UPPER(TRIM(E432)),2)="SL",UPPER(TRIM(E432))="C"),"C",IF(OR(LEFT(UPPER(TRIM(E432)),1)="D",UPPER(TRIM(E432))="D"),"D","")))))))</f>
        <v/>
      </c>
      <c r="J432" s="27" t="str">
        <f aca="false">IF(I432="","",IF(AND(I432="D",Settings!$B$6&lt;&gt;"Yes"),"",IFERROR(INDEX(Settings!$C$9:$C$12,MATCH(I432,Settings!$A$9:$A$12,0)),"")))</f>
        <v/>
      </c>
      <c r="K432" s="27" t="str">
        <f aca="false">IF(J432="","",COUNTIF($I$2:I432,I432))</f>
        <v/>
      </c>
      <c r="L432" s="27" t="str">
        <f aca="false">IF(J432="","",CHOOSE(Q432+1,"Tue","Wed","Thu","Fri"))</f>
        <v/>
      </c>
      <c r="M432" s="27" t="str">
        <f aca="false">IF(J432="","",IF(J432=1,"Every week",R432+1&amp;" of "&amp;J432))</f>
        <v/>
      </c>
      <c r="N432" s="28" t="str">
        <f aca="false">IF(J432="","",Settings!$B$4+R432*7+Q432)</f>
        <v/>
      </c>
      <c r="O432" s="28" t="str">
        <f aca="true">IF(J432="","",N432+MAX(0,ROUNDUP((TODAY()-N432)/(J432*7),0))*J432*7)</f>
        <v/>
      </c>
      <c r="P432" s="27" t="str">
        <f aca="false">IF(J432="","",MOD(K432-1,J432*4))</f>
        <v/>
      </c>
      <c r="Q432" s="27" t="str">
        <f aca="false">IF(J432="","",MOD(P432,4))</f>
        <v/>
      </c>
      <c r="R432" s="27" t="str">
        <f aca="false">IF(J432="","",INT(P432/4))</f>
        <v/>
      </c>
      <c r="S432" s="27" t="str">
        <f aca="false">IF(J432="","",IF(AND('Daily Count Sheet'!$H$3=Q432,MOD('Daily Count Sheet'!$I$3,J432)=R432),1,""))</f>
        <v/>
      </c>
      <c r="T432" s="27" t="str">
        <f aca="false">IF(S432=1,COUNTIF($S$2:S432,1),"")</f>
        <v/>
      </c>
    </row>
    <row r="433" customFormat="false" ht="15" hidden="false" customHeight="false" outlineLevel="0" collapsed="false">
      <c r="H433" s="26"/>
      <c r="I433" s="27" t="str">
        <f aca="false">IF(A433="","",IF(H433&lt;&gt;"",UPPER(TRIM(H433)),IFERROR(CHOOSE(VALUE(E433)+1,"A","B","C","D"),IF(OR(LEFT(UPPER(TRIM(E433)),1)="F",UPPER(TRIM(E433))="A"),"A",IF(OR(LEFT(UPPER(TRIM(E433)),1)="M",UPPER(TRIM(E433))="B"),"B",IF(OR(LEFT(UPPER(TRIM(E433)),2)="SL",UPPER(TRIM(E433))="C"),"C",IF(OR(LEFT(UPPER(TRIM(E433)),1)="D",UPPER(TRIM(E433))="D"),"D","")))))))</f>
        <v/>
      </c>
      <c r="J433" s="27" t="str">
        <f aca="false">IF(I433="","",IF(AND(I433="D",Settings!$B$6&lt;&gt;"Yes"),"",IFERROR(INDEX(Settings!$C$9:$C$12,MATCH(I433,Settings!$A$9:$A$12,0)),"")))</f>
        <v/>
      </c>
      <c r="K433" s="27" t="str">
        <f aca="false">IF(J433="","",COUNTIF($I$2:I433,I433))</f>
        <v/>
      </c>
      <c r="L433" s="27" t="str">
        <f aca="false">IF(J433="","",CHOOSE(Q433+1,"Tue","Wed","Thu","Fri"))</f>
        <v/>
      </c>
      <c r="M433" s="27" t="str">
        <f aca="false">IF(J433="","",IF(J433=1,"Every week",R433+1&amp;" of "&amp;J433))</f>
        <v/>
      </c>
      <c r="N433" s="28" t="str">
        <f aca="false">IF(J433="","",Settings!$B$4+R433*7+Q433)</f>
        <v/>
      </c>
      <c r="O433" s="28" t="str">
        <f aca="true">IF(J433="","",N433+MAX(0,ROUNDUP((TODAY()-N433)/(J433*7),0))*J433*7)</f>
        <v/>
      </c>
      <c r="P433" s="27" t="str">
        <f aca="false">IF(J433="","",MOD(K433-1,J433*4))</f>
        <v/>
      </c>
      <c r="Q433" s="27" t="str">
        <f aca="false">IF(J433="","",MOD(P433,4))</f>
        <v/>
      </c>
      <c r="R433" s="27" t="str">
        <f aca="false">IF(J433="","",INT(P433/4))</f>
        <v/>
      </c>
      <c r="S433" s="27" t="str">
        <f aca="false">IF(J433="","",IF(AND('Daily Count Sheet'!$H$3=Q433,MOD('Daily Count Sheet'!$I$3,J433)=R433),1,""))</f>
        <v/>
      </c>
      <c r="T433" s="27" t="str">
        <f aca="false">IF(S433=1,COUNTIF($S$2:S433,1),"")</f>
        <v/>
      </c>
    </row>
    <row r="434" customFormat="false" ht="15" hidden="false" customHeight="false" outlineLevel="0" collapsed="false">
      <c r="H434" s="26"/>
      <c r="I434" s="27" t="str">
        <f aca="false">IF(A434="","",IF(H434&lt;&gt;"",UPPER(TRIM(H434)),IFERROR(CHOOSE(VALUE(E434)+1,"A","B","C","D"),IF(OR(LEFT(UPPER(TRIM(E434)),1)="F",UPPER(TRIM(E434))="A"),"A",IF(OR(LEFT(UPPER(TRIM(E434)),1)="M",UPPER(TRIM(E434))="B"),"B",IF(OR(LEFT(UPPER(TRIM(E434)),2)="SL",UPPER(TRIM(E434))="C"),"C",IF(OR(LEFT(UPPER(TRIM(E434)),1)="D",UPPER(TRIM(E434))="D"),"D","")))))))</f>
        <v/>
      </c>
      <c r="J434" s="27" t="str">
        <f aca="false">IF(I434="","",IF(AND(I434="D",Settings!$B$6&lt;&gt;"Yes"),"",IFERROR(INDEX(Settings!$C$9:$C$12,MATCH(I434,Settings!$A$9:$A$12,0)),"")))</f>
        <v/>
      </c>
      <c r="K434" s="27" t="str">
        <f aca="false">IF(J434="","",COUNTIF($I$2:I434,I434))</f>
        <v/>
      </c>
      <c r="L434" s="27" t="str">
        <f aca="false">IF(J434="","",CHOOSE(Q434+1,"Tue","Wed","Thu","Fri"))</f>
        <v/>
      </c>
      <c r="M434" s="27" t="str">
        <f aca="false">IF(J434="","",IF(J434=1,"Every week",R434+1&amp;" of "&amp;J434))</f>
        <v/>
      </c>
      <c r="N434" s="28" t="str">
        <f aca="false">IF(J434="","",Settings!$B$4+R434*7+Q434)</f>
        <v/>
      </c>
      <c r="O434" s="28" t="str">
        <f aca="true">IF(J434="","",N434+MAX(0,ROUNDUP((TODAY()-N434)/(J434*7),0))*J434*7)</f>
        <v/>
      </c>
      <c r="P434" s="27" t="str">
        <f aca="false">IF(J434="","",MOD(K434-1,J434*4))</f>
        <v/>
      </c>
      <c r="Q434" s="27" t="str">
        <f aca="false">IF(J434="","",MOD(P434,4))</f>
        <v/>
      </c>
      <c r="R434" s="27" t="str">
        <f aca="false">IF(J434="","",INT(P434/4))</f>
        <v/>
      </c>
      <c r="S434" s="27" t="str">
        <f aca="false">IF(J434="","",IF(AND('Daily Count Sheet'!$H$3=Q434,MOD('Daily Count Sheet'!$I$3,J434)=R434),1,""))</f>
        <v/>
      </c>
      <c r="T434" s="27" t="str">
        <f aca="false">IF(S434=1,COUNTIF($S$2:S434,1),"")</f>
        <v/>
      </c>
    </row>
    <row r="435" customFormat="false" ht="15" hidden="false" customHeight="false" outlineLevel="0" collapsed="false">
      <c r="H435" s="26"/>
      <c r="I435" s="27" t="str">
        <f aca="false">IF(A435="","",IF(H435&lt;&gt;"",UPPER(TRIM(H435)),IFERROR(CHOOSE(VALUE(E435)+1,"A","B","C","D"),IF(OR(LEFT(UPPER(TRIM(E435)),1)="F",UPPER(TRIM(E435))="A"),"A",IF(OR(LEFT(UPPER(TRIM(E435)),1)="M",UPPER(TRIM(E435))="B"),"B",IF(OR(LEFT(UPPER(TRIM(E435)),2)="SL",UPPER(TRIM(E435))="C"),"C",IF(OR(LEFT(UPPER(TRIM(E435)),1)="D",UPPER(TRIM(E435))="D"),"D","")))))))</f>
        <v/>
      </c>
      <c r="J435" s="27" t="str">
        <f aca="false">IF(I435="","",IF(AND(I435="D",Settings!$B$6&lt;&gt;"Yes"),"",IFERROR(INDEX(Settings!$C$9:$C$12,MATCH(I435,Settings!$A$9:$A$12,0)),"")))</f>
        <v/>
      </c>
      <c r="K435" s="27" t="str">
        <f aca="false">IF(J435="","",COUNTIF($I$2:I435,I435))</f>
        <v/>
      </c>
      <c r="L435" s="27" t="str">
        <f aca="false">IF(J435="","",CHOOSE(Q435+1,"Tue","Wed","Thu","Fri"))</f>
        <v/>
      </c>
      <c r="M435" s="27" t="str">
        <f aca="false">IF(J435="","",IF(J435=1,"Every week",R435+1&amp;" of "&amp;J435))</f>
        <v/>
      </c>
      <c r="N435" s="28" t="str">
        <f aca="false">IF(J435="","",Settings!$B$4+R435*7+Q435)</f>
        <v/>
      </c>
      <c r="O435" s="28" t="str">
        <f aca="true">IF(J435="","",N435+MAX(0,ROUNDUP((TODAY()-N435)/(J435*7),0))*J435*7)</f>
        <v/>
      </c>
      <c r="P435" s="27" t="str">
        <f aca="false">IF(J435="","",MOD(K435-1,J435*4))</f>
        <v/>
      </c>
      <c r="Q435" s="27" t="str">
        <f aca="false">IF(J435="","",MOD(P435,4))</f>
        <v/>
      </c>
      <c r="R435" s="27" t="str">
        <f aca="false">IF(J435="","",INT(P435/4))</f>
        <v/>
      </c>
      <c r="S435" s="27" t="str">
        <f aca="false">IF(J435="","",IF(AND('Daily Count Sheet'!$H$3=Q435,MOD('Daily Count Sheet'!$I$3,J435)=R435),1,""))</f>
        <v/>
      </c>
      <c r="T435" s="27" t="str">
        <f aca="false">IF(S435=1,COUNTIF($S$2:S435,1),"")</f>
        <v/>
      </c>
    </row>
    <row r="436" customFormat="false" ht="15" hidden="false" customHeight="false" outlineLevel="0" collapsed="false">
      <c r="H436" s="26"/>
      <c r="I436" s="27" t="str">
        <f aca="false">IF(A436="","",IF(H436&lt;&gt;"",UPPER(TRIM(H436)),IFERROR(CHOOSE(VALUE(E436)+1,"A","B","C","D"),IF(OR(LEFT(UPPER(TRIM(E436)),1)="F",UPPER(TRIM(E436))="A"),"A",IF(OR(LEFT(UPPER(TRIM(E436)),1)="M",UPPER(TRIM(E436))="B"),"B",IF(OR(LEFT(UPPER(TRIM(E436)),2)="SL",UPPER(TRIM(E436))="C"),"C",IF(OR(LEFT(UPPER(TRIM(E436)),1)="D",UPPER(TRIM(E436))="D"),"D","")))))))</f>
        <v/>
      </c>
      <c r="J436" s="27" t="str">
        <f aca="false">IF(I436="","",IF(AND(I436="D",Settings!$B$6&lt;&gt;"Yes"),"",IFERROR(INDEX(Settings!$C$9:$C$12,MATCH(I436,Settings!$A$9:$A$12,0)),"")))</f>
        <v/>
      </c>
      <c r="K436" s="27" t="str">
        <f aca="false">IF(J436="","",COUNTIF($I$2:I436,I436))</f>
        <v/>
      </c>
      <c r="L436" s="27" t="str">
        <f aca="false">IF(J436="","",CHOOSE(Q436+1,"Tue","Wed","Thu","Fri"))</f>
        <v/>
      </c>
      <c r="M436" s="27" t="str">
        <f aca="false">IF(J436="","",IF(J436=1,"Every week",R436+1&amp;" of "&amp;J436))</f>
        <v/>
      </c>
      <c r="N436" s="28" t="str">
        <f aca="false">IF(J436="","",Settings!$B$4+R436*7+Q436)</f>
        <v/>
      </c>
      <c r="O436" s="28" t="str">
        <f aca="true">IF(J436="","",N436+MAX(0,ROUNDUP((TODAY()-N436)/(J436*7),0))*J436*7)</f>
        <v/>
      </c>
      <c r="P436" s="27" t="str">
        <f aca="false">IF(J436="","",MOD(K436-1,J436*4))</f>
        <v/>
      </c>
      <c r="Q436" s="27" t="str">
        <f aca="false">IF(J436="","",MOD(P436,4))</f>
        <v/>
      </c>
      <c r="R436" s="27" t="str">
        <f aca="false">IF(J436="","",INT(P436/4))</f>
        <v/>
      </c>
      <c r="S436" s="27" t="str">
        <f aca="false">IF(J436="","",IF(AND('Daily Count Sheet'!$H$3=Q436,MOD('Daily Count Sheet'!$I$3,J436)=R436),1,""))</f>
        <v/>
      </c>
      <c r="T436" s="27" t="str">
        <f aca="false">IF(S436=1,COUNTIF($S$2:S436,1),"")</f>
        <v/>
      </c>
    </row>
    <row r="437" customFormat="false" ht="15" hidden="false" customHeight="false" outlineLevel="0" collapsed="false">
      <c r="H437" s="26"/>
      <c r="I437" s="27" t="str">
        <f aca="false">IF(A437="","",IF(H437&lt;&gt;"",UPPER(TRIM(H437)),IFERROR(CHOOSE(VALUE(E437)+1,"A","B","C","D"),IF(OR(LEFT(UPPER(TRIM(E437)),1)="F",UPPER(TRIM(E437))="A"),"A",IF(OR(LEFT(UPPER(TRIM(E437)),1)="M",UPPER(TRIM(E437))="B"),"B",IF(OR(LEFT(UPPER(TRIM(E437)),2)="SL",UPPER(TRIM(E437))="C"),"C",IF(OR(LEFT(UPPER(TRIM(E437)),1)="D",UPPER(TRIM(E437))="D"),"D","")))))))</f>
        <v/>
      </c>
      <c r="J437" s="27" t="str">
        <f aca="false">IF(I437="","",IF(AND(I437="D",Settings!$B$6&lt;&gt;"Yes"),"",IFERROR(INDEX(Settings!$C$9:$C$12,MATCH(I437,Settings!$A$9:$A$12,0)),"")))</f>
        <v/>
      </c>
      <c r="K437" s="27" t="str">
        <f aca="false">IF(J437="","",COUNTIF($I$2:I437,I437))</f>
        <v/>
      </c>
      <c r="L437" s="27" t="str">
        <f aca="false">IF(J437="","",CHOOSE(Q437+1,"Tue","Wed","Thu","Fri"))</f>
        <v/>
      </c>
      <c r="M437" s="27" t="str">
        <f aca="false">IF(J437="","",IF(J437=1,"Every week",R437+1&amp;" of "&amp;J437))</f>
        <v/>
      </c>
      <c r="N437" s="28" t="str">
        <f aca="false">IF(J437="","",Settings!$B$4+R437*7+Q437)</f>
        <v/>
      </c>
      <c r="O437" s="28" t="str">
        <f aca="true">IF(J437="","",N437+MAX(0,ROUNDUP((TODAY()-N437)/(J437*7),0))*J437*7)</f>
        <v/>
      </c>
      <c r="P437" s="27" t="str">
        <f aca="false">IF(J437="","",MOD(K437-1,J437*4))</f>
        <v/>
      </c>
      <c r="Q437" s="27" t="str">
        <f aca="false">IF(J437="","",MOD(P437,4))</f>
        <v/>
      </c>
      <c r="R437" s="27" t="str">
        <f aca="false">IF(J437="","",INT(P437/4))</f>
        <v/>
      </c>
      <c r="S437" s="27" t="str">
        <f aca="false">IF(J437="","",IF(AND('Daily Count Sheet'!$H$3=Q437,MOD('Daily Count Sheet'!$I$3,J437)=R437),1,""))</f>
        <v/>
      </c>
      <c r="T437" s="27" t="str">
        <f aca="false">IF(S437=1,COUNTIF($S$2:S437,1),"")</f>
        <v/>
      </c>
    </row>
    <row r="438" customFormat="false" ht="15" hidden="false" customHeight="false" outlineLevel="0" collapsed="false">
      <c r="H438" s="26"/>
      <c r="I438" s="27" t="str">
        <f aca="false">IF(A438="","",IF(H438&lt;&gt;"",UPPER(TRIM(H438)),IFERROR(CHOOSE(VALUE(E438)+1,"A","B","C","D"),IF(OR(LEFT(UPPER(TRIM(E438)),1)="F",UPPER(TRIM(E438))="A"),"A",IF(OR(LEFT(UPPER(TRIM(E438)),1)="M",UPPER(TRIM(E438))="B"),"B",IF(OR(LEFT(UPPER(TRIM(E438)),2)="SL",UPPER(TRIM(E438))="C"),"C",IF(OR(LEFT(UPPER(TRIM(E438)),1)="D",UPPER(TRIM(E438))="D"),"D","")))))))</f>
        <v/>
      </c>
      <c r="J438" s="27" t="str">
        <f aca="false">IF(I438="","",IF(AND(I438="D",Settings!$B$6&lt;&gt;"Yes"),"",IFERROR(INDEX(Settings!$C$9:$C$12,MATCH(I438,Settings!$A$9:$A$12,0)),"")))</f>
        <v/>
      </c>
      <c r="K438" s="27" t="str">
        <f aca="false">IF(J438="","",COUNTIF($I$2:I438,I438))</f>
        <v/>
      </c>
      <c r="L438" s="27" t="str">
        <f aca="false">IF(J438="","",CHOOSE(Q438+1,"Tue","Wed","Thu","Fri"))</f>
        <v/>
      </c>
      <c r="M438" s="27" t="str">
        <f aca="false">IF(J438="","",IF(J438=1,"Every week",R438+1&amp;" of "&amp;J438))</f>
        <v/>
      </c>
      <c r="N438" s="28" t="str">
        <f aca="false">IF(J438="","",Settings!$B$4+R438*7+Q438)</f>
        <v/>
      </c>
      <c r="O438" s="28" t="str">
        <f aca="true">IF(J438="","",N438+MAX(0,ROUNDUP((TODAY()-N438)/(J438*7),0))*J438*7)</f>
        <v/>
      </c>
      <c r="P438" s="27" t="str">
        <f aca="false">IF(J438="","",MOD(K438-1,J438*4))</f>
        <v/>
      </c>
      <c r="Q438" s="27" t="str">
        <f aca="false">IF(J438="","",MOD(P438,4))</f>
        <v/>
      </c>
      <c r="R438" s="27" t="str">
        <f aca="false">IF(J438="","",INT(P438/4))</f>
        <v/>
      </c>
      <c r="S438" s="27" t="str">
        <f aca="false">IF(J438="","",IF(AND('Daily Count Sheet'!$H$3=Q438,MOD('Daily Count Sheet'!$I$3,J438)=R438),1,""))</f>
        <v/>
      </c>
      <c r="T438" s="27" t="str">
        <f aca="false">IF(S438=1,COUNTIF($S$2:S438,1),"")</f>
        <v/>
      </c>
    </row>
    <row r="439" customFormat="false" ht="15" hidden="false" customHeight="false" outlineLevel="0" collapsed="false">
      <c r="H439" s="26"/>
      <c r="I439" s="27" t="str">
        <f aca="false">IF(A439="","",IF(H439&lt;&gt;"",UPPER(TRIM(H439)),IFERROR(CHOOSE(VALUE(E439)+1,"A","B","C","D"),IF(OR(LEFT(UPPER(TRIM(E439)),1)="F",UPPER(TRIM(E439))="A"),"A",IF(OR(LEFT(UPPER(TRIM(E439)),1)="M",UPPER(TRIM(E439))="B"),"B",IF(OR(LEFT(UPPER(TRIM(E439)),2)="SL",UPPER(TRIM(E439))="C"),"C",IF(OR(LEFT(UPPER(TRIM(E439)),1)="D",UPPER(TRIM(E439))="D"),"D","")))))))</f>
        <v/>
      </c>
      <c r="J439" s="27" t="str">
        <f aca="false">IF(I439="","",IF(AND(I439="D",Settings!$B$6&lt;&gt;"Yes"),"",IFERROR(INDEX(Settings!$C$9:$C$12,MATCH(I439,Settings!$A$9:$A$12,0)),"")))</f>
        <v/>
      </c>
      <c r="K439" s="27" t="str">
        <f aca="false">IF(J439="","",COUNTIF($I$2:I439,I439))</f>
        <v/>
      </c>
      <c r="L439" s="27" t="str">
        <f aca="false">IF(J439="","",CHOOSE(Q439+1,"Tue","Wed","Thu","Fri"))</f>
        <v/>
      </c>
      <c r="M439" s="27" t="str">
        <f aca="false">IF(J439="","",IF(J439=1,"Every week",R439+1&amp;" of "&amp;J439))</f>
        <v/>
      </c>
      <c r="N439" s="28" t="str">
        <f aca="false">IF(J439="","",Settings!$B$4+R439*7+Q439)</f>
        <v/>
      </c>
      <c r="O439" s="28" t="str">
        <f aca="true">IF(J439="","",N439+MAX(0,ROUNDUP((TODAY()-N439)/(J439*7),0))*J439*7)</f>
        <v/>
      </c>
      <c r="P439" s="27" t="str">
        <f aca="false">IF(J439="","",MOD(K439-1,J439*4))</f>
        <v/>
      </c>
      <c r="Q439" s="27" t="str">
        <f aca="false">IF(J439="","",MOD(P439,4))</f>
        <v/>
      </c>
      <c r="R439" s="27" t="str">
        <f aca="false">IF(J439="","",INT(P439/4))</f>
        <v/>
      </c>
      <c r="S439" s="27" t="str">
        <f aca="false">IF(J439="","",IF(AND('Daily Count Sheet'!$H$3=Q439,MOD('Daily Count Sheet'!$I$3,J439)=R439),1,""))</f>
        <v/>
      </c>
      <c r="T439" s="27" t="str">
        <f aca="false">IF(S439=1,COUNTIF($S$2:S439,1),"")</f>
        <v/>
      </c>
    </row>
    <row r="440" customFormat="false" ht="15" hidden="false" customHeight="false" outlineLevel="0" collapsed="false">
      <c r="H440" s="26"/>
      <c r="I440" s="27" t="str">
        <f aca="false">IF(A440="","",IF(H440&lt;&gt;"",UPPER(TRIM(H440)),IFERROR(CHOOSE(VALUE(E440)+1,"A","B","C","D"),IF(OR(LEFT(UPPER(TRIM(E440)),1)="F",UPPER(TRIM(E440))="A"),"A",IF(OR(LEFT(UPPER(TRIM(E440)),1)="M",UPPER(TRIM(E440))="B"),"B",IF(OR(LEFT(UPPER(TRIM(E440)),2)="SL",UPPER(TRIM(E440))="C"),"C",IF(OR(LEFT(UPPER(TRIM(E440)),1)="D",UPPER(TRIM(E440))="D"),"D","")))))))</f>
        <v/>
      </c>
      <c r="J440" s="27" t="str">
        <f aca="false">IF(I440="","",IF(AND(I440="D",Settings!$B$6&lt;&gt;"Yes"),"",IFERROR(INDEX(Settings!$C$9:$C$12,MATCH(I440,Settings!$A$9:$A$12,0)),"")))</f>
        <v/>
      </c>
      <c r="K440" s="27" t="str">
        <f aca="false">IF(J440="","",COUNTIF($I$2:I440,I440))</f>
        <v/>
      </c>
      <c r="L440" s="27" t="str">
        <f aca="false">IF(J440="","",CHOOSE(Q440+1,"Tue","Wed","Thu","Fri"))</f>
        <v/>
      </c>
      <c r="M440" s="27" t="str">
        <f aca="false">IF(J440="","",IF(J440=1,"Every week",R440+1&amp;" of "&amp;J440))</f>
        <v/>
      </c>
      <c r="N440" s="28" t="str">
        <f aca="false">IF(J440="","",Settings!$B$4+R440*7+Q440)</f>
        <v/>
      </c>
      <c r="O440" s="28" t="str">
        <f aca="true">IF(J440="","",N440+MAX(0,ROUNDUP((TODAY()-N440)/(J440*7),0))*J440*7)</f>
        <v/>
      </c>
      <c r="P440" s="27" t="str">
        <f aca="false">IF(J440="","",MOD(K440-1,J440*4))</f>
        <v/>
      </c>
      <c r="Q440" s="27" t="str">
        <f aca="false">IF(J440="","",MOD(P440,4))</f>
        <v/>
      </c>
      <c r="R440" s="27" t="str">
        <f aca="false">IF(J440="","",INT(P440/4))</f>
        <v/>
      </c>
      <c r="S440" s="27" t="str">
        <f aca="false">IF(J440="","",IF(AND('Daily Count Sheet'!$H$3=Q440,MOD('Daily Count Sheet'!$I$3,J440)=R440),1,""))</f>
        <v/>
      </c>
      <c r="T440" s="27" t="str">
        <f aca="false">IF(S440=1,COUNTIF($S$2:S440,1),"")</f>
        <v/>
      </c>
    </row>
    <row r="441" customFormat="false" ht="15" hidden="false" customHeight="false" outlineLevel="0" collapsed="false">
      <c r="H441" s="26"/>
      <c r="I441" s="27" t="str">
        <f aca="false">IF(A441="","",IF(H441&lt;&gt;"",UPPER(TRIM(H441)),IFERROR(CHOOSE(VALUE(E441)+1,"A","B","C","D"),IF(OR(LEFT(UPPER(TRIM(E441)),1)="F",UPPER(TRIM(E441))="A"),"A",IF(OR(LEFT(UPPER(TRIM(E441)),1)="M",UPPER(TRIM(E441))="B"),"B",IF(OR(LEFT(UPPER(TRIM(E441)),2)="SL",UPPER(TRIM(E441))="C"),"C",IF(OR(LEFT(UPPER(TRIM(E441)),1)="D",UPPER(TRIM(E441))="D"),"D","")))))))</f>
        <v/>
      </c>
      <c r="J441" s="27" t="str">
        <f aca="false">IF(I441="","",IF(AND(I441="D",Settings!$B$6&lt;&gt;"Yes"),"",IFERROR(INDEX(Settings!$C$9:$C$12,MATCH(I441,Settings!$A$9:$A$12,0)),"")))</f>
        <v/>
      </c>
      <c r="K441" s="27" t="str">
        <f aca="false">IF(J441="","",COUNTIF($I$2:I441,I441))</f>
        <v/>
      </c>
      <c r="L441" s="27" t="str">
        <f aca="false">IF(J441="","",CHOOSE(Q441+1,"Tue","Wed","Thu","Fri"))</f>
        <v/>
      </c>
      <c r="M441" s="27" t="str">
        <f aca="false">IF(J441="","",IF(J441=1,"Every week",R441+1&amp;" of "&amp;J441))</f>
        <v/>
      </c>
      <c r="N441" s="28" t="str">
        <f aca="false">IF(J441="","",Settings!$B$4+R441*7+Q441)</f>
        <v/>
      </c>
      <c r="O441" s="28" t="str">
        <f aca="true">IF(J441="","",N441+MAX(0,ROUNDUP((TODAY()-N441)/(J441*7),0))*J441*7)</f>
        <v/>
      </c>
      <c r="P441" s="27" t="str">
        <f aca="false">IF(J441="","",MOD(K441-1,J441*4))</f>
        <v/>
      </c>
      <c r="Q441" s="27" t="str">
        <f aca="false">IF(J441="","",MOD(P441,4))</f>
        <v/>
      </c>
      <c r="R441" s="27" t="str">
        <f aca="false">IF(J441="","",INT(P441/4))</f>
        <v/>
      </c>
      <c r="S441" s="27" t="str">
        <f aca="false">IF(J441="","",IF(AND('Daily Count Sheet'!$H$3=Q441,MOD('Daily Count Sheet'!$I$3,J441)=R441),1,""))</f>
        <v/>
      </c>
      <c r="T441" s="27" t="str">
        <f aca="false">IF(S441=1,COUNTIF($S$2:S441,1),"")</f>
        <v/>
      </c>
    </row>
    <row r="442" customFormat="false" ht="15" hidden="false" customHeight="false" outlineLevel="0" collapsed="false">
      <c r="H442" s="26"/>
      <c r="I442" s="27" t="str">
        <f aca="false">IF(A442="","",IF(H442&lt;&gt;"",UPPER(TRIM(H442)),IFERROR(CHOOSE(VALUE(E442)+1,"A","B","C","D"),IF(OR(LEFT(UPPER(TRIM(E442)),1)="F",UPPER(TRIM(E442))="A"),"A",IF(OR(LEFT(UPPER(TRIM(E442)),1)="M",UPPER(TRIM(E442))="B"),"B",IF(OR(LEFT(UPPER(TRIM(E442)),2)="SL",UPPER(TRIM(E442))="C"),"C",IF(OR(LEFT(UPPER(TRIM(E442)),1)="D",UPPER(TRIM(E442))="D"),"D","")))))))</f>
        <v/>
      </c>
      <c r="J442" s="27" t="str">
        <f aca="false">IF(I442="","",IF(AND(I442="D",Settings!$B$6&lt;&gt;"Yes"),"",IFERROR(INDEX(Settings!$C$9:$C$12,MATCH(I442,Settings!$A$9:$A$12,0)),"")))</f>
        <v/>
      </c>
      <c r="K442" s="27" t="str">
        <f aca="false">IF(J442="","",COUNTIF($I$2:I442,I442))</f>
        <v/>
      </c>
      <c r="L442" s="27" t="str">
        <f aca="false">IF(J442="","",CHOOSE(Q442+1,"Tue","Wed","Thu","Fri"))</f>
        <v/>
      </c>
      <c r="M442" s="27" t="str">
        <f aca="false">IF(J442="","",IF(J442=1,"Every week",R442+1&amp;" of "&amp;J442))</f>
        <v/>
      </c>
      <c r="N442" s="28" t="str">
        <f aca="false">IF(J442="","",Settings!$B$4+R442*7+Q442)</f>
        <v/>
      </c>
      <c r="O442" s="28" t="str">
        <f aca="true">IF(J442="","",N442+MAX(0,ROUNDUP((TODAY()-N442)/(J442*7),0))*J442*7)</f>
        <v/>
      </c>
      <c r="P442" s="27" t="str">
        <f aca="false">IF(J442="","",MOD(K442-1,J442*4))</f>
        <v/>
      </c>
      <c r="Q442" s="27" t="str">
        <f aca="false">IF(J442="","",MOD(P442,4))</f>
        <v/>
      </c>
      <c r="R442" s="27" t="str">
        <f aca="false">IF(J442="","",INT(P442/4))</f>
        <v/>
      </c>
      <c r="S442" s="27" t="str">
        <f aca="false">IF(J442="","",IF(AND('Daily Count Sheet'!$H$3=Q442,MOD('Daily Count Sheet'!$I$3,J442)=R442),1,""))</f>
        <v/>
      </c>
      <c r="T442" s="27" t="str">
        <f aca="false">IF(S442=1,COUNTIF($S$2:S442,1),"")</f>
        <v/>
      </c>
    </row>
    <row r="443" customFormat="false" ht="15" hidden="false" customHeight="false" outlineLevel="0" collapsed="false">
      <c r="H443" s="26"/>
      <c r="I443" s="27" t="str">
        <f aca="false">IF(A443="","",IF(H443&lt;&gt;"",UPPER(TRIM(H443)),IFERROR(CHOOSE(VALUE(E443)+1,"A","B","C","D"),IF(OR(LEFT(UPPER(TRIM(E443)),1)="F",UPPER(TRIM(E443))="A"),"A",IF(OR(LEFT(UPPER(TRIM(E443)),1)="M",UPPER(TRIM(E443))="B"),"B",IF(OR(LEFT(UPPER(TRIM(E443)),2)="SL",UPPER(TRIM(E443))="C"),"C",IF(OR(LEFT(UPPER(TRIM(E443)),1)="D",UPPER(TRIM(E443))="D"),"D","")))))))</f>
        <v/>
      </c>
      <c r="J443" s="27" t="str">
        <f aca="false">IF(I443="","",IF(AND(I443="D",Settings!$B$6&lt;&gt;"Yes"),"",IFERROR(INDEX(Settings!$C$9:$C$12,MATCH(I443,Settings!$A$9:$A$12,0)),"")))</f>
        <v/>
      </c>
      <c r="K443" s="27" t="str">
        <f aca="false">IF(J443="","",COUNTIF($I$2:I443,I443))</f>
        <v/>
      </c>
      <c r="L443" s="27" t="str">
        <f aca="false">IF(J443="","",CHOOSE(Q443+1,"Tue","Wed","Thu","Fri"))</f>
        <v/>
      </c>
      <c r="M443" s="27" t="str">
        <f aca="false">IF(J443="","",IF(J443=1,"Every week",R443+1&amp;" of "&amp;J443))</f>
        <v/>
      </c>
      <c r="N443" s="28" t="str">
        <f aca="false">IF(J443="","",Settings!$B$4+R443*7+Q443)</f>
        <v/>
      </c>
      <c r="O443" s="28" t="str">
        <f aca="true">IF(J443="","",N443+MAX(0,ROUNDUP((TODAY()-N443)/(J443*7),0))*J443*7)</f>
        <v/>
      </c>
      <c r="P443" s="27" t="str">
        <f aca="false">IF(J443="","",MOD(K443-1,J443*4))</f>
        <v/>
      </c>
      <c r="Q443" s="27" t="str">
        <f aca="false">IF(J443="","",MOD(P443,4))</f>
        <v/>
      </c>
      <c r="R443" s="27" t="str">
        <f aca="false">IF(J443="","",INT(P443/4))</f>
        <v/>
      </c>
      <c r="S443" s="27" t="str">
        <f aca="false">IF(J443="","",IF(AND('Daily Count Sheet'!$H$3=Q443,MOD('Daily Count Sheet'!$I$3,J443)=R443),1,""))</f>
        <v/>
      </c>
      <c r="T443" s="27" t="str">
        <f aca="false">IF(S443=1,COUNTIF($S$2:S443,1),"")</f>
        <v/>
      </c>
    </row>
    <row r="444" customFormat="false" ht="15" hidden="false" customHeight="false" outlineLevel="0" collapsed="false">
      <c r="H444" s="26"/>
      <c r="I444" s="27" t="str">
        <f aca="false">IF(A444="","",IF(H444&lt;&gt;"",UPPER(TRIM(H444)),IFERROR(CHOOSE(VALUE(E444)+1,"A","B","C","D"),IF(OR(LEFT(UPPER(TRIM(E444)),1)="F",UPPER(TRIM(E444))="A"),"A",IF(OR(LEFT(UPPER(TRIM(E444)),1)="M",UPPER(TRIM(E444))="B"),"B",IF(OR(LEFT(UPPER(TRIM(E444)),2)="SL",UPPER(TRIM(E444))="C"),"C",IF(OR(LEFT(UPPER(TRIM(E444)),1)="D",UPPER(TRIM(E444))="D"),"D","")))))))</f>
        <v/>
      </c>
      <c r="J444" s="27" t="str">
        <f aca="false">IF(I444="","",IF(AND(I444="D",Settings!$B$6&lt;&gt;"Yes"),"",IFERROR(INDEX(Settings!$C$9:$C$12,MATCH(I444,Settings!$A$9:$A$12,0)),"")))</f>
        <v/>
      </c>
      <c r="K444" s="27" t="str">
        <f aca="false">IF(J444="","",COUNTIF($I$2:I444,I444))</f>
        <v/>
      </c>
      <c r="L444" s="27" t="str">
        <f aca="false">IF(J444="","",CHOOSE(Q444+1,"Tue","Wed","Thu","Fri"))</f>
        <v/>
      </c>
      <c r="M444" s="27" t="str">
        <f aca="false">IF(J444="","",IF(J444=1,"Every week",R444+1&amp;" of "&amp;J444))</f>
        <v/>
      </c>
      <c r="N444" s="28" t="str">
        <f aca="false">IF(J444="","",Settings!$B$4+R444*7+Q444)</f>
        <v/>
      </c>
      <c r="O444" s="28" t="str">
        <f aca="true">IF(J444="","",N444+MAX(0,ROUNDUP((TODAY()-N444)/(J444*7),0))*J444*7)</f>
        <v/>
      </c>
      <c r="P444" s="27" t="str">
        <f aca="false">IF(J444="","",MOD(K444-1,J444*4))</f>
        <v/>
      </c>
      <c r="Q444" s="27" t="str">
        <f aca="false">IF(J444="","",MOD(P444,4))</f>
        <v/>
      </c>
      <c r="R444" s="27" t="str">
        <f aca="false">IF(J444="","",INT(P444/4))</f>
        <v/>
      </c>
      <c r="S444" s="27" t="str">
        <f aca="false">IF(J444="","",IF(AND('Daily Count Sheet'!$H$3=Q444,MOD('Daily Count Sheet'!$I$3,J444)=R444),1,""))</f>
        <v/>
      </c>
      <c r="T444" s="27" t="str">
        <f aca="false">IF(S444=1,COUNTIF($S$2:S444,1),"")</f>
        <v/>
      </c>
    </row>
    <row r="445" customFormat="false" ht="15" hidden="false" customHeight="false" outlineLevel="0" collapsed="false">
      <c r="H445" s="26"/>
      <c r="I445" s="27" t="str">
        <f aca="false">IF(A445="","",IF(H445&lt;&gt;"",UPPER(TRIM(H445)),IFERROR(CHOOSE(VALUE(E445)+1,"A","B","C","D"),IF(OR(LEFT(UPPER(TRIM(E445)),1)="F",UPPER(TRIM(E445))="A"),"A",IF(OR(LEFT(UPPER(TRIM(E445)),1)="M",UPPER(TRIM(E445))="B"),"B",IF(OR(LEFT(UPPER(TRIM(E445)),2)="SL",UPPER(TRIM(E445))="C"),"C",IF(OR(LEFT(UPPER(TRIM(E445)),1)="D",UPPER(TRIM(E445))="D"),"D","")))))))</f>
        <v/>
      </c>
      <c r="J445" s="27" t="str">
        <f aca="false">IF(I445="","",IF(AND(I445="D",Settings!$B$6&lt;&gt;"Yes"),"",IFERROR(INDEX(Settings!$C$9:$C$12,MATCH(I445,Settings!$A$9:$A$12,0)),"")))</f>
        <v/>
      </c>
      <c r="K445" s="27" t="str">
        <f aca="false">IF(J445="","",COUNTIF($I$2:I445,I445))</f>
        <v/>
      </c>
      <c r="L445" s="27" t="str">
        <f aca="false">IF(J445="","",CHOOSE(Q445+1,"Tue","Wed","Thu","Fri"))</f>
        <v/>
      </c>
      <c r="M445" s="27" t="str">
        <f aca="false">IF(J445="","",IF(J445=1,"Every week",R445+1&amp;" of "&amp;J445))</f>
        <v/>
      </c>
      <c r="N445" s="28" t="str">
        <f aca="false">IF(J445="","",Settings!$B$4+R445*7+Q445)</f>
        <v/>
      </c>
      <c r="O445" s="28" t="str">
        <f aca="true">IF(J445="","",N445+MAX(0,ROUNDUP((TODAY()-N445)/(J445*7),0))*J445*7)</f>
        <v/>
      </c>
      <c r="P445" s="27" t="str">
        <f aca="false">IF(J445="","",MOD(K445-1,J445*4))</f>
        <v/>
      </c>
      <c r="Q445" s="27" t="str">
        <f aca="false">IF(J445="","",MOD(P445,4))</f>
        <v/>
      </c>
      <c r="R445" s="27" t="str">
        <f aca="false">IF(J445="","",INT(P445/4))</f>
        <v/>
      </c>
      <c r="S445" s="27" t="str">
        <f aca="false">IF(J445="","",IF(AND('Daily Count Sheet'!$H$3=Q445,MOD('Daily Count Sheet'!$I$3,J445)=R445),1,""))</f>
        <v/>
      </c>
      <c r="T445" s="27" t="str">
        <f aca="false">IF(S445=1,COUNTIF($S$2:S445,1),"")</f>
        <v/>
      </c>
    </row>
    <row r="446" customFormat="false" ht="15" hidden="false" customHeight="false" outlineLevel="0" collapsed="false">
      <c r="H446" s="26"/>
      <c r="I446" s="27" t="str">
        <f aca="false">IF(A446="","",IF(H446&lt;&gt;"",UPPER(TRIM(H446)),IFERROR(CHOOSE(VALUE(E446)+1,"A","B","C","D"),IF(OR(LEFT(UPPER(TRIM(E446)),1)="F",UPPER(TRIM(E446))="A"),"A",IF(OR(LEFT(UPPER(TRIM(E446)),1)="M",UPPER(TRIM(E446))="B"),"B",IF(OR(LEFT(UPPER(TRIM(E446)),2)="SL",UPPER(TRIM(E446))="C"),"C",IF(OR(LEFT(UPPER(TRIM(E446)),1)="D",UPPER(TRIM(E446))="D"),"D","")))))))</f>
        <v/>
      </c>
      <c r="J446" s="27" t="str">
        <f aca="false">IF(I446="","",IF(AND(I446="D",Settings!$B$6&lt;&gt;"Yes"),"",IFERROR(INDEX(Settings!$C$9:$C$12,MATCH(I446,Settings!$A$9:$A$12,0)),"")))</f>
        <v/>
      </c>
      <c r="K446" s="27" t="str">
        <f aca="false">IF(J446="","",COUNTIF($I$2:I446,I446))</f>
        <v/>
      </c>
      <c r="L446" s="27" t="str">
        <f aca="false">IF(J446="","",CHOOSE(Q446+1,"Tue","Wed","Thu","Fri"))</f>
        <v/>
      </c>
      <c r="M446" s="27" t="str">
        <f aca="false">IF(J446="","",IF(J446=1,"Every week",R446+1&amp;" of "&amp;J446))</f>
        <v/>
      </c>
      <c r="N446" s="28" t="str">
        <f aca="false">IF(J446="","",Settings!$B$4+R446*7+Q446)</f>
        <v/>
      </c>
      <c r="O446" s="28" t="str">
        <f aca="true">IF(J446="","",N446+MAX(0,ROUNDUP((TODAY()-N446)/(J446*7),0))*J446*7)</f>
        <v/>
      </c>
      <c r="P446" s="27" t="str">
        <f aca="false">IF(J446="","",MOD(K446-1,J446*4))</f>
        <v/>
      </c>
      <c r="Q446" s="27" t="str">
        <f aca="false">IF(J446="","",MOD(P446,4))</f>
        <v/>
      </c>
      <c r="R446" s="27" t="str">
        <f aca="false">IF(J446="","",INT(P446/4))</f>
        <v/>
      </c>
      <c r="S446" s="27" t="str">
        <f aca="false">IF(J446="","",IF(AND('Daily Count Sheet'!$H$3=Q446,MOD('Daily Count Sheet'!$I$3,J446)=R446),1,""))</f>
        <v/>
      </c>
      <c r="T446" s="27" t="str">
        <f aca="false">IF(S446=1,COUNTIF($S$2:S446,1),"")</f>
        <v/>
      </c>
    </row>
    <row r="447" customFormat="false" ht="15" hidden="false" customHeight="false" outlineLevel="0" collapsed="false">
      <c r="H447" s="26"/>
      <c r="I447" s="27" t="str">
        <f aca="false">IF(A447="","",IF(H447&lt;&gt;"",UPPER(TRIM(H447)),IFERROR(CHOOSE(VALUE(E447)+1,"A","B","C","D"),IF(OR(LEFT(UPPER(TRIM(E447)),1)="F",UPPER(TRIM(E447))="A"),"A",IF(OR(LEFT(UPPER(TRIM(E447)),1)="M",UPPER(TRIM(E447))="B"),"B",IF(OR(LEFT(UPPER(TRIM(E447)),2)="SL",UPPER(TRIM(E447))="C"),"C",IF(OR(LEFT(UPPER(TRIM(E447)),1)="D",UPPER(TRIM(E447))="D"),"D","")))))))</f>
        <v/>
      </c>
      <c r="J447" s="27" t="str">
        <f aca="false">IF(I447="","",IF(AND(I447="D",Settings!$B$6&lt;&gt;"Yes"),"",IFERROR(INDEX(Settings!$C$9:$C$12,MATCH(I447,Settings!$A$9:$A$12,0)),"")))</f>
        <v/>
      </c>
      <c r="K447" s="27" t="str">
        <f aca="false">IF(J447="","",COUNTIF($I$2:I447,I447))</f>
        <v/>
      </c>
      <c r="L447" s="27" t="str">
        <f aca="false">IF(J447="","",CHOOSE(Q447+1,"Tue","Wed","Thu","Fri"))</f>
        <v/>
      </c>
      <c r="M447" s="27" t="str">
        <f aca="false">IF(J447="","",IF(J447=1,"Every week",R447+1&amp;" of "&amp;J447))</f>
        <v/>
      </c>
      <c r="N447" s="28" t="str">
        <f aca="false">IF(J447="","",Settings!$B$4+R447*7+Q447)</f>
        <v/>
      </c>
      <c r="O447" s="28" t="str">
        <f aca="true">IF(J447="","",N447+MAX(0,ROUNDUP((TODAY()-N447)/(J447*7),0))*J447*7)</f>
        <v/>
      </c>
      <c r="P447" s="27" t="str">
        <f aca="false">IF(J447="","",MOD(K447-1,J447*4))</f>
        <v/>
      </c>
      <c r="Q447" s="27" t="str">
        <f aca="false">IF(J447="","",MOD(P447,4))</f>
        <v/>
      </c>
      <c r="R447" s="27" t="str">
        <f aca="false">IF(J447="","",INT(P447/4))</f>
        <v/>
      </c>
      <c r="S447" s="27" t="str">
        <f aca="false">IF(J447="","",IF(AND('Daily Count Sheet'!$H$3=Q447,MOD('Daily Count Sheet'!$I$3,J447)=R447),1,""))</f>
        <v/>
      </c>
      <c r="T447" s="27" t="str">
        <f aca="false">IF(S447=1,COUNTIF($S$2:S447,1),"")</f>
        <v/>
      </c>
    </row>
    <row r="448" customFormat="false" ht="15" hidden="false" customHeight="false" outlineLevel="0" collapsed="false">
      <c r="H448" s="26"/>
      <c r="I448" s="27" t="str">
        <f aca="false">IF(A448="","",IF(H448&lt;&gt;"",UPPER(TRIM(H448)),IFERROR(CHOOSE(VALUE(E448)+1,"A","B","C","D"),IF(OR(LEFT(UPPER(TRIM(E448)),1)="F",UPPER(TRIM(E448))="A"),"A",IF(OR(LEFT(UPPER(TRIM(E448)),1)="M",UPPER(TRIM(E448))="B"),"B",IF(OR(LEFT(UPPER(TRIM(E448)),2)="SL",UPPER(TRIM(E448))="C"),"C",IF(OR(LEFT(UPPER(TRIM(E448)),1)="D",UPPER(TRIM(E448))="D"),"D","")))))))</f>
        <v/>
      </c>
      <c r="J448" s="27" t="str">
        <f aca="false">IF(I448="","",IF(AND(I448="D",Settings!$B$6&lt;&gt;"Yes"),"",IFERROR(INDEX(Settings!$C$9:$C$12,MATCH(I448,Settings!$A$9:$A$12,0)),"")))</f>
        <v/>
      </c>
      <c r="K448" s="27" t="str">
        <f aca="false">IF(J448="","",COUNTIF($I$2:I448,I448))</f>
        <v/>
      </c>
      <c r="L448" s="27" t="str">
        <f aca="false">IF(J448="","",CHOOSE(Q448+1,"Tue","Wed","Thu","Fri"))</f>
        <v/>
      </c>
      <c r="M448" s="27" t="str">
        <f aca="false">IF(J448="","",IF(J448=1,"Every week",R448+1&amp;" of "&amp;J448))</f>
        <v/>
      </c>
      <c r="N448" s="28" t="str">
        <f aca="false">IF(J448="","",Settings!$B$4+R448*7+Q448)</f>
        <v/>
      </c>
      <c r="O448" s="28" t="str">
        <f aca="true">IF(J448="","",N448+MAX(0,ROUNDUP((TODAY()-N448)/(J448*7),0))*J448*7)</f>
        <v/>
      </c>
      <c r="P448" s="27" t="str">
        <f aca="false">IF(J448="","",MOD(K448-1,J448*4))</f>
        <v/>
      </c>
      <c r="Q448" s="27" t="str">
        <f aca="false">IF(J448="","",MOD(P448,4))</f>
        <v/>
      </c>
      <c r="R448" s="27" t="str">
        <f aca="false">IF(J448="","",INT(P448/4))</f>
        <v/>
      </c>
      <c r="S448" s="27" t="str">
        <f aca="false">IF(J448="","",IF(AND('Daily Count Sheet'!$H$3=Q448,MOD('Daily Count Sheet'!$I$3,J448)=R448),1,""))</f>
        <v/>
      </c>
      <c r="T448" s="27" t="str">
        <f aca="false">IF(S448=1,COUNTIF($S$2:S448,1),"")</f>
        <v/>
      </c>
    </row>
    <row r="449" customFormat="false" ht="15" hidden="false" customHeight="false" outlineLevel="0" collapsed="false">
      <c r="H449" s="26"/>
      <c r="I449" s="27" t="str">
        <f aca="false">IF(A449="","",IF(H449&lt;&gt;"",UPPER(TRIM(H449)),IFERROR(CHOOSE(VALUE(E449)+1,"A","B","C","D"),IF(OR(LEFT(UPPER(TRIM(E449)),1)="F",UPPER(TRIM(E449))="A"),"A",IF(OR(LEFT(UPPER(TRIM(E449)),1)="M",UPPER(TRIM(E449))="B"),"B",IF(OR(LEFT(UPPER(TRIM(E449)),2)="SL",UPPER(TRIM(E449))="C"),"C",IF(OR(LEFT(UPPER(TRIM(E449)),1)="D",UPPER(TRIM(E449))="D"),"D","")))))))</f>
        <v/>
      </c>
      <c r="J449" s="27" t="str">
        <f aca="false">IF(I449="","",IF(AND(I449="D",Settings!$B$6&lt;&gt;"Yes"),"",IFERROR(INDEX(Settings!$C$9:$C$12,MATCH(I449,Settings!$A$9:$A$12,0)),"")))</f>
        <v/>
      </c>
      <c r="K449" s="27" t="str">
        <f aca="false">IF(J449="","",COUNTIF($I$2:I449,I449))</f>
        <v/>
      </c>
      <c r="L449" s="27" t="str">
        <f aca="false">IF(J449="","",CHOOSE(Q449+1,"Tue","Wed","Thu","Fri"))</f>
        <v/>
      </c>
      <c r="M449" s="27" t="str">
        <f aca="false">IF(J449="","",IF(J449=1,"Every week",R449+1&amp;" of "&amp;J449))</f>
        <v/>
      </c>
      <c r="N449" s="28" t="str">
        <f aca="false">IF(J449="","",Settings!$B$4+R449*7+Q449)</f>
        <v/>
      </c>
      <c r="O449" s="28" t="str">
        <f aca="true">IF(J449="","",N449+MAX(0,ROUNDUP((TODAY()-N449)/(J449*7),0))*J449*7)</f>
        <v/>
      </c>
      <c r="P449" s="27" t="str">
        <f aca="false">IF(J449="","",MOD(K449-1,J449*4))</f>
        <v/>
      </c>
      <c r="Q449" s="27" t="str">
        <f aca="false">IF(J449="","",MOD(P449,4))</f>
        <v/>
      </c>
      <c r="R449" s="27" t="str">
        <f aca="false">IF(J449="","",INT(P449/4))</f>
        <v/>
      </c>
      <c r="S449" s="27" t="str">
        <f aca="false">IF(J449="","",IF(AND('Daily Count Sheet'!$H$3=Q449,MOD('Daily Count Sheet'!$I$3,J449)=R449),1,""))</f>
        <v/>
      </c>
      <c r="T449" s="27" t="str">
        <f aca="false">IF(S449=1,COUNTIF($S$2:S449,1),"")</f>
        <v/>
      </c>
    </row>
    <row r="450" customFormat="false" ht="15" hidden="false" customHeight="false" outlineLevel="0" collapsed="false">
      <c r="H450" s="26"/>
      <c r="I450" s="27" t="str">
        <f aca="false">IF(A450="","",IF(H450&lt;&gt;"",UPPER(TRIM(H450)),IFERROR(CHOOSE(VALUE(E450)+1,"A","B","C","D"),IF(OR(LEFT(UPPER(TRIM(E450)),1)="F",UPPER(TRIM(E450))="A"),"A",IF(OR(LEFT(UPPER(TRIM(E450)),1)="M",UPPER(TRIM(E450))="B"),"B",IF(OR(LEFT(UPPER(TRIM(E450)),2)="SL",UPPER(TRIM(E450))="C"),"C",IF(OR(LEFT(UPPER(TRIM(E450)),1)="D",UPPER(TRIM(E450))="D"),"D","")))))))</f>
        <v/>
      </c>
      <c r="J450" s="27" t="str">
        <f aca="false">IF(I450="","",IF(AND(I450="D",Settings!$B$6&lt;&gt;"Yes"),"",IFERROR(INDEX(Settings!$C$9:$C$12,MATCH(I450,Settings!$A$9:$A$12,0)),"")))</f>
        <v/>
      </c>
      <c r="K450" s="27" t="str">
        <f aca="false">IF(J450="","",COUNTIF($I$2:I450,I450))</f>
        <v/>
      </c>
      <c r="L450" s="27" t="str">
        <f aca="false">IF(J450="","",CHOOSE(Q450+1,"Tue","Wed","Thu","Fri"))</f>
        <v/>
      </c>
      <c r="M450" s="27" t="str">
        <f aca="false">IF(J450="","",IF(J450=1,"Every week",R450+1&amp;" of "&amp;J450))</f>
        <v/>
      </c>
      <c r="N450" s="28" t="str">
        <f aca="false">IF(J450="","",Settings!$B$4+R450*7+Q450)</f>
        <v/>
      </c>
      <c r="O450" s="28" t="str">
        <f aca="true">IF(J450="","",N450+MAX(0,ROUNDUP((TODAY()-N450)/(J450*7),0))*J450*7)</f>
        <v/>
      </c>
      <c r="P450" s="27" t="str">
        <f aca="false">IF(J450="","",MOD(K450-1,J450*4))</f>
        <v/>
      </c>
      <c r="Q450" s="27" t="str">
        <f aca="false">IF(J450="","",MOD(P450,4))</f>
        <v/>
      </c>
      <c r="R450" s="27" t="str">
        <f aca="false">IF(J450="","",INT(P450/4))</f>
        <v/>
      </c>
      <c r="S450" s="27" t="str">
        <f aca="false">IF(J450="","",IF(AND('Daily Count Sheet'!$H$3=Q450,MOD('Daily Count Sheet'!$I$3,J450)=R450),1,""))</f>
        <v/>
      </c>
      <c r="T450" s="27" t="str">
        <f aca="false">IF(S450=1,COUNTIF($S$2:S450,1),"")</f>
        <v/>
      </c>
    </row>
    <row r="451" customFormat="false" ht="15" hidden="false" customHeight="false" outlineLevel="0" collapsed="false">
      <c r="H451" s="26"/>
      <c r="I451" s="27" t="str">
        <f aca="false">IF(A451="","",IF(H451&lt;&gt;"",UPPER(TRIM(H451)),IFERROR(CHOOSE(VALUE(E451)+1,"A","B","C","D"),IF(OR(LEFT(UPPER(TRIM(E451)),1)="F",UPPER(TRIM(E451))="A"),"A",IF(OR(LEFT(UPPER(TRIM(E451)),1)="M",UPPER(TRIM(E451))="B"),"B",IF(OR(LEFT(UPPER(TRIM(E451)),2)="SL",UPPER(TRIM(E451))="C"),"C",IF(OR(LEFT(UPPER(TRIM(E451)),1)="D",UPPER(TRIM(E451))="D"),"D","")))))))</f>
        <v/>
      </c>
      <c r="J451" s="27" t="str">
        <f aca="false">IF(I451="","",IF(AND(I451="D",Settings!$B$6&lt;&gt;"Yes"),"",IFERROR(INDEX(Settings!$C$9:$C$12,MATCH(I451,Settings!$A$9:$A$12,0)),"")))</f>
        <v/>
      </c>
      <c r="K451" s="27" t="str">
        <f aca="false">IF(J451="","",COUNTIF($I$2:I451,I451))</f>
        <v/>
      </c>
      <c r="L451" s="27" t="str">
        <f aca="false">IF(J451="","",CHOOSE(Q451+1,"Tue","Wed","Thu","Fri"))</f>
        <v/>
      </c>
      <c r="M451" s="27" t="str">
        <f aca="false">IF(J451="","",IF(J451=1,"Every week",R451+1&amp;" of "&amp;J451))</f>
        <v/>
      </c>
      <c r="N451" s="28" t="str">
        <f aca="false">IF(J451="","",Settings!$B$4+R451*7+Q451)</f>
        <v/>
      </c>
      <c r="O451" s="28" t="str">
        <f aca="true">IF(J451="","",N451+MAX(0,ROUNDUP((TODAY()-N451)/(J451*7),0))*J451*7)</f>
        <v/>
      </c>
      <c r="P451" s="27" t="str">
        <f aca="false">IF(J451="","",MOD(K451-1,J451*4))</f>
        <v/>
      </c>
      <c r="Q451" s="27" t="str">
        <f aca="false">IF(J451="","",MOD(P451,4))</f>
        <v/>
      </c>
      <c r="R451" s="27" t="str">
        <f aca="false">IF(J451="","",INT(P451/4))</f>
        <v/>
      </c>
      <c r="S451" s="27" t="str">
        <f aca="false">IF(J451="","",IF(AND('Daily Count Sheet'!$H$3=Q451,MOD('Daily Count Sheet'!$I$3,J451)=R451),1,""))</f>
        <v/>
      </c>
      <c r="T451" s="27" t="str">
        <f aca="false">IF(S451=1,COUNTIF($S$2:S451,1),"")</f>
        <v/>
      </c>
    </row>
    <row r="452" customFormat="false" ht="15" hidden="false" customHeight="false" outlineLevel="0" collapsed="false">
      <c r="H452" s="26"/>
      <c r="I452" s="27" t="str">
        <f aca="false">IF(A452="","",IF(H452&lt;&gt;"",UPPER(TRIM(H452)),IFERROR(CHOOSE(VALUE(E452)+1,"A","B","C","D"),IF(OR(LEFT(UPPER(TRIM(E452)),1)="F",UPPER(TRIM(E452))="A"),"A",IF(OR(LEFT(UPPER(TRIM(E452)),1)="M",UPPER(TRIM(E452))="B"),"B",IF(OR(LEFT(UPPER(TRIM(E452)),2)="SL",UPPER(TRIM(E452))="C"),"C",IF(OR(LEFT(UPPER(TRIM(E452)),1)="D",UPPER(TRIM(E452))="D"),"D","")))))))</f>
        <v/>
      </c>
      <c r="J452" s="27" t="str">
        <f aca="false">IF(I452="","",IF(AND(I452="D",Settings!$B$6&lt;&gt;"Yes"),"",IFERROR(INDEX(Settings!$C$9:$C$12,MATCH(I452,Settings!$A$9:$A$12,0)),"")))</f>
        <v/>
      </c>
      <c r="K452" s="27" t="str">
        <f aca="false">IF(J452="","",COUNTIF($I$2:I452,I452))</f>
        <v/>
      </c>
      <c r="L452" s="27" t="str">
        <f aca="false">IF(J452="","",CHOOSE(Q452+1,"Tue","Wed","Thu","Fri"))</f>
        <v/>
      </c>
      <c r="M452" s="27" t="str">
        <f aca="false">IF(J452="","",IF(J452=1,"Every week",R452+1&amp;" of "&amp;J452))</f>
        <v/>
      </c>
      <c r="N452" s="28" t="str">
        <f aca="false">IF(J452="","",Settings!$B$4+R452*7+Q452)</f>
        <v/>
      </c>
      <c r="O452" s="28" t="str">
        <f aca="true">IF(J452="","",N452+MAX(0,ROUNDUP((TODAY()-N452)/(J452*7),0))*J452*7)</f>
        <v/>
      </c>
      <c r="P452" s="27" t="str">
        <f aca="false">IF(J452="","",MOD(K452-1,J452*4))</f>
        <v/>
      </c>
      <c r="Q452" s="27" t="str">
        <f aca="false">IF(J452="","",MOD(P452,4))</f>
        <v/>
      </c>
      <c r="R452" s="27" t="str">
        <f aca="false">IF(J452="","",INT(P452/4))</f>
        <v/>
      </c>
      <c r="S452" s="27" t="str">
        <f aca="false">IF(J452="","",IF(AND('Daily Count Sheet'!$H$3=Q452,MOD('Daily Count Sheet'!$I$3,J452)=R452),1,""))</f>
        <v/>
      </c>
      <c r="T452" s="27" t="str">
        <f aca="false">IF(S452=1,COUNTIF($S$2:S452,1),"")</f>
        <v/>
      </c>
    </row>
    <row r="453" customFormat="false" ht="15" hidden="false" customHeight="false" outlineLevel="0" collapsed="false">
      <c r="H453" s="26"/>
      <c r="I453" s="27" t="str">
        <f aca="false">IF(A453="","",IF(H453&lt;&gt;"",UPPER(TRIM(H453)),IFERROR(CHOOSE(VALUE(E453)+1,"A","B","C","D"),IF(OR(LEFT(UPPER(TRIM(E453)),1)="F",UPPER(TRIM(E453))="A"),"A",IF(OR(LEFT(UPPER(TRIM(E453)),1)="M",UPPER(TRIM(E453))="B"),"B",IF(OR(LEFT(UPPER(TRIM(E453)),2)="SL",UPPER(TRIM(E453))="C"),"C",IF(OR(LEFT(UPPER(TRIM(E453)),1)="D",UPPER(TRIM(E453))="D"),"D","")))))))</f>
        <v/>
      </c>
      <c r="J453" s="27" t="str">
        <f aca="false">IF(I453="","",IF(AND(I453="D",Settings!$B$6&lt;&gt;"Yes"),"",IFERROR(INDEX(Settings!$C$9:$C$12,MATCH(I453,Settings!$A$9:$A$12,0)),"")))</f>
        <v/>
      </c>
      <c r="K453" s="27" t="str">
        <f aca="false">IF(J453="","",COUNTIF($I$2:I453,I453))</f>
        <v/>
      </c>
      <c r="L453" s="27" t="str">
        <f aca="false">IF(J453="","",CHOOSE(Q453+1,"Tue","Wed","Thu","Fri"))</f>
        <v/>
      </c>
      <c r="M453" s="27" t="str">
        <f aca="false">IF(J453="","",IF(J453=1,"Every week",R453+1&amp;" of "&amp;J453))</f>
        <v/>
      </c>
      <c r="N453" s="28" t="str">
        <f aca="false">IF(J453="","",Settings!$B$4+R453*7+Q453)</f>
        <v/>
      </c>
      <c r="O453" s="28" t="str">
        <f aca="true">IF(J453="","",N453+MAX(0,ROUNDUP((TODAY()-N453)/(J453*7),0))*J453*7)</f>
        <v/>
      </c>
      <c r="P453" s="27" t="str">
        <f aca="false">IF(J453="","",MOD(K453-1,J453*4))</f>
        <v/>
      </c>
      <c r="Q453" s="27" t="str">
        <f aca="false">IF(J453="","",MOD(P453,4))</f>
        <v/>
      </c>
      <c r="R453" s="27" t="str">
        <f aca="false">IF(J453="","",INT(P453/4))</f>
        <v/>
      </c>
      <c r="S453" s="27" t="str">
        <f aca="false">IF(J453="","",IF(AND('Daily Count Sheet'!$H$3=Q453,MOD('Daily Count Sheet'!$I$3,J453)=R453),1,""))</f>
        <v/>
      </c>
      <c r="T453" s="27" t="str">
        <f aca="false">IF(S453=1,COUNTIF($S$2:S453,1),"")</f>
        <v/>
      </c>
    </row>
    <row r="454" customFormat="false" ht="15" hidden="false" customHeight="false" outlineLevel="0" collapsed="false">
      <c r="H454" s="26"/>
      <c r="I454" s="27" t="str">
        <f aca="false">IF(A454="","",IF(H454&lt;&gt;"",UPPER(TRIM(H454)),IFERROR(CHOOSE(VALUE(E454)+1,"A","B","C","D"),IF(OR(LEFT(UPPER(TRIM(E454)),1)="F",UPPER(TRIM(E454))="A"),"A",IF(OR(LEFT(UPPER(TRIM(E454)),1)="M",UPPER(TRIM(E454))="B"),"B",IF(OR(LEFT(UPPER(TRIM(E454)),2)="SL",UPPER(TRIM(E454))="C"),"C",IF(OR(LEFT(UPPER(TRIM(E454)),1)="D",UPPER(TRIM(E454))="D"),"D","")))))))</f>
        <v/>
      </c>
      <c r="J454" s="27" t="str">
        <f aca="false">IF(I454="","",IF(AND(I454="D",Settings!$B$6&lt;&gt;"Yes"),"",IFERROR(INDEX(Settings!$C$9:$C$12,MATCH(I454,Settings!$A$9:$A$12,0)),"")))</f>
        <v/>
      </c>
      <c r="K454" s="27" t="str">
        <f aca="false">IF(J454="","",COUNTIF($I$2:I454,I454))</f>
        <v/>
      </c>
      <c r="L454" s="27" t="str">
        <f aca="false">IF(J454="","",CHOOSE(Q454+1,"Tue","Wed","Thu","Fri"))</f>
        <v/>
      </c>
      <c r="M454" s="27" t="str">
        <f aca="false">IF(J454="","",IF(J454=1,"Every week",R454+1&amp;" of "&amp;J454))</f>
        <v/>
      </c>
      <c r="N454" s="28" t="str">
        <f aca="false">IF(J454="","",Settings!$B$4+R454*7+Q454)</f>
        <v/>
      </c>
      <c r="O454" s="28" t="str">
        <f aca="true">IF(J454="","",N454+MAX(0,ROUNDUP((TODAY()-N454)/(J454*7),0))*J454*7)</f>
        <v/>
      </c>
      <c r="P454" s="27" t="str">
        <f aca="false">IF(J454="","",MOD(K454-1,J454*4))</f>
        <v/>
      </c>
      <c r="Q454" s="27" t="str">
        <f aca="false">IF(J454="","",MOD(P454,4))</f>
        <v/>
      </c>
      <c r="R454" s="27" t="str">
        <f aca="false">IF(J454="","",INT(P454/4))</f>
        <v/>
      </c>
      <c r="S454" s="27" t="str">
        <f aca="false">IF(J454="","",IF(AND('Daily Count Sheet'!$H$3=Q454,MOD('Daily Count Sheet'!$I$3,J454)=R454),1,""))</f>
        <v/>
      </c>
      <c r="T454" s="27" t="str">
        <f aca="false">IF(S454=1,COUNTIF($S$2:S454,1),"")</f>
        <v/>
      </c>
    </row>
    <row r="455" customFormat="false" ht="15" hidden="false" customHeight="false" outlineLevel="0" collapsed="false">
      <c r="H455" s="26"/>
      <c r="I455" s="27" t="str">
        <f aca="false">IF(A455="","",IF(H455&lt;&gt;"",UPPER(TRIM(H455)),IFERROR(CHOOSE(VALUE(E455)+1,"A","B","C","D"),IF(OR(LEFT(UPPER(TRIM(E455)),1)="F",UPPER(TRIM(E455))="A"),"A",IF(OR(LEFT(UPPER(TRIM(E455)),1)="M",UPPER(TRIM(E455))="B"),"B",IF(OR(LEFT(UPPER(TRIM(E455)),2)="SL",UPPER(TRIM(E455))="C"),"C",IF(OR(LEFT(UPPER(TRIM(E455)),1)="D",UPPER(TRIM(E455))="D"),"D","")))))))</f>
        <v/>
      </c>
      <c r="J455" s="27" t="str">
        <f aca="false">IF(I455="","",IF(AND(I455="D",Settings!$B$6&lt;&gt;"Yes"),"",IFERROR(INDEX(Settings!$C$9:$C$12,MATCH(I455,Settings!$A$9:$A$12,0)),"")))</f>
        <v/>
      </c>
      <c r="K455" s="27" t="str">
        <f aca="false">IF(J455="","",COUNTIF($I$2:I455,I455))</f>
        <v/>
      </c>
      <c r="L455" s="27" t="str">
        <f aca="false">IF(J455="","",CHOOSE(Q455+1,"Tue","Wed","Thu","Fri"))</f>
        <v/>
      </c>
      <c r="M455" s="27" t="str">
        <f aca="false">IF(J455="","",IF(J455=1,"Every week",R455+1&amp;" of "&amp;J455))</f>
        <v/>
      </c>
      <c r="N455" s="28" t="str">
        <f aca="false">IF(J455="","",Settings!$B$4+R455*7+Q455)</f>
        <v/>
      </c>
      <c r="O455" s="28" t="str">
        <f aca="true">IF(J455="","",N455+MAX(0,ROUNDUP((TODAY()-N455)/(J455*7),0))*J455*7)</f>
        <v/>
      </c>
      <c r="P455" s="27" t="str">
        <f aca="false">IF(J455="","",MOD(K455-1,J455*4))</f>
        <v/>
      </c>
      <c r="Q455" s="27" t="str">
        <f aca="false">IF(J455="","",MOD(P455,4))</f>
        <v/>
      </c>
      <c r="R455" s="27" t="str">
        <f aca="false">IF(J455="","",INT(P455/4))</f>
        <v/>
      </c>
      <c r="S455" s="27" t="str">
        <f aca="false">IF(J455="","",IF(AND('Daily Count Sheet'!$H$3=Q455,MOD('Daily Count Sheet'!$I$3,J455)=R455),1,""))</f>
        <v/>
      </c>
      <c r="T455" s="27" t="str">
        <f aca="false">IF(S455=1,COUNTIF($S$2:S455,1),"")</f>
        <v/>
      </c>
    </row>
    <row r="456" customFormat="false" ht="15" hidden="false" customHeight="false" outlineLevel="0" collapsed="false">
      <c r="H456" s="26"/>
      <c r="I456" s="27" t="str">
        <f aca="false">IF(A456="","",IF(H456&lt;&gt;"",UPPER(TRIM(H456)),IFERROR(CHOOSE(VALUE(E456)+1,"A","B","C","D"),IF(OR(LEFT(UPPER(TRIM(E456)),1)="F",UPPER(TRIM(E456))="A"),"A",IF(OR(LEFT(UPPER(TRIM(E456)),1)="M",UPPER(TRIM(E456))="B"),"B",IF(OR(LEFT(UPPER(TRIM(E456)),2)="SL",UPPER(TRIM(E456))="C"),"C",IF(OR(LEFT(UPPER(TRIM(E456)),1)="D",UPPER(TRIM(E456))="D"),"D","")))))))</f>
        <v/>
      </c>
      <c r="J456" s="27" t="str">
        <f aca="false">IF(I456="","",IF(AND(I456="D",Settings!$B$6&lt;&gt;"Yes"),"",IFERROR(INDEX(Settings!$C$9:$C$12,MATCH(I456,Settings!$A$9:$A$12,0)),"")))</f>
        <v/>
      </c>
      <c r="K456" s="27" t="str">
        <f aca="false">IF(J456="","",COUNTIF($I$2:I456,I456))</f>
        <v/>
      </c>
      <c r="L456" s="27" t="str">
        <f aca="false">IF(J456="","",CHOOSE(Q456+1,"Tue","Wed","Thu","Fri"))</f>
        <v/>
      </c>
      <c r="M456" s="27" t="str">
        <f aca="false">IF(J456="","",IF(J456=1,"Every week",R456+1&amp;" of "&amp;J456))</f>
        <v/>
      </c>
      <c r="N456" s="28" t="str">
        <f aca="false">IF(J456="","",Settings!$B$4+R456*7+Q456)</f>
        <v/>
      </c>
      <c r="O456" s="28" t="str">
        <f aca="true">IF(J456="","",N456+MAX(0,ROUNDUP((TODAY()-N456)/(J456*7),0))*J456*7)</f>
        <v/>
      </c>
      <c r="P456" s="27" t="str">
        <f aca="false">IF(J456="","",MOD(K456-1,J456*4))</f>
        <v/>
      </c>
      <c r="Q456" s="27" t="str">
        <f aca="false">IF(J456="","",MOD(P456,4))</f>
        <v/>
      </c>
      <c r="R456" s="27" t="str">
        <f aca="false">IF(J456="","",INT(P456/4))</f>
        <v/>
      </c>
      <c r="S456" s="27" t="str">
        <f aca="false">IF(J456="","",IF(AND('Daily Count Sheet'!$H$3=Q456,MOD('Daily Count Sheet'!$I$3,J456)=R456),1,""))</f>
        <v/>
      </c>
      <c r="T456" s="27" t="str">
        <f aca="false">IF(S456=1,COUNTIF($S$2:S456,1),"")</f>
        <v/>
      </c>
    </row>
    <row r="457" customFormat="false" ht="15" hidden="false" customHeight="false" outlineLevel="0" collapsed="false">
      <c r="H457" s="26"/>
      <c r="I457" s="27" t="str">
        <f aca="false">IF(A457="","",IF(H457&lt;&gt;"",UPPER(TRIM(H457)),IFERROR(CHOOSE(VALUE(E457)+1,"A","B","C","D"),IF(OR(LEFT(UPPER(TRIM(E457)),1)="F",UPPER(TRIM(E457))="A"),"A",IF(OR(LEFT(UPPER(TRIM(E457)),1)="M",UPPER(TRIM(E457))="B"),"B",IF(OR(LEFT(UPPER(TRIM(E457)),2)="SL",UPPER(TRIM(E457))="C"),"C",IF(OR(LEFT(UPPER(TRIM(E457)),1)="D",UPPER(TRIM(E457))="D"),"D","")))))))</f>
        <v/>
      </c>
      <c r="J457" s="27" t="str">
        <f aca="false">IF(I457="","",IF(AND(I457="D",Settings!$B$6&lt;&gt;"Yes"),"",IFERROR(INDEX(Settings!$C$9:$C$12,MATCH(I457,Settings!$A$9:$A$12,0)),"")))</f>
        <v/>
      </c>
      <c r="K457" s="27" t="str">
        <f aca="false">IF(J457="","",COUNTIF($I$2:I457,I457))</f>
        <v/>
      </c>
      <c r="L457" s="27" t="str">
        <f aca="false">IF(J457="","",CHOOSE(Q457+1,"Tue","Wed","Thu","Fri"))</f>
        <v/>
      </c>
      <c r="M457" s="27" t="str">
        <f aca="false">IF(J457="","",IF(J457=1,"Every week",R457+1&amp;" of "&amp;J457))</f>
        <v/>
      </c>
      <c r="N457" s="28" t="str">
        <f aca="false">IF(J457="","",Settings!$B$4+R457*7+Q457)</f>
        <v/>
      </c>
      <c r="O457" s="28" t="str">
        <f aca="true">IF(J457="","",N457+MAX(0,ROUNDUP((TODAY()-N457)/(J457*7),0))*J457*7)</f>
        <v/>
      </c>
      <c r="P457" s="27" t="str">
        <f aca="false">IF(J457="","",MOD(K457-1,J457*4))</f>
        <v/>
      </c>
      <c r="Q457" s="27" t="str">
        <f aca="false">IF(J457="","",MOD(P457,4))</f>
        <v/>
      </c>
      <c r="R457" s="27" t="str">
        <f aca="false">IF(J457="","",INT(P457/4))</f>
        <v/>
      </c>
      <c r="S457" s="27" t="str">
        <f aca="false">IF(J457="","",IF(AND('Daily Count Sheet'!$H$3=Q457,MOD('Daily Count Sheet'!$I$3,J457)=R457),1,""))</f>
        <v/>
      </c>
      <c r="T457" s="27" t="str">
        <f aca="false">IF(S457=1,COUNTIF($S$2:S457,1),"")</f>
        <v/>
      </c>
    </row>
    <row r="458" customFormat="false" ht="15" hidden="false" customHeight="false" outlineLevel="0" collapsed="false">
      <c r="H458" s="26"/>
      <c r="I458" s="27" t="str">
        <f aca="false">IF(A458="","",IF(H458&lt;&gt;"",UPPER(TRIM(H458)),IFERROR(CHOOSE(VALUE(E458)+1,"A","B","C","D"),IF(OR(LEFT(UPPER(TRIM(E458)),1)="F",UPPER(TRIM(E458))="A"),"A",IF(OR(LEFT(UPPER(TRIM(E458)),1)="M",UPPER(TRIM(E458))="B"),"B",IF(OR(LEFT(UPPER(TRIM(E458)),2)="SL",UPPER(TRIM(E458))="C"),"C",IF(OR(LEFT(UPPER(TRIM(E458)),1)="D",UPPER(TRIM(E458))="D"),"D","")))))))</f>
        <v/>
      </c>
      <c r="J458" s="27" t="str">
        <f aca="false">IF(I458="","",IF(AND(I458="D",Settings!$B$6&lt;&gt;"Yes"),"",IFERROR(INDEX(Settings!$C$9:$C$12,MATCH(I458,Settings!$A$9:$A$12,0)),"")))</f>
        <v/>
      </c>
      <c r="K458" s="27" t="str">
        <f aca="false">IF(J458="","",COUNTIF($I$2:I458,I458))</f>
        <v/>
      </c>
      <c r="L458" s="27" t="str">
        <f aca="false">IF(J458="","",CHOOSE(Q458+1,"Tue","Wed","Thu","Fri"))</f>
        <v/>
      </c>
      <c r="M458" s="27" t="str">
        <f aca="false">IF(J458="","",IF(J458=1,"Every week",R458+1&amp;" of "&amp;J458))</f>
        <v/>
      </c>
      <c r="N458" s="28" t="str">
        <f aca="false">IF(J458="","",Settings!$B$4+R458*7+Q458)</f>
        <v/>
      </c>
      <c r="O458" s="28" t="str">
        <f aca="true">IF(J458="","",N458+MAX(0,ROUNDUP((TODAY()-N458)/(J458*7),0))*J458*7)</f>
        <v/>
      </c>
      <c r="P458" s="27" t="str">
        <f aca="false">IF(J458="","",MOD(K458-1,J458*4))</f>
        <v/>
      </c>
      <c r="Q458" s="27" t="str">
        <f aca="false">IF(J458="","",MOD(P458,4))</f>
        <v/>
      </c>
      <c r="R458" s="27" t="str">
        <f aca="false">IF(J458="","",INT(P458/4))</f>
        <v/>
      </c>
      <c r="S458" s="27" t="str">
        <f aca="false">IF(J458="","",IF(AND('Daily Count Sheet'!$H$3=Q458,MOD('Daily Count Sheet'!$I$3,J458)=R458),1,""))</f>
        <v/>
      </c>
      <c r="T458" s="27" t="str">
        <f aca="false">IF(S458=1,COUNTIF($S$2:S458,1),"")</f>
        <v/>
      </c>
    </row>
    <row r="459" customFormat="false" ht="15" hidden="false" customHeight="false" outlineLevel="0" collapsed="false">
      <c r="H459" s="26"/>
      <c r="I459" s="27" t="str">
        <f aca="false">IF(A459="","",IF(H459&lt;&gt;"",UPPER(TRIM(H459)),IFERROR(CHOOSE(VALUE(E459)+1,"A","B","C","D"),IF(OR(LEFT(UPPER(TRIM(E459)),1)="F",UPPER(TRIM(E459))="A"),"A",IF(OR(LEFT(UPPER(TRIM(E459)),1)="M",UPPER(TRIM(E459))="B"),"B",IF(OR(LEFT(UPPER(TRIM(E459)),2)="SL",UPPER(TRIM(E459))="C"),"C",IF(OR(LEFT(UPPER(TRIM(E459)),1)="D",UPPER(TRIM(E459))="D"),"D","")))))))</f>
        <v/>
      </c>
      <c r="J459" s="27" t="str">
        <f aca="false">IF(I459="","",IF(AND(I459="D",Settings!$B$6&lt;&gt;"Yes"),"",IFERROR(INDEX(Settings!$C$9:$C$12,MATCH(I459,Settings!$A$9:$A$12,0)),"")))</f>
        <v/>
      </c>
      <c r="K459" s="27" t="str">
        <f aca="false">IF(J459="","",COUNTIF($I$2:I459,I459))</f>
        <v/>
      </c>
      <c r="L459" s="27" t="str">
        <f aca="false">IF(J459="","",CHOOSE(Q459+1,"Tue","Wed","Thu","Fri"))</f>
        <v/>
      </c>
      <c r="M459" s="27" t="str">
        <f aca="false">IF(J459="","",IF(J459=1,"Every week",R459+1&amp;" of "&amp;J459))</f>
        <v/>
      </c>
      <c r="N459" s="28" t="str">
        <f aca="false">IF(J459="","",Settings!$B$4+R459*7+Q459)</f>
        <v/>
      </c>
      <c r="O459" s="28" t="str">
        <f aca="true">IF(J459="","",N459+MAX(0,ROUNDUP((TODAY()-N459)/(J459*7),0))*J459*7)</f>
        <v/>
      </c>
      <c r="P459" s="27" t="str">
        <f aca="false">IF(J459="","",MOD(K459-1,J459*4))</f>
        <v/>
      </c>
      <c r="Q459" s="27" t="str">
        <f aca="false">IF(J459="","",MOD(P459,4))</f>
        <v/>
      </c>
      <c r="R459" s="27" t="str">
        <f aca="false">IF(J459="","",INT(P459/4))</f>
        <v/>
      </c>
      <c r="S459" s="27" t="str">
        <f aca="false">IF(J459="","",IF(AND('Daily Count Sheet'!$H$3=Q459,MOD('Daily Count Sheet'!$I$3,J459)=R459),1,""))</f>
        <v/>
      </c>
      <c r="T459" s="27" t="str">
        <f aca="false">IF(S459=1,COUNTIF($S$2:S459,1),"")</f>
        <v/>
      </c>
    </row>
    <row r="460" customFormat="false" ht="15" hidden="false" customHeight="false" outlineLevel="0" collapsed="false">
      <c r="H460" s="26"/>
      <c r="I460" s="27" t="str">
        <f aca="false">IF(A460="","",IF(H460&lt;&gt;"",UPPER(TRIM(H460)),IFERROR(CHOOSE(VALUE(E460)+1,"A","B","C","D"),IF(OR(LEFT(UPPER(TRIM(E460)),1)="F",UPPER(TRIM(E460))="A"),"A",IF(OR(LEFT(UPPER(TRIM(E460)),1)="M",UPPER(TRIM(E460))="B"),"B",IF(OR(LEFT(UPPER(TRIM(E460)),2)="SL",UPPER(TRIM(E460))="C"),"C",IF(OR(LEFT(UPPER(TRIM(E460)),1)="D",UPPER(TRIM(E460))="D"),"D","")))))))</f>
        <v/>
      </c>
      <c r="J460" s="27" t="str">
        <f aca="false">IF(I460="","",IF(AND(I460="D",Settings!$B$6&lt;&gt;"Yes"),"",IFERROR(INDEX(Settings!$C$9:$C$12,MATCH(I460,Settings!$A$9:$A$12,0)),"")))</f>
        <v/>
      </c>
      <c r="K460" s="27" t="str">
        <f aca="false">IF(J460="","",COUNTIF($I$2:I460,I460))</f>
        <v/>
      </c>
      <c r="L460" s="27" t="str">
        <f aca="false">IF(J460="","",CHOOSE(Q460+1,"Tue","Wed","Thu","Fri"))</f>
        <v/>
      </c>
      <c r="M460" s="27" t="str">
        <f aca="false">IF(J460="","",IF(J460=1,"Every week",R460+1&amp;" of "&amp;J460))</f>
        <v/>
      </c>
      <c r="N460" s="28" t="str">
        <f aca="false">IF(J460="","",Settings!$B$4+R460*7+Q460)</f>
        <v/>
      </c>
      <c r="O460" s="28" t="str">
        <f aca="true">IF(J460="","",N460+MAX(0,ROUNDUP((TODAY()-N460)/(J460*7),0))*J460*7)</f>
        <v/>
      </c>
      <c r="P460" s="27" t="str">
        <f aca="false">IF(J460="","",MOD(K460-1,J460*4))</f>
        <v/>
      </c>
      <c r="Q460" s="27" t="str">
        <f aca="false">IF(J460="","",MOD(P460,4))</f>
        <v/>
      </c>
      <c r="R460" s="27" t="str">
        <f aca="false">IF(J460="","",INT(P460/4))</f>
        <v/>
      </c>
      <c r="S460" s="27" t="str">
        <f aca="false">IF(J460="","",IF(AND('Daily Count Sheet'!$H$3=Q460,MOD('Daily Count Sheet'!$I$3,J460)=R460),1,""))</f>
        <v/>
      </c>
      <c r="T460" s="27" t="str">
        <f aca="false">IF(S460=1,COUNTIF($S$2:S460,1),"")</f>
        <v/>
      </c>
    </row>
    <row r="461" customFormat="false" ht="15" hidden="false" customHeight="false" outlineLevel="0" collapsed="false">
      <c r="H461" s="26"/>
      <c r="I461" s="27" t="str">
        <f aca="false">IF(A461="","",IF(H461&lt;&gt;"",UPPER(TRIM(H461)),IFERROR(CHOOSE(VALUE(E461)+1,"A","B","C","D"),IF(OR(LEFT(UPPER(TRIM(E461)),1)="F",UPPER(TRIM(E461))="A"),"A",IF(OR(LEFT(UPPER(TRIM(E461)),1)="M",UPPER(TRIM(E461))="B"),"B",IF(OR(LEFT(UPPER(TRIM(E461)),2)="SL",UPPER(TRIM(E461))="C"),"C",IF(OR(LEFT(UPPER(TRIM(E461)),1)="D",UPPER(TRIM(E461))="D"),"D","")))))))</f>
        <v/>
      </c>
      <c r="J461" s="27" t="str">
        <f aca="false">IF(I461="","",IF(AND(I461="D",Settings!$B$6&lt;&gt;"Yes"),"",IFERROR(INDEX(Settings!$C$9:$C$12,MATCH(I461,Settings!$A$9:$A$12,0)),"")))</f>
        <v/>
      </c>
      <c r="K461" s="27" t="str">
        <f aca="false">IF(J461="","",COUNTIF($I$2:I461,I461))</f>
        <v/>
      </c>
      <c r="L461" s="27" t="str">
        <f aca="false">IF(J461="","",CHOOSE(Q461+1,"Tue","Wed","Thu","Fri"))</f>
        <v/>
      </c>
      <c r="M461" s="27" t="str">
        <f aca="false">IF(J461="","",IF(J461=1,"Every week",R461+1&amp;" of "&amp;J461))</f>
        <v/>
      </c>
      <c r="N461" s="28" t="str">
        <f aca="false">IF(J461="","",Settings!$B$4+R461*7+Q461)</f>
        <v/>
      </c>
      <c r="O461" s="28" t="str">
        <f aca="true">IF(J461="","",N461+MAX(0,ROUNDUP((TODAY()-N461)/(J461*7),0))*J461*7)</f>
        <v/>
      </c>
      <c r="P461" s="27" t="str">
        <f aca="false">IF(J461="","",MOD(K461-1,J461*4))</f>
        <v/>
      </c>
      <c r="Q461" s="27" t="str">
        <f aca="false">IF(J461="","",MOD(P461,4))</f>
        <v/>
      </c>
      <c r="R461" s="27" t="str">
        <f aca="false">IF(J461="","",INT(P461/4))</f>
        <v/>
      </c>
      <c r="S461" s="27" t="str">
        <f aca="false">IF(J461="","",IF(AND('Daily Count Sheet'!$H$3=Q461,MOD('Daily Count Sheet'!$I$3,J461)=R461),1,""))</f>
        <v/>
      </c>
      <c r="T461" s="27" t="str">
        <f aca="false">IF(S461=1,COUNTIF($S$2:S461,1),"")</f>
        <v/>
      </c>
    </row>
    <row r="462" customFormat="false" ht="15" hidden="false" customHeight="false" outlineLevel="0" collapsed="false">
      <c r="H462" s="26"/>
      <c r="I462" s="27" t="str">
        <f aca="false">IF(A462="","",IF(H462&lt;&gt;"",UPPER(TRIM(H462)),IFERROR(CHOOSE(VALUE(E462)+1,"A","B","C","D"),IF(OR(LEFT(UPPER(TRIM(E462)),1)="F",UPPER(TRIM(E462))="A"),"A",IF(OR(LEFT(UPPER(TRIM(E462)),1)="M",UPPER(TRIM(E462))="B"),"B",IF(OR(LEFT(UPPER(TRIM(E462)),2)="SL",UPPER(TRIM(E462))="C"),"C",IF(OR(LEFT(UPPER(TRIM(E462)),1)="D",UPPER(TRIM(E462))="D"),"D","")))))))</f>
        <v/>
      </c>
      <c r="J462" s="27" t="str">
        <f aca="false">IF(I462="","",IF(AND(I462="D",Settings!$B$6&lt;&gt;"Yes"),"",IFERROR(INDEX(Settings!$C$9:$C$12,MATCH(I462,Settings!$A$9:$A$12,0)),"")))</f>
        <v/>
      </c>
      <c r="K462" s="27" t="str">
        <f aca="false">IF(J462="","",COUNTIF($I$2:I462,I462))</f>
        <v/>
      </c>
      <c r="L462" s="27" t="str">
        <f aca="false">IF(J462="","",CHOOSE(Q462+1,"Tue","Wed","Thu","Fri"))</f>
        <v/>
      </c>
      <c r="M462" s="27" t="str">
        <f aca="false">IF(J462="","",IF(J462=1,"Every week",R462+1&amp;" of "&amp;J462))</f>
        <v/>
      </c>
      <c r="N462" s="28" t="str">
        <f aca="false">IF(J462="","",Settings!$B$4+R462*7+Q462)</f>
        <v/>
      </c>
      <c r="O462" s="28" t="str">
        <f aca="true">IF(J462="","",N462+MAX(0,ROUNDUP((TODAY()-N462)/(J462*7),0))*J462*7)</f>
        <v/>
      </c>
      <c r="P462" s="27" t="str">
        <f aca="false">IF(J462="","",MOD(K462-1,J462*4))</f>
        <v/>
      </c>
      <c r="Q462" s="27" t="str">
        <f aca="false">IF(J462="","",MOD(P462,4))</f>
        <v/>
      </c>
      <c r="R462" s="27" t="str">
        <f aca="false">IF(J462="","",INT(P462/4))</f>
        <v/>
      </c>
      <c r="S462" s="27" t="str">
        <f aca="false">IF(J462="","",IF(AND('Daily Count Sheet'!$H$3=Q462,MOD('Daily Count Sheet'!$I$3,J462)=R462),1,""))</f>
        <v/>
      </c>
      <c r="T462" s="27" t="str">
        <f aca="false">IF(S462=1,COUNTIF($S$2:S462,1),"")</f>
        <v/>
      </c>
    </row>
    <row r="463" customFormat="false" ht="15" hidden="false" customHeight="false" outlineLevel="0" collapsed="false">
      <c r="H463" s="26"/>
      <c r="I463" s="27" t="str">
        <f aca="false">IF(A463="","",IF(H463&lt;&gt;"",UPPER(TRIM(H463)),IFERROR(CHOOSE(VALUE(E463)+1,"A","B","C","D"),IF(OR(LEFT(UPPER(TRIM(E463)),1)="F",UPPER(TRIM(E463))="A"),"A",IF(OR(LEFT(UPPER(TRIM(E463)),1)="M",UPPER(TRIM(E463))="B"),"B",IF(OR(LEFT(UPPER(TRIM(E463)),2)="SL",UPPER(TRIM(E463))="C"),"C",IF(OR(LEFT(UPPER(TRIM(E463)),1)="D",UPPER(TRIM(E463))="D"),"D","")))))))</f>
        <v/>
      </c>
      <c r="J463" s="27" t="str">
        <f aca="false">IF(I463="","",IF(AND(I463="D",Settings!$B$6&lt;&gt;"Yes"),"",IFERROR(INDEX(Settings!$C$9:$C$12,MATCH(I463,Settings!$A$9:$A$12,0)),"")))</f>
        <v/>
      </c>
      <c r="K463" s="27" t="str">
        <f aca="false">IF(J463="","",COUNTIF($I$2:I463,I463))</f>
        <v/>
      </c>
      <c r="L463" s="27" t="str">
        <f aca="false">IF(J463="","",CHOOSE(Q463+1,"Tue","Wed","Thu","Fri"))</f>
        <v/>
      </c>
      <c r="M463" s="27" t="str">
        <f aca="false">IF(J463="","",IF(J463=1,"Every week",R463+1&amp;" of "&amp;J463))</f>
        <v/>
      </c>
      <c r="N463" s="28" t="str">
        <f aca="false">IF(J463="","",Settings!$B$4+R463*7+Q463)</f>
        <v/>
      </c>
      <c r="O463" s="28" t="str">
        <f aca="true">IF(J463="","",N463+MAX(0,ROUNDUP((TODAY()-N463)/(J463*7),0))*J463*7)</f>
        <v/>
      </c>
      <c r="P463" s="27" t="str">
        <f aca="false">IF(J463="","",MOD(K463-1,J463*4))</f>
        <v/>
      </c>
      <c r="Q463" s="27" t="str">
        <f aca="false">IF(J463="","",MOD(P463,4))</f>
        <v/>
      </c>
      <c r="R463" s="27" t="str">
        <f aca="false">IF(J463="","",INT(P463/4))</f>
        <v/>
      </c>
      <c r="S463" s="27" t="str">
        <f aca="false">IF(J463="","",IF(AND('Daily Count Sheet'!$H$3=Q463,MOD('Daily Count Sheet'!$I$3,J463)=R463),1,""))</f>
        <v/>
      </c>
      <c r="T463" s="27" t="str">
        <f aca="false">IF(S463=1,COUNTIF($S$2:S463,1),"")</f>
        <v/>
      </c>
    </row>
    <row r="464" customFormat="false" ht="15" hidden="false" customHeight="false" outlineLevel="0" collapsed="false">
      <c r="H464" s="26"/>
      <c r="I464" s="27" t="str">
        <f aca="false">IF(A464="","",IF(H464&lt;&gt;"",UPPER(TRIM(H464)),IFERROR(CHOOSE(VALUE(E464)+1,"A","B","C","D"),IF(OR(LEFT(UPPER(TRIM(E464)),1)="F",UPPER(TRIM(E464))="A"),"A",IF(OR(LEFT(UPPER(TRIM(E464)),1)="M",UPPER(TRIM(E464))="B"),"B",IF(OR(LEFT(UPPER(TRIM(E464)),2)="SL",UPPER(TRIM(E464))="C"),"C",IF(OR(LEFT(UPPER(TRIM(E464)),1)="D",UPPER(TRIM(E464))="D"),"D","")))))))</f>
        <v/>
      </c>
      <c r="J464" s="27" t="str">
        <f aca="false">IF(I464="","",IF(AND(I464="D",Settings!$B$6&lt;&gt;"Yes"),"",IFERROR(INDEX(Settings!$C$9:$C$12,MATCH(I464,Settings!$A$9:$A$12,0)),"")))</f>
        <v/>
      </c>
      <c r="K464" s="27" t="str">
        <f aca="false">IF(J464="","",COUNTIF($I$2:I464,I464))</f>
        <v/>
      </c>
      <c r="L464" s="27" t="str">
        <f aca="false">IF(J464="","",CHOOSE(Q464+1,"Tue","Wed","Thu","Fri"))</f>
        <v/>
      </c>
      <c r="M464" s="27" t="str">
        <f aca="false">IF(J464="","",IF(J464=1,"Every week",R464+1&amp;" of "&amp;J464))</f>
        <v/>
      </c>
      <c r="N464" s="28" t="str">
        <f aca="false">IF(J464="","",Settings!$B$4+R464*7+Q464)</f>
        <v/>
      </c>
      <c r="O464" s="28" t="str">
        <f aca="true">IF(J464="","",N464+MAX(0,ROUNDUP((TODAY()-N464)/(J464*7),0))*J464*7)</f>
        <v/>
      </c>
      <c r="P464" s="27" t="str">
        <f aca="false">IF(J464="","",MOD(K464-1,J464*4))</f>
        <v/>
      </c>
      <c r="Q464" s="27" t="str">
        <f aca="false">IF(J464="","",MOD(P464,4))</f>
        <v/>
      </c>
      <c r="R464" s="27" t="str">
        <f aca="false">IF(J464="","",INT(P464/4))</f>
        <v/>
      </c>
      <c r="S464" s="27" t="str">
        <f aca="false">IF(J464="","",IF(AND('Daily Count Sheet'!$H$3=Q464,MOD('Daily Count Sheet'!$I$3,J464)=R464),1,""))</f>
        <v/>
      </c>
      <c r="T464" s="27" t="str">
        <f aca="false">IF(S464=1,COUNTIF($S$2:S464,1),"")</f>
        <v/>
      </c>
    </row>
    <row r="465" customFormat="false" ht="15" hidden="false" customHeight="false" outlineLevel="0" collapsed="false">
      <c r="H465" s="26"/>
      <c r="I465" s="27" t="str">
        <f aca="false">IF(A465="","",IF(H465&lt;&gt;"",UPPER(TRIM(H465)),IFERROR(CHOOSE(VALUE(E465)+1,"A","B","C","D"),IF(OR(LEFT(UPPER(TRIM(E465)),1)="F",UPPER(TRIM(E465))="A"),"A",IF(OR(LEFT(UPPER(TRIM(E465)),1)="M",UPPER(TRIM(E465))="B"),"B",IF(OR(LEFT(UPPER(TRIM(E465)),2)="SL",UPPER(TRIM(E465))="C"),"C",IF(OR(LEFT(UPPER(TRIM(E465)),1)="D",UPPER(TRIM(E465))="D"),"D","")))))))</f>
        <v/>
      </c>
      <c r="J465" s="27" t="str">
        <f aca="false">IF(I465="","",IF(AND(I465="D",Settings!$B$6&lt;&gt;"Yes"),"",IFERROR(INDEX(Settings!$C$9:$C$12,MATCH(I465,Settings!$A$9:$A$12,0)),"")))</f>
        <v/>
      </c>
      <c r="K465" s="27" t="str">
        <f aca="false">IF(J465="","",COUNTIF($I$2:I465,I465))</f>
        <v/>
      </c>
      <c r="L465" s="27" t="str">
        <f aca="false">IF(J465="","",CHOOSE(Q465+1,"Tue","Wed","Thu","Fri"))</f>
        <v/>
      </c>
      <c r="M465" s="27" t="str">
        <f aca="false">IF(J465="","",IF(J465=1,"Every week",R465+1&amp;" of "&amp;J465))</f>
        <v/>
      </c>
      <c r="N465" s="28" t="str">
        <f aca="false">IF(J465="","",Settings!$B$4+R465*7+Q465)</f>
        <v/>
      </c>
      <c r="O465" s="28" t="str">
        <f aca="true">IF(J465="","",N465+MAX(0,ROUNDUP((TODAY()-N465)/(J465*7),0))*J465*7)</f>
        <v/>
      </c>
      <c r="P465" s="27" t="str">
        <f aca="false">IF(J465="","",MOD(K465-1,J465*4))</f>
        <v/>
      </c>
      <c r="Q465" s="27" t="str">
        <f aca="false">IF(J465="","",MOD(P465,4))</f>
        <v/>
      </c>
      <c r="R465" s="27" t="str">
        <f aca="false">IF(J465="","",INT(P465/4))</f>
        <v/>
      </c>
      <c r="S465" s="27" t="str">
        <f aca="false">IF(J465="","",IF(AND('Daily Count Sheet'!$H$3=Q465,MOD('Daily Count Sheet'!$I$3,J465)=R465),1,""))</f>
        <v/>
      </c>
      <c r="T465" s="27" t="str">
        <f aca="false">IF(S465=1,COUNTIF($S$2:S465,1),"")</f>
        <v/>
      </c>
    </row>
    <row r="466" customFormat="false" ht="15" hidden="false" customHeight="false" outlineLevel="0" collapsed="false">
      <c r="H466" s="26"/>
      <c r="I466" s="27" t="str">
        <f aca="false">IF(A466="","",IF(H466&lt;&gt;"",UPPER(TRIM(H466)),IFERROR(CHOOSE(VALUE(E466)+1,"A","B","C","D"),IF(OR(LEFT(UPPER(TRIM(E466)),1)="F",UPPER(TRIM(E466))="A"),"A",IF(OR(LEFT(UPPER(TRIM(E466)),1)="M",UPPER(TRIM(E466))="B"),"B",IF(OR(LEFT(UPPER(TRIM(E466)),2)="SL",UPPER(TRIM(E466))="C"),"C",IF(OR(LEFT(UPPER(TRIM(E466)),1)="D",UPPER(TRIM(E466))="D"),"D","")))))))</f>
        <v/>
      </c>
      <c r="J466" s="27" t="str">
        <f aca="false">IF(I466="","",IF(AND(I466="D",Settings!$B$6&lt;&gt;"Yes"),"",IFERROR(INDEX(Settings!$C$9:$C$12,MATCH(I466,Settings!$A$9:$A$12,0)),"")))</f>
        <v/>
      </c>
      <c r="K466" s="27" t="str">
        <f aca="false">IF(J466="","",COUNTIF($I$2:I466,I466))</f>
        <v/>
      </c>
      <c r="L466" s="27" t="str">
        <f aca="false">IF(J466="","",CHOOSE(Q466+1,"Tue","Wed","Thu","Fri"))</f>
        <v/>
      </c>
      <c r="M466" s="27" t="str">
        <f aca="false">IF(J466="","",IF(J466=1,"Every week",R466+1&amp;" of "&amp;J466))</f>
        <v/>
      </c>
      <c r="N466" s="28" t="str">
        <f aca="false">IF(J466="","",Settings!$B$4+R466*7+Q466)</f>
        <v/>
      </c>
      <c r="O466" s="28" t="str">
        <f aca="true">IF(J466="","",N466+MAX(0,ROUNDUP((TODAY()-N466)/(J466*7),0))*J466*7)</f>
        <v/>
      </c>
      <c r="P466" s="27" t="str">
        <f aca="false">IF(J466="","",MOD(K466-1,J466*4))</f>
        <v/>
      </c>
      <c r="Q466" s="27" t="str">
        <f aca="false">IF(J466="","",MOD(P466,4))</f>
        <v/>
      </c>
      <c r="R466" s="27" t="str">
        <f aca="false">IF(J466="","",INT(P466/4))</f>
        <v/>
      </c>
      <c r="S466" s="27" t="str">
        <f aca="false">IF(J466="","",IF(AND('Daily Count Sheet'!$H$3=Q466,MOD('Daily Count Sheet'!$I$3,J466)=R466),1,""))</f>
        <v/>
      </c>
      <c r="T466" s="27" t="str">
        <f aca="false">IF(S466=1,COUNTIF($S$2:S466,1),"")</f>
        <v/>
      </c>
    </row>
    <row r="467" customFormat="false" ht="15" hidden="false" customHeight="false" outlineLevel="0" collapsed="false">
      <c r="H467" s="26"/>
      <c r="I467" s="27" t="str">
        <f aca="false">IF(A467="","",IF(H467&lt;&gt;"",UPPER(TRIM(H467)),IFERROR(CHOOSE(VALUE(E467)+1,"A","B","C","D"),IF(OR(LEFT(UPPER(TRIM(E467)),1)="F",UPPER(TRIM(E467))="A"),"A",IF(OR(LEFT(UPPER(TRIM(E467)),1)="M",UPPER(TRIM(E467))="B"),"B",IF(OR(LEFT(UPPER(TRIM(E467)),2)="SL",UPPER(TRIM(E467))="C"),"C",IF(OR(LEFT(UPPER(TRIM(E467)),1)="D",UPPER(TRIM(E467))="D"),"D","")))))))</f>
        <v/>
      </c>
      <c r="J467" s="27" t="str">
        <f aca="false">IF(I467="","",IF(AND(I467="D",Settings!$B$6&lt;&gt;"Yes"),"",IFERROR(INDEX(Settings!$C$9:$C$12,MATCH(I467,Settings!$A$9:$A$12,0)),"")))</f>
        <v/>
      </c>
      <c r="K467" s="27" t="str">
        <f aca="false">IF(J467="","",COUNTIF($I$2:I467,I467))</f>
        <v/>
      </c>
      <c r="L467" s="27" t="str">
        <f aca="false">IF(J467="","",CHOOSE(Q467+1,"Tue","Wed","Thu","Fri"))</f>
        <v/>
      </c>
      <c r="M467" s="27" t="str">
        <f aca="false">IF(J467="","",IF(J467=1,"Every week",R467+1&amp;" of "&amp;J467))</f>
        <v/>
      </c>
      <c r="N467" s="28" t="str">
        <f aca="false">IF(J467="","",Settings!$B$4+R467*7+Q467)</f>
        <v/>
      </c>
      <c r="O467" s="28" t="str">
        <f aca="true">IF(J467="","",N467+MAX(0,ROUNDUP((TODAY()-N467)/(J467*7),0))*J467*7)</f>
        <v/>
      </c>
      <c r="P467" s="27" t="str">
        <f aca="false">IF(J467="","",MOD(K467-1,J467*4))</f>
        <v/>
      </c>
      <c r="Q467" s="27" t="str">
        <f aca="false">IF(J467="","",MOD(P467,4))</f>
        <v/>
      </c>
      <c r="R467" s="27" t="str">
        <f aca="false">IF(J467="","",INT(P467/4))</f>
        <v/>
      </c>
      <c r="S467" s="27" t="str">
        <f aca="false">IF(J467="","",IF(AND('Daily Count Sheet'!$H$3=Q467,MOD('Daily Count Sheet'!$I$3,J467)=R467),1,""))</f>
        <v/>
      </c>
      <c r="T467" s="27" t="str">
        <f aca="false">IF(S467=1,COUNTIF($S$2:S467,1),"")</f>
        <v/>
      </c>
    </row>
    <row r="468" customFormat="false" ht="15" hidden="false" customHeight="false" outlineLevel="0" collapsed="false">
      <c r="H468" s="26"/>
      <c r="I468" s="27" t="str">
        <f aca="false">IF(A468="","",IF(H468&lt;&gt;"",UPPER(TRIM(H468)),IFERROR(CHOOSE(VALUE(E468)+1,"A","B","C","D"),IF(OR(LEFT(UPPER(TRIM(E468)),1)="F",UPPER(TRIM(E468))="A"),"A",IF(OR(LEFT(UPPER(TRIM(E468)),1)="M",UPPER(TRIM(E468))="B"),"B",IF(OR(LEFT(UPPER(TRIM(E468)),2)="SL",UPPER(TRIM(E468))="C"),"C",IF(OR(LEFT(UPPER(TRIM(E468)),1)="D",UPPER(TRIM(E468))="D"),"D","")))))))</f>
        <v/>
      </c>
      <c r="J468" s="27" t="str">
        <f aca="false">IF(I468="","",IF(AND(I468="D",Settings!$B$6&lt;&gt;"Yes"),"",IFERROR(INDEX(Settings!$C$9:$C$12,MATCH(I468,Settings!$A$9:$A$12,0)),"")))</f>
        <v/>
      </c>
      <c r="K468" s="27" t="str">
        <f aca="false">IF(J468="","",COUNTIF($I$2:I468,I468))</f>
        <v/>
      </c>
      <c r="L468" s="27" t="str">
        <f aca="false">IF(J468="","",CHOOSE(Q468+1,"Tue","Wed","Thu","Fri"))</f>
        <v/>
      </c>
      <c r="M468" s="27" t="str">
        <f aca="false">IF(J468="","",IF(J468=1,"Every week",R468+1&amp;" of "&amp;J468))</f>
        <v/>
      </c>
      <c r="N468" s="28" t="str">
        <f aca="false">IF(J468="","",Settings!$B$4+R468*7+Q468)</f>
        <v/>
      </c>
      <c r="O468" s="28" t="str">
        <f aca="true">IF(J468="","",N468+MAX(0,ROUNDUP((TODAY()-N468)/(J468*7),0))*J468*7)</f>
        <v/>
      </c>
      <c r="P468" s="27" t="str">
        <f aca="false">IF(J468="","",MOD(K468-1,J468*4))</f>
        <v/>
      </c>
      <c r="Q468" s="27" t="str">
        <f aca="false">IF(J468="","",MOD(P468,4))</f>
        <v/>
      </c>
      <c r="R468" s="27" t="str">
        <f aca="false">IF(J468="","",INT(P468/4))</f>
        <v/>
      </c>
      <c r="S468" s="27" t="str">
        <f aca="false">IF(J468="","",IF(AND('Daily Count Sheet'!$H$3=Q468,MOD('Daily Count Sheet'!$I$3,J468)=R468),1,""))</f>
        <v/>
      </c>
      <c r="T468" s="27" t="str">
        <f aca="false">IF(S468=1,COUNTIF($S$2:S468,1),"")</f>
        <v/>
      </c>
    </row>
    <row r="469" customFormat="false" ht="15" hidden="false" customHeight="false" outlineLevel="0" collapsed="false">
      <c r="H469" s="26"/>
      <c r="I469" s="27" t="str">
        <f aca="false">IF(A469="","",IF(H469&lt;&gt;"",UPPER(TRIM(H469)),IFERROR(CHOOSE(VALUE(E469)+1,"A","B","C","D"),IF(OR(LEFT(UPPER(TRIM(E469)),1)="F",UPPER(TRIM(E469))="A"),"A",IF(OR(LEFT(UPPER(TRIM(E469)),1)="M",UPPER(TRIM(E469))="B"),"B",IF(OR(LEFT(UPPER(TRIM(E469)),2)="SL",UPPER(TRIM(E469))="C"),"C",IF(OR(LEFT(UPPER(TRIM(E469)),1)="D",UPPER(TRIM(E469))="D"),"D","")))))))</f>
        <v/>
      </c>
      <c r="J469" s="27" t="str">
        <f aca="false">IF(I469="","",IF(AND(I469="D",Settings!$B$6&lt;&gt;"Yes"),"",IFERROR(INDEX(Settings!$C$9:$C$12,MATCH(I469,Settings!$A$9:$A$12,0)),"")))</f>
        <v/>
      </c>
      <c r="K469" s="27" t="str">
        <f aca="false">IF(J469="","",COUNTIF($I$2:I469,I469))</f>
        <v/>
      </c>
      <c r="L469" s="27" t="str">
        <f aca="false">IF(J469="","",CHOOSE(Q469+1,"Tue","Wed","Thu","Fri"))</f>
        <v/>
      </c>
      <c r="M469" s="27" t="str">
        <f aca="false">IF(J469="","",IF(J469=1,"Every week",R469+1&amp;" of "&amp;J469))</f>
        <v/>
      </c>
      <c r="N469" s="28" t="str">
        <f aca="false">IF(J469="","",Settings!$B$4+R469*7+Q469)</f>
        <v/>
      </c>
      <c r="O469" s="28" t="str">
        <f aca="true">IF(J469="","",N469+MAX(0,ROUNDUP((TODAY()-N469)/(J469*7),0))*J469*7)</f>
        <v/>
      </c>
      <c r="P469" s="27" t="str">
        <f aca="false">IF(J469="","",MOD(K469-1,J469*4))</f>
        <v/>
      </c>
      <c r="Q469" s="27" t="str">
        <f aca="false">IF(J469="","",MOD(P469,4))</f>
        <v/>
      </c>
      <c r="R469" s="27" t="str">
        <f aca="false">IF(J469="","",INT(P469/4))</f>
        <v/>
      </c>
      <c r="S469" s="27" t="str">
        <f aca="false">IF(J469="","",IF(AND('Daily Count Sheet'!$H$3=Q469,MOD('Daily Count Sheet'!$I$3,J469)=R469),1,""))</f>
        <v/>
      </c>
      <c r="T469" s="27" t="str">
        <f aca="false">IF(S469=1,COUNTIF($S$2:S469,1),"")</f>
        <v/>
      </c>
    </row>
    <row r="470" customFormat="false" ht="15" hidden="false" customHeight="false" outlineLevel="0" collapsed="false">
      <c r="H470" s="26"/>
      <c r="I470" s="27" t="str">
        <f aca="false">IF(A470="","",IF(H470&lt;&gt;"",UPPER(TRIM(H470)),IFERROR(CHOOSE(VALUE(E470)+1,"A","B","C","D"),IF(OR(LEFT(UPPER(TRIM(E470)),1)="F",UPPER(TRIM(E470))="A"),"A",IF(OR(LEFT(UPPER(TRIM(E470)),1)="M",UPPER(TRIM(E470))="B"),"B",IF(OR(LEFT(UPPER(TRIM(E470)),2)="SL",UPPER(TRIM(E470))="C"),"C",IF(OR(LEFT(UPPER(TRIM(E470)),1)="D",UPPER(TRIM(E470))="D"),"D","")))))))</f>
        <v/>
      </c>
      <c r="J470" s="27" t="str">
        <f aca="false">IF(I470="","",IF(AND(I470="D",Settings!$B$6&lt;&gt;"Yes"),"",IFERROR(INDEX(Settings!$C$9:$C$12,MATCH(I470,Settings!$A$9:$A$12,0)),"")))</f>
        <v/>
      </c>
      <c r="K470" s="27" t="str">
        <f aca="false">IF(J470="","",COUNTIF($I$2:I470,I470))</f>
        <v/>
      </c>
      <c r="L470" s="27" t="str">
        <f aca="false">IF(J470="","",CHOOSE(Q470+1,"Tue","Wed","Thu","Fri"))</f>
        <v/>
      </c>
      <c r="M470" s="27" t="str">
        <f aca="false">IF(J470="","",IF(J470=1,"Every week",R470+1&amp;" of "&amp;J470))</f>
        <v/>
      </c>
      <c r="N470" s="28" t="str">
        <f aca="false">IF(J470="","",Settings!$B$4+R470*7+Q470)</f>
        <v/>
      </c>
      <c r="O470" s="28" t="str">
        <f aca="true">IF(J470="","",N470+MAX(0,ROUNDUP((TODAY()-N470)/(J470*7),0))*J470*7)</f>
        <v/>
      </c>
      <c r="P470" s="27" t="str">
        <f aca="false">IF(J470="","",MOD(K470-1,J470*4))</f>
        <v/>
      </c>
      <c r="Q470" s="27" t="str">
        <f aca="false">IF(J470="","",MOD(P470,4))</f>
        <v/>
      </c>
      <c r="R470" s="27" t="str">
        <f aca="false">IF(J470="","",INT(P470/4))</f>
        <v/>
      </c>
      <c r="S470" s="27" t="str">
        <f aca="false">IF(J470="","",IF(AND('Daily Count Sheet'!$H$3=Q470,MOD('Daily Count Sheet'!$I$3,J470)=R470),1,""))</f>
        <v/>
      </c>
      <c r="T470" s="27" t="str">
        <f aca="false">IF(S470=1,COUNTIF($S$2:S470,1),"")</f>
        <v/>
      </c>
    </row>
    <row r="471" customFormat="false" ht="15" hidden="false" customHeight="false" outlineLevel="0" collapsed="false">
      <c r="H471" s="26"/>
      <c r="I471" s="27" t="str">
        <f aca="false">IF(A471="","",IF(H471&lt;&gt;"",UPPER(TRIM(H471)),IFERROR(CHOOSE(VALUE(E471)+1,"A","B","C","D"),IF(OR(LEFT(UPPER(TRIM(E471)),1)="F",UPPER(TRIM(E471))="A"),"A",IF(OR(LEFT(UPPER(TRIM(E471)),1)="M",UPPER(TRIM(E471))="B"),"B",IF(OR(LEFT(UPPER(TRIM(E471)),2)="SL",UPPER(TRIM(E471))="C"),"C",IF(OR(LEFT(UPPER(TRIM(E471)),1)="D",UPPER(TRIM(E471))="D"),"D","")))))))</f>
        <v/>
      </c>
      <c r="J471" s="27" t="str">
        <f aca="false">IF(I471="","",IF(AND(I471="D",Settings!$B$6&lt;&gt;"Yes"),"",IFERROR(INDEX(Settings!$C$9:$C$12,MATCH(I471,Settings!$A$9:$A$12,0)),"")))</f>
        <v/>
      </c>
      <c r="K471" s="27" t="str">
        <f aca="false">IF(J471="","",COUNTIF($I$2:I471,I471))</f>
        <v/>
      </c>
      <c r="L471" s="27" t="str">
        <f aca="false">IF(J471="","",CHOOSE(Q471+1,"Tue","Wed","Thu","Fri"))</f>
        <v/>
      </c>
      <c r="M471" s="27" t="str">
        <f aca="false">IF(J471="","",IF(J471=1,"Every week",R471+1&amp;" of "&amp;J471))</f>
        <v/>
      </c>
      <c r="N471" s="28" t="str">
        <f aca="false">IF(J471="","",Settings!$B$4+R471*7+Q471)</f>
        <v/>
      </c>
      <c r="O471" s="28" t="str">
        <f aca="true">IF(J471="","",N471+MAX(0,ROUNDUP((TODAY()-N471)/(J471*7),0))*J471*7)</f>
        <v/>
      </c>
      <c r="P471" s="27" t="str">
        <f aca="false">IF(J471="","",MOD(K471-1,J471*4))</f>
        <v/>
      </c>
      <c r="Q471" s="27" t="str">
        <f aca="false">IF(J471="","",MOD(P471,4))</f>
        <v/>
      </c>
      <c r="R471" s="27" t="str">
        <f aca="false">IF(J471="","",INT(P471/4))</f>
        <v/>
      </c>
      <c r="S471" s="27" t="str">
        <f aca="false">IF(J471="","",IF(AND('Daily Count Sheet'!$H$3=Q471,MOD('Daily Count Sheet'!$I$3,J471)=R471),1,""))</f>
        <v/>
      </c>
      <c r="T471" s="27" t="str">
        <f aca="false">IF(S471=1,COUNTIF($S$2:S471,1),"")</f>
        <v/>
      </c>
    </row>
    <row r="472" customFormat="false" ht="15" hidden="false" customHeight="false" outlineLevel="0" collapsed="false">
      <c r="H472" s="26"/>
      <c r="I472" s="27" t="str">
        <f aca="false">IF(A472="","",IF(H472&lt;&gt;"",UPPER(TRIM(H472)),IFERROR(CHOOSE(VALUE(E472)+1,"A","B","C","D"),IF(OR(LEFT(UPPER(TRIM(E472)),1)="F",UPPER(TRIM(E472))="A"),"A",IF(OR(LEFT(UPPER(TRIM(E472)),1)="M",UPPER(TRIM(E472))="B"),"B",IF(OR(LEFT(UPPER(TRIM(E472)),2)="SL",UPPER(TRIM(E472))="C"),"C",IF(OR(LEFT(UPPER(TRIM(E472)),1)="D",UPPER(TRIM(E472))="D"),"D","")))))))</f>
        <v/>
      </c>
      <c r="J472" s="27" t="str">
        <f aca="false">IF(I472="","",IF(AND(I472="D",Settings!$B$6&lt;&gt;"Yes"),"",IFERROR(INDEX(Settings!$C$9:$C$12,MATCH(I472,Settings!$A$9:$A$12,0)),"")))</f>
        <v/>
      </c>
      <c r="K472" s="27" t="str">
        <f aca="false">IF(J472="","",COUNTIF($I$2:I472,I472))</f>
        <v/>
      </c>
      <c r="L472" s="27" t="str">
        <f aca="false">IF(J472="","",CHOOSE(Q472+1,"Tue","Wed","Thu","Fri"))</f>
        <v/>
      </c>
      <c r="M472" s="27" t="str">
        <f aca="false">IF(J472="","",IF(J472=1,"Every week",R472+1&amp;" of "&amp;J472))</f>
        <v/>
      </c>
      <c r="N472" s="28" t="str">
        <f aca="false">IF(J472="","",Settings!$B$4+R472*7+Q472)</f>
        <v/>
      </c>
      <c r="O472" s="28" t="str">
        <f aca="true">IF(J472="","",N472+MAX(0,ROUNDUP((TODAY()-N472)/(J472*7),0))*J472*7)</f>
        <v/>
      </c>
      <c r="P472" s="27" t="str">
        <f aca="false">IF(J472="","",MOD(K472-1,J472*4))</f>
        <v/>
      </c>
      <c r="Q472" s="27" t="str">
        <f aca="false">IF(J472="","",MOD(P472,4))</f>
        <v/>
      </c>
      <c r="R472" s="27" t="str">
        <f aca="false">IF(J472="","",INT(P472/4))</f>
        <v/>
      </c>
      <c r="S472" s="27" t="str">
        <f aca="false">IF(J472="","",IF(AND('Daily Count Sheet'!$H$3=Q472,MOD('Daily Count Sheet'!$I$3,J472)=R472),1,""))</f>
        <v/>
      </c>
      <c r="T472" s="27" t="str">
        <f aca="false">IF(S472=1,COUNTIF($S$2:S472,1),"")</f>
        <v/>
      </c>
    </row>
    <row r="473" customFormat="false" ht="15" hidden="false" customHeight="false" outlineLevel="0" collapsed="false">
      <c r="H473" s="26"/>
      <c r="I473" s="27" t="str">
        <f aca="false">IF(A473="","",IF(H473&lt;&gt;"",UPPER(TRIM(H473)),IFERROR(CHOOSE(VALUE(E473)+1,"A","B","C","D"),IF(OR(LEFT(UPPER(TRIM(E473)),1)="F",UPPER(TRIM(E473))="A"),"A",IF(OR(LEFT(UPPER(TRIM(E473)),1)="M",UPPER(TRIM(E473))="B"),"B",IF(OR(LEFT(UPPER(TRIM(E473)),2)="SL",UPPER(TRIM(E473))="C"),"C",IF(OR(LEFT(UPPER(TRIM(E473)),1)="D",UPPER(TRIM(E473))="D"),"D","")))))))</f>
        <v/>
      </c>
      <c r="J473" s="27" t="str">
        <f aca="false">IF(I473="","",IF(AND(I473="D",Settings!$B$6&lt;&gt;"Yes"),"",IFERROR(INDEX(Settings!$C$9:$C$12,MATCH(I473,Settings!$A$9:$A$12,0)),"")))</f>
        <v/>
      </c>
      <c r="K473" s="27" t="str">
        <f aca="false">IF(J473="","",COUNTIF($I$2:I473,I473))</f>
        <v/>
      </c>
      <c r="L473" s="27" t="str">
        <f aca="false">IF(J473="","",CHOOSE(Q473+1,"Tue","Wed","Thu","Fri"))</f>
        <v/>
      </c>
      <c r="M473" s="27" t="str">
        <f aca="false">IF(J473="","",IF(J473=1,"Every week",R473+1&amp;" of "&amp;J473))</f>
        <v/>
      </c>
      <c r="N473" s="28" t="str">
        <f aca="false">IF(J473="","",Settings!$B$4+R473*7+Q473)</f>
        <v/>
      </c>
      <c r="O473" s="28" t="str">
        <f aca="true">IF(J473="","",N473+MAX(0,ROUNDUP((TODAY()-N473)/(J473*7),0))*J473*7)</f>
        <v/>
      </c>
      <c r="P473" s="27" t="str">
        <f aca="false">IF(J473="","",MOD(K473-1,J473*4))</f>
        <v/>
      </c>
      <c r="Q473" s="27" t="str">
        <f aca="false">IF(J473="","",MOD(P473,4))</f>
        <v/>
      </c>
      <c r="R473" s="27" t="str">
        <f aca="false">IF(J473="","",INT(P473/4))</f>
        <v/>
      </c>
      <c r="S473" s="27" t="str">
        <f aca="false">IF(J473="","",IF(AND('Daily Count Sheet'!$H$3=Q473,MOD('Daily Count Sheet'!$I$3,J473)=R473),1,""))</f>
        <v/>
      </c>
      <c r="T473" s="27" t="str">
        <f aca="false">IF(S473=1,COUNTIF($S$2:S473,1),"")</f>
        <v/>
      </c>
    </row>
    <row r="474" customFormat="false" ht="15" hidden="false" customHeight="false" outlineLevel="0" collapsed="false">
      <c r="H474" s="26"/>
      <c r="I474" s="27" t="str">
        <f aca="false">IF(A474="","",IF(H474&lt;&gt;"",UPPER(TRIM(H474)),IFERROR(CHOOSE(VALUE(E474)+1,"A","B","C","D"),IF(OR(LEFT(UPPER(TRIM(E474)),1)="F",UPPER(TRIM(E474))="A"),"A",IF(OR(LEFT(UPPER(TRIM(E474)),1)="M",UPPER(TRIM(E474))="B"),"B",IF(OR(LEFT(UPPER(TRIM(E474)),2)="SL",UPPER(TRIM(E474))="C"),"C",IF(OR(LEFT(UPPER(TRIM(E474)),1)="D",UPPER(TRIM(E474))="D"),"D","")))))))</f>
        <v/>
      </c>
      <c r="J474" s="27" t="str">
        <f aca="false">IF(I474="","",IF(AND(I474="D",Settings!$B$6&lt;&gt;"Yes"),"",IFERROR(INDEX(Settings!$C$9:$C$12,MATCH(I474,Settings!$A$9:$A$12,0)),"")))</f>
        <v/>
      </c>
      <c r="K474" s="27" t="str">
        <f aca="false">IF(J474="","",COUNTIF($I$2:I474,I474))</f>
        <v/>
      </c>
      <c r="L474" s="27" t="str">
        <f aca="false">IF(J474="","",CHOOSE(Q474+1,"Tue","Wed","Thu","Fri"))</f>
        <v/>
      </c>
      <c r="M474" s="27" t="str">
        <f aca="false">IF(J474="","",IF(J474=1,"Every week",R474+1&amp;" of "&amp;J474))</f>
        <v/>
      </c>
      <c r="N474" s="28" t="str">
        <f aca="false">IF(J474="","",Settings!$B$4+R474*7+Q474)</f>
        <v/>
      </c>
      <c r="O474" s="28" t="str">
        <f aca="true">IF(J474="","",N474+MAX(0,ROUNDUP((TODAY()-N474)/(J474*7),0))*J474*7)</f>
        <v/>
      </c>
      <c r="P474" s="27" t="str">
        <f aca="false">IF(J474="","",MOD(K474-1,J474*4))</f>
        <v/>
      </c>
      <c r="Q474" s="27" t="str">
        <f aca="false">IF(J474="","",MOD(P474,4))</f>
        <v/>
      </c>
      <c r="R474" s="27" t="str">
        <f aca="false">IF(J474="","",INT(P474/4))</f>
        <v/>
      </c>
      <c r="S474" s="27" t="str">
        <f aca="false">IF(J474="","",IF(AND('Daily Count Sheet'!$H$3=Q474,MOD('Daily Count Sheet'!$I$3,J474)=R474),1,""))</f>
        <v/>
      </c>
      <c r="T474" s="27" t="str">
        <f aca="false">IF(S474=1,COUNTIF($S$2:S474,1),"")</f>
        <v/>
      </c>
    </row>
    <row r="475" customFormat="false" ht="15" hidden="false" customHeight="false" outlineLevel="0" collapsed="false">
      <c r="H475" s="26"/>
      <c r="I475" s="27" t="str">
        <f aca="false">IF(A475="","",IF(H475&lt;&gt;"",UPPER(TRIM(H475)),IFERROR(CHOOSE(VALUE(E475)+1,"A","B","C","D"),IF(OR(LEFT(UPPER(TRIM(E475)),1)="F",UPPER(TRIM(E475))="A"),"A",IF(OR(LEFT(UPPER(TRIM(E475)),1)="M",UPPER(TRIM(E475))="B"),"B",IF(OR(LEFT(UPPER(TRIM(E475)),2)="SL",UPPER(TRIM(E475))="C"),"C",IF(OR(LEFT(UPPER(TRIM(E475)),1)="D",UPPER(TRIM(E475))="D"),"D","")))))))</f>
        <v/>
      </c>
      <c r="J475" s="27" t="str">
        <f aca="false">IF(I475="","",IF(AND(I475="D",Settings!$B$6&lt;&gt;"Yes"),"",IFERROR(INDEX(Settings!$C$9:$C$12,MATCH(I475,Settings!$A$9:$A$12,0)),"")))</f>
        <v/>
      </c>
      <c r="K475" s="27" t="str">
        <f aca="false">IF(J475="","",COUNTIF($I$2:I475,I475))</f>
        <v/>
      </c>
      <c r="L475" s="27" t="str">
        <f aca="false">IF(J475="","",CHOOSE(Q475+1,"Tue","Wed","Thu","Fri"))</f>
        <v/>
      </c>
      <c r="M475" s="27" t="str">
        <f aca="false">IF(J475="","",IF(J475=1,"Every week",R475+1&amp;" of "&amp;J475))</f>
        <v/>
      </c>
      <c r="N475" s="28" t="str">
        <f aca="false">IF(J475="","",Settings!$B$4+R475*7+Q475)</f>
        <v/>
      </c>
      <c r="O475" s="28" t="str">
        <f aca="true">IF(J475="","",N475+MAX(0,ROUNDUP((TODAY()-N475)/(J475*7),0))*J475*7)</f>
        <v/>
      </c>
      <c r="P475" s="27" t="str">
        <f aca="false">IF(J475="","",MOD(K475-1,J475*4))</f>
        <v/>
      </c>
      <c r="Q475" s="27" t="str">
        <f aca="false">IF(J475="","",MOD(P475,4))</f>
        <v/>
      </c>
      <c r="R475" s="27" t="str">
        <f aca="false">IF(J475="","",INT(P475/4))</f>
        <v/>
      </c>
      <c r="S475" s="27" t="str">
        <f aca="false">IF(J475="","",IF(AND('Daily Count Sheet'!$H$3=Q475,MOD('Daily Count Sheet'!$I$3,J475)=R475),1,""))</f>
        <v/>
      </c>
      <c r="T475" s="27" t="str">
        <f aca="false">IF(S475=1,COUNTIF($S$2:S475,1),"")</f>
        <v/>
      </c>
    </row>
    <row r="476" customFormat="false" ht="15" hidden="false" customHeight="false" outlineLevel="0" collapsed="false">
      <c r="H476" s="26"/>
      <c r="I476" s="27" t="str">
        <f aca="false">IF(A476="","",IF(H476&lt;&gt;"",UPPER(TRIM(H476)),IFERROR(CHOOSE(VALUE(E476)+1,"A","B","C","D"),IF(OR(LEFT(UPPER(TRIM(E476)),1)="F",UPPER(TRIM(E476))="A"),"A",IF(OR(LEFT(UPPER(TRIM(E476)),1)="M",UPPER(TRIM(E476))="B"),"B",IF(OR(LEFT(UPPER(TRIM(E476)),2)="SL",UPPER(TRIM(E476))="C"),"C",IF(OR(LEFT(UPPER(TRIM(E476)),1)="D",UPPER(TRIM(E476))="D"),"D","")))))))</f>
        <v/>
      </c>
      <c r="J476" s="27" t="str">
        <f aca="false">IF(I476="","",IF(AND(I476="D",Settings!$B$6&lt;&gt;"Yes"),"",IFERROR(INDEX(Settings!$C$9:$C$12,MATCH(I476,Settings!$A$9:$A$12,0)),"")))</f>
        <v/>
      </c>
      <c r="K476" s="27" t="str">
        <f aca="false">IF(J476="","",COUNTIF($I$2:I476,I476))</f>
        <v/>
      </c>
      <c r="L476" s="27" t="str">
        <f aca="false">IF(J476="","",CHOOSE(Q476+1,"Tue","Wed","Thu","Fri"))</f>
        <v/>
      </c>
      <c r="M476" s="27" t="str">
        <f aca="false">IF(J476="","",IF(J476=1,"Every week",R476+1&amp;" of "&amp;J476))</f>
        <v/>
      </c>
      <c r="N476" s="28" t="str">
        <f aca="false">IF(J476="","",Settings!$B$4+R476*7+Q476)</f>
        <v/>
      </c>
      <c r="O476" s="28" t="str">
        <f aca="true">IF(J476="","",N476+MAX(0,ROUNDUP((TODAY()-N476)/(J476*7),0))*J476*7)</f>
        <v/>
      </c>
      <c r="P476" s="27" t="str">
        <f aca="false">IF(J476="","",MOD(K476-1,J476*4))</f>
        <v/>
      </c>
      <c r="Q476" s="27" t="str">
        <f aca="false">IF(J476="","",MOD(P476,4))</f>
        <v/>
      </c>
      <c r="R476" s="27" t="str">
        <f aca="false">IF(J476="","",INT(P476/4))</f>
        <v/>
      </c>
      <c r="S476" s="27" t="str">
        <f aca="false">IF(J476="","",IF(AND('Daily Count Sheet'!$H$3=Q476,MOD('Daily Count Sheet'!$I$3,J476)=R476),1,""))</f>
        <v/>
      </c>
      <c r="T476" s="27" t="str">
        <f aca="false">IF(S476=1,COUNTIF($S$2:S476,1),"")</f>
        <v/>
      </c>
    </row>
    <row r="477" customFormat="false" ht="15" hidden="false" customHeight="false" outlineLevel="0" collapsed="false">
      <c r="H477" s="26"/>
      <c r="I477" s="27" t="str">
        <f aca="false">IF(A477="","",IF(H477&lt;&gt;"",UPPER(TRIM(H477)),IFERROR(CHOOSE(VALUE(E477)+1,"A","B","C","D"),IF(OR(LEFT(UPPER(TRIM(E477)),1)="F",UPPER(TRIM(E477))="A"),"A",IF(OR(LEFT(UPPER(TRIM(E477)),1)="M",UPPER(TRIM(E477))="B"),"B",IF(OR(LEFT(UPPER(TRIM(E477)),2)="SL",UPPER(TRIM(E477))="C"),"C",IF(OR(LEFT(UPPER(TRIM(E477)),1)="D",UPPER(TRIM(E477))="D"),"D","")))))))</f>
        <v/>
      </c>
      <c r="J477" s="27" t="str">
        <f aca="false">IF(I477="","",IF(AND(I477="D",Settings!$B$6&lt;&gt;"Yes"),"",IFERROR(INDEX(Settings!$C$9:$C$12,MATCH(I477,Settings!$A$9:$A$12,0)),"")))</f>
        <v/>
      </c>
      <c r="K477" s="27" t="str">
        <f aca="false">IF(J477="","",COUNTIF($I$2:I477,I477))</f>
        <v/>
      </c>
      <c r="L477" s="27" t="str">
        <f aca="false">IF(J477="","",CHOOSE(Q477+1,"Tue","Wed","Thu","Fri"))</f>
        <v/>
      </c>
      <c r="M477" s="27" t="str">
        <f aca="false">IF(J477="","",IF(J477=1,"Every week",R477+1&amp;" of "&amp;J477))</f>
        <v/>
      </c>
      <c r="N477" s="28" t="str">
        <f aca="false">IF(J477="","",Settings!$B$4+R477*7+Q477)</f>
        <v/>
      </c>
      <c r="O477" s="28" t="str">
        <f aca="true">IF(J477="","",N477+MAX(0,ROUNDUP((TODAY()-N477)/(J477*7),0))*J477*7)</f>
        <v/>
      </c>
      <c r="P477" s="27" t="str">
        <f aca="false">IF(J477="","",MOD(K477-1,J477*4))</f>
        <v/>
      </c>
      <c r="Q477" s="27" t="str">
        <f aca="false">IF(J477="","",MOD(P477,4))</f>
        <v/>
      </c>
      <c r="R477" s="27" t="str">
        <f aca="false">IF(J477="","",INT(P477/4))</f>
        <v/>
      </c>
      <c r="S477" s="27" t="str">
        <f aca="false">IF(J477="","",IF(AND('Daily Count Sheet'!$H$3=Q477,MOD('Daily Count Sheet'!$I$3,J477)=R477),1,""))</f>
        <v/>
      </c>
      <c r="T477" s="27" t="str">
        <f aca="false">IF(S477=1,COUNTIF($S$2:S477,1),"")</f>
        <v/>
      </c>
    </row>
    <row r="478" customFormat="false" ht="15" hidden="false" customHeight="false" outlineLevel="0" collapsed="false">
      <c r="H478" s="26"/>
      <c r="I478" s="27" t="str">
        <f aca="false">IF(A478="","",IF(H478&lt;&gt;"",UPPER(TRIM(H478)),IFERROR(CHOOSE(VALUE(E478)+1,"A","B","C","D"),IF(OR(LEFT(UPPER(TRIM(E478)),1)="F",UPPER(TRIM(E478))="A"),"A",IF(OR(LEFT(UPPER(TRIM(E478)),1)="M",UPPER(TRIM(E478))="B"),"B",IF(OR(LEFT(UPPER(TRIM(E478)),2)="SL",UPPER(TRIM(E478))="C"),"C",IF(OR(LEFT(UPPER(TRIM(E478)),1)="D",UPPER(TRIM(E478))="D"),"D","")))))))</f>
        <v/>
      </c>
      <c r="J478" s="27" t="str">
        <f aca="false">IF(I478="","",IF(AND(I478="D",Settings!$B$6&lt;&gt;"Yes"),"",IFERROR(INDEX(Settings!$C$9:$C$12,MATCH(I478,Settings!$A$9:$A$12,0)),"")))</f>
        <v/>
      </c>
      <c r="K478" s="27" t="str">
        <f aca="false">IF(J478="","",COUNTIF($I$2:I478,I478))</f>
        <v/>
      </c>
      <c r="L478" s="27" t="str">
        <f aca="false">IF(J478="","",CHOOSE(Q478+1,"Tue","Wed","Thu","Fri"))</f>
        <v/>
      </c>
      <c r="M478" s="27" t="str">
        <f aca="false">IF(J478="","",IF(J478=1,"Every week",R478+1&amp;" of "&amp;J478))</f>
        <v/>
      </c>
      <c r="N478" s="28" t="str">
        <f aca="false">IF(J478="","",Settings!$B$4+R478*7+Q478)</f>
        <v/>
      </c>
      <c r="O478" s="28" t="str">
        <f aca="true">IF(J478="","",N478+MAX(0,ROUNDUP((TODAY()-N478)/(J478*7),0))*J478*7)</f>
        <v/>
      </c>
      <c r="P478" s="27" t="str">
        <f aca="false">IF(J478="","",MOD(K478-1,J478*4))</f>
        <v/>
      </c>
      <c r="Q478" s="27" t="str">
        <f aca="false">IF(J478="","",MOD(P478,4))</f>
        <v/>
      </c>
      <c r="R478" s="27" t="str">
        <f aca="false">IF(J478="","",INT(P478/4))</f>
        <v/>
      </c>
      <c r="S478" s="27" t="str">
        <f aca="false">IF(J478="","",IF(AND('Daily Count Sheet'!$H$3=Q478,MOD('Daily Count Sheet'!$I$3,J478)=R478),1,""))</f>
        <v/>
      </c>
      <c r="T478" s="27" t="str">
        <f aca="false">IF(S478=1,COUNTIF($S$2:S478,1),"")</f>
        <v/>
      </c>
    </row>
    <row r="479" customFormat="false" ht="15" hidden="false" customHeight="false" outlineLevel="0" collapsed="false">
      <c r="H479" s="26"/>
      <c r="I479" s="27" t="str">
        <f aca="false">IF(A479="","",IF(H479&lt;&gt;"",UPPER(TRIM(H479)),IFERROR(CHOOSE(VALUE(E479)+1,"A","B","C","D"),IF(OR(LEFT(UPPER(TRIM(E479)),1)="F",UPPER(TRIM(E479))="A"),"A",IF(OR(LEFT(UPPER(TRIM(E479)),1)="M",UPPER(TRIM(E479))="B"),"B",IF(OR(LEFT(UPPER(TRIM(E479)),2)="SL",UPPER(TRIM(E479))="C"),"C",IF(OR(LEFT(UPPER(TRIM(E479)),1)="D",UPPER(TRIM(E479))="D"),"D","")))))))</f>
        <v/>
      </c>
      <c r="J479" s="27" t="str">
        <f aca="false">IF(I479="","",IF(AND(I479="D",Settings!$B$6&lt;&gt;"Yes"),"",IFERROR(INDEX(Settings!$C$9:$C$12,MATCH(I479,Settings!$A$9:$A$12,0)),"")))</f>
        <v/>
      </c>
      <c r="K479" s="27" t="str">
        <f aca="false">IF(J479="","",COUNTIF($I$2:I479,I479))</f>
        <v/>
      </c>
      <c r="L479" s="27" t="str">
        <f aca="false">IF(J479="","",CHOOSE(Q479+1,"Tue","Wed","Thu","Fri"))</f>
        <v/>
      </c>
      <c r="M479" s="27" t="str">
        <f aca="false">IF(J479="","",IF(J479=1,"Every week",R479+1&amp;" of "&amp;J479))</f>
        <v/>
      </c>
      <c r="N479" s="28" t="str">
        <f aca="false">IF(J479="","",Settings!$B$4+R479*7+Q479)</f>
        <v/>
      </c>
      <c r="O479" s="28" t="str">
        <f aca="true">IF(J479="","",N479+MAX(0,ROUNDUP((TODAY()-N479)/(J479*7),0))*J479*7)</f>
        <v/>
      </c>
      <c r="P479" s="27" t="str">
        <f aca="false">IF(J479="","",MOD(K479-1,J479*4))</f>
        <v/>
      </c>
      <c r="Q479" s="27" t="str">
        <f aca="false">IF(J479="","",MOD(P479,4))</f>
        <v/>
      </c>
      <c r="R479" s="27" t="str">
        <f aca="false">IF(J479="","",INT(P479/4))</f>
        <v/>
      </c>
      <c r="S479" s="27" t="str">
        <f aca="false">IF(J479="","",IF(AND('Daily Count Sheet'!$H$3=Q479,MOD('Daily Count Sheet'!$I$3,J479)=R479),1,""))</f>
        <v/>
      </c>
      <c r="T479" s="27" t="str">
        <f aca="false">IF(S479=1,COUNTIF($S$2:S479,1),"")</f>
        <v/>
      </c>
    </row>
    <row r="480" customFormat="false" ht="15" hidden="false" customHeight="false" outlineLevel="0" collapsed="false">
      <c r="H480" s="26"/>
      <c r="I480" s="27" t="str">
        <f aca="false">IF(A480="","",IF(H480&lt;&gt;"",UPPER(TRIM(H480)),IFERROR(CHOOSE(VALUE(E480)+1,"A","B","C","D"),IF(OR(LEFT(UPPER(TRIM(E480)),1)="F",UPPER(TRIM(E480))="A"),"A",IF(OR(LEFT(UPPER(TRIM(E480)),1)="M",UPPER(TRIM(E480))="B"),"B",IF(OR(LEFT(UPPER(TRIM(E480)),2)="SL",UPPER(TRIM(E480))="C"),"C",IF(OR(LEFT(UPPER(TRIM(E480)),1)="D",UPPER(TRIM(E480))="D"),"D","")))))))</f>
        <v/>
      </c>
      <c r="J480" s="27" t="str">
        <f aca="false">IF(I480="","",IF(AND(I480="D",Settings!$B$6&lt;&gt;"Yes"),"",IFERROR(INDEX(Settings!$C$9:$C$12,MATCH(I480,Settings!$A$9:$A$12,0)),"")))</f>
        <v/>
      </c>
      <c r="K480" s="27" t="str">
        <f aca="false">IF(J480="","",COUNTIF($I$2:I480,I480))</f>
        <v/>
      </c>
      <c r="L480" s="27" t="str">
        <f aca="false">IF(J480="","",CHOOSE(Q480+1,"Tue","Wed","Thu","Fri"))</f>
        <v/>
      </c>
      <c r="M480" s="27" t="str">
        <f aca="false">IF(J480="","",IF(J480=1,"Every week",R480+1&amp;" of "&amp;J480))</f>
        <v/>
      </c>
      <c r="N480" s="28" t="str">
        <f aca="false">IF(J480="","",Settings!$B$4+R480*7+Q480)</f>
        <v/>
      </c>
      <c r="O480" s="28" t="str">
        <f aca="true">IF(J480="","",N480+MAX(0,ROUNDUP((TODAY()-N480)/(J480*7),0))*J480*7)</f>
        <v/>
      </c>
      <c r="P480" s="27" t="str">
        <f aca="false">IF(J480="","",MOD(K480-1,J480*4))</f>
        <v/>
      </c>
      <c r="Q480" s="27" t="str">
        <f aca="false">IF(J480="","",MOD(P480,4))</f>
        <v/>
      </c>
      <c r="R480" s="27" t="str">
        <f aca="false">IF(J480="","",INT(P480/4))</f>
        <v/>
      </c>
      <c r="S480" s="27" t="str">
        <f aca="false">IF(J480="","",IF(AND('Daily Count Sheet'!$H$3=Q480,MOD('Daily Count Sheet'!$I$3,J480)=R480),1,""))</f>
        <v/>
      </c>
      <c r="T480" s="27" t="str">
        <f aca="false">IF(S480=1,COUNTIF($S$2:S480,1),"")</f>
        <v/>
      </c>
    </row>
    <row r="481" customFormat="false" ht="15" hidden="false" customHeight="false" outlineLevel="0" collapsed="false">
      <c r="H481" s="26"/>
      <c r="I481" s="27" t="str">
        <f aca="false">IF(A481="","",IF(H481&lt;&gt;"",UPPER(TRIM(H481)),IFERROR(CHOOSE(VALUE(E481)+1,"A","B","C","D"),IF(OR(LEFT(UPPER(TRIM(E481)),1)="F",UPPER(TRIM(E481))="A"),"A",IF(OR(LEFT(UPPER(TRIM(E481)),1)="M",UPPER(TRIM(E481))="B"),"B",IF(OR(LEFT(UPPER(TRIM(E481)),2)="SL",UPPER(TRIM(E481))="C"),"C",IF(OR(LEFT(UPPER(TRIM(E481)),1)="D",UPPER(TRIM(E481))="D"),"D","")))))))</f>
        <v/>
      </c>
      <c r="J481" s="27" t="str">
        <f aca="false">IF(I481="","",IF(AND(I481="D",Settings!$B$6&lt;&gt;"Yes"),"",IFERROR(INDEX(Settings!$C$9:$C$12,MATCH(I481,Settings!$A$9:$A$12,0)),"")))</f>
        <v/>
      </c>
      <c r="K481" s="27" t="str">
        <f aca="false">IF(J481="","",COUNTIF($I$2:I481,I481))</f>
        <v/>
      </c>
      <c r="L481" s="27" t="str">
        <f aca="false">IF(J481="","",CHOOSE(Q481+1,"Tue","Wed","Thu","Fri"))</f>
        <v/>
      </c>
      <c r="M481" s="27" t="str">
        <f aca="false">IF(J481="","",IF(J481=1,"Every week",R481+1&amp;" of "&amp;J481))</f>
        <v/>
      </c>
      <c r="N481" s="28" t="str">
        <f aca="false">IF(J481="","",Settings!$B$4+R481*7+Q481)</f>
        <v/>
      </c>
      <c r="O481" s="28" t="str">
        <f aca="true">IF(J481="","",N481+MAX(0,ROUNDUP((TODAY()-N481)/(J481*7),0))*J481*7)</f>
        <v/>
      </c>
      <c r="P481" s="27" t="str">
        <f aca="false">IF(J481="","",MOD(K481-1,J481*4))</f>
        <v/>
      </c>
      <c r="Q481" s="27" t="str">
        <f aca="false">IF(J481="","",MOD(P481,4))</f>
        <v/>
      </c>
      <c r="R481" s="27" t="str">
        <f aca="false">IF(J481="","",INT(P481/4))</f>
        <v/>
      </c>
      <c r="S481" s="27" t="str">
        <f aca="false">IF(J481="","",IF(AND('Daily Count Sheet'!$H$3=Q481,MOD('Daily Count Sheet'!$I$3,J481)=R481),1,""))</f>
        <v/>
      </c>
      <c r="T481" s="27" t="str">
        <f aca="false">IF(S481=1,COUNTIF($S$2:S481,1),"")</f>
        <v/>
      </c>
    </row>
    <row r="482" customFormat="false" ht="15" hidden="false" customHeight="false" outlineLevel="0" collapsed="false">
      <c r="H482" s="26"/>
      <c r="I482" s="27" t="str">
        <f aca="false">IF(A482="","",IF(H482&lt;&gt;"",UPPER(TRIM(H482)),IFERROR(CHOOSE(VALUE(E482)+1,"A","B","C","D"),IF(OR(LEFT(UPPER(TRIM(E482)),1)="F",UPPER(TRIM(E482))="A"),"A",IF(OR(LEFT(UPPER(TRIM(E482)),1)="M",UPPER(TRIM(E482))="B"),"B",IF(OR(LEFT(UPPER(TRIM(E482)),2)="SL",UPPER(TRIM(E482))="C"),"C",IF(OR(LEFT(UPPER(TRIM(E482)),1)="D",UPPER(TRIM(E482))="D"),"D","")))))))</f>
        <v/>
      </c>
      <c r="J482" s="27" t="str">
        <f aca="false">IF(I482="","",IF(AND(I482="D",Settings!$B$6&lt;&gt;"Yes"),"",IFERROR(INDEX(Settings!$C$9:$C$12,MATCH(I482,Settings!$A$9:$A$12,0)),"")))</f>
        <v/>
      </c>
      <c r="K482" s="27" t="str">
        <f aca="false">IF(J482="","",COUNTIF($I$2:I482,I482))</f>
        <v/>
      </c>
      <c r="L482" s="27" t="str">
        <f aca="false">IF(J482="","",CHOOSE(Q482+1,"Tue","Wed","Thu","Fri"))</f>
        <v/>
      </c>
      <c r="M482" s="27" t="str">
        <f aca="false">IF(J482="","",IF(J482=1,"Every week",R482+1&amp;" of "&amp;J482))</f>
        <v/>
      </c>
      <c r="N482" s="28" t="str">
        <f aca="false">IF(J482="","",Settings!$B$4+R482*7+Q482)</f>
        <v/>
      </c>
      <c r="O482" s="28" t="str">
        <f aca="true">IF(J482="","",N482+MAX(0,ROUNDUP((TODAY()-N482)/(J482*7),0))*J482*7)</f>
        <v/>
      </c>
      <c r="P482" s="27" t="str">
        <f aca="false">IF(J482="","",MOD(K482-1,J482*4))</f>
        <v/>
      </c>
      <c r="Q482" s="27" t="str">
        <f aca="false">IF(J482="","",MOD(P482,4))</f>
        <v/>
      </c>
      <c r="R482" s="27" t="str">
        <f aca="false">IF(J482="","",INT(P482/4))</f>
        <v/>
      </c>
      <c r="S482" s="27" t="str">
        <f aca="false">IF(J482="","",IF(AND('Daily Count Sheet'!$H$3=Q482,MOD('Daily Count Sheet'!$I$3,J482)=R482),1,""))</f>
        <v/>
      </c>
      <c r="T482" s="27" t="str">
        <f aca="false">IF(S482=1,COUNTIF($S$2:S482,1),"")</f>
        <v/>
      </c>
    </row>
    <row r="483" customFormat="false" ht="15" hidden="false" customHeight="false" outlineLevel="0" collapsed="false">
      <c r="H483" s="26"/>
      <c r="I483" s="27" t="str">
        <f aca="false">IF(A483="","",IF(H483&lt;&gt;"",UPPER(TRIM(H483)),IFERROR(CHOOSE(VALUE(E483)+1,"A","B","C","D"),IF(OR(LEFT(UPPER(TRIM(E483)),1)="F",UPPER(TRIM(E483))="A"),"A",IF(OR(LEFT(UPPER(TRIM(E483)),1)="M",UPPER(TRIM(E483))="B"),"B",IF(OR(LEFT(UPPER(TRIM(E483)),2)="SL",UPPER(TRIM(E483))="C"),"C",IF(OR(LEFT(UPPER(TRIM(E483)),1)="D",UPPER(TRIM(E483))="D"),"D","")))))))</f>
        <v/>
      </c>
      <c r="J483" s="27" t="str">
        <f aca="false">IF(I483="","",IF(AND(I483="D",Settings!$B$6&lt;&gt;"Yes"),"",IFERROR(INDEX(Settings!$C$9:$C$12,MATCH(I483,Settings!$A$9:$A$12,0)),"")))</f>
        <v/>
      </c>
      <c r="K483" s="27" t="str">
        <f aca="false">IF(J483="","",COUNTIF($I$2:I483,I483))</f>
        <v/>
      </c>
      <c r="L483" s="27" t="str">
        <f aca="false">IF(J483="","",CHOOSE(Q483+1,"Tue","Wed","Thu","Fri"))</f>
        <v/>
      </c>
      <c r="M483" s="27" t="str">
        <f aca="false">IF(J483="","",IF(J483=1,"Every week",R483+1&amp;" of "&amp;J483))</f>
        <v/>
      </c>
      <c r="N483" s="28" t="str">
        <f aca="false">IF(J483="","",Settings!$B$4+R483*7+Q483)</f>
        <v/>
      </c>
      <c r="O483" s="28" t="str">
        <f aca="true">IF(J483="","",N483+MAX(0,ROUNDUP((TODAY()-N483)/(J483*7),0))*J483*7)</f>
        <v/>
      </c>
      <c r="P483" s="27" t="str">
        <f aca="false">IF(J483="","",MOD(K483-1,J483*4))</f>
        <v/>
      </c>
      <c r="Q483" s="27" t="str">
        <f aca="false">IF(J483="","",MOD(P483,4))</f>
        <v/>
      </c>
      <c r="R483" s="27" t="str">
        <f aca="false">IF(J483="","",INT(P483/4))</f>
        <v/>
      </c>
      <c r="S483" s="27" t="str">
        <f aca="false">IF(J483="","",IF(AND('Daily Count Sheet'!$H$3=Q483,MOD('Daily Count Sheet'!$I$3,J483)=R483),1,""))</f>
        <v/>
      </c>
      <c r="T483" s="27" t="str">
        <f aca="false">IF(S483=1,COUNTIF($S$2:S483,1),"")</f>
        <v/>
      </c>
    </row>
    <row r="484" customFormat="false" ht="15" hidden="false" customHeight="false" outlineLevel="0" collapsed="false">
      <c r="H484" s="26"/>
      <c r="I484" s="27" t="str">
        <f aca="false">IF(A484="","",IF(H484&lt;&gt;"",UPPER(TRIM(H484)),IFERROR(CHOOSE(VALUE(E484)+1,"A","B","C","D"),IF(OR(LEFT(UPPER(TRIM(E484)),1)="F",UPPER(TRIM(E484))="A"),"A",IF(OR(LEFT(UPPER(TRIM(E484)),1)="M",UPPER(TRIM(E484))="B"),"B",IF(OR(LEFT(UPPER(TRIM(E484)),2)="SL",UPPER(TRIM(E484))="C"),"C",IF(OR(LEFT(UPPER(TRIM(E484)),1)="D",UPPER(TRIM(E484))="D"),"D","")))))))</f>
        <v/>
      </c>
      <c r="J484" s="27" t="str">
        <f aca="false">IF(I484="","",IF(AND(I484="D",Settings!$B$6&lt;&gt;"Yes"),"",IFERROR(INDEX(Settings!$C$9:$C$12,MATCH(I484,Settings!$A$9:$A$12,0)),"")))</f>
        <v/>
      </c>
      <c r="K484" s="27" t="str">
        <f aca="false">IF(J484="","",COUNTIF($I$2:I484,I484))</f>
        <v/>
      </c>
      <c r="L484" s="27" t="str">
        <f aca="false">IF(J484="","",CHOOSE(Q484+1,"Tue","Wed","Thu","Fri"))</f>
        <v/>
      </c>
      <c r="M484" s="27" t="str">
        <f aca="false">IF(J484="","",IF(J484=1,"Every week",R484+1&amp;" of "&amp;J484))</f>
        <v/>
      </c>
      <c r="N484" s="28" t="str">
        <f aca="false">IF(J484="","",Settings!$B$4+R484*7+Q484)</f>
        <v/>
      </c>
      <c r="O484" s="28" t="str">
        <f aca="true">IF(J484="","",N484+MAX(0,ROUNDUP((TODAY()-N484)/(J484*7),0))*J484*7)</f>
        <v/>
      </c>
      <c r="P484" s="27" t="str">
        <f aca="false">IF(J484="","",MOD(K484-1,J484*4))</f>
        <v/>
      </c>
      <c r="Q484" s="27" t="str">
        <f aca="false">IF(J484="","",MOD(P484,4))</f>
        <v/>
      </c>
      <c r="R484" s="27" t="str">
        <f aca="false">IF(J484="","",INT(P484/4))</f>
        <v/>
      </c>
      <c r="S484" s="27" t="str">
        <f aca="false">IF(J484="","",IF(AND('Daily Count Sheet'!$H$3=Q484,MOD('Daily Count Sheet'!$I$3,J484)=R484),1,""))</f>
        <v/>
      </c>
      <c r="T484" s="27" t="str">
        <f aca="false">IF(S484=1,COUNTIF($S$2:S484,1),"")</f>
        <v/>
      </c>
    </row>
    <row r="485" customFormat="false" ht="15" hidden="false" customHeight="false" outlineLevel="0" collapsed="false">
      <c r="H485" s="26"/>
      <c r="I485" s="27" t="str">
        <f aca="false">IF(A485="","",IF(H485&lt;&gt;"",UPPER(TRIM(H485)),IFERROR(CHOOSE(VALUE(E485)+1,"A","B","C","D"),IF(OR(LEFT(UPPER(TRIM(E485)),1)="F",UPPER(TRIM(E485))="A"),"A",IF(OR(LEFT(UPPER(TRIM(E485)),1)="M",UPPER(TRIM(E485))="B"),"B",IF(OR(LEFT(UPPER(TRIM(E485)),2)="SL",UPPER(TRIM(E485))="C"),"C",IF(OR(LEFT(UPPER(TRIM(E485)),1)="D",UPPER(TRIM(E485))="D"),"D","")))))))</f>
        <v/>
      </c>
      <c r="J485" s="27" t="str">
        <f aca="false">IF(I485="","",IF(AND(I485="D",Settings!$B$6&lt;&gt;"Yes"),"",IFERROR(INDEX(Settings!$C$9:$C$12,MATCH(I485,Settings!$A$9:$A$12,0)),"")))</f>
        <v/>
      </c>
      <c r="K485" s="27" t="str">
        <f aca="false">IF(J485="","",COUNTIF($I$2:I485,I485))</f>
        <v/>
      </c>
      <c r="L485" s="27" t="str">
        <f aca="false">IF(J485="","",CHOOSE(Q485+1,"Tue","Wed","Thu","Fri"))</f>
        <v/>
      </c>
      <c r="M485" s="27" t="str">
        <f aca="false">IF(J485="","",IF(J485=1,"Every week",R485+1&amp;" of "&amp;J485))</f>
        <v/>
      </c>
      <c r="N485" s="28" t="str">
        <f aca="false">IF(J485="","",Settings!$B$4+R485*7+Q485)</f>
        <v/>
      </c>
      <c r="O485" s="28" t="str">
        <f aca="true">IF(J485="","",N485+MAX(0,ROUNDUP((TODAY()-N485)/(J485*7),0))*J485*7)</f>
        <v/>
      </c>
      <c r="P485" s="27" t="str">
        <f aca="false">IF(J485="","",MOD(K485-1,J485*4))</f>
        <v/>
      </c>
      <c r="Q485" s="27" t="str">
        <f aca="false">IF(J485="","",MOD(P485,4))</f>
        <v/>
      </c>
      <c r="R485" s="27" t="str">
        <f aca="false">IF(J485="","",INT(P485/4))</f>
        <v/>
      </c>
      <c r="S485" s="27" t="str">
        <f aca="false">IF(J485="","",IF(AND('Daily Count Sheet'!$H$3=Q485,MOD('Daily Count Sheet'!$I$3,J485)=R485),1,""))</f>
        <v/>
      </c>
      <c r="T485" s="27" t="str">
        <f aca="false">IF(S485=1,COUNTIF($S$2:S485,1),"")</f>
        <v/>
      </c>
    </row>
    <row r="486" customFormat="false" ht="15" hidden="false" customHeight="false" outlineLevel="0" collapsed="false">
      <c r="H486" s="26"/>
      <c r="I486" s="27" t="str">
        <f aca="false">IF(A486="","",IF(H486&lt;&gt;"",UPPER(TRIM(H486)),IFERROR(CHOOSE(VALUE(E486)+1,"A","B","C","D"),IF(OR(LEFT(UPPER(TRIM(E486)),1)="F",UPPER(TRIM(E486))="A"),"A",IF(OR(LEFT(UPPER(TRIM(E486)),1)="M",UPPER(TRIM(E486))="B"),"B",IF(OR(LEFT(UPPER(TRIM(E486)),2)="SL",UPPER(TRIM(E486))="C"),"C",IF(OR(LEFT(UPPER(TRIM(E486)),1)="D",UPPER(TRIM(E486))="D"),"D","")))))))</f>
        <v/>
      </c>
      <c r="J486" s="27" t="str">
        <f aca="false">IF(I486="","",IF(AND(I486="D",Settings!$B$6&lt;&gt;"Yes"),"",IFERROR(INDEX(Settings!$C$9:$C$12,MATCH(I486,Settings!$A$9:$A$12,0)),"")))</f>
        <v/>
      </c>
      <c r="K486" s="27" t="str">
        <f aca="false">IF(J486="","",COUNTIF($I$2:I486,I486))</f>
        <v/>
      </c>
      <c r="L486" s="27" t="str">
        <f aca="false">IF(J486="","",CHOOSE(Q486+1,"Tue","Wed","Thu","Fri"))</f>
        <v/>
      </c>
      <c r="M486" s="27" t="str">
        <f aca="false">IF(J486="","",IF(J486=1,"Every week",R486+1&amp;" of "&amp;J486))</f>
        <v/>
      </c>
      <c r="N486" s="28" t="str">
        <f aca="false">IF(J486="","",Settings!$B$4+R486*7+Q486)</f>
        <v/>
      </c>
      <c r="O486" s="28" t="str">
        <f aca="true">IF(J486="","",N486+MAX(0,ROUNDUP((TODAY()-N486)/(J486*7),0))*J486*7)</f>
        <v/>
      </c>
      <c r="P486" s="27" t="str">
        <f aca="false">IF(J486="","",MOD(K486-1,J486*4))</f>
        <v/>
      </c>
      <c r="Q486" s="27" t="str">
        <f aca="false">IF(J486="","",MOD(P486,4))</f>
        <v/>
      </c>
      <c r="R486" s="27" t="str">
        <f aca="false">IF(J486="","",INT(P486/4))</f>
        <v/>
      </c>
      <c r="S486" s="27" t="str">
        <f aca="false">IF(J486="","",IF(AND('Daily Count Sheet'!$H$3=Q486,MOD('Daily Count Sheet'!$I$3,J486)=R486),1,""))</f>
        <v/>
      </c>
      <c r="T486" s="27" t="str">
        <f aca="false">IF(S486=1,COUNTIF($S$2:S486,1),"")</f>
        <v/>
      </c>
    </row>
    <row r="487" customFormat="false" ht="15" hidden="false" customHeight="false" outlineLevel="0" collapsed="false">
      <c r="H487" s="26"/>
      <c r="I487" s="27" t="str">
        <f aca="false">IF(A487="","",IF(H487&lt;&gt;"",UPPER(TRIM(H487)),IFERROR(CHOOSE(VALUE(E487)+1,"A","B","C","D"),IF(OR(LEFT(UPPER(TRIM(E487)),1)="F",UPPER(TRIM(E487))="A"),"A",IF(OR(LEFT(UPPER(TRIM(E487)),1)="M",UPPER(TRIM(E487))="B"),"B",IF(OR(LEFT(UPPER(TRIM(E487)),2)="SL",UPPER(TRIM(E487))="C"),"C",IF(OR(LEFT(UPPER(TRIM(E487)),1)="D",UPPER(TRIM(E487))="D"),"D","")))))))</f>
        <v/>
      </c>
      <c r="J487" s="27" t="str">
        <f aca="false">IF(I487="","",IF(AND(I487="D",Settings!$B$6&lt;&gt;"Yes"),"",IFERROR(INDEX(Settings!$C$9:$C$12,MATCH(I487,Settings!$A$9:$A$12,0)),"")))</f>
        <v/>
      </c>
      <c r="K487" s="27" t="str">
        <f aca="false">IF(J487="","",COUNTIF($I$2:I487,I487))</f>
        <v/>
      </c>
      <c r="L487" s="27" t="str">
        <f aca="false">IF(J487="","",CHOOSE(Q487+1,"Tue","Wed","Thu","Fri"))</f>
        <v/>
      </c>
      <c r="M487" s="27" t="str">
        <f aca="false">IF(J487="","",IF(J487=1,"Every week",R487+1&amp;" of "&amp;J487))</f>
        <v/>
      </c>
      <c r="N487" s="28" t="str">
        <f aca="false">IF(J487="","",Settings!$B$4+R487*7+Q487)</f>
        <v/>
      </c>
      <c r="O487" s="28" t="str">
        <f aca="true">IF(J487="","",N487+MAX(0,ROUNDUP((TODAY()-N487)/(J487*7),0))*J487*7)</f>
        <v/>
      </c>
      <c r="P487" s="27" t="str">
        <f aca="false">IF(J487="","",MOD(K487-1,J487*4))</f>
        <v/>
      </c>
      <c r="Q487" s="27" t="str">
        <f aca="false">IF(J487="","",MOD(P487,4))</f>
        <v/>
      </c>
      <c r="R487" s="27" t="str">
        <f aca="false">IF(J487="","",INT(P487/4))</f>
        <v/>
      </c>
      <c r="S487" s="27" t="str">
        <f aca="false">IF(J487="","",IF(AND('Daily Count Sheet'!$H$3=Q487,MOD('Daily Count Sheet'!$I$3,J487)=R487),1,""))</f>
        <v/>
      </c>
      <c r="T487" s="27" t="str">
        <f aca="false">IF(S487=1,COUNTIF($S$2:S487,1),"")</f>
        <v/>
      </c>
    </row>
    <row r="488" customFormat="false" ht="15" hidden="false" customHeight="false" outlineLevel="0" collapsed="false">
      <c r="H488" s="26"/>
      <c r="I488" s="27" t="str">
        <f aca="false">IF(A488="","",IF(H488&lt;&gt;"",UPPER(TRIM(H488)),IFERROR(CHOOSE(VALUE(E488)+1,"A","B","C","D"),IF(OR(LEFT(UPPER(TRIM(E488)),1)="F",UPPER(TRIM(E488))="A"),"A",IF(OR(LEFT(UPPER(TRIM(E488)),1)="M",UPPER(TRIM(E488))="B"),"B",IF(OR(LEFT(UPPER(TRIM(E488)),2)="SL",UPPER(TRIM(E488))="C"),"C",IF(OR(LEFT(UPPER(TRIM(E488)),1)="D",UPPER(TRIM(E488))="D"),"D","")))))))</f>
        <v/>
      </c>
      <c r="J488" s="27" t="str">
        <f aca="false">IF(I488="","",IF(AND(I488="D",Settings!$B$6&lt;&gt;"Yes"),"",IFERROR(INDEX(Settings!$C$9:$C$12,MATCH(I488,Settings!$A$9:$A$12,0)),"")))</f>
        <v/>
      </c>
      <c r="K488" s="27" t="str">
        <f aca="false">IF(J488="","",COUNTIF($I$2:I488,I488))</f>
        <v/>
      </c>
      <c r="L488" s="27" t="str">
        <f aca="false">IF(J488="","",CHOOSE(Q488+1,"Tue","Wed","Thu","Fri"))</f>
        <v/>
      </c>
      <c r="M488" s="27" t="str">
        <f aca="false">IF(J488="","",IF(J488=1,"Every week",R488+1&amp;" of "&amp;J488))</f>
        <v/>
      </c>
      <c r="N488" s="28" t="str">
        <f aca="false">IF(J488="","",Settings!$B$4+R488*7+Q488)</f>
        <v/>
      </c>
      <c r="O488" s="28" t="str">
        <f aca="true">IF(J488="","",N488+MAX(0,ROUNDUP((TODAY()-N488)/(J488*7),0))*J488*7)</f>
        <v/>
      </c>
      <c r="P488" s="27" t="str">
        <f aca="false">IF(J488="","",MOD(K488-1,J488*4))</f>
        <v/>
      </c>
      <c r="Q488" s="27" t="str">
        <f aca="false">IF(J488="","",MOD(P488,4))</f>
        <v/>
      </c>
      <c r="R488" s="27" t="str">
        <f aca="false">IF(J488="","",INT(P488/4))</f>
        <v/>
      </c>
      <c r="S488" s="27" t="str">
        <f aca="false">IF(J488="","",IF(AND('Daily Count Sheet'!$H$3=Q488,MOD('Daily Count Sheet'!$I$3,J488)=R488),1,""))</f>
        <v/>
      </c>
      <c r="T488" s="27" t="str">
        <f aca="false">IF(S488=1,COUNTIF($S$2:S488,1),"")</f>
        <v/>
      </c>
    </row>
    <row r="489" customFormat="false" ht="15" hidden="false" customHeight="false" outlineLevel="0" collapsed="false">
      <c r="H489" s="26"/>
      <c r="I489" s="27" t="str">
        <f aca="false">IF(A489="","",IF(H489&lt;&gt;"",UPPER(TRIM(H489)),IFERROR(CHOOSE(VALUE(E489)+1,"A","B","C","D"),IF(OR(LEFT(UPPER(TRIM(E489)),1)="F",UPPER(TRIM(E489))="A"),"A",IF(OR(LEFT(UPPER(TRIM(E489)),1)="M",UPPER(TRIM(E489))="B"),"B",IF(OR(LEFT(UPPER(TRIM(E489)),2)="SL",UPPER(TRIM(E489))="C"),"C",IF(OR(LEFT(UPPER(TRIM(E489)),1)="D",UPPER(TRIM(E489))="D"),"D","")))))))</f>
        <v/>
      </c>
      <c r="J489" s="27" t="str">
        <f aca="false">IF(I489="","",IF(AND(I489="D",Settings!$B$6&lt;&gt;"Yes"),"",IFERROR(INDEX(Settings!$C$9:$C$12,MATCH(I489,Settings!$A$9:$A$12,0)),"")))</f>
        <v/>
      </c>
      <c r="K489" s="27" t="str">
        <f aca="false">IF(J489="","",COUNTIF($I$2:I489,I489))</f>
        <v/>
      </c>
      <c r="L489" s="27" t="str">
        <f aca="false">IF(J489="","",CHOOSE(Q489+1,"Tue","Wed","Thu","Fri"))</f>
        <v/>
      </c>
      <c r="M489" s="27" t="str">
        <f aca="false">IF(J489="","",IF(J489=1,"Every week",R489+1&amp;" of "&amp;J489))</f>
        <v/>
      </c>
      <c r="N489" s="28" t="str">
        <f aca="false">IF(J489="","",Settings!$B$4+R489*7+Q489)</f>
        <v/>
      </c>
      <c r="O489" s="28" t="str">
        <f aca="true">IF(J489="","",N489+MAX(0,ROUNDUP((TODAY()-N489)/(J489*7),0))*J489*7)</f>
        <v/>
      </c>
      <c r="P489" s="27" t="str">
        <f aca="false">IF(J489="","",MOD(K489-1,J489*4))</f>
        <v/>
      </c>
      <c r="Q489" s="27" t="str">
        <f aca="false">IF(J489="","",MOD(P489,4))</f>
        <v/>
      </c>
      <c r="R489" s="27" t="str">
        <f aca="false">IF(J489="","",INT(P489/4))</f>
        <v/>
      </c>
      <c r="S489" s="27" t="str">
        <f aca="false">IF(J489="","",IF(AND('Daily Count Sheet'!$H$3=Q489,MOD('Daily Count Sheet'!$I$3,J489)=R489),1,""))</f>
        <v/>
      </c>
      <c r="T489" s="27" t="str">
        <f aca="false">IF(S489=1,COUNTIF($S$2:S489,1),"")</f>
        <v/>
      </c>
    </row>
    <row r="490" customFormat="false" ht="15" hidden="false" customHeight="false" outlineLevel="0" collapsed="false">
      <c r="H490" s="26"/>
      <c r="I490" s="27" t="str">
        <f aca="false">IF(A490="","",IF(H490&lt;&gt;"",UPPER(TRIM(H490)),IFERROR(CHOOSE(VALUE(E490)+1,"A","B","C","D"),IF(OR(LEFT(UPPER(TRIM(E490)),1)="F",UPPER(TRIM(E490))="A"),"A",IF(OR(LEFT(UPPER(TRIM(E490)),1)="M",UPPER(TRIM(E490))="B"),"B",IF(OR(LEFT(UPPER(TRIM(E490)),2)="SL",UPPER(TRIM(E490))="C"),"C",IF(OR(LEFT(UPPER(TRIM(E490)),1)="D",UPPER(TRIM(E490))="D"),"D","")))))))</f>
        <v/>
      </c>
      <c r="J490" s="27" t="str">
        <f aca="false">IF(I490="","",IF(AND(I490="D",Settings!$B$6&lt;&gt;"Yes"),"",IFERROR(INDEX(Settings!$C$9:$C$12,MATCH(I490,Settings!$A$9:$A$12,0)),"")))</f>
        <v/>
      </c>
      <c r="K490" s="27" t="str">
        <f aca="false">IF(J490="","",COUNTIF($I$2:I490,I490))</f>
        <v/>
      </c>
      <c r="L490" s="27" t="str">
        <f aca="false">IF(J490="","",CHOOSE(Q490+1,"Tue","Wed","Thu","Fri"))</f>
        <v/>
      </c>
      <c r="M490" s="27" t="str">
        <f aca="false">IF(J490="","",IF(J490=1,"Every week",R490+1&amp;" of "&amp;J490))</f>
        <v/>
      </c>
      <c r="N490" s="28" t="str">
        <f aca="false">IF(J490="","",Settings!$B$4+R490*7+Q490)</f>
        <v/>
      </c>
      <c r="O490" s="28" t="str">
        <f aca="true">IF(J490="","",N490+MAX(0,ROUNDUP((TODAY()-N490)/(J490*7),0))*J490*7)</f>
        <v/>
      </c>
      <c r="P490" s="27" t="str">
        <f aca="false">IF(J490="","",MOD(K490-1,J490*4))</f>
        <v/>
      </c>
      <c r="Q490" s="27" t="str">
        <f aca="false">IF(J490="","",MOD(P490,4))</f>
        <v/>
      </c>
      <c r="R490" s="27" t="str">
        <f aca="false">IF(J490="","",INT(P490/4))</f>
        <v/>
      </c>
      <c r="S490" s="27" t="str">
        <f aca="false">IF(J490="","",IF(AND('Daily Count Sheet'!$H$3=Q490,MOD('Daily Count Sheet'!$I$3,J490)=R490),1,""))</f>
        <v/>
      </c>
      <c r="T490" s="27" t="str">
        <f aca="false">IF(S490=1,COUNTIF($S$2:S490,1),"")</f>
        <v/>
      </c>
    </row>
    <row r="491" customFormat="false" ht="15" hidden="false" customHeight="false" outlineLevel="0" collapsed="false">
      <c r="H491" s="26"/>
      <c r="I491" s="27" t="str">
        <f aca="false">IF(A491="","",IF(H491&lt;&gt;"",UPPER(TRIM(H491)),IFERROR(CHOOSE(VALUE(E491)+1,"A","B","C","D"),IF(OR(LEFT(UPPER(TRIM(E491)),1)="F",UPPER(TRIM(E491))="A"),"A",IF(OR(LEFT(UPPER(TRIM(E491)),1)="M",UPPER(TRIM(E491))="B"),"B",IF(OR(LEFT(UPPER(TRIM(E491)),2)="SL",UPPER(TRIM(E491))="C"),"C",IF(OR(LEFT(UPPER(TRIM(E491)),1)="D",UPPER(TRIM(E491))="D"),"D","")))))))</f>
        <v/>
      </c>
      <c r="J491" s="27" t="str">
        <f aca="false">IF(I491="","",IF(AND(I491="D",Settings!$B$6&lt;&gt;"Yes"),"",IFERROR(INDEX(Settings!$C$9:$C$12,MATCH(I491,Settings!$A$9:$A$12,0)),"")))</f>
        <v/>
      </c>
      <c r="K491" s="27" t="str">
        <f aca="false">IF(J491="","",COUNTIF($I$2:I491,I491))</f>
        <v/>
      </c>
      <c r="L491" s="27" t="str">
        <f aca="false">IF(J491="","",CHOOSE(Q491+1,"Tue","Wed","Thu","Fri"))</f>
        <v/>
      </c>
      <c r="M491" s="27" t="str">
        <f aca="false">IF(J491="","",IF(J491=1,"Every week",R491+1&amp;" of "&amp;J491))</f>
        <v/>
      </c>
      <c r="N491" s="28" t="str">
        <f aca="false">IF(J491="","",Settings!$B$4+R491*7+Q491)</f>
        <v/>
      </c>
      <c r="O491" s="28" t="str">
        <f aca="true">IF(J491="","",N491+MAX(0,ROUNDUP((TODAY()-N491)/(J491*7),0))*J491*7)</f>
        <v/>
      </c>
      <c r="P491" s="27" t="str">
        <f aca="false">IF(J491="","",MOD(K491-1,J491*4))</f>
        <v/>
      </c>
      <c r="Q491" s="27" t="str">
        <f aca="false">IF(J491="","",MOD(P491,4))</f>
        <v/>
      </c>
      <c r="R491" s="27" t="str">
        <f aca="false">IF(J491="","",INT(P491/4))</f>
        <v/>
      </c>
      <c r="S491" s="27" t="str">
        <f aca="false">IF(J491="","",IF(AND('Daily Count Sheet'!$H$3=Q491,MOD('Daily Count Sheet'!$I$3,J491)=R491),1,""))</f>
        <v/>
      </c>
      <c r="T491" s="27" t="str">
        <f aca="false">IF(S491=1,COUNTIF($S$2:S491,1),"")</f>
        <v/>
      </c>
    </row>
    <row r="492" customFormat="false" ht="15" hidden="false" customHeight="false" outlineLevel="0" collapsed="false">
      <c r="H492" s="26"/>
      <c r="I492" s="27" t="str">
        <f aca="false">IF(A492="","",IF(H492&lt;&gt;"",UPPER(TRIM(H492)),IFERROR(CHOOSE(VALUE(E492)+1,"A","B","C","D"),IF(OR(LEFT(UPPER(TRIM(E492)),1)="F",UPPER(TRIM(E492))="A"),"A",IF(OR(LEFT(UPPER(TRIM(E492)),1)="M",UPPER(TRIM(E492))="B"),"B",IF(OR(LEFT(UPPER(TRIM(E492)),2)="SL",UPPER(TRIM(E492))="C"),"C",IF(OR(LEFT(UPPER(TRIM(E492)),1)="D",UPPER(TRIM(E492))="D"),"D","")))))))</f>
        <v/>
      </c>
      <c r="J492" s="27" t="str">
        <f aca="false">IF(I492="","",IF(AND(I492="D",Settings!$B$6&lt;&gt;"Yes"),"",IFERROR(INDEX(Settings!$C$9:$C$12,MATCH(I492,Settings!$A$9:$A$12,0)),"")))</f>
        <v/>
      </c>
      <c r="K492" s="27" t="str">
        <f aca="false">IF(J492="","",COUNTIF($I$2:I492,I492))</f>
        <v/>
      </c>
      <c r="L492" s="27" t="str">
        <f aca="false">IF(J492="","",CHOOSE(Q492+1,"Tue","Wed","Thu","Fri"))</f>
        <v/>
      </c>
      <c r="M492" s="27" t="str">
        <f aca="false">IF(J492="","",IF(J492=1,"Every week",R492+1&amp;" of "&amp;J492))</f>
        <v/>
      </c>
      <c r="N492" s="28" t="str">
        <f aca="false">IF(J492="","",Settings!$B$4+R492*7+Q492)</f>
        <v/>
      </c>
      <c r="O492" s="28" t="str">
        <f aca="true">IF(J492="","",N492+MAX(0,ROUNDUP((TODAY()-N492)/(J492*7),0))*J492*7)</f>
        <v/>
      </c>
      <c r="P492" s="27" t="str">
        <f aca="false">IF(J492="","",MOD(K492-1,J492*4))</f>
        <v/>
      </c>
      <c r="Q492" s="27" t="str">
        <f aca="false">IF(J492="","",MOD(P492,4))</f>
        <v/>
      </c>
      <c r="R492" s="27" t="str">
        <f aca="false">IF(J492="","",INT(P492/4))</f>
        <v/>
      </c>
      <c r="S492" s="27" t="str">
        <f aca="false">IF(J492="","",IF(AND('Daily Count Sheet'!$H$3=Q492,MOD('Daily Count Sheet'!$I$3,J492)=R492),1,""))</f>
        <v/>
      </c>
      <c r="T492" s="27" t="str">
        <f aca="false">IF(S492=1,COUNTIF($S$2:S492,1),"")</f>
        <v/>
      </c>
    </row>
    <row r="493" customFormat="false" ht="15" hidden="false" customHeight="false" outlineLevel="0" collapsed="false">
      <c r="H493" s="26"/>
      <c r="I493" s="27" t="str">
        <f aca="false">IF(A493="","",IF(H493&lt;&gt;"",UPPER(TRIM(H493)),IFERROR(CHOOSE(VALUE(E493)+1,"A","B","C","D"),IF(OR(LEFT(UPPER(TRIM(E493)),1)="F",UPPER(TRIM(E493))="A"),"A",IF(OR(LEFT(UPPER(TRIM(E493)),1)="M",UPPER(TRIM(E493))="B"),"B",IF(OR(LEFT(UPPER(TRIM(E493)),2)="SL",UPPER(TRIM(E493))="C"),"C",IF(OR(LEFT(UPPER(TRIM(E493)),1)="D",UPPER(TRIM(E493))="D"),"D","")))))))</f>
        <v/>
      </c>
      <c r="J493" s="27" t="str">
        <f aca="false">IF(I493="","",IF(AND(I493="D",Settings!$B$6&lt;&gt;"Yes"),"",IFERROR(INDEX(Settings!$C$9:$C$12,MATCH(I493,Settings!$A$9:$A$12,0)),"")))</f>
        <v/>
      </c>
      <c r="K493" s="27" t="str">
        <f aca="false">IF(J493="","",COUNTIF($I$2:I493,I493))</f>
        <v/>
      </c>
      <c r="L493" s="27" t="str">
        <f aca="false">IF(J493="","",CHOOSE(Q493+1,"Tue","Wed","Thu","Fri"))</f>
        <v/>
      </c>
      <c r="M493" s="27" t="str">
        <f aca="false">IF(J493="","",IF(J493=1,"Every week",R493+1&amp;" of "&amp;J493))</f>
        <v/>
      </c>
      <c r="N493" s="28" t="str">
        <f aca="false">IF(J493="","",Settings!$B$4+R493*7+Q493)</f>
        <v/>
      </c>
      <c r="O493" s="28" t="str">
        <f aca="true">IF(J493="","",N493+MAX(0,ROUNDUP((TODAY()-N493)/(J493*7),0))*J493*7)</f>
        <v/>
      </c>
      <c r="P493" s="27" t="str">
        <f aca="false">IF(J493="","",MOD(K493-1,J493*4))</f>
        <v/>
      </c>
      <c r="Q493" s="27" t="str">
        <f aca="false">IF(J493="","",MOD(P493,4))</f>
        <v/>
      </c>
      <c r="R493" s="27" t="str">
        <f aca="false">IF(J493="","",INT(P493/4))</f>
        <v/>
      </c>
      <c r="S493" s="27" t="str">
        <f aca="false">IF(J493="","",IF(AND('Daily Count Sheet'!$H$3=Q493,MOD('Daily Count Sheet'!$I$3,J493)=R493),1,""))</f>
        <v/>
      </c>
      <c r="T493" s="27" t="str">
        <f aca="false">IF(S493=1,COUNTIF($S$2:S493,1),"")</f>
        <v/>
      </c>
    </row>
    <row r="494" customFormat="false" ht="15" hidden="false" customHeight="false" outlineLevel="0" collapsed="false">
      <c r="H494" s="26"/>
      <c r="I494" s="27" t="str">
        <f aca="false">IF(A494="","",IF(H494&lt;&gt;"",UPPER(TRIM(H494)),IFERROR(CHOOSE(VALUE(E494)+1,"A","B","C","D"),IF(OR(LEFT(UPPER(TRIM(E494)),1)="F",UPPER(TRIM(E494))="A"),"A",IF(OR(LEFT(UPPER(TRIM(E494)),1)="M",UPPER(TRIM(E494))="B"),"B",IF(OR(LEFT(UPPER(TRIM(E494)),2)="SL",UPPER(TRIM(E494))="C"),"C",IF(OR(LEFT(UPPER(TRIM(E494)),1)="D",UPPER(TRIM(E494))="D"),"D","")))))))</f>
        <v/>
      </c>
      <c r="J494" s="27" t="str">
        <f aca="false">IF(I494="","",IF(AND(I494="D",Settings!$B$6&lt;&gt;"Yes"),"",IFERROR(INDEX(Settings!$C$9:$C$12,MATCH(I494,Settings!$A$9:$A$12,0)),"")))</f>
        <v/>
      </c>
      <c r="K494" s="27" t="str">
        <f aca="false">IF(J494="","",COUNTIF($I$2:I494,I494))</f>
        <v/>
      </c>
      <c r="L494" s="27" t="str">
        <f aca="false">IF(J494="","",CHOOSE(Q494+1,"Tue","Wed","Thu","Fri"))</f>
        <v/>
      </c>
      <c r="M494" s="27" t="str">
        <f aca="false">IF(J494="","",IF(J494=1,"Every week",R494+1&amp;" of "&amp;J494))</f>
        <v/>
      </c>
      <c r="N494" s="28" t="str">
        <f aca="false">IF(J494="","",Settings!$B$4+R494*7+Q494)</f>
        <v/>
      </c>
      <c r="O494" s="28" t="str">
        <f aca="true">IF(J494="","",N494+MAX(0,ROUNDUP((TODAY()-N494)/(J494*7),0))*J494*7)</f>
        <v/>
      </c>
      <c r="P494" s="27" t="str">
        <f aca="false">IF(J494="","",MOD(K494-1,J494*4))</f>
        <v/>
      </c>
      <c r="Q494" s="27" t="str">
        <f aca="false">IF(J494="","",MOD(P494,4))</f>
        <v/>
      </c>
      <c r="R494" s="27" t="str">
        <f aca="false">IF(J494="","",INT(P494/4))</f>
        <v/>
      </c>
      <c r="S494" s="27" t="str">
        <f aca="false">IF(J494="","",IF(AND('Daily Count Sheet'!$H$3=Q494,MOD('Daily Count Sheet'!$I$3,J494)=R494),1,""))</f>
        <v/>
      </c>
      <c r="T494" s="27" t="str">
        <f aca="false">IF(S494=1,COUNTIF($S$2:S494,1),"")</f>
        <v/>
      </c>
    </row>
    <row r="495" customFormat="false" ht="15" hidden="false" customHeight="false" outlineLevel="0" collapsed="false">
      <c r="H495" s="26"/>
      <c r="I495" s="27" t="str">
        <f aca="false">IF(A495="","",IF(H495&lt;&gt;"",UPPER(TRIM(H495)),IFERROR(CHOOSE(VALUE(E495)+1,"A","B","C","D"),IF(OR(LEFT(UPPER(TRIM(E495)),1)="F",UPPER(TRIM(E495))="A"),"A",IF(OR(LEFT(UPPER(TRIM(E495)),1)="M",UPPER(TRIM(E495))="B"),"B",IF(OR(LEFT(UPPER(TRIM(E495)),2)="SL",UPPER(TRIM(E495))="C"),"C",IF(OR(LEFT(UPPER(TRIM(E495)),1)="D",UPPER(TRIM(E495))="D"),"D","")))))))</f>
        <v/>
      </c>
      <c r="J495" s="27" t="str">
        <f aca="false">IF(I495="","",IF(AND(I495="D",Settings!$B$6&lt;&gt;"Yes"),"",IFERROR(INDEX(Settings!$C$9:$C$12,MATCH(I495,Settings!$A$9:$A$12,0)),"")))</f>
        <v/>
      </c>
      <c r="K495" s="27" t="str">
        <f aca="false">IF(J495="","",COUNTIF($I$2:I495,I495))</f>
        <v/>
      </c>
      <c r="L495" s="27" t="str">
        <f aca="false">IF(J495="","",CHOOSE(Q495+1,"Tue","Wed","Thu","Fri"))</f>
        <v/>
      </c>
      <c r="M495" s="27" t="str">
        <f aca="false">IF(J495="","",IF(J495=1,"Every week",R495+1&amp;" of "&amp;J495))</f>
        <v/>
      </c>
      <c r="N495" s="28" t="str">
        <f aca="false">IF(J495="","",Settings!$B$4+R495*7+Q495)</f>
        <v/>
      </c>
      <c r="O495" s="28" t="str">
        <f aca="true">IF(J495="","",N495+MAX(0,ROUNDUP((TODAY()-N495)/(J495*7),0))*J495*7)</f>
        <v/>
      </c>
      <c r="P495" s="27" t="str">
        <f aca="false">IF(J495="","",MOD(K495-1,J495*4))</f>
        <v/>
      </c>
      <c r="Q495" s="27" t="str">
        <f aca="false">IF(J495="","",MOD(P495,4))</f>
        <v/>
      </c>
      <c r="R495" s="27" t="str">
        <f aca="false">IF(J495="","",INT(P495/4))</f>
        <v/>
      </c>
      <c r="S495" s="27" t="str">
        <f aca="false">IF(J495="","",IF(AND('Daily Count Sheet'!$H$3=Q495,MOD('Daily Count Sheet'!$I$3,J495)=R495),1,""))</f>
        <v/>
      </c>
      <c r="T495" s="27" t="str">
        <f aca="false">IF(S495=1,COUNTIF($S$2:S495,1),"")</f>
        <v/>
      </c>
    </row>
    <row r="496" customFormat="false" ht="15" hidden="false" customHeight="false" outlineLevel="0" collapsed="false">
      <c r="H496" s="26"/>
      <c r="I496" s="27" t="str">
        <f aca="false">IF(A496="","",IF(H496&lt;&gt;"",UPPER(TRIM(H496)),IFERROR(CHOOSE(VALUE(E496)+1,"A","B","C","D"),IF(OR(LEFT(UPPER(TRIM(E496)),1)="F",UPPER(TRIM(E496))="A"),"A",IF(OR(LEFT(UPPER(TRIM(E496)),1)="M",UPPER(TRIM(E496))="B"),"B",IF(OR(LEFT(UPPER(TRIM(E496)),2)="SL",UPPER(TRIM(E496))="C"),"C",IF(OR(LEFT(UPPER(TRIM(E496)),1)="D",UPPER(TRIM(E496))="D"),"D","")))))))</f>
        <v/>
      </c>
      <c r="J496" s="27" t="str">
        <f aca="false">IF(I496="","",IF(AND(I496="D",Settings!$B$6&lt;&gt;"Yes"),"",IFERROR(INDEX(Settings!$C$9:$C$12,MATCH(I496,Settings!$A$9:$A$12,0)),"")))</f>
        <v/>
      </c>
      <c r="K496" s="27" t="str">
        <f aca="false">IF(J496="","",COUNTIF($I$2:I496,I496))</f>
        <v/>
      </c>
      <c r="L496" s="27" t="str">
        <f aca="false">IF(J496="","",CHOOSE(Q496+1,"Tue","Wed","Thu","Fri"))</f>
        <v/>
      </c>
      <c r="M496" s="27" t="str">
        <f aca="false">IF(J496="","",IF(J496=1,"Every week",R496+1&amp;" of "&amp;J496))</f>
        <v/>
      </c>
      <c r="N496" s="28" t="str">
        <f aca="false">IF(J496="","",Settings!$B$4+R496*7+Q496)</f>
        <v/>
      </c>
      <c r="O496" s="28" t="str">
        <f aca="true">IF(J496="","",N496+MAX(0,ROUNDUP((TODAY()-N496)/(J496*7),0))*J496*7)</f>
        <v/>
      </c>
      <c r="P496" s="27" t="str">
        <f aca="false">IF(J496="","",MOD(K496-1,J496*4))</f>
        <v/>
      </c>
      <c r="Q496" s="27" t="str">
        <f aca="false">IF(J496="","",MOD(P496,4))</f>
        <v/>
      </c>
      <c r="R496" s="27" t="str">
        <f aca="false">IF(J496="","",INT(P496/4))</f>
        <v/>
      </c>
      <c r="S496" s="27" t="str">
        <f aca="false">IF(J496="","",IF(AND('Daily Count Sheet'!$H$3=Q496,MOD('Daily Count Sheet'!$I$3,J496)=R496),1,""))</f>
        <v/>
      </c>
      <c r="T496" s="27" t="str">
        <f aca="false">IF(S496=1,COUNTIF($S$2:S496,1),"")</f>
        <v/>
      </c>
    </row>
    <row r="497" customFormat="false" ht="15" hidden="false" customHeight="false" outlineLevel="0" collapsed="false">
      <c r="H497" s="26"/>
      <c r="I497" s="27" t="str">
        <f aca="false">IF(A497="","",IF(H497&lt;&gt;"",UPPER(TRIM(H497)),IFERROR(CHOOSE(VALUE(E497)+1,"A","B","C","D"),IF(OR(LEFT(UPPER(TRIM(E497)),1)="F",UPPER(TRIM(E497))="A"),"A",IF(OR(LEFT(UPPER(TRIM(E497)),1)="M",UPPER(TRIM(E497))="B"),"B",IF(OR(LEFT(UPPER(TRIM(E497)),2)="SL",UPPER(TRIM(E497))="C"),"C",IF(OR(LEFT(UPPER(TRIM(E497)),1)="D",UPPER(TRIM(E497))="D"),"D","")))))))</f>
        <v/>
      </c>
      <c r="J497" s="27" t="str">
        <f aca="false">IF(I497="","",IF(AND(I497="D",Settings!$B$6&lt;&gt;"Yes"),"",IFERROR(INDEX(Settings!$C$9:$C$12,MATCH(I497,Settings!$A$9:$A$12,0)),"")))</f>
        <v/>
      </c>
      <c r="K497" s="27" t="str">
        <f aca="false">IF(J497="","",COUNTIF($I$2:I497,I497))</f>
        <v/>
      </c>
      <c r="L497" s="27" t="str">
        <f aca="false">IF(J497="","",CHOOSE(Q497+1,"Tue","Wed","Thu","Fri"))</f>
        <v/>
      </c>
      <c r="M497" s="27" t="str">
        <f aca="false">IF(J497="","",IF(J497=1,"Every week",R497+1&amp;" of "&amp;J497))</f>
        <v/>
      </c>
      <c r="N497" s="28" t="str">
        <f aca="false">IF(J497="","",Settings!$B$4+R497*7+Q497)</f>
        <v/>
      </c>
      <c r="O497" s="28" t="str">
        <f aca="true">IF(J497="","",N497+MAX(0,ROUNDUP((TODAY()-N497)/(J497*7),0))*J497*7)</f>
        <v/>
      </c>
      <c r="P497" s="27" t="str">
        <f aca="false">IF(J497="","",MOD(K497-1,J497*4))</f>
        <v/>
      </c>
      <c r="Q497" s="27" t="str">
        <f aca="false">IF(J497="","",MOD(P497,4))</f>
        <v/>
      </c>
      <c r="R497" s="27" t="str">
        <f aca="false">IF(J497="","",INT(P497/4))</f>
        <v/>
      </c>
      <c r="S497" s="27" t="str">
        <f aca="false">IF(J497="","",IF(AND('Daily Count Sheet'!$H$3=Q497,MOD('Daily Count Sheet'!$I$3,J497)=R497),1,""))</f>
        <v/>
      </c>
      <c r="T497" s="27" t="str">
        <f aca="false">IF(S497=1,COUNTIF($S$2:S497,1),"")</f>
        <v/>
      </c>
    </row>
    <row r="498" customFormat="false" ht="15" hidden="false" customHeight="false" outlineLevel="0" collapsed="false">
      <c r="H498" s="26"/>
      <c r="I498" s="27" t="str">
        <f aca="false">IF(A498="","",IF(H498&lt;&gt;"",UPPER(TRIM(H498)),IFERROR(CHOOSE(VALUE(E498)+1,"A","B","C","D"),IF(OR(LEFT(UPPER(TRIM(E498)),1)="F",UPPER(TRIM(E498))="A"),"A",IF(OR(LEFT(UPPER(TRIM(E498)),1)="M",UPPER(TRIM(E498))="B"),"B",IF(OR(LEFT(UPPER(TRIM(E498)),2)="SL",UPPER(TRIM(E498))="C"),"C",IF(OR(LEFT(UPPER(TRIM(E498)),1)="D",UPPER(TRIM(E498))="D"),"D","")))))))</f>
        <v/>
      </c>
      <c r="J498" s="27" t="str">
        <f aca="false">IF(I498="","",IF(AND(I498="D",Settings!$B$6&lt;&gt;"Yes"),"",IFERROR(INDEX(Settings!$C$9:$C$12,MATCH(I498,Settings!$A$9:$A$12,0)),"")))</f>
        <v/>
      </c>
      <c r="K498" s="27" t="str">
        <f aca="false">IF(J498="","",COUNTIF($I$2:I498,I498))</f>
        <v/>
      </c>
      <c r="L498" s="27" t="str">
        <f aca="false">IF(J498="","",CHOOSE(Q498+1,"Tue","Wed","Thu","Fri"))</f>
        <v/>
      </c>
      <c r="M498" s="27" t="str">
        <f aca="false">IF(J498="","",IF(J498=1,"Every week",R498+1&amp;" of "&amp;J498))</f>
        <v/>
      </c>
      <c r="N498" s="28" t="str">
        <f aca="false">IF(J498="","",Settings!$B$4+R498*7+Q498)</f>
        <v/>
      </c>
      <c r="O498" s="28" t="str">
        <f aca="true">IF(J498="","",N498+MAX(0,ROUNDUP((TODAY()-N498)/(J498*7),0))*J498*7)</f>
        <v/>
      </c>
      <c r="P498" s="27" t="str">
        <f aca="false">IF(J498="","",MOD(K498-1,J498*4))</f>
        <v/>
      </c>
      <c r="Q498" s="27" t="str">
        <f aca="false">IF(J498="","",MOD(P498,4))</f>
        <v/>
      </c>
      <c r="R498" s="27" t="str">
        <f aca="false">IF(J498="","",INT(P498/4))</f>
        <v/>
      </c>
      <c r="S498" s="27" t="str">
        <f aca="false">IF(J498="","",IF(AND('Daily Count Sheet'!$H$3=Q498,MOD('Daily Count Sheet'!$I$3,J498)=R498),1,""))</f>
        <v/>
      </c>
      <c r="T498" s="27" t="str">
        <f aca="false">IF(S498=1,COUNTIF($S$2:S498,1),"")</f>
        <v/>
      </c>
    </row>
    <row r="499" customFormat="false" ht="15" hidden="false" customHeight="false" outlineLevel="0" collapsed="false">
      <c r="H499" s="26"/>
      <c r="I499" s="27" t="str">
        <f aca="false">IF(A499="","",IF(H499&lt;&gt;"",UPPER(TRIM(H499)),IFERROR(CHOOSE(VALUE(E499)+1,"A","B","C","D"),IF(OR(LEFT(UPPER(TRIM(E499)),1)="F",UPPER(TRIM(E499))="A"),"A",IF(OR(LEFT(UPPER(TRIM(E499)),1)="M",UPPER(TRIM(E499))="B"),"B",IF(OR(LEFT(UPPER(TRIM(E499)),2)="SL",UPPER(TRIM(E499))="C"),"C",IF(OR(LEFT(UPPER(TRIM(E499)),1)="D",UPPER(TRIM(E499))="D"),"D","")))))))</f>
        <v/>
      </c>
      <c r="J499" s="27" t="str">
        <f aca="false">IF(I499="","",IF(AND(I499="D",Settings!$B$6&lt;&gt;"Yes"),"",IFERROR(INDEX(Settings!$C$9:$C$12,MATCH(I499,Settings!$A$9:$A$12,0)),"")))</f>
        <v/>
      </c>
      <c r="K499" s="27" t="str">
        <f aca="false">IF(J499="","",COUNTIF($I$2:I499,I499))</f>
        <v/>
      </c>
      <c r="L499" s="27" t="str">
        <f aca="false">IF(J499="","",CHOOSE(Q499+1,"Tue","Wed","Thu","Fri"))</f>
        <v/>
      </c>
      <c r="M499" s="27" t="str">
        <f aca="false">IF(J499="","",IF(J499=1,"Every week",R499+1&amp;" of "&amp;J499))</f>
        <v/>
      </c>
      <c r="N499" s="28" t="str">
        <f aca="false">IF(J499="","",Settings!$B$4+R499*7+Q499)</f>
        <v/>
      </c>
      <c r="O499" s="28" t="str">
        <f aca="true">IF(J499="","",N499+MAX(0,ROUNDUP((TODAY()-N499)/(J499*7),0))*J499*7)</f>
        <v/>
      </c>
      <c r="P499" s="27" t="str">
        <f aca="false">IF(J499="","",MOD(K499-1,J499*4))</f>
        <v/>
      </c>
      <c r="Q499" s="27" t="str">
        <f aca="false">IF(J499="","",MOD(P499,4))</f>
        <v/>
      </c>
      <c r="R499" s="27" t="str">
        <f aca="false">IF(J499="","",INT(P499/4))</f>
        <v/>
      </c>
      <c r="S499" s="27" t="str">
        <f aca="false">IF(J499="","",IF(AND('Daily Count Sheet'!$H$3=Q499,MOD('Daily Count Sheet'!$I$3,J499)=R499),1,""))</f>
        <v/>
      </c>
      <c r="T499" s="27" t="str">
        <f aca="false">IF(S499=1,COUNTIF($S$2:S499,1),"")</f>
        <v/>
      </c>
    </row>
    <row r="500" customFormat="false" ht="15" hidden="false" customHeight="false" outlineLevel="0" collapsed="false">
      <c r="H500" s="26"/>
      <c r="I500" s="27" t="str">
        <f aca="false">IF(A500="","",IF(H500&lt;&gt;"",UPPER(TRIM(H500)),IFERROR(CHOOSE(VALUE(E500)+1,"A","B","C","D"),IF(OR(LEFT(UPPER(TRIM(E500)),1)="F",UPPER(TRIM(E500))="A"),"A",IF(OR(LEFT(UPPER(TRIM(E500)),1)="M",UPPER(TRIM(E500))="B"),"B",IF(OR(LEFT(UPPER(TRIM(E500)),2)="SL",UPPER(TRIM(E500))="C"),"C",IF(OR(LEFT(UPPER(TRIM(E500)),1)="D",UPPER(TRIM(E500))="D"),"D","")))))))</f>
        <v/>
      </c>
      <c r="J500" s="27" t="str">
        <f aca="false">IF(I500="","",IF(AND(I500="D",Settings!$B$6&lt;&gt;"Yes"),"",IFERROR(INDEX(Settings!$C$9:$C$12,MATCH(I500,Settings!$A$9:$A$12,0)),"")))</f>
        <v/>
      </c>
      <c r="K500" s="27" t="str">
        <f aca="false">IF(J500="","",COUNTIF($I$2:I500,I500))</f>
        <v/>
      </c>
      <c r="L500" s="27" t="str">
        <f aca="false">IF(J500="","",CHOOSE(Q500+1,"Tue","Wed","Thu","Fri"))</f>
        <v/>
      </c>
      <c r="M500" s="27" t="str">
        <f aca="false">IF(J500="","",IF(J500=1,"Every week",R500+1&amp;" of "&amp;J500))</f>
        <v/>
      </c>
      <c r="N500" s="28" t="str">
        <f aca="false">IF(J500="","",Settings!$B$4+R500*7+Q500)</f>
        <v/>
      </c>
      <c r="O500" s="28" t="str">
        <f aca="true">IF(J500="","",N500+MAX(0,ROUNDUP((TODAY()-N500)/(J500*7),0))*J500*7)</f>
        <v/>
      </c>
      <c r="P500" s="27" t="str">
        <f aca="false">IF(J500="","",MOD(K500-1,J500*4))</f>
        <v/>
      </c>
      <c r="Q500" s="27" t="str">
        <f aca="false">IF(J500="","",MOD(P500,4))</f>
        <v/>
      </c>
      <c r="R500" s="27" t="str">
        <f aca="false">IF(J500="","",INT(P500/4))</f>
        <v/>
      </c>
      <c r="S500" s="27" t="str">
        <f aca="false">IF(J500="","",IF(AND('Daily Count Sheet'!$H$3=Q500,MOD('Daily Count Sheet'!$I$3,J500)=R500),1,""))</f>
        <v/>
      </c>
      <c r="T500" s="27" t="str">
        <f aca="false">IF(S500=1,COUNTIF($S$2:S500,1),"")</f>
        <v/>
      </c>
    </row>
    <row r="501" customFormat="false" ht="15" hidden="false" customHeight="false" outlineLevel="0" collapsed="false">
      <c r="H501" s="26"/>
      <c r="I501" s="27" t="str">
        <f aca="false">IF(A501="","",IF(H501&lt;&gt;"",UPPER(TRIM(H501)),IFERROR(CHOOSE(VALUE(E501)+1,"A","B","C","D"),IF(OR(LEFT(UPPER(TRIM(E501)),1)="F",UPPER(TRIM(E501))="A"),"A",IF(OR(LEFT(UPPER(TRIM(E501)),1)="M",UPPER(TRIM(E501))="B"),"B",IF(OR(LEFT(UPPER(TRIM(E501)),2)="SL",UPPER(TRIM(E501))="C"),"C",IF(OR(LEFT(UPPER(TRIM(E501)),1)="D",UPPER(TRIM(E501))="D"),"D","")))))))</f>
        <v/>
      </c>
      <c r="J501" s="27" t="str">
        <f aca="false">IF(I501="","",IF(AND(I501="D",Settings!$B$6&lt;&gt;"Yes"),"",IFERROR(INDEX(Settings!$C$9:$C$12,MATCH(I501,Settings!$A$9:$A$12,0)),"")))</f>
        <v/>
      </c>
      <c r="K501" s="27" t="str">
        <f aca="false">IF(J501="","",COUNTIF($I$2:I501,I501))</f>
        <v/>
      </c>
      <c r="L501" s="27" t="str">
        <f aca="false">IF(J501="","",CHOOSE(Q501+1,"Tue","Wed","Thu","Fri"))</f>
        <v/>
      </c>
      <c r="M501" s="27" t="str">
        <f aca="false">IF(J501="","",IF(J501=1,"Every week",R501+1&amp;" of "&amp;J501))</f>
        <v/>
      </c>
      <c r="N501" s="28" t="str">
        <f aca="false">IF(J501="","",Settings!$B$4+R501*7+Q501)</f>
        <v/>
      </c>
      <c r="O501" s="28" t="str">
        <f aca="true">IF(J501="","",N501+MAX(0,ROUNDUP((TODAY()-N501)/(J501*7),0))*J501*7)</f>
        <v/>
      </c>
      <c r="P501" s="27" t="str">
        <f aca="false">IF(J501="","",MOD(K501-1,J501*4))</f>
        <v/>
      </c>
      <c r="Q501" s="27" t="str">
        <f aca="false">IF(J501="","",MOD(P501,4))</f>
        <v/>
      </c>
      <c r="R501" s="27" t="str">
        <f aca="false">IF(J501="","",INT(P501/4))</f>
        <v/>
      </c>
      <c r="S501" s="27" t="str">
        <f aca="false">IF(J501="","",IF(AND('Daily Count Sheet'!$H$3=Q501,MOD('Daily Count Sheet'!$I$3,J501)=R501),1,""))</f>
        <v/>
      </c>
      <c r="T501" s="27" t="str">
        <f aca="false">IF(S501=1,COUNTIF($S$2:S501,1),"")</f>
        <v/>
      </c>
    </row>
    <row r="502" customFormat="false" ht="15" hidden="false" customHeight="false" outlineLevel="0" collapsed="false">
      <c r="H502" s="26"/>
      <c r="I502" s="27" t="str">
        <f aca="false">IF(A502="","",IF(H502&lt;&gt;"",UPPER(TRIM(H502)),IFERROR(CHOOSE(VALUE(E502)+1,"A","B","C","D"),IF(OR(LEFT(UPPER(TRIM(E502)),1)="F",UPPER(TRIM(E502))="A"),"A",IF(OR(LEFT(UPPER(TRIM(E502)),1)="M",UPPER(TRIM(E502))="B"),"B",IF(OR(LEFT(UPPER(TRIM(E502)),2)="SL",UPPER(TRIM(E502))="C"),"C",IF(OR(LEFT(UPPER(TRIM(E502)),1)="D",UPPER(TRIM(E502))="D"),"D","")))))))</f>
        <v/>
      </c>
      <c r="J502" s="27" t="str">
        <f aca="false">IF(I502="","",IF(AND(I502="D",Settings!$B$6&lt;&gt;"Yes"),"",IFERROR(INDEX(Settings!$C$9:$C$12,MATCH(I502,Settings!$A$9:$A$12,0)),"")))</f>
        <v/>
      </c>
      <c r="K502" s="27" t="str">
        <f aca="false">IF(J502="","",COUNTIF($I$2:I502,I502))</f>
        <v/>
      </c>
      <c r="L502" s="27" t="str">
        <f aca="false">IF(J502="","",CHOOSE(Q502+1,"Tue","Wed","Thu","Fri"))</f>
        <v/>
      </c>
      <c r="M502" s="27" t="str">
        <f aca="false">IF(J502="","",IF(J502=1,"Every week",R502+1&amp;" of "&amp;J502))</f>
        <v/>
      </c>
      <c r="N502" s="28" t="str">
        <f aca="false">IF(J502="","",Settings!$B$4+R502*7+Q502)</f>
        <v/>
      </c>
      <c r="O502" s="28" t="str">
        <f aca="true">IF(J502="","",N502+MAX(0,ROUNDUP((TODAY()-N502)/(J502*7),0))*J502*7)</f>
        <v/>
      </c>
      <c r="P502" s="27" t="str">
        <f aca="false">IF(J502="","",MOD(K502-1,J502*4))</f>
        <v/>
      </c>
      <c r="Q502" s="27" t="str">
        <f aca="false">IF(J502="","",MOD(P502,4))</f>
        <v/>
      </c>
      <c r="R502" s="27" t="str">
        <f aca="false">IF(J502="","",INT(P502/4))</f>
        <v/>
      </c>
      <c r="S502" s="27" t="str">
        <f aca="false">IF(J502="","",IF(AND('Daily Count Sheet'!$H$3=Q502,MOD('Daily Count Sheet'!$I$3,J502)=R502),1,""))</f>
        <v/>
      </c>
      <c r="T502" s="27" t="str">
        <f aca="false">IF(S502=1,COUNTIF($S$2:S502,1),"")</f>
        <v/>
      </c>
    </row>
    <row r="503" customFormat="false" ht="15" hidden="false" customHeight="false" outlineLevel="0" collapsed="false">
      <c r="H503" s="26"/>
      <c r="I503" s="27" t="str">
        <f aca="false">IF(A503="","",IF(H503&lt;&gt;"",UPPER(TRIM(H503)),IFERROR(CHOOSE(VALUE(E503)+1,"A","B","C","D"),IF(OR(LEFT(UPPER(TRIM(E503)),1)="F",UPPER(TRIM(E503))="A"),"A",IF(OR(LEFT(UPPER(TRIM(E503)),1)="M",UPPER(TRIM(E503))="B"),"B",IF(OR(LEFT(UPPER(TRIM(E503)),2)="SL",UPPER(TRIM(E503))="C"),"C",IF(OR(LEFT(UPPER(TRIM(E503)),1)="D",UPPER(TRIM(E503))="D"),"D","")))))))</f>
        <v/>
      </c>
      <c r="J503" s="27" t="str">
        <f aca="false">IF(I503="","",IF(AND(I503="D",Settings!$B$6&lt;&gt;"Yes"),"",IFERROR(INDEX(Settings!$C$9:$C$12,MATCH(I503,Settings!$A$9:$A$12,0)),"")))</f>
        <v/>
      </c>
      <c r="K503" s="27" t="str">
        <f aca="false">IF(J503="","",COUNTIF($I$2:I503,I503))</f>
        <v/>
      </c>
      <c r="L503" s="27" t="str">
        <f aca="false">IF(J503="","",CHOOSE(Q503+1,"Tue","Wed","Thu","Fri"))</f>
        <v/>
      </c>
      <c r="M503" s="27" t="str">
        <f aca="false">IF(J503="","",IF(J503=1,"Every week",R503+1&amp;" of "&amp;J503))</f>
        <v/>
      </c>
      <c r="N503" s="28" t="str">
        <f aca="false">IF(J503="","",Settings!$B$4+R503*7+Q503)</f>
        <v/>
      </c>
      <c r="O503" s="28" t="str">
        <f aca="true">IF(J503="","",N503+MAX(0,ROUNDUP((TODAY()-N503)/(J503*7),0))*J503*7)</f>
        <v/>
      </c>
      <c r="P503" s="27" t="str">
        <f aca="false">IF(J503="","",MOD(K503-1,J503*4))</f>
        <v/>
      </c>
      <c r="Q503" s="27" t="str">
        <f aca="false">IF(J503="","",MOD(P503,4))</f>
        <v/>
      </c>
      <c r="R503" s="27" t="str">
        <f aca="false">IF(J503="","",INT(P503/4))</f>
        <v/>
      </c>
      <c r="S503" s="27" t="str">
        <f aca="false">IF(J503="","",IF(AND('Daily Count Sheet'!$H$3=Q503,MOD('Daily Count Sheet'!$I$3,J503)=R503),1,""))</f>
        <v/>
      </c>
      <c r="T503" s="27" t="str">
        <f aca="false">IF(S503=1,COUNTIF($S$2:S503,1),"")</f>
        <v/>
      </c>
    </row>
    <row r="504" customFormat="false" ht="15" hidden="false" customHeight="false" outlineLevel="0" collapsed="false">
      <c r="H504" s="26"/>
      <c r="I504" s="27" t="str">
        <f aca="false">IF(A504="","",IF(H504&lt;&gt;"",UPPER(TRIM(H504)),IFERROR(CHOOSE(VALUE(E504)+1,"A","B","C","D"),IF(OR(LEFT(UPPER(TRIM(E504)),1)="F",UPPER(TRIM(E504))="A"),"A",IF(OR(LEFT(UPPER(TRIM(E504)),1)="M",UPPER(TRIM(E504))="B"),"B",IF(OR(LEFT(UPPER(TRIM(E504)),2)="SL",UPPER(TRIM(E504))="C"),"C",IF(OR(LEFT(UPPER(TRIM(E504)),1)="D",UPPER(TRIM(E504))="D"),"D","")))))))</f>
        <v/>
      </c>
      <c r="J504" s="27" t="str">
        <f aca="false">IF(I504="","",IF(AND(I504="D",Settings!$B$6&lt;&gt;"Yes"),"",IFERROR(INDEX(Settings!$C$9:$C$12,MATCH(I504,Settings!$A$9:$A$12,0)),"")))</f>
        <v/>
      </c>
      <c r="K504" s="27" t="str">
        <f aca="false">IF(J504="","",COUNTIF($I$2:I504,I504))</f>
        <v/>
      </c>
      <c r="L504" s="27" t="str">
        <f aca="false">IF(J504="","",CHOOSE(Q504+1,"Tue","Wed","Thu","Fri"))</f>
        <v/>
      </c>
      <c r="M504" s="27" t="str">
        <f aca="false">IF(J504="","",IF(J504=1,"Every week",R504+1&amp;" of "&amp;J504))</f>
        <v/>
      </c>
      <c r="N504" s="28" t="str">
        <f aca="false">IF(J504="","",Settings!$B$4+R504*7+Q504)</f>
        <v/>
      </c>
      <c r="O504" s="28" t="str">
        <f aca="true">IF(J504="","",N504+MAX(0,ROUNDUP((TODAY()-N504)/(J504*7),0))*J504*7)</f>
        <v/>
      </c>
      <c r="P504" s="27" t="str">
        <f aca="false">IF(J504="","",MOD(K504-1,J504*4))</f>
        <v/>
      </c>
      <c r="Q504" s="27" t="str">
        <f aca="false">IF(J504="","",MOD(P504,4))</f>
        <v/>
      </c>
      <c r="R504" s="27" t="str">
        <f aca="false">IF(J504="","",INT(P504/4))</f>
        <v/>
      </c>
      <c r="S504" s="27" t="str">
        <f aca="false">IF(J504="","",IF(AND('Daily Count Sheet'!$H$3=Q504,MOD('Daily Count Sheet'!$I$3,J504)=R504),1,""))</f>
        <v/>
      </c>
      <c r="T504" s="27" t="str">
        <f aca="false">IF(S504=1,COUNTIF($S$2:S504,1),"")</f>
        <v/>
      </c>
    </row>
    <row r="505" customFormat="false" ht="15" hidden="false" customHeight="false" outlineLevel="0" collapsed="false">
      <c r="H505" s="26"/>
      <c r="I505" s="27" t="str">
        <f aca="false">IF(A505="","",IF(H505&lt;&gt;"",UPPER(TRIM(H505)),IFERROR(CHOOSE(VALUE(E505)+1,"A","B","C","D"),IF(OR(LEFT(UPPER(TRIM(E505)),1)="F",UPPER(TRIM(E505))="A"),"A",IF(OR(LEFT(UPPER(TRIM(E505)),1)="M",UPPER(TRIM(E505))="B"),"B",IF(OR(LEFT(UPPER(TRIM(E505)),2)="SL",UPPER(TRIM(E505))="C"),"C",IF(OR(LEFT(UPPER(TRIM(E505)),1)="D",UPPER(TRIM(E505))="D"),"D","")))))))</f>
        <v/>
      </c>
      <c r="J505" s="27" t="str">
        <f aca="false">IF(I505="","",IF(AND(I505="D",Settings!$B$6&lt;&gt;"Yes"),"",IFERROR(INDEX(Settings!$C$9:$C$12,MATCH(I505,Settings!$A$9:$A$12,0)),"")))</f>
        <v/>
      </c>
      <c r="K505" s="27" t="str">
        <f aca="false">IF(J505="","",COUNTIF($I$2:I505,I505))</f>
        <v/>
      </c>
      <c r="L505" s="27" t="str">
        <f aca="false">IF(J505="","",CHOOSE(Q505+1,"Tue","Wed","Thu","Fri"))</f>
        <v/>
      </c>
      <c r="M505" s="27" t="str">
        <f aca="false">IF(J505="","",IF(J505=1,"Every week",R505+1&amp;" of "&amp;J505))</f>
        <v/>
      </c>
      <c r="N505" s="28" t="str">
        <f aca="false">IF(J505="","",Settings!$B$4+R505*7+Q505)</f>
        <v/>
      </c>
      <c r="O505" s="28" t="str">
        <f aca="true">IF(J505="","",N505+MAX(0,ROUNDUP((TODAY()-N505)/(J505*7),0))*J505*7)</f>
        <v/>
      </c>
      <c r="P505" s="27" t="str">
        <f aca="false">IF(J505="","",MOD(K505-1,J505*4))</f>
        <v/>
      </c>
      <c r="Q505" s="27" t="str">
        <f aca="false">IF(J505="","",MOD(P505,4))</f>
        <v/>
      </c>
      <c r="R505" s="27" t="str">
        <f aca="false">IF(J505="","",INT(P505/4))</f>
        <v/>
      </c>
      <c r="S505" s="27" t="str">
        <f aca="false">IF(J505="","",IF(AND('Daily Count Sheet'!$H$3=Q505,MOD('Daily Count Sheet'!$I$3,J505)=R505),1,""))</f>
        <v/>
      </c>
      <c r="T505" s="27" t="str">
        <f aca="false">IF(S505=1,COUNTIF($S$2:S505,1),"")</f>
        <v/>
      </c>
    </row>
    <row r="506" customFormat="false" ht="15" hidden="false" customHeight="false" outlineLevel="0" collapsed="false">
      <c r="H506" s="26"/>
      <c r="I506" s="27" t="str">
        <f aca="false">IF(A506="","",IF(H506&lt;&gt;"",UPPER(TRIM(H506)),IFERROR(CHOOSE(VALUE(E506)+1,"A","B","C","D"),IF(OR(LEFT(UPPER(TRIM(E506)),1)="F",UPPER(TRIM(E506))="A"),"A",IF(OR(LEFT(UPPER(TRIM(E506)),1)="M",UPPER(TRIM(E506))="B"),"B",IF(OR(LEFT(UPPER(TRIM(E506)),2)="SL",UPPER(TRIM(E506))="C"),"C",IF(OR(LEFT(UPPER(TRIM(E506)),1)="D",UPPER(TRIM(E506))="D"),"D","")))))))</f>
        <v/>
      </c>
      <c r="J506" s="27" t="str">
        <f aca="false">IF(I506="","",IF(AND(I506="D",Settings!$B$6&lt;&gt;"Yes"),"",IFERROR(INDEX(Settings!$C$9:$C$12,MATCH(I506,Settings!$A$9:$A$12,0)),"")))</f>
        <v/>
      </c>
      <c r="K506" s="27" t="str">
        <f aca="false">IF(J506="","",COUNTIF($I$2:I506,I506))</f>
        <v/>
      </c>
      <c r="L506" s="27" t="str">
        <f aca="false">IF(J506="","",CHOOSE(Q506+1,"Tue","Wed","Thu","Fri"))</f>
        <v/>
      </c>
      <c r="M506" s="27" t="str">
        <f aca="false">IF(J506="","",IF(J506=1,"Every week",R506+1&amp;" of "&amp;J506))</f>
        <v/>
      </c>
      <c r="N506" s="28" t="str">
        <f aca="false">IF(J506="","",Settings!$B$4+R506*7+Q506)</f>
        <v/>
      </c>
      <c r="O506" s="28" t="str">
        <f aca="true">IF(J506="","",N506+MAX(0,ROUNDUP((TODAY()-N506)/(J506*7),0))*J506*7)</f>
        <v/>
      </c>
      <c r="P506" s="27" t="str">
        <f aca="false">IF(J506="","",MOD(K506-1,J506*4))</f>
        <v/>
      </c>
      <c r="Q506" s="27" t="str">
        <f aca="false">IF(J506="","",MOD(P506,4))</f>
        <v/>
      </c>
      <c r="R506" s="27" t="str">
        <f aca="false">IF(J506="","",INT(P506/4))</f>
        <v/>
      </c>
      <c r="S506" s="27" t="str">
        <f aca="false">IF(J506="","",IF(AND('Daily Count Sheet'!$H$3=Q506,MOD('Daily Count Sheet'!$I$3,J506)=R506),1,""))</f>
        <v/>
      </c>
      <c r="T506" s="27" t="str">
        <f aca="false">IF(S506=1,COUNTIF($S$2:S506,1),"")</f>
        <v/>
      </c>
    </row>
    <row r="507" customFormat="false" ht="15" hidden="false" customHeight="false" outlineLevel="0" collapsed="false">
      <c r="H507" s="26"/>
      <c r="I507" s="27" t="str">
        <f aca="false">IF(A507="","",IF(H507&lt;&gt;"",UPPER(TRIM(H507)),IFERROR(CHOOSE(VALUE(E507)+1,"A","B","C","D"),IF(OR(LEFT(UPPER(TRIM(E507)),1)="F",UPPER(TRIM(E507))="A"),"A",IF(OR(LEFT(UPPER(TRIM(E507)),1)="M",UPPER(TRIM(E507))="B"),"B",IF(OR(LEFT(UPPER(TRIM(E507)),2)="SL",UPPER(TRIM(E507))="C"),"C",IF(OR(LEFT(UPPER(TRIM(E507)),1)="D",UPPER(TRIM(E507))="D"),"D","")))))))</f>
        <v/>
      </c>
      <c r="J507" s="27" t="str">
        <f aca="false">IF(I507="","",IF(AND(I507="D",Settings!$B$6&lt;&gt;"Yes"),"",IFERROR(INDEX(Settings!$C$9:$C$12,MATCH(I507,Settings!$A$9:$A$12,0)),"")))</f>
        <v/>
      </c>
      <c r="K507" s="27" t="str">
        <f aca="false">IF(J507="","",COUNTIF($I$2:I507,I507))</f>
        <v/>
      </c>
      <c r="L507" s="27" t="str">
        <f aca="false">IF(J507="","",CHOOSE(Q507+1,"Tue","Wed","Thu","Fri"))</f>
        <v/>
      </c>
      <c r="M507" s="27" t="str">
        <f aca="false">IF(J507="","",IF(J507=1,"Every week",R507+1&amp;" of "&amp;J507))</f>
        <v/>
      </c>
      <c r="N507" s="28" t="str">
        <f aca="false">IF(J507="","",Settings!$B$4+R507*7+Q507)</f>
        <v/>
      </c>
      <c r="O507" s="28" t="str">
        <f aca="true">IF(J507="","",N507+MAX(0,ROUNDUP((TODAY()-N507)/(J507*7),0))*J507*7)</f>
        <v/>
      </c>
      <c r="P507" s="27" t="str">
        <f aca="false">IF(J507="","",MOD(K507-1,J507*4))</f>
        <v/>
      </c>
      <c r="Q507" s="27" t="str">
        <f aca="false">IF(J507="","",MOD(P507,4))</f>
        <v/>
      </c>
      <c r="R507" s="27" t="str">
        <f aca="false">IF(J507="","",INT(P507/4))</f>
        <v/>
      </c>
      <c r="S507" s="27" t="str">
        <f aca="false">IF(J507="","",IF(AND('Daily Count Sheet'!$H$3=Q507,MOD('Daily Count Sheet'!$I$3,J507)=R507),1,""))</f>
        <v/>
      </c>
      <c r="T507" s="27" t="str">
        <f aca="false">IF(S507=1,COUNTIF($S$2:S507,1),"")</f>
        <v/>
      </c>
    </row>
    <row r="508" customFormat="false" ht="15" hidden="false" customHeight="false" outlineLevel="0" collapsed="false">
      <c r="H508" s="26"/>
      <c r="I508" s="27" t="str">
        <f aca="false">IF(A508="","",IF(H508&lt;&gt;"",UPPER(TRIM(H508)),IFERROR(CHOOSE(VALUE(E508)+1,"A","B","C","D"),IF(OR(LEFT(UPPER(TRIM(E508)),1)="F",UPPER(TRIM(E508))="A"),"A",IF(OR(LEFT(UPPER(TRIM(E508)),1)="M",UPPER(TRIM(E508))="B"),"B",IF(OR(LEFT(UPPER(TRIM(E508)),2)="SL",UPPER(TRIM(E508))="C"),"C",IF(OR(LEFT(UPPER(TRIM(E508)),1)="D",UPPER(TRIM(E508))="D"),"D","")))))))</f>
        <v/>
      </c>
      <c r="J508" s="27" t="str">
        <f aca="false">IF(I508="","",IF(AND(I508="D",Settings!$B$6&lt;&gt;"Yes"),"",IFERROR(INDEX(Settings!$C$9:$C$12,MATCH(I508,Settings!$A$9:$A$12,0)),"")))</f>
        <v/>
      </c>
      <c r="K508" s="27" t="str">
        <f aca="false">IF(J508="","",COUNTIF($I$2:I508,I508))</f>
        <v/>
      </c>
      <c r="L508" s="27" t="str">
        <f aca="false">IF(J508="","",CHOOSE(Q508+1,"Tue","Wed","Thu","Fri"))</f>
        <v/>
      </c>
      <c r="M508" s="27" t="str">
        <f aca="false">IF(J508="","",IF(J508=1,"Every week",R508+1&amp;" of "&amp;J508))</f>
        <v/>
      </c>
      <c r="N508" s="28" t="str">
        <f aca="false">IF(J508="","",Settings!$B$4+R508*7+Q508)</f>
        <v/>
      </c>
      <c r="O508" s="28" t="str">
        <f aca="true">IF(J508="","",N508+MAX(0,ROUNDUP((TODAY()-N508)/(J508*7),0))*J508*7)</f>
        <v/>
      </c>
      <c r="P508" s="27" t="str">
        <f aca="false">IF(J508="","",MOD(K508-1,J508*4))</f>
        <v/>
      </c>
      <c r="Q508" s="27" t="str">
        <f aca="false">IF(J508="","",MOD(P508,4))</f>
        <v/>
      </c>
      <c r="R508" s="27" t="str">
        <f aca="false">IF(J508="","",INT(P508/4))</f>
        <v/>
      </c>
      <c r="S508" s="27" t="str">
        <f aca="false">IF(J508="","",IF(AND('Daily Count Sheet'!$H$3=Q508,MOD('Daily Count Sheet'!$I$3,J508)=R508),1,""))</f>
        <v/>
      </c>
      <c r="T508" s="27" t="str">
        <f aca="false">IF(S508=1,COUNTIF($S$2:S508,1),"")</f>
        <v/>
      </c>
    </row>
    <row r="509" customFormat="false" ht="15" hidden="false" customHeight="false" outlineLevel="0" collapsed="false">
      <c r="H509" s="26"/>
      <c r="I509" s="27" t="str">
        <f aca="false">IF(A509="","",IF(H509&lt;&gt;"",UPPER(TRIM(H509)),IFERROR(CHOOSE(VALUE(E509)+1,"A","B","C","D"),IF(OR(LEFT(UPPER(TRIM(E509)),1)="F",UPPER(TRIM(E509))="A"),"A",IF(OR(LEFT(UPPER(TRIM(E509)),1)="M",UPPER(TRIM(E509))="B"),"B",IF(OR(LEFT(UPPER(TRIM(E509)),2)="SL",UPPER(TRIM(E509))="C"),"C",IF(OR(LEFT(UPPER(TRIM(E509)),1)="D",UPPER(TRIM(E509))="D"),"D","")))))))</f>
        <v/>
      </c>
      <c r="J509" s="27" t="str">
        <f aca="false">IF(I509="","",IF(AND(I509="D",Settings!$B$6&lt;&gt;"Yes"),"",IFERROR(INDEX(Settings!$C$9:$C$12,MATCH(I509,Settings!$A$9:$A$12,0)),"")))</f>
        <v/>
      </c>
      <c r="K509" s="27" t="str">
        <f aca="false">IF(J509="","",COUNTIF($I$2:I509,I509))</f>
        <v/>
      </c>
      <c r="L509" s="27" t="str">
        <f aca="false">IF(J509="","",CHOOSE(Q509+1,"Tue","Wed","Thu","Fri"))</f>
        <v/>
      </c>
      <c r="M509" s="27" t="str">
        <f aca="false">IF(J509="","",IF(J509=1,"Every week",R509+1&amp;" of "&amp;J509))</f>
        <v/>
      </c>
      <c r="N509" s="28" t="str">
        <f aca="false">IF(J509="","",Settings!$B$4+R509*7+Q509)</f>
        <v/>
      </c>
      <c r="O509" s="28" t="str">
        <f aca="true">IF(J509="","",N509+MAX(0,ROUNDUP((TODAY()-N509)/(J509*7),0))*J509*7)</f>
        <v/>
      </c>
      <c r="P509" s="27" t="str">
        <f aca="false">IF(J509="","",MOD(K509-1,J509*4))</f>
        <v/>
      </c>
      <c r="Q509" s="27" t="str">
        <f aca="false">IF(J509="","",MOD(P509,4))</f>
        <v/>
      </c>
      <c r="R509" s="27" t="str">
        <f aca="false">IF(J509="","",INT(P509/4))</f>
        <v/>
      </c>
      <c r="S509" s="27" t="str">
        <f aca="false">IF(J509="","",IF(AND('Daily Count Sheet'!$H$3=Q509,MOD('Daily Count Sheet'!$I$3,J509)=R509),1,""))</f>
        <v/>
      </c>
      <c r="T509" s="27" t="str">
        <f aca="false">IF(S509=1,COUNTIF($S$2:S509,1),"")</f>
        <v/>
      </c>
    </row>
    <row r="510" customFormat="false" ht="15" hidden="false" customHeight="false" outlineLevel="0" collapsed="false">
      <c r="H510" s="26"/>
      <c r="I510" s="27" t="str">
        <f aca="false">IF(A510="","",IF(H510&lt;&gt;"",UPPER(TRIM(H510)),IFERROR(CHOOSE(VALUE(E510)+1,"A","B","C","D"),IF(OR(LEFT(UPPER(TRIM(E510)),1)="F",UPPER(TRIM(E510))="A"),"A",IF(OR(LEFT(UPPER(TRIM(E510)),1)="M",UPPER(TRIM(E510))="B"),"B",IF(OR(LEFT(UPPER(TRIM(E510)),2)="SL",UPPER(TRIM(E510))="C"),"C",IF(OR(LEFT(UPPER(TRIM(E510)),1)="D",UPPER(TRIM(E510))="D"),"D","")))))))</f>
        <v/>
      </c>
      <c r="J510" s="27" t="str">
        <f aca="false">IF(I510="","",IF(AND(I510="D",Settings!$B$6&lt;&gt;"Yes"),"",IFERROR(INDEX(Settings!$C$9:$C$12,MATCH(I510,Settings!$A$9:$A$12,0)),"")))</f>
        <v/>
      </c>
      <c r="K510" s="27" t="str">
        <f aca="false">IF(J510="","",COUNTIF($I$2:I510,I510))</f>
        <v/>
      </c>
      <c r="L510" s="27" t="str">
        <f aca="false">IF(J510="","",CHOOSE(Q510+1,"Tue","Wed","Thu","Fri"))</f>
        <v/>
      </c>
      <c r="M510" s="27" t="str">
        <f aca="false">IF(J510="","",IF(J510=1,"Every week",R510+1&amp;" of "&amp;J510))</f>
        <v/>
      </c>
      <c r="N510" s="28" t="str">
        <f aca="false">IF(J510="","",Settings!$B$4+R510*7+Q510)</f>
        <v/>
      </c>
      <c r="O510" s="28" t="str">
        <f aca="true">IF(J510="","",N510+MAX(0,ROUNDUP((TODAY()-N510)/(J510*7),0))*J510*7)</f>
        <v/>
      </c>
      <c r="P510" s="27" t="str">
        <f aca="false">IF(J510="","",MOD(K510-1,J510*4))</f>
        <v/>
      </c>
      <c r="Q510" s="27" t="str">
        <f aca="false">IF(J510="","",MOD(P510,4))</f>
        <v/>
      </c>
      <c r="R510" s="27" t="str">
        <f aca="false">IF(J510="","",INT(P510/4))</f>
        <v/>
      </c>
      <c r="S510" s="27" t="str">
        <f aca="false">IF(J510="","",IF(AND('Daily Count Sheet'!$H$3=Q510,MOD('Daily Count Sheet'!$I$3,J510)=R510),1,""))</f>
        <v/>
      </c>
      <c r="T510" s="27" t="str">
        <f aca="false">IF(S510=1,COUNTIF($S$2:S510,1),"")</f>
        <v/>
      </c>
    </row>
    <row r="511" customFormat="false" ht="15" hidden="false" customHeight="false" outlineLevel="0" collapsed="false">
      <c r="H511" s="26"/>
      <c r="I511" s="27" t="str">
        <f aca="false">IF(A511="","",IF(H511&lt;&gt;"",UPPER(TRIM(H511)),IFERROR(CHOOSE(VALUE(E511)+1,"A","B","C","D"),IF(OR(LEFT(UPPER(TRIM(E511)),1)="F",UPPER(TRIM(E511))="A"),"A",IF(OR(LEFT(UPPER(TRIM(E511)),1)="M",UPPER(TRIM(E511))="B"),"B",IF(OR(LEFT(UPPER(TRIM(E511)),2)="SL",UPPER(TRIM(E511))="C"),"C",IF(OR(LEFT(UPPER(TRIM(E511)),1)="D",UPPER(TRIM(E511))="D"),"D","")))))))</f>
        <v/>
      </c>
      <c r="J511" s="27" t="str">
        <f aca="false">IF(I511="","",IF(AND(I511="D",Settings!$B$6&lt;&gt;"Yes"),"",IFERROR(INDEX(Settings!$C$9:$C$12,MATCH(I511,Settings!$A$9:$A$12,0)),"")))</f>
        <v/>
      </c>
      <c r="K511" s="27" t="str">
        <f aca="false">IF(J511="","",COUNTIF($I$2:I511,I511))</f>
        <v/>
      </c>
      <c r="L511" s="27" t="str">
        <f aca="false">IF(J511="","",CHOOSE(Q511+1,"Tue","Wed","Thu","Fri"))</f>
        <v/>
      </c>
      <c r="M511" s="27" t="str">
        <f aca="false">IF(J511="","",IF(J511=1,"Every week",R511+1&amp;" of "&amp;J511))</f>
        <v/>
      </c>
      <c r="N511" s="28" t="str">
        <f aca="false">IF(J511="","",Settings!$B$4+R511*7+Q511)</f>
        <v/>
      </c>
      <c r="O511" s="28" t="str">
        <f aca="true">IF(J511="","",N511+MAX(0,ROUNDUP((TODAY()-N511)/(J511*7),0))*J511*7)</f>
        <v/>
      </c>
      <c r="P511" s="27" t="str">
        <f aca="false">IF(J511="","",MOD(K511-1,J511*4))</f>
        <v/>
      </c>
      <c r="Q511" s="27" t="str">
        <f aca="false">IF(J511="","",MOD(P511,4))</f>
        <v/>
      </c>
      <c r="R511" s="27" t="str">
        <f aca="false">IF(J511="","",INT(P511/4))</f>
        <v/>
      </c>
      <c r="S511" s="27" t="str">
        <f aca="false">IF(J511="","",IF(AND('Daily Count Sheet'!$H$3=Q511,MOD('Daily Count Sheet'!$I$3,J511)=R511),1,""))</f>
        <v/>
      </c>
      <c r="T511" s="27" t="str">
        <f aca="false">IF(S511=1,COUNTIF($S$2:S511,1),"")</f>
        <v/>
      </c>
    </row>
    <row r="512" customFormat="false" ht="15" hidden="false" customHeight="false" outlineLevel="0" collapsed="false">
      <c r="H512" s="26"/>
      <c r="I512" s="27" t="str">
        <f aca="false">IF(A512="","",IF(H512&lt;&gt;"",UPPER(TRIM(H512)),IFERROR(CHOOSE(VALUE(E512)+1,"A","B","C","D"),IF(OR(LEFT(UPPER(TRIM(E512)),1)="F",UPPER(TRIM(E512))="A"),"A",IF(OR(LEFT(UPPER(TRIM(E512)),1)="M",UPPER(TRIM(E512))="B"),"B",IF(OR(LEFT(UPPER(TRIM(E512)),2)="SL",UPPER(TRIM(E512))="C"),"C",IF(OR(LEFT(UPPER(TRIM(E512)),1)="D",UPPER(TRIM(E512))="D"),"D","")))))))</f>
        <v/>
      </c>
      <c r="J512" s="27" t="str">
        <f aca="false">IF(I512="","",IF(AND(I512="D",Settings!$B$6&lt;&gt;"Yes"),"",IFERROR(INDEX(Settings!$C$9:$C$12,MATCH(I512,Settings!$A$9:$A$12,0)),"")))</f>
        <v/>
      </c>
      <c r="K512" s="27" t="str">
        <f aca="false">IF(J512="","",COUNTIF($I$2:I512,I512))</f>
        <v/>
      </c>
      <c r="L512" s="27" t="str">
        <f aca="false">IF(J512="","",CHOOSE(Q512+1,"Tue","Wed","Thu","Fri"))</f>
        <v/>
      </c>
      <c r="M512" s="27" t="str">
        <f aca="false">IF(J512="","",IF(J512=1,"Every week",R512+1&amp;" of "&amp;J512))</f>
        <v/>
      </c>
      <c r="N512" s="28" t="str">
        <f aca="false">IF(J512="","",Settings!$B$4+R512*7+Q512)</f>
        <v/>
      </c>
      <c r="O512" s="28" t="str">
        <f aca="true">IF(J512="","",N512+MAX(0,ROUNDUP((TODAY()-N512)/(J512*7),0))*J512*7)</f>
        <v/>
      </c>
      <c r="P512" s="27" t="str">
        <f aca="false">IF(J512="","",MOD(K512-1,J512*4))</f>
        <v/>
      </c>
      <c r="Q512" s="27" t="str">
        <f aca="false">IF(J512="","",MOD(P512,4))</f>
        <v/>
      </c>
      <c r="R512" s="27" t="str">
        <f aca="false">IF(J512="","",INT(P512/4))</f>
        <v/>
      </c>
      <c r="S512" s="27" t="str">
        <f aca="false">IF(J512="","",IF(AND('Daily Count Sheet'!$H$3=Q512,MOD('Daily Count Sheet'!$I$3,J512)=R512),1,""))</f>
        <v/>
      </c>
      <c r="T512" s="27" t="str">
        <f aca="false">IF(S512=1,COUNTIF($S$2:S512,1),"")</f>
        <v/>
      </c>
    </row>
    <row r="513" customFormat="false" ht="15" hidden="false" customHeight="false" outlineLevel="0" collapsed="false">
      <c r="H513" s="26"/>
      <c r="I513" s="27" t="str">
        <f aca="false">IF(A513="","",IF(H513&lt;&gt;"",UPPER(TRIM(H513)),IFERROR(CHOOSE(VALUE(E513)+1,"A","B","C","D"),IF(OR(LEFT(UPPER(TRIM(E513)),1)="F",UPPER(TRIM(E513))="A"),"A",IF(OR(LEFT(UPPER(TRIM(E513)),1)="M",UPPER(TRIM(E513))="B"),"B",IF(OR(LEFT(UPPER(TRIM(E513)),2)="SL",UPPER(TRIM(E513))="C"),"C",IF(OR(LEFT(UPPER(TRIM(E513)),1)="D",UPPER(TRIM(E513))="D"),"D","")))))))</f>
        <v/>
      </c>
      <c r="J513" s="27" t="str">
        <f aca="false">IF(I513="","",IF(AND(I513="D",Settings!$B$6&lt;&gt;"Yes"),"",IFERROR(INDEX(Settings!$C$9:$C$12,MATCH(I513,Settings!$A$9:$A$12,0)),"")))</f>
        <v/>
      </c>
      <c r="K513" s="27" t="str">
        <f aca="false">IF(J513="","",COUNTIF($I$2:I513,I513))</f>
        <v/>
      </c>
      <c r="L513" s="27" t="str">
        <f aca="false">IF(J513="","",CHOOSE(Q513+1,"Tue","Wed","Thu","Fri"))</f>
        <v/>
      </c>
      <c r="M513" s="27" t="str">
        <f aca="false">IF(J513="","",IF(J513=1,"Every week",R513+1&amp;" of "&amp;J513))</f>
        <v/>
      </c>
      <c r="N513" s="28" t="str">
        <f aca="false">IF(J513="","",Settings!$B$4+R513*7+Q513)</f>
        <v/>
      </c>
      <c r="O513" s="28" t="str">
        <f aca="true">IF(J513="","",N513+MAX(0,ROUNDUP((TODAY()-N513)/(J513*7),0))*J513*7)</f>
        <v/>
      </c>
      <c r="P513" s="27" t="str">
        <f aca="false">IF(J513="","",MOD(K513-1,J513*4))</f>
        <v/>
      </c>
      <c r="Q513" s="27" t="str">
        <f aca="false">IF(J513="","",MOD(P513,4))</f>
        <v/>
      </c>
      <c r="R513" s="27" t="str">
        <f aca="false">IF(J513="","",INT(P513/4))</f>
        <v/>
      </c>
      <c r="S513" s="27" t="str">
        <f aca="false">IF(J513="","",IF(AND('Daily Count Sheet'!$H$3=Q513,MOD('Daily Count Sheet'!$I$3,J513)=R513),1,""))</f>
        <v/>
      </c>
      <c r="T513" s="27" t="str">
        <f aca="false">IF(S513=1,COUNTIF($S$2:S513,1),"")</f>
        <v/>
      </c>
    </row>
    <row r="514" customFormat="false" ht="15" hidden="false" customHeight="false" outlineLevel="0" collapsed="false">
      <c r="H514" s="26"/>
      <c r="I514" s="27" t="str">
        <f aca="false">IF(A514="","",IF(H514&lt;&gt;"",UPPER(TRIM(H514)),IFERROR(CHOOSE(VALUE(E514)+1,"A","B","C","D"),IF(OR(LEFT(UPPER(TRIM(E514)),1)="F",UPPER(TRIM(E514))="A"),"A",IF(OR(LEFT(UPPER(TRIM(E514)),1)="M",UPPER(TRIM(E514))="B"),"B",IF(OR(LEFT(UPPER(TRIM(E514)),2)="SL",UPPER(TRIM(E514))="C"),"C",IF(OR(LEFT(UPPER(TRIM(E514)),1)="D",UPPER(TRIM(E514))="D"),"D","")))))))</f>
        <v/>
      </c>
      <c r="J514" s="27" t="str">
        <f aca="false">IF(I514="","",IF(AND(I514="D",Settings!$B$6&lt;&gt;"Yes"),"",IFERROR(INDEX(Settings!$C$9:$C$12,MATCH(I514,Settings!$A$9:$A$12,0)),"")))</f>
        <v/>
      </c>
      <c r="K514" s="27" t="str">
        <f aca="false">IF(J514="","",COUNTIF($I$2:I514,I514))</f>
        <v/>
      </c>
      <c r="L514" s="27" t="str">
        <f aca="false">IF(J514="","",CHOOSE(Q514+1,"Tue","Wed","Thu","Fri"))</f>
        <v/>
      </c>
      <c r="M514" s="27" t="str">
        <f aca="false">IF(J514="","",IF(J514=1,"Every week",R514+1&amp;" of "&amp;J514))</f>
        <v/>
      </c>
      <c r="N514" s="28" t="str">
        <f aca="false">IF(J514="","",Settings!$B$4+R514*7+Q514)</f>
        <v/>
      </c>
      <c r="O514" s="28" t="str">
        <f aca="true">IF(J514="","",N514+MAX(0,ROUNDUP((TODAY()-N514)/(J514*7),0))*J514*7)</f>
        <v/>
      </c>
      <c r="P514" s="27" t="str">
        <f aca="false">IF(J514="","",MOD(K514-1,J514*4))</f>
        <v/>
      </c>
      <c r="Q514" s="27" t="str">
        <f aca="false">IF(J514="","",MOD(P514,4))</f>
        <v/>
      </c>
      <c r="R514" s="27" t="str">
        <f aca="false">IF(J514="","",INT(P514/4))</f>
        <v/>
      </c>
      <c r="S514" s="27" t="str">
        <f aca="false">IF(J514="","",IF(AND('Daily Count Sheet'!$H$3=Q514,MOD('Daily Count Sheet'!$I$3,J514)=R514),1,""))</f>
        <v/>
      </c>
      <c r="T514" s="27" t="str">
        <f aca="false">IF(S514=1,COUNTIF($S$2:S514,1),"")</f>
        <v/>
      </c>
    </row>
    <row r="515" customFormat="false" ht="15" hidden="false" customHeight="false" outlineLevel="0" collapsed="false">
      <c r="H515" s="26"/>
      <c r="I515" s="27" t="str">
        <f aca="false">IF(A515="","",IF(H515&lt;&gt;"",UPPER(TRIM(H515)),IFERROR(CHOOSE(VALUE(E515)+1,"A","B","C","D"),IF(OR(LEFT(UPPER(TRIM(E515)),1)="F",UPPER(TRIM(E515))="A"),"A",IF(OR(LEFT(UPPER(TRIM(E515)),1)="M",UPPER(TRIM(E515))="B"),"B",IF(OR(LEFT(UPPER(TRIM(E515)),2)="SL",UPPER(TRIM(E515))="C"),"C",IF(OR(LEFT(UPPER(TRIM(E515)),1)="D",UPPER(TRIM(E515))="D"),"D","")))))))</f>
        <v/>
      </c>
      <c r="J515" s="27" t="str">
        <f aca="false">IF(I515="","",IF(AND(I515="D",Settings!$B$6&lt;&gt;"Yes"),"",IFERROR(INDEX(Settings!$C$9:$C$12,MATCH(I515,Settings!$A$9:$A$12,0)),"")))</f>
        <v/>
      </c>
      <c r="K515" s="27" t="str">
        <f aca="false">IF(J515="","",COUNTIF($I$2:I515,I515))</f>
        <v/>
      </c>
      <c r="L515" s="27" t="str">
        <f aca="false">IF(J515="","",CHOOSE(Q515+1,"Tue","Wed","Thu","Fri"))</f>
        <v/>
      </c>
      <c r="M515" s="27" t="str">
        <f aca="false">IF(J515="","",IF(J515=1,"Every week",R515+1&amp;" of "&amp;J515))</f>
        <v/>
      </c>
      <c r="N515" s="28" t="str">
        <f aca="false">IF(J515="","",Settings!$B$4+R515*7+Q515)</f>
        <v/>
      </c>
      <c r="O515" s="28" t="str">
        <f aca="true">IF(J515="","",N515+MAX(0,ROUNDUP((TODAY()-N515)/(J515*7),0))*J515*7)</f>
        <v/>
      </c>
      <c r="P515" s="27" t="str">
        <f aca="false">IF(J515="","",MOD(K515-1,J515*4))</f>
        <v/>
      </c>
      <c r="Q515" s="27" t="str">
        <f aca="false">IF(J515="","",MOD(P515,4))</f>
        <v/>
      </c>
      <c r="R515" s="27" t="str">
        <f aca="false">IF(J515="","",INT(P515/4))</f>
        <v/>
      </c>
      <c r="S515" s="27" t="str">
        <f aca="false">IF(J515="","",IF(AND('Daily Count Sheet'!$H$3=Q515,MOD('Daily Count Sheet'!$I$3,J515)=R515),1,""))</f>
        <v/>
      </c>
      <c r="T515" s="27" t="str">
        <f aca="false">IF(S515=1,COUNTIF($S$2:S515,1),"")</f>
        <v/>
      </c>
    </row>
    <row r="516" customFormat="false" ht="15" hidden="false" customHeight="false" outlineLevel="0" collapsed="false">
      <c r="H516" s="26"/>
      <c r="I516" s="27" t="str">
        <f aca="false">IF(A516="","",IF(H516&lt;&gt;"",UPPER(TRIM(H516)),IFERROR(CHOOSE(VALUE(E516)+1,"A","B","C","D"),IF(OR(LEFT(UPPER(TRIM(E516)),1)="F",UPPER(TRIM(E516))="A"),"A",IF(OR(LEFT(UPPER(TRIM(E516)),1)="M",UPPER(TRIM(E516))="B"),"B",IF(OR(LEFT(UPPER(TRIM(E516)),2)="SL",UPPER(TRIM(E516))="C"),"C",IF(OR(LEFT(UPPER(TRIM(E516)),1)="D",UPPER(TRIM(E516))="D"),"D","")))))))</f>
        <v/>
      </c>
      <c r="J516" s="27" t="str">
        <f aca="false">IF(I516="","",IF(AND(I516="D",Settings!$B$6&lt;&gt;"Yes"),"",IFERROR(INDEX(Settings!$C$9:$C$12,MATCH(I516,Settings!$A$9:$A$12,0)),"")))</f>
        <v/>
      </c>
      <c r="K516" s="27" t="str">
        <f aca="false">IF(J516="","",COUNTIF($I$2:I516,I516))</f>
        <v/>
      </c>
      <c r="L516" s="27" t="str">
        <f aca="false">IF(J516="","",CHOOSE(Q516+1,"Tue","Wed","Thu","Fri"))</f>
        <v/>
      </c>
      <c r="M516" s="27" t="str">
        <f aca="false">IF(J516="","",IF(J516=1,"Every week",R516+1&amp;" of "&amp;J516))</f>
        <v/>
      </c>
      <c r="N516" s="28" t="str">
        <f aca="false">IF(J516="","",Settings!$B$4+R516*7+Q516)</f>
        <v/>
      </c>
      <c r="O516" s="28" t="str">
        <f aca="true">IF(J516="","",N516+MAX(0,ROUNDUP((TODAY()-N516)/(J516*7),0))*J516*7)</f>
        <v/>
      </c>
      <c r="P516" s="27" t="str">
        <f aca="false">IF(J516="","",MOD(K516-1,J516*4))</f>
        <v/>
      </c>
      <c r="Q516" s="27" t="str">
        <f aca="false">IF(J516="","",MOD(P516,4))</f>
        <v/>
      </c>
      <c r="R516" s="27" t="str">
        <f aca="false">IF(J516="","",INT(P516/4))</f>
        <v/>
      </c>
      <c r="S516" s="27" t="str">
        <f aca="false">IF(J516="","",IF(AND('Daily Count Sheet'!$H$3=Q516,MOD('Daily Count Sheet'!$I$3,J516)=R516),1,""))</f>
        <v/>
      </c>
      <c r="T516" s="27" t="str">
        <f aca="false">IF(S516=1,COUNTIF($S$2:S516,1),"")</f>
        <v/>
      </c>
    </row>
    <row r="517" customFormat="false" ht="15" hidden="false" customHeight="false" outlineLevel="0" collapsed="false">
      <c r="H517" s="26"/>
      <c r="I517" s="27" t="str">
        <f aca="false">IF(A517="","",IF(H517&lt;&gt;"",UPPER(TRIM(H517)),IFERROR(CHOOSE(VALUE(E517)+1,"A","B","C","D"),IF(OR(LEFT(UPPER(TRIM(E517)),1)="F",UPPER(TRIM(E517))="A"),"A",IF(OR(LEFT(UPPER(TRIM(E517)),1)="M",UPPER(TRIM(E517))="B"),"B",IF(OR(LEFT(UPPER(TRIM(E517)),2)="SL",UPPER(TRIM(E517))="C"),"C",IF(OR(LEFT(UPPER(TRIM(E517)),1)="D",UPPER(TRIM(E517))="D"),"D","")))))))</f>
        <v/>
      </c>
      <c r="J517" s="27" t="str">
        <f aca="false">IF(I517="","",IF(AND(I517="D",Settings!$B$6&lt;&gt;"Yes"),"",IFERROR(INDEX(Settings!$C$9:$C$12,MATCH(I517,Settings!$A$9:$A$12,0)),"")))</f>
        <v/>
      </c>
      <c r="K517" s="27" t="str">
        <f aca="false">IF(J517="","",COUNTIF($I$2:I517,I517))</f>
        <v/>
      </c>
      <c r="L517" s="27" t="str">
        <f aca="false">IF(J517="","",CHOOSE(Q517+1,"Tue","Wed","Thu","Fri"))</f>
        <v/>
      </c>
      <c r="M517" s="27" t="str">
        <f aca="false">IF(J517="","",IF(J517=1,"Every week",R517+1&amp;" of "&amp;J517))</f>
        <v/>
      </c>
      <c r="N517" s="28" t="str">
        <f aca="false">IF(J517="","",Settings!$B$4+R517*7+Q517)</f>
        <v/>
      </c>
      <c r="O517" s="28" t="str">
        <f aca="true">IF(J517="","",N517+MAX(0,ROUNDUP((TODAY()-N517)/(J517*7),0))*J517*7)</f>
        <v/>
      </c>
      <c r="P517" s="27" t="str">
        <f aca="false">IF(J517="","",MOD(K517-1,J517*4))</f>
        <v/>
      </c>
      <c r="Q517" s="27" t="str">
        <f aca="false">IF(J517="","",MOD(P517,4))</f>
        <v/>
      </c>
      <c r="R517" s="27" t="str">
        <f aca="false">IF(J517="","",INT(P517/4))</f>
        <v/>
      </c>
      <c r="S517" s="27" t="str">
        <f aca="false">IF(J517="","",IF(AND('Daily Count Sheet'!$H$3=Q517,MOD('Daily Count Sheet'!$I$3,J517)=R517),1,""))</f>
        <v/>
      </c>
      <c r="T517" s="27" t="str">
        <f aca="false">IF(S517=1,COUNTIF($S$2:S517,1),"")</f>
        <v/>
      </c>
    </row>
    <row r="518" customFormat="false" ht="15" hidden="false" customHeight="false" outlineLevel="0" collapsed="false">
      <c r="H518" s="26"/>
      <c r="I518" s="27" t="str">
        <f aca="false">IF(A518="","",IF(H518&lt;&gt;"",UPPER(TRIM(H518)),IFERROR(CHOOSE(VALUE(E518)+1,"A","B","C","D"),IF(OR(LEFT(UPPER(TRIM(E518)),1)="F",UPPER(TRIM(E518))="A"),"A",IF(OR(LEFT(UPPER(TRIM(E518)),1)="M",UPPER(TRIM(E518))="B"),"B",IF(OR(LEFT(UPPER(TRIM(E518)),2)="SL",UPPER(TRIM(E518))="C"),"C",IF(OR(LEFT(UPPER(TRIM(E518)),1)="D",UPPER(TRIM(E518))="D"),"D","")))))))</f>
        <v/>
      </c>
      <c r="J518" s="27" t="str">
        <f aca="false">IF(I518="","",IF(AND(I518="D",Settings!$B$6&lt;&gt;"Yes"),"",IFERROR(INDEX(Settings!$C$9:$C$12,MATCH(I518,Settings!$A$9:$A$12,0)),"")))</f>
        <v/>
      </c>
      <c r="K518" s="27" t="str">
        <f aca="false">IF(J518="","",COUNTIF($I$2:I518,I518))</f>
        <v/>
      </c>
      <c r="L518" s="27" t="str">
        <f aca="false">IF(J518="","",CHOOSE(Q518+1,"Tue","Wed","Thu","Fri"))</f>
        <v/>
      </c>
      <c r="M518" s="27" t="str">
        <f aca="false">IF(J518="","",IF(J518=1,"Every week",R518+1&amp;" of "&amp;J518))</f>
        <v/>
      </c>
      <c r="N518" s="28" t="str">
        <f aca="false">IF(J518="","",Settings!$B$4+R518*7+Q518)</f>
        <v/>
      </c>
      <c r="O518" s="28" t="str">
        <f aca="true">IF(J518="","",N518+MAX(0,ROUNDUP((TODAY()-N518)/(J518*7),0))*J518*7)</f>
        <v/>
      </c>
      <c r="P518" s="27" t="str">
        <f aca="false">IF(J518="","",MOD(K518-1,J518*4))</f>
        <v/>
      </c>
      <c r="Q518" s="27" t="str">
        <f aca="false">IF(J518="","",MOD(P518,4))</f>
        <v/>
      </c>
      <c r="R518" s="27" t="str">
        <f aca="false">IF(J518="","",INT(P518/4))</f>
        <v/>
      </c>
      <c r="S518" s="27" t="str">
        <f aca="false">IF(J518="","",IF(AND('Daily Count Sheet'!$H$3=Q518,MOD('Daily Count Sheet'!$I$3,J518)=R518),1,""))</f>
        <v/>
      </c>
      <c r="T518" s="27" t="str">
        <f aca="false">IF(S518=1,COUNTIF($S$2:S518,1),"")</f>
        <v/>
      </c>
    </row>
    <row r="519" customFormat="false" ht="15" hidden="false" customHeight="false" outlineLevel="0" collapsed="false">
      <c r="H519" s="26"/>
      <c r="I519" s="27" t="str">
        <f aca="false">IF(A519="","",IF(H519&lt;&gt;"",UPPER(TRIM(H519)),IFERROR(CHOOSE(VALUE(E519)+1,"A","B","C","D"),IF(OR(LEFT(UPPER(TRIM(E519)),1)="F",UPPER(TRIM(E519))="A"),"A",IF(OR(LEFT(UPPER(TRIM(E519)),1)="M",UPPER(TRIM(E519))="B"),"B",IF(OR(LEFT(UPPER(TRIM(E519)),2)="SL",UPPER(TRIM(E519))="C"),"C",IF(OR(LEFT(UPPER(TRIM(E519)),1)="D",UPPER(TRIM(E519))="D"),"D","")))))))</f>
        <v/>
      </c>
      <c r="J519" s="27" t="str">
        <f aca="false">IF(I519="","",IF(AND(I519="D",Settings!$B$6&lt;&gt;"Yes"),"",IFERROR(INDEX(Settings!$C$9:$C$12,MATCH(I519,Settings!$A$9:$A$12,0)),"")))</f>
        <v/>
      </c>
      <c r="K519" s="27" t="str">
        <f aca="false">IF(J519="","",COUNTIF($I$2:I519,I519))</f>
        <v/>
      </c>
      <c r="L519" s="27" t="str">
        <f aca="false">IF(J519="","",CHOOSE(Q519+1,"Tue","Wed","Thu","Fri"))</f>
        <v/>
      </c>
      <c r="M519" s="27" t="str">
        <f aca="false">IF(J519="","",IF(J519=1,"Every week",R519+1&amp;" of "&amp;J519))</f>
        <v/>
      </c>
      <c r="N519" s="28" t="str">
        <f aca="false">IF(J519="","",Settings!$B$4+R519*7+Q519)</f>
        <v/>
      </c>
      <c r="O519" s="28" t="str">
        <f aca="true">IF(J519="","",N519+MAX(0,ROUNDUP((TODAY()-N519)/(J519*7),0))*J519*7)</f>
        <v/>
      </c>
      <c r="P519" s="27" t="str">
        <f aca="false">IF(J519="","",MOD(K519-1,J519*4))</f>
        <v/>
      </c>
      <c r="Q519" s="27" t="str">
        <f aca="false">IF(J519="","",MOD(P519,4))</f>
        <v/>
      </c>
      <c r="R519" s="27" t="str">
        <f aca="false">IF(J519="","",INT(P519/4))</f>
        <v/>
      </c>
      <c r="S519" s="27" t="str">
        <f aca="false">IF(J519="","",IF(AND('Daily Count Sheet'!$H$3=Q519,MOD('Daily Count Sheet'!$I$3,J519)=R519),1,""))</f>
        <v/>
      </c>
      <c r="T519" s="27" t="str">
        <f aca="false">IF(S519=1,COUNTIF($S$2:S519,1),"")</f>
        <v/>
      </c>
    </row>
    <row r="520" customFormat="false" ht="15" hidden="false" customHeight="false" outlineLevel="0" collapsed="false">
      <c r="H520" s="26"/>
      <c r="I520" s="27" t="str">
        <f aca="false">IF(A520="","",IF(H520&lt;&gt;"",UPPER(TRIM(H520)),IFERROR(CHOOSE(VALUE(E520)+1,"A","B","C","D"),IF(OR(LEFT(UPPER(TRIM(E520)),1)="F",UPPER(TRIM(E520))="A"),"A",IF(OR(LEFT(UPPER(TRIM(E520)),1)="M",UPPER(TRIM(E520))="B"),"B",IF(OR(LEFT(UPPER(TRIM(E520)),2)="SL",UPPER(TRIM(E520))="C"),"C",IF(OR(LEFT(UPPER(TRIM(E520)),1)="D",UPPER(TRIM(E520))="D"),"D","")))))))</f>
        <v/>
      </c>
      <c r="J520" s="27" t="str">
        <f aca="false">IF(I520="","",IF(AND(I520="D",Settings!$B$6&lt;&gt;"Yes"),"",IFERROR(INDEX(Settings!$C$9:$C$12,MATCH(I520,Settings!$A$9:$A$12,0)),"")))</f>
        <v/>
      </c>
      <c r="K520" s="27" t="str">
        <f aca="false">IF(J520="","",COUNTIF($I$2:I520,I520))</f>
        <v/>
      </c>
      <c r="L520" s="27" t="str">
        <f aca="false">IF(J520="","",CHOOSE(Q520+1,"Tue","Wed","Thu","Fri"))</f>
        <v/>
      </c>
      <c r="M520" s="27" t="str">
        <f aca="false">IF(J520="","",IF(J520=1,"Every week",R520+1&amp;" of "&amp;J520))</f>
        <v/>
      </c>
      <c r="N520" s="28" t="str">
        <f aca="false">IF(J520="","",Settings!$B$4+R520*7+Q520)</f>
        <v/>
      </c>
      <c r="O520" s="28" t="str">
        <f aca="true">IF(J520="","",N520+MAX(0,ROUNDUP((TODAY()-N520)/(J520*7),0))*J520*7)</f>
        <v/>
      </c>
      <c r="P520" s="27" t="str">
        <f aca="false">IF(J520="","",MOD(K520-1,J520*4))</f>
        <v/>
      </c>
      <c r="Q520" s="27" t="str">
        <f aca="false">IF(J520="","",MOD(P520,4))</f>
        <v/>
      </c>
      <c r="R520" s="27" t="str">
        <f aca="false">IF(J520="","",INT(P520/4))</f>
        <v/>
      </c>
      <c r="S520" s="27" t="str">
        <f aca="false">IF(J520="","",IF(AND('Daily Count Sheet'!$H$3=Q520,MOD('Daily Count Sheet'!$I$3,J520)=R520),1,""))</f>
        <v/>
      </c>
      <c r="T520" s="27" t="str">
        <f aca="false">IF(S520=1,COUNTIF($S$2:S520,1),"")</f>
        <v/>
      </c>
    </row>
    <row r="521" customFormat="false" ht="15" hidden="false" customHeight="false" outlineLevel="0" collapsed="false">
      <c r="H521" s="26"/>
      <c r="I521" s="27" t="str">
        <f aca="false">IF(A521="","",IF(H521&lt;&gt;"",UPPER(TRIM(H521)),IFERROR(CHOOSE(VALUE(E521)+1,"A","B","C","D"),IF(OR(LEFT(UPPER(TRIM(E521)),1)="F",UPPER(TRIM(E521))="A"),"A",IF(OR(LEFT(UPPER(TRIM(E521)),1)="M",UPPER(TRIM(E521))="B"),"B",IF(OR(LEFT(UPPER(TRIM(E521)),2)="SL",UPPER(TRIM(E521))="C"),"C",IF(OR(LEFT(UPPER(TRIM(E521)),1)="D",UPPER(TRIM(E521))="D"),"D","")))))))</f>
        <v/>
      </c>
      <c r="J521" s="27" t="str">
        <f aca="false">IF(I521="","",IF(AND(I521="D",Settings!$B$6&lt;&gt;"Yes"),"",IFERROR(INDEX(Settings!$C$9:$C$12,MATCH(I521,Settings!$A$9:$A$12,0)),"")))</f>
        <v/>
      </c>
      <c r="K521" s="27" t="str">
        <f aca="false">IF(J521="","",COUNTIF($I$2:I521,I521))</f>
        <v/>
      </c>
      <c r="L521" s="27" t="str">
        <f aca="false">IF(J521="","",CHOOSE(Q521+1,"Tue","Wed","Thu","Fri"))</f>
        <v/>
      </c>
      <c r="M521" s="27" t="str">
        <f aca="false">IF(J521="","",IF(J521=1,"Every week",R521+1&amp;" of "&amp;J521))</f>
        <v/>
      </c>
      <c r="N521" s="28" t="str">
        <f aca="false">IF(J521="","",Settings!$B$4+R521*7+Q521)</f>
        <v/>
      </c>
      <c r="O521" s="28" t="str">
        <f aca="true">IF(J521="","",N521+MAX(0,ROUNDUP((TODAY()-N521)/(J521*7),0))*J521*7)</f>
        <v/>
      </c>
      <c r="P521" s="27" t="str">
        <f aca="false">IF(J521="","",MOD(K521-1,J521*4))</f>
        <v/>
      </c>
      <c r="Q521" s="27" t="str">
        <f aca="false">IF(J521="","",MOD(P521,4))</f>
        <v/>
      </c>
      <c r="R521" s="27" t="str">
        <f aca="false">IF(J521="","",INT(P521/4))</f>
        <v/>
      </c>
      <c r="S521" s="27" t="str">
        <f aca="false">IF(J521="","",IF(AND('Daily Count Sheet'!$H$3=Q521,MOD('Daily Count Sheet'!$I$3,J521)=R521),1,""))</f>
        <v/>
      </c>
      <c r="T521" s="27" t="str">
        <f aca="false">IF(S521=1,COUNTIF($S$2:S521,1),"")</f>
        <v/>
      </c>
    </row>
    <row r="522" customFormat="false" ht="15" hidden="false" customHeight="false" outlineLevel="0" collapsed="false">
      <c r="H522" s="26"/>
      <c r="I522" s="27" t="str">
        <f aca="false">IF(A522="","",IF(H522&lt;&gt;"",UPPER(TRIM(H522)),IFERROR(CHOOSE(VALUE(E522)+1,"A","B","C","D"),IF(OR(LEFT(UPPER(TRIM(E522)),1)="F",UPPER(TRIM(E522))="A"),"A",IF(OR(LEFT(UPPER(TRIM(E522)),1)="M",UPPER(TRIM(E522))="B"),"B",IF(OR(LEFT(UPPER(TRIM(E522)),2)="SL",UPPER(TRIM(E522))="C"),"C",IF(OR(LEFT(UPPER(TRIM(E522)),1)="D",UPPER(TRIM(E522))="D"),"D","")))))))</f>
        <v/>
      </c>
      <c r="J522" s="27" t="str">
        <f aca="false">IF(I522="","",IF(AND(I522="D",Settings!$B$6&lt;&gt;"Yes"),"",IFERROR(INDEX(Settings!$C$9:$C$12,MATCH(I522,Settings!$A$9:$A$12,0)),"")))</f>
        <v/>
      </c>
      <c r="K522" s="27" t="str">
        <f aca="false">IF(J522="","",COUNTIF($I$2:I522,I522))</f>
        <v/>
      </c>
      <c r="L522" s="27" t="str">
        <f aca="false">IF(J522="","",CHOOSE(Q522+1,"Tue","Wed","Thu","Fri"))</f>
        <v/>
      </c>
      <c r="M522" s="27" t="str">
        <f aca="false">IF(J522="","",IF(J522=1,"Every week",R522+1&amp;" of "&amp;J522))</f>
        <v/>
      </c>
      <c r="N522" s="28" t="str">
        <f aca="false">IF(J522="","",Settings!$B$4+R522*7+Q522)</f>
        <v/>
      </c>
      <c r="O522" s="28" t="str">
        <f aca="true">IF(J522="","",N522+MAX(0,ROUNDUP((TODAY()-N522)/(J522*7),0))*J522*7)</f>
        <v/>
      </c>
      <c r="P522" s="27" t="str">
        <f aca="false">IF(J522="","",MOD(K522-1,J522*4))</f>
        <v/>
      </c>
      <c r="Q522" s="27" t="str">
        <f aca="false">IF(J522="","",MOD(P522,4))</f>
        <v/>
      </c>
      <c r="R522" s="27" t="str">
        <f aca="false">IF(J522="","",INT(P522/4))</f>
        <v/>
      </c>
      <c r="S522" s="27" t="str">
        <f aca="false">IF(J522="","",IF(AND('Daily Count Sheet'!$H$3=Q522,MOD('Daily Count Sheet'!$I$3,J522)=R522),1,""))</f>
        <v/>
      </c>
      <c r="T522" s="27" t="str">
        <f aca="false">IF(S522=1,COUNTIF($S$2:S522,1),"")</f>
        <v/>
      </c>
    </row>
    <row r="523" customFormat="false" ht="15" hidden="false" customHeight="false" outlineLevel="0" collapsed="false">
      <c r="H523" s="26"/>
      <c r="I523" s="27" t="str">
        <f aca="false">IF(A523="","",IF(H523&lt;&gt;"",UPPER(TRIM(H523)),IFERROR(CHOOSE(VALUE(E523)+1,"A","B","C","D"),IF(OR(LEFT(UPPER(TRIM(E523)),1)="F",UPPER(TRIM(E523))="A"),"A",IF(OR(LEFT(UPPER(TRIM(E523)),1)="M",UPPER(TRIM(E523))="B"),"B",IF(OR(LEFT(UPPER(TRIM(E523)),2)="SL",UPPER(TRIM(E523))="C"),"C",IF(OR(LEFT(UPPER(TRIM(E523)),1)="D",UPPER(TRIM(E523))="D"),"D","")))))))</f>
        <v/>
      </c>
      <c r="J523" s="27" t="str">
        <f aca="false">IF(I523="","",IF(AND(I523="D",Settings!$B$6&lt;&gt;"Yes"),"",IFERROR(INDEX(Settings!$C$9:$C$12,MATCH(I523,Settings!$A$9:$A$12,0)),"")))</f>
        <v/>
      </c>
      <c r="K523" s="27" t="str">
        <f aca="false">IF(J523="","",COUNTIF($I$2:I523,I523))</f>
        <v/>
      </c>
      <c r="L523" s="27" t="str">
        <f aca="false">IF(J523="","",CHOOSE(Q523+1,"Tue","Wed","Thu","Fri"))</f>
        <v/>
      </c>
      <c r="M523" s="27" t="str">
        <f aca="false">IF(J523="","",IF(J523=1,"Every week",R523+1&amp;" of "&amp;J523))</f>
        <v/>
      </c>
      <c r="N523" s="28" t="str">
        <f aca="false">IF(J523="","",Settings!$B$4+R523*7+Q523)</f>
        <v/>
      </c>
      <c r="O523" s="28" t="str">
        <f aca="true">IF(J523="","",N523+MAX(0,ROUNDUP((TODAY()-N523)/(J523*7),0))*J523*7)</f>
        <v/>
      </c>
      <c r="P523" s="27" t="str">
        <f aca="false">IF(J523="","",MOD(K523-1,J523*4))</f>
        <v/>
      </c>
      <c r="Q523" s="27" t="str">
        <f aca="false">IF(J523="","",MOD(P523,4))</f>
        <v/>
      </c>
      <c r="R523" s="27" t="str">
        <f aca="false">IF(J523="","",INT(P523/4))</f>
        <v/>
      </c>
      <c r="S523" s="27" t="str">
        <f aca="false">IF(J523="","",IF(AND('Daily Count Sheet'!$H$3=Q523,MOD('Daily Count Sheet'!$I$3,J523)=R523),1,""))</f>
        <v/>
      </c>
      <c r="T523" s="27" t="str">
        <f aca="false">IF(S523=1,COUNTIF($S$2:S523,1),"")</f>
        <v/>
      </c>
    </row>
    <row r="524" customFormat="false" ht="15" hidden="false" customHeight="false" outlineLevel="0" collapsed="false">
      <c r="H524" s="26"/>
      <c r="I524" s="27" t="str">
        <f aca="false">IF(A524="","",IF(H524&lt;&gt;"",UPPER(TRIM(H524)),IFERROR(CHOOSE(VALUE(E524)+1,"A","B","C","D"),IF(OR(LEFT(UPPER(TRIM(E524)),1)="F",UPPER(TRIM(E524))="A"),"A",IF(OR(LEFT(UPPER(TRIM(E524)),1)="M",UPPER(TRIM(E524))="B"),"B",IF(OR(LEFT(UPPER(TRIM(E524)),2)="SL",UPPER(TRIM(E524))="C"),"C",IF(OR(LEFT(UPPER(TRIM(E524)),1)="D",UPPER(TRIM(E524))="D"),"D","")))))))</f>
        <v/>
      </c>
      <c r="J524" s="27" t="str">
        <f aca="false">IF(I524="","",IF(AND(I524="D",Settings!$B$6&lt;&gt;"Yes"),"",IFERROR(INDEX(Settings!$C$9:$C$12,MATCH(I524,Settings!$A$9:$A$12,0)),"")))</f>
        <v/>
      </c>
      <c r="K524" s="27" t="str">
        <f aca="false">IF(J524="","",COUNTIF($I$2:I524,I524))</f>
        <v/>
      </c>
      <c r="L524" s="27" t="str">
        <f aca="false">IF(J524="","",CHOOSE(Q524+1,"Tue","Wed","Thu","Fri"))</f>
        <v/>
      </c>
      <c r="M524" s="27" t="str">
        <f aca="false">IF(J524="","",IF(J524=1,"Every week",R524+1&amp;" of "&amp;J524))</f>
        <v/>
      </c>
      <c r="N524" s="28" t="str">
        <f aca="false">IF(J524="","",Settings!$B$4+R524*7+Q524)</f>
        <v/>
      </c>
      <c r="O524" s="28" t="str">
        <f aca="true">IF(J524="","",N524+MAX(0,ROUNDUP((TODAY()-N524)/(J524*7),0))*J524*7)</f>
        <v/>
      </c>
      <c r="P524" s="27" t="str">
        <f aca="false">IF(J524="","",MOD(K524-1,J524*4))</f>
        <v/>
      </c>
      <c r="Q524" s="27" t="str">
        <f aca="false">IF(J524="","",MOD(P524,4))</f>
        <v/>
      </c>
      <c r="R524" s="27" t="str">
        <f aca="false">IF(J524="","",INT(P524/4))</f>
        <v/>
      </c>
      <c r="S524" s="27" t="str">
        <f aca="false">IF(J524="","",IF(AND('Daily Count Sheet'!$H$3=Q524,MOD('Daily Count Sheet'!$I$3,J524)=R524),1,""))</f>
        <v/>
      </c>
      <c r="T524" s="27" t="str">
        <f aca="false">IF(S524=1,COUNTIF($S$2:S524,1),"")</f>
        <v/>
      </c>
    </row>
    <row r="525" customFormat="false" ht="15" hidden="false" customHeight="false" outlineLevel="0" collapsed="false">
      <c r="H525" s="26"/>
      <c r="I525" s="27" t="str">
        <f aca="false">IF(A525="","",IF(H525&lt;&gt;"",UPPER(TRIM(H525)),IFERROR(CHOOSE(VALUE(E525)+1,"A","B","C","D"),IF(OR(LEFT(UPPER(TRIM(E525)),1)="F",UPPER(TRIM(E525))="A"),"A",IF(OR(LEFT(UPPER(TRIM(E525)),1)="M",UPPER(TRIM(E525))="B"),"B",IF(OR(LEFT(UPPER(TRIM(E525)),2)="SL",UPPER(TRIM(E525))="C"),"C",IF(OR(LEFT(UPPER(TRIM(E525)),1)="D",UPPER(TRIM(E525))="D"),"D","")))))))</f>
        <v/>
      </c>
      <c r="J525" s="27" t="str">
        <f aca="false">IF(I525="","",IF(AND(I525="D",Settings!$B$6&lt;&gt;"Yes"),"",IFERROR(INDEX(Settings!$C$9:$C$12,MATCH(I525,Settings!$A$9:$A$12,0)),"")))</f>
        <v/>
      </c>
      <c r="K525" s="27" t="str">
        <f aca="false">IF(J525="","",COUNTIF($I$2:I525,I525))</f>
        <v/>
      </c>
      <c r="L525" s="27" t="str">
        <f aca="false">IF(J525="","",CHOOSE(Q525+1,"Tue","Wed","Thu","Fri"))</f>
        <v/>
      </c>
      <c r="M525" s="27" t="str">
        <f aca="false">IF(J525="","",IF(J525=1,"Every week",R525+1&amp;" of "&amp;J525))</f>
        <v/>
      </c>
      <c r="N525" s="28" t="str">
        <f aca="false">IF(J525="","",Settings!$B$4+R525*7+Q525)</f>
        <v/>
      </c>
      <c r="O525" s="28" t="str">
        <f aca="true">IF(J525="","",N525+MAX(0,ROUNDUP((TODAY()-N525)/(J525*7),0))*J525*7)</f>
        <v/>
      </c>
      <c r="P525" s="27" t="str">
        <f aca="false">IF(J525="","",MOD(K525-1,J525*4))</f>
        <v/>
      </c>
      <c r="Q525" s="27" t="str">
        <f aca="false">IF(J525="","",MOD(P525,4))</f>
        <v/>
      </c>
      <c r="R525" s="27" t="str">
        <f aca="false">IF(J525="","",INT(P525/4))</f>
        <v/>
      </c>
      <c r="S525" s="27" t="str">
        <f aca="false">IF(J525="","",IF(AND('Daily Count Sheet'!$H$3=Q525,MOD('Daily Count Sheet'!$I$3,J525)=R525),1,""))</f>
        <v/>
      </c>
      <c r="T525" s="27" t="str">
        <f aca="false">IF(S525=1,COUNTIF($S$2:S525,1),"")</f>
        <v/>
      </c>
    </row>
    <row r="526" customFormat="false" ht="15" hidden="false" customHeight="false" outlineLevel="0" collapsed="false">
      <c r="H526" s="26"/>
      <c r="I526" s="27" t="str">
        <f aca="false">IF(A526="","",IF(H526&lt;&gt;"",UPPER(TRIM(H526)),IFERROR(CHOOSE(VALUE(E526)+1,"A","B","C","D"),IF(OR(LEFT(UPPER(TRIM(E526)),1)="F",UPPER(TRIM(E526))="A"),"A",IF(OR(LEFT(UPPER(TRIM(E526)),1)="M",UPPER(TRIM(E526))="B"),"B",IF(OR(LEFT(UPPER(TRIM(E526)),2)="SL",UPPER(TRIM(E526))="C"),"C",IF(OR(LEFT(UPPER(TRIM(E526)),1)="D",UPPER(TRIM(E526))="D"),"D","")))))))</f>
        <v/>
      </c>
      <c r="J526" s="27" t="str">
        <f aca="false">IF(I526="","",IF(AND(I526="D",Settings!$B$6&lt;&gt;"Yes"),"",IFERROR(INDEX(Settings!$C$9:$C$12,MATCH(I526,Settings!$A$9:$A$12,0)),"")))</f>
        <v/>
      </c>
      <c r="K526" s="27" t="str">
        <f aca="false">IF(J526="","",COUNTIF($I$2:I526,I526))</f>
        <v/>
      </c>
      <c r="L526" s="27" t="str">
        <f aca="false">IF(J526="","",CHOOSE(Q526+1,"Tue","Wed","Thu","Fri"))</f>
        <v/>
      </c>
      <c r="M526" s="27" t="str">
        <f aca="false">IF(J526="","",IF(J526=1,"Every week",R526+1&amp;" of "&amp;J526))</f>
        <v/>
      </c>
      <c r="N526" s="28" t="str">
        <f aca="false">IF(J526="","",Settings!$B$4+R526*7+Q526)</f>
        <v/>
      </c>
      <c r="O526" s="28" t="str">
        <f aca="true">IF(J526="","",N526+MAX(0,ROUNDUP((TODAY()-N526)/(J526*7),0))*J526*7)</f>
        <v/>
      </c>
      <c r="P526" s="27" t="str">
        <f aca="false">IF(J526="","",MOD(K526-1,J526*4))</f>
        <v/>
      </c>
      <c r="Q526" s="27" t="str">
        <f aca="false">IF(J526="","",MOD(P526,4))</f>
        <v/>
      </c>
      <c r="R526" s="27" t="str">
        <f aca="false">IF(J526="","",INT(P526/4))</f>
        <v/>
      </c>
      <c r="S526" s="27" t="str">
        <f aca="false">IF(J526="","",IF(AND('Daily Count Sheet'!$H$3=Q526,MOD('Daily Count Sheet'!$I$3,J526)=R526),1,""))</f>
        <v/>
      </c>
      <c r="T526" s="27" t="str">
        <f aca="false">IF(S526=1,COUNTIF($S$2:S526,1),"")</f>
        <v/>
      </c>
    </row>
    <row r="527" customFormat="false" ht="15" hidden="false" customHeight="false" outlineLevel="0" collapsed="false">
      <c r="H527" s="26"/>
      <c r="I527" s="27" t="str">
        <f aca="false">IF(A527="","",IF(H527&lt;&gt;"",UPPER(TRIM(H527)),IFERROR(CHOOSE(VALUE(E527)+1,"A","B","C","D"),IF(OR(LEFT(UPPER(TRIM(E527)),1)="F",UPPER(TRIM(E527))="A"),"A",IF(OR(LEFT(UPPER(TRIM(E527)),1)="M",UPPER(TRIM(E527))="B"),"B",IF(OR(LEFT(UPPER(TRIM(E527)),2)="SL",UPPER(TRIM(E527))="C"),"C",IF(OR(LEFT(UPPER(TRIM(E527)),1)="D",UPPER(TRIM(E527))="D"),"D","")))))))</f>
        <v/>
      </c>
      <c r="J527" s="27" t="str">
        <f aca="false">IF(I527="","",IF(AND(I527="D",Settings!$B$6&lt;&gt;"Yes"),"",IFERROR(INDEX(Settings!$C$9:$C$12,MATCH(I527,Settings!$A$9:$A$12,0)),"")))</f>
        <v/>
      </c>
      <c r="K527" s="27" t="str">
        <f aca="false">IF(J527="","",COUNTIF($I$2:I527,I527))</f>
        <v/>
      </c>
      <c r="L527" s="27" t="str">
        <f aca="false">IF(J527="","",CHOOSE(Q527+1,"Tue","Wed","Thu","Fri"))</f>
        <v/>
      </c>
      <c r="M527" s="27" t="str">
        <f aca="false">IF(J527="","",IF(J527=1,"Every week",R527+1&amp;" of "&amp;J527))</f>
        <v/>
      </c>
      <c r="N527" s="28" t="str">
        <f aca="false">IF(J527="","",Settings!$B$4+R527*7+Q527)</f>
        <v/>
      </c>
      <c r="O527" s="28" t="str">
        <f aca="true">IF(J527="","",N527+MAX(0,ROUNDUP((TODAY()-N527)/(J527*7),0))*J527*7)</f>
        <v/>
      </c>
      <c r="P527" s="27" t="str">
        <f aca="false">IF(J527="","",MOD(K527-1,J527*4))</f>
        <v/>
      </c>
      <c r="Q527" s="27" t="str">
        <f aca="false">IF(J527="","",MOD(P527,4))</f>
        <v/>
      </c>
      <c r="R527" s="27" t="str">
        <f aca="false">IF(J527="","",INT(P527/4))</f>
        <v/>
      </c>
      <c r="S527" s="27" t="str">
        <f aca="false">IF(J527="","",IF(AND('Daily Count Sheet'!$H$3=Q527,MOD('Daily Count Sheet'!$I$3,J527)=R527),1,""))</f>
        <v/>
      </c>
      <c r="T527" s="27" t="str">
        <f aca="false">IF(S527=1,COUNTIF($S$2:S527,1),"")</f>
        <v/>
      </c>
    </row>
    <row r="528" customFormat="false" ht="15" hidden="false" customHeight="false" outlineLevel="0" collapsed="false">
      <c r="H528" s="26"/>
      <c r="I528" s="27" t="str">
        <f aca="false">IF(A528="","",IF(H528&lt;&gt;"",UPPER(TRIM(H528)),IFERROR(CHOOSE(VALUE(E528)+1,"A","B","C","D"),IF(OR(LEFT(UPPER(TRIM(E528)),1)="F",UPPER(TRIM(E528))="A"),"A",IF(OR(LEFT(UPPER(TRIM(E528)),1)="M",UPPER(TRIM(E528))="B"),"B",IF(OR(LEFT(UPPER(TRIM(E528)),2)="SL",UPPER(TRIM(E528))="C"),"C",IF(OR(LEFT(UPPER(TRIM(E528)),1)="D",UPPER(TRIM(E528))="D"),"D","")))))))</f>
        <v/>
      </c>
      <c r="J528" s="27" t="str">
        <f aca="false">IF(I528="","",IF(AND(I528="D",Settings!$B$6&lt;&gt;"Yes"),"",IFERROR(INDEX(Settings!$C$9:$C$12,MATCH(I528,Settings!$A$9:$A$12,0)),"")))</f>
        <v/>
      </c>
      <c r="K528" s="27" t="str">
        <f aca="false">IF(J528="","",COUNTIF($I$2:I528,I528))</f>
        <v/>
      </c>
      <c r="L528" s="27" t="str">
        <f aca="false">IF(J528="","",CHOOSE(Q528+1,"Tue","Wed","Thu","Fri"))</f>
        <v/>
      </c>
      <c r="M528" s="27" t="str">
        <f aca="false">IF(J528="","",IF(J528=1,"Every week",R528+1&amp;" of "&amp;J528))</f>
        <v/>
      </c>
      <c r="N528" s="28" t="str">
        <f aca="false">IF(J528="","",Settings!$B$4+R528*7+Q528)</f>
        <v/>
      </c>
      <c r="O528" s="28" t="str">
        <f aca="true">IF(J528="","",N528+MAX(0,ROUNDUP((TODAY()-N528)/(J528*7),0))*J528*7)</f>
        <v/>
      </c>
      <c r="P528" s="27" t="str">
        <f aca="false">IF(J528="","",MOD(K528-1,J528*4))</f>
        <v/>
      </c>
      <c r="Q528" s="27" t="str">
        <f aca="false">IF(J528="","",MOD(P528,4))</f>
        <v/>
      </c>
      <c r="R528" s="27" t="str">
        <f aca="false">IF(J528="","",INT(P528/4))</f>
        <v/>
      </c>
      <c r="S528" s="27" t="str">
        <f aca="false">IF(J528="","",IF(AND('Daily Count Sheet'!$H$3=Q528,MOD('Daily Count Sheet'!$I$3,J528)=R528),1,""))</f>
        <v/>
      </c>
      <c r="T528" s="27" t="str">
        <f aca="false">IF(S528=1,COUNTIF($S$2:S528,1),"")</f>
        <v/>
      </c>
    </row>
    <row r="529" customFormat="false" ht="15" hidden="false" customHeight="false" outlineLevel="0" collapsed="false">
      <c r="H529" s="26"/>
      <c r="I529" s="27" t="str">
        <f aca="false">IF(A529="","",IF(H529&lt;&gt;"",UPPER(TRIM(H529)),IFERROR(CHOOSE(VALUE(E529)+1,"A","B","C","D"),IF(OR(LEFT(UPPER(TRIM(E529)),1)="F",UPPER(TRIM(E529))="A"),"A",IF(OR(LEFT(UPPER(TRIM(E529)),1)="M",UPPER(TRIM(E529))="B"),"B",IF(OR(LEFT(UPPER(TRIM(E529)),2)="SL",UPPER(TRIM(E529))="C"),"C",IF(OR(LEFT(UPPER(TRIM(E529)),1)="D",UPPER(TRIM(E529))="D"),"D","")))))))</f>
        <v/>
      </c>
      <c r="J529" s="27" t="str">
        <f aca="false">IF(I529="","",IF(AND(I529="D",Settings!$B$6&lt;&gt;"Yes"),"",IFERROR(INDEX(Settings!$C$9:$C$12,MATCH(I529,Settings!$A$9:$A$12,0)),"")))</f>
        <v/>
      </c>
      <c r="K529" s="27" t="str">
        <f aca="false">IF(J529="","",COUNTIF($I$2:I529,I529))</f>
        <v/>
      </c>
      <c r="L529" s="27" t="str">
        <f aca="false">IF(J529="","",CHOOSE(Q529+1,"Tue","Wed","Thu","Fri"))</f>
        <v/>
      </c>
      <c r="M529" s="27" t="str">
        <f aca="false">IF(J529="","",IF(J529=1,"Every week",R529+1&amp;" of "&amp;J529))</f>
        <v/>
      </c>
      <c r="N529" s="28" t="str">
        <f aca="false">IF(J529="","",Settings!$B$4+R529*7+Q529)</f>
        <v/>
      </c>
      <c r="O529" s="28" t="str">
        <f aca="true">IF(J529="","",N529+MAX(0,ROUNDUP((TODAY()-N529)/(J529*7),0))*J529*7)</f>
        <v/>
      </c>
      <c r="P529" s="27" t="str">
        <f aca="false">IF(J529="","",MOD(K529-1,J529*4))</f>
        <v/>
      </c>
      <c r="Q529" s="27" t="str">
        <f aca="false">IF(J529="","",MOD(P529,4))</f>
        <v/>
      </c>
      <c r="R529" s="27" t="str">
        <f aca="false">IF(J529="","",INT(P529/4))</f>
        <v/>
      </c>
      <c r="S529" s="27" t="str">
        <f aca="false">IF(J529="","",IF(AND('Daily Count Sheet'!$H$3=Q529,MOD('Daily Count Sheet'!$I$3,J529)=R529),1,""))</f>
        <v/>
      </c>
      <c r="T529" s="27" t="str">
        <f aca="false">IF(S529=1,COUNTIF($S$2:S529,1),"")</f>
        <v/>
      </c>
    </row>
    <row r="530" customFormat="false" ht="15" hidden="false" customHeight="false" outlineLevel="0" collapsed="false">
      <c r="H530" s="26"/>
      <c r="I530" s="27" t="str">
        <f aca="false">IF(A530="","",IF(H530&lt;&gt;"",UPPER(TRIM(H530)),IFERROR(CHOOSE(VALUE(E530)+1,"A","B","C","D"),IF(OR(LEFT(UPPER(TRIM(E530)),1)="F",UPPER(TRIM(E530))="A"),"A",IF(OR(LEFT(UPPER(TRIM(E530)),1)="M",UPPER(TRIM(E530))="B"),"B",IF(OR(LEFT(UPPER(TRIM(E530)),2)="SL",UPPER(TRIM(E530))="C"),"C",IF(OR(LEFT(UPPER(TRIM(E530)),1)="D",UPPER(TRIM(E530))="D"),"D","")))))))</f>
        <v/>
      </c>
      <c r="J530" s="27" t="str">
        <f aca="false">IF(I530="","",IF(AND(I530="D",Settings!$B$6&lt;&gt;"Yes"),"",IFERROR(INDEX(Settings!$C$9:$C$12,MATCH(I530,Settings!$A$9:$A$12,0)),"")))</f>
        <v/>
      </c>
      <c r="K530" s="27" t="str">
        <f aca="false">IF(J530="","",COUNTIF($I$2:I530,I530))</f>
        <v/>
      </c>
      <c r="L530" s="27" t="str">
        <f aca="false">IF(J530="","",CHOOSE(Q530+1,"Tue","Wed","Thu","Fri"))</f>
        <v/>
      </c>
      <c r="M530" s="27" t="str">
        <f aca="false">IF(J530="","",IF(J530=1,"Every week",R530+1&amp;" of "&amp;J530))</f>
        <v/>
      </c>
      <c r="N530" s="28" t="str">
        <f aca="false">IF(J530="","",Settings!$B$4+R530*7+Q530)</f>
        <v/>
      </c>
      <c r="O530" s="28" t="str">
        <f aca="true">IF(J530="","",N530+MAX(0,ROUNDUP((TODAY()-N530)/(J530*7),0))*J530*7)</f>
        <v/>
      </c>
      <c r="P530" s="27" t="str">
        <f aca="false">IF(J530="","",MOD(K530-1,J530*4))</f>
        <v/>
      </c>
      <c r="Q530" s="27" t="str">
        <f aca="false">IF(J530="","",MOD(P530,4))</f>
        <v/>
      </c>
      <c r="R530" s="27" t="str">
        <f aca="false">IF(J530="","",INT(P530/4))</f>
        <v/>
      </c>
      <c r="S530" s="27" t="str">
        <f aca="false">IF(J530="","",IF(AND('Daily Count Sheet'!$H$3=Q530,MOD('Daily Count Sheet'!$I$3,J530)=R530),1,""))</f>
        <v/>
      </c>
      <c r="T530" s="27" t="str">
        <f aca="false">IF(S530=1,COUNTIF($S$2:S530,1),"")</f>
        <v/>
      </c>
    </row>
    <row r="531" customFormat="false" ht="15" hidden="false" customHeight="false" outlineLevel="0" collapsed="false">
      <c r="H531" s="26"/>
      <c r="I531" s="27" t="str">
        <f aca="false">IF(A531="","",IF(H531&lt;&gt;"",UPPER(TRIM(H531)),IFERROR(CHOOSE(VALUE(E531)+1,"A","B","C","D"),IF(OR(LEFT(UPPER(TRIM(E531)),1)="F",UPPER(TRIM(E531))="A"),"A",IF(OR(LEFT(UPPER(TRIM(E531)),1)="M",UPPER(TRIM(E531))="B"),"B",IF(OR(LEFT(UPPER(TRIM(E531)),2)="SL",UPPER(TRIM(E531))="C"),"C",IF(OR(LEFT(UPPER(TRIM(E531)),1)="D",UPPER(TRIM(E531))="D"),"D","")))))))</f>
        <v/>
      </c>
      <c r="J531" s="27" t="str">
        <f aca="false">IF(I531="","",IF(AND(I531="D",Settings!$B$6&lt;&gt;"Yes"),"",IFERROR(INDEX(Settings!$C$9:$C$12,MATCH(I531,Settings!$A$9:$A$12,0)),"")))</f>
        <v/>
      </c>
      <c r="K531" s="27" t="str">
        <f aca="false">IF(J531="","",COUNTIF($I$2:I531,I531))</f>
        <v/>
      </c>
      <c r="L531" s="27" t="str">
        <f aca="false">IF(J531="","",CHOOSE(Q531+1,"Tue","Wed","Thu","Fri"))</f>
        <v/>
      </c>
      <c r="M531" s="27" t="str">
        <f aca="false">IF(J531="","",IF(J531=1,"Every week",R531+1&amp;" of "&amp;J531))</f>
        <v/>
      </c>
      <c r="N531" s="28" t="str">
        <f aca="false">IF(J531="","",Settings!$B$4+R531*7+Q531)</f>
        <v/>
      </c>
      <c r="O531" s="28" t="str">
        <f aca="true">IF(J531="","",N531+MAX(0,ROUNDUP((TODAY()-N531)/(J531*7),0))*J531*7)</f>
        <v/>
      </c>
      <c r="P531" s="27" t="str">
        <f aca="false">IF(J531="","",MOD(K531-1,J531*4))</f>
        <v/>
      </c>
      <c r="Q531" s="27" t="str">
        <f aca="false">IF(J531="","",MOD(P531,4))</f>
        <v/>
      </c>
      <c r="R531" s="27" t="str">
        <f aca="false">IF(J531="","",INT(P531/4))</f>
        <v/>
      </c>
      <c r="S531" s="27" t="str">
        <f aca="false">IF(J531="","",IF(AND('Daily Count Sheet'!$H$3=Q531,MOD('Daily Count Sheet'!$I$3,J531)=R531),1,""))</f>
        <v/>
      </c>
      <c r="T531" s="27" t="str">
        <f aca="false">IF(S531=1,COUNTIF($S$2:S531,1),"")</f>
        <v/>
      </c>
    </row>
    <row r="532" customFormat="false" ht="15" hidden="false" customHeight="false" outlineLevel="0" collapsed="false">
      <c r="H532" s="26"/>
      <c r="I532" s="27" t="str">
        <f aca="false">IF(A532="","",IF(H532&lt;&gt;"",UPPER(TRIM(H532)),IFERROR(CHOOSE(VALUE(E532)+1,"A","B","C","D"),IF(OR(LEFT(UPPER(TRIM(E532)),1)="F",UPPER(TRIM(E532))="A"),"A",IF(OR(LEFT(UPPER(TRIM(E532)),1)="M",UPPER(TRIM(E532))="B"),"B",IF(OR(LEFT(UPPER(TRIM(E532)),2)="SL",UPPER(TRIM(E532))="C"),"C",IF(OR(LEFT(UPPER(TRIM(E532)),1)="D",UPPER(TRIM(E532))="D"),"D","")))))))</f>
        <v/>
      </c>
      <c r="J532" s="27" t="str">
        <f aca="false">IF(I532="","",IF(AND(I532="D",Settings!$B$6&lt;&gt;"Yes"),"",IFERROR(INDEX(Settings!$C$9:$C$12,MATCH(I532,Settings!$A$9:$A$12,0)),"")))</f>
        <v/>
      </c>
      <c r="K532" s="27" t="str">
        <f aca="false">IF(J532="","",COUNTIF($I$2:I532,I532))</f>
        <v/>
      </c>
      <c r="L532" s="27" t="str">
        <f aca="false">IF(J532="","",CHOOSE(Q532+1,"Tue","Wed","Thu","Fri"))</f>
        <v/>
      </c>
      <c r="M532" s="27" t="str">
        <f aca="false">IF(J532="","",IF(J532=1,"Every week",R532+1&amp;" of "&amp;J532))</f>
        <v/>
      </c>
      <c r="N532" s="28" t="str">
        <f aca="false">IF(J532="","",Settings!$B$4+R532*7+Q532)</f>
        <v/>
      </c>
      <c r="O532" s="28" t="str">
        <f aca="true">IF(J532="","",N532+MAX(0,ROUNDUP((TODAY()-N532)/(J532*7),0))*J532*7)</f>
        <v/>
      </c>
      <c r="P532" s="27" t="str">
        <f aca="false">IF(J532="","",MOD(K532-1,J532*4))</f>
        <v/>
      </c>
      <c r="Q532" s="27" t="str">
        <f aca="false">IF(J532="","",MOD(P532,4))</f>
        <v/>
      </c>
      <c r="R532" s="27" t="str">
        <f aca="false">IF(J532="","",INT(P532/4))</f>
        <v/>
      </c>
      <c r="S532" s="27" t="str">
        <f aca="false">IF(J532="","",IF(AND('Daily Count Sheet'!$H$3=Q532,MOD('Daily Count Sheet'!$I$3,J532)=R532),1,""))</f>
        <v/>
      </c>
      <c r="T532" s="27" t="str">
        <f aca="false">IF(S532=1,COUNTIF($S$2:S532,1),"")</f>
        <v/>
      </c>
    </row>
    <row r="533" customFormat="false" ht="15" hidden="false" customHeight="false" outlineLevel="0" collapsed="false">
      <c r="H533" s="26"/>
      <c r="I533" s="27" t="str">
        <f aca="false">IF(A533="","",IF(H533&lt;&gt;"",UPPER(TRIM(H533)),IFERROR(CHOOSE(VALUE(E533)+1,"A","B","C","D"),IF(OR(LEFT(UPPER(TRIM(E533)),1)="F",UPPER(TRIM(E533))="A"),"A",IF(OR(LEFT(UPPER(TRIM(E533)),1)="M",UPPER(TRIM(E533))="B"),"B",IF(OR(LEFT(UPPER(TRIM(E533)),2)="SL",UPPER(TRIM(E533))="C"),"C",IF(OR(LEFT(UPPER(TRIM(E533)),1)="D",UPPER(TRIM(E533))="D"),"D","")))))))</f>
        <v/>
      </c>
      <c r="J533" s="27" t="str">
        <f aca="false">IF(I533="","",IF(AND(I533="D",Settings!$B$6&lt;&gt;"Yes"),"",IFERROR(INDEX(Settings!$C$9:$C$12,MATCH(I533,Settings!$A$9:$A$12,0)),"")))</f>
        <v/>
      </c>
      <c r="K533" s="27" t="str">
        <f aca="false">IF(J533="","",COUNTIF($I$2:I533,I533))</f>
        <v/>
      </c>
      <c r="L533" s="27" t="str">
        <f aca="false">IF(J533="","",CHOOSE(Q533+1,"Tue","Wed","Thu","Fri"))</f>
        <v/>
      </c>
      <c r="M533" s="27" t="str">
        <f aca="false">IF(J533="","",IF(J533=1,"Every week",R533+1&amp;" of "&amp;J533))</f>
        <v/>
      </c>
      <c r="N533" s="28" t="str">
        <f aca="false">IF(J533="","",Settings!$B$4+R533*7+Q533)</f>
        <v/>
      </c>
      <c r="O533" s="28" t="str">
        <f aca="true">IF(J533="","",N533+MAX(0,ROUNDUP((TODAY()-N533)/(J533*7),0))*J533*7)</f>
        <v/>
      </c>
      <c r="P533" s="27" t="str">
        <f aca="false">IF(J533="","",MOD(K533-1,J533*4))</f>
        <v/>
      </c>
      <c r="Q533" s="27" t="str">
        <f aca="false">IF(J533="","",MOD(P533,4))</f>
        <v/>
      </c>
      <c r="R533" s="27" t="str">
        <f aca="false">IF(J533="","",INT(P533/4))</f>
        <v/>
      </c>
      <c r="S533" s="27" t="str">
        <f aca="false">IF(J533="","",IF(AND('Daily Count Sheet'!$H$3=Q533,MOD('Daily Count Sheet'!$I$3,J533)=R533),1,""))</f>
        <v/>
      </c>
      <c r="T533" s="27" t="str">
        <f aca="false">IF(S533=1,COUNTIF($S$2:S533,1),"")</f>
        <v/>
      </c>
    </row>
    <row r="534" customFormat="false" ht="15" hidden="false" customHeight="false" outlineLevel="0" collapsed="false">
      <c r="H534" s="26"/>
      <c r="I534" s="27" t="str">
        <f aca="false">IF(A534="","",IF(H534&lt;&gt;"",UPPER(TRIM(H534)),IFERROR(CHOOSE(VALUE(E534)+1,"A","B","C","D"),IF(OR(LEFT(UPPER(TRIM(E534)),1)="F",UPPER(TRIM(E534))="A"),"A",IF(OR(LEFT(UPPER(TRIM(E534)),1)="M",UPPER(TRIM(E534))="B"),"B",IF(OR(LEFT(UPPER(TRIM(E534)),2)="SL",UPPER(TRIM(E534))="C"),"C",IF(OR(LEFT(UPPER(TRIM(E534)),1)="D",UPPER(TRIM(E534))="D"),"D","")))))))</f>
        <v/>
      </c>
      <c r="J534" s="27" t="str">
        <f aca="false">IF(I534="","",IF(AND(I534="D",Settings!$B$6&lt;&gt;"Yes"),"",IFERROR(INDEX(Settings!$C$9:$C$12,MATCH(I534,Settings!$A$9:$A$12,0)),"")))</f>
        <v/>
      </c>
      <c r="K534" s="27" t="str">
        <f aca="false">IF(J534="","",COUNTIF($I$2:I534,I534))</f>
        <v/>
      </c>
      <c r="L534" s="27" t="str">
        <f aca="false">IF(J534="","",CHOOSE(Q534+1,"Tue","Wed","Thu","Fri"))</f>
        <v/>
      </c>
      <c r="M534" s="27" t="str">
        <f aca="false">IF(J534="","",IF(J534=1,"Every week",R534+1&amp;" of "&amp;J534))</f>
        <v/>
      </c>
      <c r="N534" s="28" t="str">
        <f aca="false">IF(J534="","",Settings!$B$4+R534*7+Q534)</f>
        <v/>
      </c>
      <c r="O534" s="28" t="str">
        <f aca="true">IF(J534="","",N534+MAX(0,ROUNDUP((TODAY()-N534)/(J534*7),0))*J534*7)</f>
        <v/>
      </c>
      <c r="P534" s="27" t="str">
        <f aca="false">IF(J534="","",MOD(K534-1,J534*4))</f>
        <v/>
      </c>
      <c r="Q534" s="27" t="str">
        <f aca="false">IF(J534="","",MOD(P534,4))</f>
        <v/>
      </c>
      <c r="R534" s="27" t="str">
        <f aca="false">IF(J534="","",INT(P534/4))</f>
        <v/>
      </c>
      <c r="S534" s="27" t="str">
        <f aca="false">IF(J534="","",IF(AND('Daily Count Sheet'!$H$3=Q534,MOD('Daily Count Sheet'!$I$3,J534)=R534),1,""))</f>
        <v/>
      </c>
      <c r="T534" s="27" t="str">
        <f aca="false">IF(S534=1,COUNTIF($S$2:S534,1),"")</f>
        <v/>
      </c>
    </row>
    <row r="535" customFormat="false" ht="15" hidden="false" customHeight="false" outlineLevel="0" collapsed="false">
      <c r="H535" s="26"/>
      <c r="I535" s="27" t="str">
        <f aca="false">IF(A535="","",IF(H535&lt;&gt;"",UPPER(TRIM(H535)),IFERROR(CHOOSE(VALUE(E535)+1,"A","B","C","D"),IF(OR(LEFT(UPPER(TRIM(E535)),1)="F",UPPER(TRIM(E535))="A"),"A",IF(OR(LEFT(UPPER(TRIM(E535)),1)="M",UPPER(TRIM(E535))="B"),"B",IF(OR(LEFT(UPPER(TRIM(E535)),2)="SL",UPPER(TRIM(E535))="C"),"C",IF(OR(LEFT(UPPER(TRIM(E535)),1)="D",UPPER(TRIM(E535))="D"),"D","")))))))</f>
        <v/>
      </c>
      <c r="J535" s="27" t="str">
        <f aca="false">IF(I535="","",IF(AND(I535="D",Settings!$B$6&lt;&gt;"Yes"),"",IFERROR(INDEX(Settings!$C$9:$C$12,MATCH(I535,Settings!$A$9:$A$12,0)),"")))</f>
        <v/>
      </c>
      <c r="K535" s="27" t="str">
        <f aca="false">IF(J535="","",COUNTIF($I$2:I535,I535))</f>
        <v/>
      </c>
      <c r="L535" s="27" t="str">
        <f aca="false">IF(J535="","",CHOOSE(Q535+1,"Tue","Wed","Thu","Fri"))</f>
        <v/>
      </c>
      <c r="M535" s="27" t="str">
        <f aca="false">IF(J535="","",IF(J535=1,"Every week",R535+1&amp;" of "&amp;J535))</f>
        <v/>
      </c>
      <c r="N535" s="28" t="str">
        <f aca="false">IF(J535="","",Settings!$B$4+R535*7+Q535)</f>
        <v/>
      </c>
      <c r="O535" s="28" t="str">
        <f aca="true">IF(J535="","",N535+MAX(0,ROUNDUP((TODAY()-N535)/(J535*7),0))*J535*7)</f>
        <v/>
      </c>
      <c r="P535" s="27" t="str">
        <f aca="false">IF(J535="","",MOD(K535-1,J535*4))</f>
        <v/>
      </c>
      <c r="Q535" s="27" t="str">
        <f aca="false">IF(J535="","",MOD(P535,4))</f>
        <v/>
      </c>
      <c r="R535" s="27" t="str">
        <f aca="false">IF(J535="","",INT(P535/4))</f>
        <v/>
      </c>
      <c r="S535" s="27" t="str">
        <f aca="false">IF(J535="","",IF(AND('Daily Count Sheet'!$H$3=Q535,MOD('Daily Count Sheet'!$I$3,J535)=R535),1,""))</f>
        <v/>
      </c>
      <c r="T535" s="27" t="str">
        <f aca="false">IF(S535=1,COUNTIF($S$2:S535,1),"")</f>
        <v/>
      </c>
    </row>
    <row r="536" customFormat="false" ht="15" hidden="false" customHeight="false" outlineLevel="0" collapsed="false">
      <c r="H536" s="26"/>
      <c r="I536" s="27" t="str">
        <f aca="false">IF(A536="","",IF(H536&lt;&gt;"",UPPER(TRIM(H536)),IFERROR(CHOOSE(VALUE(E536)+1,"A","B","C","D"),IF(OR(LEFT(UPPER(TRIM(E536)),1)="F",UPPER(TRIM(E536))="A"),"A",IF(OR(LEFT(UPPER(TRIM(E536)),1)="M",UPPER(TRIM(E536))="B"),"B",IF(OR(LEFT(UPPER(TRIM(E536)),2)="SL",UPPER(TRIM(E536))="C"),"C",IF(OR(LEFT(UPPER(TRIM(E536)),1)="D",UPPER(TRIM(E536))="D"),"D","")))))))</f>
        <v/>
      </c>
      <c r="J536" s="27" t="str">
        <f aca="false">IF(I536="","",IF(AND(I536="D",Settings!$B$6&lt;&gt;"Yes"),"",IFERROR(INDEX(Settings!$C$9:$C$12,MATCH(I536,Settings!$A$9:$A$12,0)),"")))</f>
        <v/>
      </c>
      <c r="K536" s="27" t="str">
        <f aca="false">IF(J536="","",COUNTIF($I$2:I536,I536))</f>
        <v/>
      </c>
      <c r="L536" s="27" t="str">
        <f aca="false">IF(J536="","",CHOOSE(Q536+1,"Tue","Wed","Thu","Fri"))</f>
        <v/>
      </c>
      <c r="M536" s="27" t="str">
        <f aca="false">IF(J536="","",IF(J536=1,"Every week",R536+1&amp;" of "&amp;J536))</f>
        <v/>
      </c>
      <c r="N536" s="28" t="str">
        <f aca="false">IF(J536="","",Settings!$B$4+R536*7+Q536)</f>
        <v/>
      </c>
      <c r="O536" s="28" t="str">
        <f aca="true">IF(J536="","",N536+MAX(0,ROUNDUP((TODAY()-N536)/(J536*7),0))*J536*7)</f>
        <v/>
      </c>
      <c r="P536" s="27" t="str">
        <f aca="false">IF(J536="","",MOD(K536-1,J536*4))</f>
        <v/>
      </c>
      <c r="Q536" s="27" t="str">
        <f aca="false">IF(J536="","",MOD(P536,4))</f>
        <v/>
      </c>
      <c r="R536" s="27" t="str">
        <f aca="false">IF(J536="","",INT(P536/4))</f>
        <v/>
      </c>
      <c r="S536" s="27" t="str">
        <f aca="false">IF(J536="","",IF(AND('Daily Count Sheet'!$H$3=Q536,MOD('Daily Count Sheet'!$I$3,J536)=R536),1,""))</f>
        <v/>
      </c>
      <c r="T536" s="27" t="str">
        <f aca="false">IF(S536=1,COUNTIF($S$2:S536,1),"")</f>
        <v/>
      </c>
    </row>
    <row r="537" customFormat="false" ht="15" hidden="false" customHeight="false" outlineLevel="0" collapsed="false">
      <c r="H537" s="26"/>
      <c r="I537" s="27" t="str">
        <f aca="false">IF(A537="","",IF(H537&lt;&gt;"",UPPER(TRIM(H537)),IFERROR(CHOOSE(VALUE(E537)+1,"A","B","C","D"),IF(OR(LEFT(UPPER(TRIM(E537)),1)="F",UPPER(TRIM(E537))="A"),"A",IF(OR(LEFT(UPPER(TRIM(E537)),1)="M",UPPER(TRIM(E537))="B"),"B",IF(OR(LEFT(UPPER(TRIM(E537)),2)="SL",UPPER(TRIM(E537))="C"),"C",IF(OR(LEFT(UPPER(TRIM(E537)),1)="D",UPPER(TRIM(E537))="D"),"D","")))))))</f>
        <v/>
      </c>
      <c r="J537" s="27" t="str">
        <f aca="false">IF(I537="","",IF(AND(I537="D",Settings!$B$6&lt;&gt;"Yes"),"",IFERROR(INDEX(Settings!$C$9:$C$12,MATCH(I537,Settings!$A$9:$A$12,0)),"")))</f>
        <v/>
      </c>
      <c r="K537" s="27" t="str">
        <f aca="false">IF(J537="","",COUNTIF($I$2:I537,I537))</f>
        <v/>
      </c>
      <c r="L537" s="27" t="str">
        <f aca="false">IF(J537="","",CHOOSE(Q537+1,"Tue","Wed","Thu","Fri"))</f>
        <v/>
      </c>
      <c r="M537" s="27" t="str">
        <f aca="false">IF(J537="","",IF(J537=1,"Every week",R537+1&amp;" of "&amp;J537))</f>
        <v/>
      </c>
      <c r="N537" s="28" t="str">
        <f aca="false">IF(J537="","",Settings!$B$4+R537*7+Q537)</f>
        <v/>
      </c>
      <c r="O537" s="28" t="str">
        <f aca="true">IF(J537="","",N537+MAX(0,ROUNDUP((TODAY()-N537)/(J537*7),0))*J537*7)</f>
        <v/>
      </c>
      <c r="P537" s="27" t="str">
        <f aca="false">IF(J537="","",MOD(K537-1,J537*4))</f>
        <v/>
      </c>
      <c r="Q537" s="27" t="str">
        <f aca="false">IF(J537="","",MOD(P537,4))</f>
        <v/>
      </c>
      <c r="R537" s="27" t="str">
        <f aca="false">IF(J537="","",INT(P537/4))</f>
        <v/>
      </c>
      <c r="S537" s="27" t="str">
        <f aca="false">IF(J537="","",IF(AND('Daily Count Sheet'!$H$3=Q537,MOD('Daily Count Sheet'!$I$3,J537)=R537),1,""))</f>
        <v/>
      </c>
      <c r="T537" s="27" t="str">
        <f aca="false">IF(S537=1,COUNTIF($S$2:S537,1),"")</f>
        <v/>
      </c>
    </row>
    <row r="538" customFormat="false" ht="15" hidden="false" customHeight="false" outlineLevel="0" collapsed="false">
      <c r="H538" s="26"/>
      <c r="I538" s="27" t="str">
        <f aca="false">IF(A538="","",IF(H538&lt;&gt;"",UPPER(TRIM(H538)),IFERROR(CHOOSE(VALUE(E538)+1,"A","B","C","D"),IF(OR(LEFT(UPPER(TRIM(E538)),1)="F",UPPER(TRIM(E538))="A"),"A",IF(OR(LEFT(UPPER(TRIM(E538)),1)="M",UPPER(TRIM(E538))="B"),"B",IF(OR(LEFT(UPPER(TRIM(E538)),2)="SL",UPPER(TRIM(E538))="C"),"C",IF(OR(LEFT(UPPER(TRIM(E538)),1)="D",UPPER(TRIM(E538))="D"),"D","")))))))</f>
        <v/>
      </c>
      <c r="J538" s="27" t="str">
        <f aca="false">IF(I538="","",IF(AND(I538="D",Settings!$B$6&lt;&gt;"Yes"),"",IFERROR(INDEX(Settings!$C$9:$C$12,MATCH(I538,Settings!$A$9:$A$12,0)),"")))</f>
        <v/>
      </c>
      <c r="K538" s="27" t="str">
        <f aca="false">IF(J538="","",COUNTIF($I$2:I538,I538))</f>
        <v/>
      </c>
      <c r="L538" s="27" t="str">
        <f aca="false">IF(J538="","",CHOOSE(Q538+1,"Tue","Wed","Thu","Fri"))</f>
        <v/>
      </c>
      <c r="M538" s="27" t="str">
        <f aca="false">IF(J538="","",IF(J538=1,"Every week",R538+1&amp;" of "&amp;J538))</f>
        <v/>
      </c>
      <c r="N538" s="28" t="str">
        <f aca="false">IF(J538="","",Settings!$B$4+R538*7+Q538)</f>
        <v/>
      </c>
      <c r="O538" s="28" t="str">
        <f aca="true">IF(J538="","",N538+MAX(0,ROUNDUP((TODAY()-N538)/(J538*7),0))*J538*7)</f>
        <v/>
      </c>
      <c r="P538" s="27" t="str">
        <f aca="false">IF(J538="","",MOD(K538-1,J538*4))</f>
        <v/>
      </c>
      <c r="Q538" s="27" t="str">
        <f aca="false">IF(J538="","",MOD(P538,4))</f>
        <v/>
      </c>
      <c r="R538" s="27" t="str">
        <f aca="false">IF(J538="","",INT(P538/4))</f>
        <v/>
      </c>
      <c r="S538" s="27" t="str">
        <f aca="false">IF(J538="","",IF(AND('Daily Count Sheet'!$H$3=Q538,MOD('Daily Count Sheet'!$I$3,J538)=R538),1,""))</f>
        <v/>
      </c>
      <c r="T538" s="27" t="str">
        <f aca="false">IF(S538=1,COUNTIF($S$2:S538,1),"")</f>
        <v/>
      </c>
    </row>
    <row r="539" customFormat="false" ht="15" hidden="false" customHeight="false" outlineLevel="0" collapsed="false">
      <c r="H539" s="26"/>
      <c r="I539" s="27" t="str">
        <f aca="false">IF(A539="","",IF(H539&lt;&gt;"",UPPER(TRIM(H539)),IFERROR(CHOOSE(VALUE(E539)+1,"A","B","C","D"),IF(OR(LEFT(UPPER(TRIM(E539)),1)="F",UPPER(TRIM(E539))="A"),"A",IF(OR(LEFT(UPPER(TRIM(E539)),1)="M",UPPER(TRIM(E539))="B"),"B",IF(OR(LEFT(UPPER(TRIM(E539)),2)="SL",UPPER(TRIM(E539))="C"),"C",IF(OR(LEFT(UPPER(TRIM(E539)),1)="D",UPPER(TRIM(E539))="D"),"D","")))))))</f>
        <v/>
      </c>
      <c r="J539" s="27" t="str">
        <f aca="false">IF(I539="","",IF(AND(I539="D",Settings!$B$6&lt;&gt;"Yes"),"",IFERROR(INDEX(Settings!$C$9:$C$12,MATCH(I539,Settings!$A$9:$A$12,0)),"")))</f>
        <v/>
      </c>
      <c r="K539" s="27" t="str">
        <f aca="false">IF(J539="","",COUNTIF($I$2:I539,I539))</f>
        <v/>
      </c>
      <c r="L539" s="27" t="str">
        <f aca="false">IF(J539="","",CHOOSE(Q539+1,"Tue","Wed","Thu","Fri"))</f>
        <v/>
      </c>
      <c r="M539" s="27" t="str">
        <f aca="false">IF(J539="","",IF(J539=1,"Every week",R539+1&amp;" of "&amp;J539))</f>
        <v/>
      </c>
      <c r="N539" s="28" t="str">
        <f aca="false">IF(J539="","",Settings!$B$4+R539*7+Q539)</f>
        <v/>
      </c>
      <c r="O539" s="28" t="str">
        <f aca="true">IF(J539="","",N539+MAX(0,ROUNDUP((TODAY()-N539)/(J539*7),0))*J539*7)</f>
        <v/>
      </c>
      <c r="P539" s="27" t="str">
        <f aca="false">IF(J539="","",MOD(K539-1,J539*4))</f>
        <v/>
      </c>
      <c r="Q539" s="27" t="str">
        <f aca="false">IF(J539="","",MOD(P539,4))</f>
        <v/>
      </c>
      <c r="R539" s="27" t="str">
        <f aca="false">IF(J539="","",INT(P539/4))</f>
        <v/>
      </c>
      <c r="S539" s="27" t="str">
        <f aca="false">IF(J539="","",IF(AND('Daily Count Sheet'!$H$3=Q539,MOD('Daily Count Sheet'!$I$3,J539)=R539),1,""))</f>
        <v/>
      </c>
      <c r="T539" s="27" t="str">
        <f aca="false">IF(S539=1,COUNTIF($S$2:S539,1),"")</f>
        <v/>
      </c>
    </row>
    <row r="540" customFormat="false" ht="15" hidden="false" customHeight="false" outlineLevel="0" collapsed="false">
      <c r="H540" s="26"/>
      <c r="I540" s="27" t="str">
        <f aca="false">IF(A540="","",IF(H540&lt;&gt;"",UPPER(TRIM(H540)),IFERROR(CHOOSE(VALUE(E540)+1,"A","B","C","D"),IF(OR(LEFT(UPPER(TRIM(E540)),1)="F",UPPER(TRIM(E540))="A"),"A",IF(OR(LEFT(UPPER(TRIM(E540)),1)="M",UPPER(TRIM(E540))="B"),"B",IF(OR(LEFT(UPPER(TRIM(E540)),2)="SL",UPPER(TRIM(E540))="C"),"C",IF(OR(LEFT(UPPER(TRIM(E540)),1)="D",UPPER(TRIM(E540))="D"),"D","")))))))</f>
        <v/>
      </c>
      <c r="J540" s="27" t="str">
        <f aca="false">IF(I540="","",IF(AND(I540="D",Settings!$B$6&lt;&gt;"Yes"),"",IFERROR(INDEX(Settings!$C$9:$C$12,MATCH(I540,Settings!$A$9:$A$12,0)),"")))</f>
        <v/>
      </c>
      <c r="K540" s="27" t="str">
        <f aca="false">IF(J540="","",COUNTIF($I$2:I540,I540))</f>
        <v/>
      </c>
      <c r="L540" s="27" t="str">
        <f aca="false">IF(J540="","",CHOOSE(Q540+1,"Tue","Wed","Thu","Fri"))</f>
        <v/>
      </c>
      <c r="M540" s="27" t="str">
        <f aca="false">IF(J540="","",IF(J540=1,"Every week",R540+1&amp;" of "&amp;J540))</f>
        <v/>
      </c>
      <c r="N540" s="28" t="str">
        <f aca="false">IF(J540="","",Settings!$B$4+R540*7+Q540)</f>
        <v/>
      </c>
      <c r="O540" s="28" t="str">
        <f aca="true">IF(J540="","",N540+MAX(0,ROUNDUP((TODAY()-N540)/(J540*7),0))*J540*7)</f>
        <v/>
      </c>
      <c r="P540" s="27" t="str">
        <f aca="false">IF(J540="","",MOD(K540-1,J540*4))</f>
        <v/>
      </c>
      <c r="Q540" s="27" t="str">
        <f aca="false">IF(J540="","",MOD(P540,4))</f>
        <v/>
      </c>
      <c r="R540" s="27" t="str">
        <f aca="false">IF(J540="","",INT(P540/4))</f>
        <v/>
      </c>
      <c r="S540" s="27" t="str">
        <f aca="false">IF(J540="","",IF(AND('Daily Count Sheet'!$H$3=Q540,MOD('Daily Count Sheet'!$I$3,J540)=R540),1,""))</f>
        <v/>
      </c>
      <c r="T540" s="27" t="str">
        <f aca="false">IF(S540=1,COUNTIF($S$2:S540,1),"")</f>
        <v/>
      </c>
    </row>
    <row r="541" customFormat="false" ht="15" hidden="false" customHeight="false" outlineLevel="0" collapsed="false">
      <c r="H541" s="26"/>
      <c r="I541" s="27" t="str">
        <f aca="false">IF(A541="","",IF(H541&lt;&gt;"",UPPER(TRIM(H541)),IFERROR(CHOOSE(VALUE(E541)+1,"A","B","C","D"),IF(OR(LEFT(UPPER(TRIM(E541)),1)="F",UPPER(TRIM(E541))="A"),"A",IF(OR(LEFT(UPPER(TRIM(E541)),1)="M",UPPER(TRIM(E541))="B"),"B",IF(OR(LEFT(UPPER(TRIM(E541)),2)="SL",UPPER(TRIM(E541))="C"),"C",IF(OR(LEFT(UPPER(TRIM(E541)),1)="D",UPPER(TRIM(E541))="D"),"D","")))))))</f>
        <v/>
      </c>
      <c r="J541" s="27" t="str">
        <f aca="false">IF(I541="","",IF(AND(I541="D",Settings!$B$6&lt;&gt;"Yes"),"",IFERROR(INDEX(Settings!$C$9:$C$12,MATCH(I541,Settings!$A$9:$A$12,0)),"")))</f>
        <v/>
      </c>
      <c r="K541" s="27" t="str">
        <f aca="false">IF(J541="","",COUNTIF($I$2:I541,I541))</f>
        <v/>
      </c>
      <c r="L541" s="27" t="str">
        <f aca="false">IF(J541="","",CHOOSE(Q541+1,"Tue","Wed","Thu","Fri"))</f>
        <v/>
      </c>
      <c r="M541" s="27" t="str">
        <f aca="false">IF(J541="","",IF(J541=1,"Every week",R541+1&amp;" of "&amp;J541))</f>
        <v/>
      </c>
      <c r="N541" s="28" t="str">
        <f aca="false">IF(J541="","",Settings!$B$4+R541*7+Q541)</f>
        <v/>
      </c>
      <c r="O541" s="28" t="str">
        <f aca="true">IF(J541="","",N541+MAX(0,ROUNDUP((TODAY()-N541)/(J541*7),0))*J541*7)</f>
        <v/>
      </c>
      <c r="P541" s="27" t="str">
        <f aca="false">IF(J541="","",MOD(K541-1,J541*4))</f>
        <v/>
      </c>
      <c r="Q541" s="27" t="str">
        <f aca="false">IF(J541="","",MOD(P541,4))</f>
        <v/>
      </c>
      <c r="R541" s="27" t="str">
        <f aca="false">IF(J541="","",INT(P541/4))</f>
        <v/>
      </c>
      <c r="S541" s="27" t="str">
        <f aca="false">IF(J541="","",IF(AND('Daily Count Sheet'!$H$3=Q541,MOD('Daily Count Sheet'!$I$3,J541)=R541),1,""))</f>
        <v/>
      </c>
      <c r="T541" s="27" t="str">
        <f aca="false">IF(S541=1,COUNTIF($S$2:S541,1),"")</f>
        <v/>
      </c>
    </row>
    <row r="542" customFormat="false" ht="15" hidden="false" customHeight="false" outlineLevel="0" collapsed="false">
      <c r="H542" s="26"/>
      <c r="I542" s="27" t="str">
        <f aca="false">IF(A542="","",IF(H542&lt;&gt;"",UPPER(TRIM(H542)),IFERROR(CHOOSE(VALUE(E542)+1,"A","B","C","D"),IF(OR(LEFT(UPPER(TRIM(E542)),1)="F",UPPER(TRIM(E542))="A"),"A",IF(OR(LEFT(UPPER(TRIM(E542)),1)="M",UPPER(TRIM(E542))="B"),"B",IF(OR(LEFT(UPPER(TRIM(E542)),2)="SL",UPPER(TRIM(E542))="C"),"C",IF(OR(LEFT(UPPER(TRIM(E542)),1)="D",UPPER(TRIM(E542))="D"),"D","")))))))</f>
        <v/>
      </c>
      <c r="J542" s="27" t="str">
        <f aca="false">IF(I542="","",IF(AND(I542="D",Settings!$B$6&lt;&gt;"Yes"),"",IFERROR(INDEX(Settings!$C$9:$C$12,MATCH(I542,Settings!$A$9:$A$12,0)),"")))</f>
        <v/>
      </c>
      <c r="K542" s="27" t="str">
        <f aca="false">IF(J542="","",COUNTIF($I$2:I542,I542))</f>
        <v/>
      </c>
      <c r="L542" s="27" t="str">
        <f aca="false">IF(J542="","",CHOOSE(Q542+1,"Tue","Wed","Thu","Fri"))</f>
        <v/>
      </c>
      <c r="M542" s="27" t="str">
        <f aca="false">IF(J542="","",IF(J542=1,"Every week",R542+1&amp;" of "&amp;J542))</f>
        <v/>
      </c>
      <c r="N542" s="28" t="str">
        <f aca="false">IF(J542="","",Settings!$B$4+R542*7+Q542)</f>
        <v/>
      </c>
      <c r="O542" s="28" t="str">
        <f aca="true">IF(J542="","",N542+MAX(0,ROUNDUP((TODAY()-N542)/(J542*7),0))*J542*7)</f>
        <v/>
      </c>
      <c r="P542" s="27" t="str">
        <f aca="false">IF(J542="","",MOD(K542-1,J542*4))</f>
        <v/>
      </c>
      <c r="Q542" s="27" t="str">
        <f aca="false">IF(J542="","",MOD(P542,4))</f>
        <v/>
      </c>
      <c r="R542" s="27" t="str">
        <f aca="false">IF(J542="","",INT(P542/4))</f>
        <v/>
      </c>
      <c r="S542" s="27" t="str">
        <f aca="false">IF(J542="","",IF(AND('Daily Count Sheet'!$H$3=Q542,MOD('Daily Count Sheet'!$I$3,J542)=R542),1,""))</f>
        <v/>
      </c>
      <c r="T542" s="27" t="str">
        <f aca="false">IF(S542=1,COUNTIF($S$2:S542,1),"")</f>
        <v/>
      </c>
    </row>
    <row r="543" customFormat="false" ht="15" hidden="false" customHeight="false" outlineLevel="0" collapsed="false">
      <c r="H543" s="26"/>
      <c r="I543" s="27" t="str">
        <f aca="false">IF(A543="","",IF(H543&lt;&gt;"",UPPER(TRIM(H543)),IFERROR(CHOOSE(VALUE(E543)+1,"A","B","C","D"),IF(OR(LEFT(UPPER(TRIM(E543)),1)="F",UPPER(TRIM(E543))="A"),"A",IF(OR(LEFT(UPPER(TRIM(E543)),1)="M",UPPER(TRIM(E543))="B"),"B",IF(OR(LEFT(UPPER(TRIM(E543)),2)="SL",UPPER(TRIM(E543))="C"),"C",IF(OR(LEFT(UPPER(TRIM(E543)),1)="D",UPPER(TRIM(E543))="D"),"D","")))))))</f>
        <v/>
      </c>
      <c r="J543" s="27" t="str">
        <f aca="false">IF(I543="","",IF(AND(I543="D",Settings!$B$6&lt;&gt;"Yes"),"",IFERROR(INDEX(Settings!$C$9:$C$12,MATCH(I543,Settings!$A$9:$A$12,0)),"")))</f>
        <v/>
      </c>
      <c r="K543" s="27" t="str">
        <f aca="false">IF(J543="","",COUNTIF($I$2:I543,I543))</f>
        <v/>
      </c>
      <c r="L543" s="27" t="str">
        <f aca="false">IF(J543="","",CHOOSE(Q543+1,"Tue","Wed","Thu","Fri"))</f>
        <v/>
      </c>
      <c r="M543" s="27" t="str">
        <f aca="false">IF(J543="","",IF(J543=1,"Every week",R543+1&amp;" of "&amp;J543))</f>
        <v/>
      </c>
      <c r="N543" s="28" t="str">
        <f aca="false">IF(J543="","",Settings!$B$4+R543*7+Q543)</f>
        <v/>
      </c>
      <c r="O543" s="28" t="str">
        <f aca="true">IF(J543="","",N543+MAX(0,ROUNDUP((TODAY()-N543)/(J543*7),0))*J543*7)</f>
        <v/>
      </c>
      <c r="P543" s="27" t="str">
        <f aca="false">IF(J543="","",MOD(K543-1,J543*4))</f>
        <v/>
      </c>
      <c r="Q543" s="27" t="str">
        <f aca="false">IF(J543="","",MOD(P543,4))</f>
        <v/>
      </c>
      <c r="R543" s="27" t="str">
        <f aca="false">IF(J543="","",INT(P543/4))</f>
        <v/>
      </c>
      <c r="S543" s="27" t="str">
        <f aca="false">IF(J543="","",IF(AND('Daily Count Sheet'!$H$3=Q543,MOD('Daily Count Sheet'!$I$3,J543)=R543),1,""))</f>
        <v/>
      </c>
      <c r="T543" s="27" t="str">
        <f aca="false">IF(S543=1,COUNTIF($S$2:S543,1),"")</f>
        <v/>
      </c>
    </row>
    <row r="544" customFormat="false" ht="15" hidden="false" customHeight="false" outlineLevel="0" collapsed="false">
      <c r="H544" s="26"/>
      <c r="I544" s="27" t="str">
        <f aca="false">IF(A544="","",IF(H544&lt;&gt;"",UPPER(TRIM(H544)),IFERROR(CHOOSE(VALUE(E544)+1,"A","B","C","D"),IF(OR(LEFT(UPPER(TRIM(E544)),1)="F",UPPER(TRIM(E544))="A"),"A",IF(OR(LEFT(UPPER(TRIM(E544)),1)="M",UPPER(TRIM(E544))="B"),"B",IF(OR(LEFT(UPPER(TRIM(E544)),2)="SL",UPPER(TRIM(E544))="C"),"C",IF(OR(LEFT(UPPER(TRIM(E544)),1)="D",UPPER(TRIM(E544))="D"),"D","")))))))</f>
        <v/>
      </c>
      <c r="J544" s="27" t="str">
        <f aca="false">IF(I544="","",IF(AND(I544="D",Settings!$B$6&lt;&gt;"Yes"),"",IFERROR(INDEX(Settings!$C$9:$C$12,MATCH(I544,Settings!$A$9:$A$12,0)),"")))</f>
        <v/>
      </c>
      <c r="K544" s="27" t="str">
        <f aca="false">IF(J544="","",COUNTIF($I$2:I544,I544))</f>
        <v/>
      </c>
      <c r="L544" s="27" t="str">
        <f aca="false">IF(J544="","",CHOOSE(Q544+1,"Tue","Wed","Thu","Fri"))</f>
        <v/>
      </c>
      <c r="M544" s="27" t="str">
        <f aca="false">IF(J544="","",IF(J544=1,"Every week",R544+1&amp;" of "&amp;J544))</f>
        <v/>
      </c>
      <c r="N544" s="28" t="str">
        <f aca="false">IF(J544="","",Settings!$B$4+R544*7+Q544)</f>
        <v/>
      </c>
      <c r="O544" s="28" t="str">
        <f aca="true">IF(J544="","",N544+MAX(0,ROUNDUP((TODAY()-N544)/(J544*7),0))*J544*7)</f>
        <v/>
      </c>
      <c r="P544" s="27" t="str">
        <f aca="false">IF(J544="","",MOD(K544-1,J544*4))</f>
        <v/>
      </c>
      <c r="Q544" s="27" t="str">
        <f aca="false">IF(J544="","",MOD(P544,4))</f>
        <v/>
      </c>
      <c r="R544" s="27" t="str">
        <f aca="false">IF(J544="","",INT(P544/4))</f>
        <v/>
      </c>
      <c r="S544" s="27" t="str">
        <f aca="false">IF(J544="","",IF(AND('Daily Count Sheet'!$H$3=Q544,MOD('Daily Count Sheet'!$I$3,J544)=R544),1,""))</f>
        <v/>
      </c>
      <c r="T544" s="27" t="str">
        <f aca="false">IF(S544=1,COUNTIF($S$2:S544,1),"")</f>
        <v/>
      </c>
    </row>
    <row r="545" customFormat="false" ht="15" hidden="false" customHeight="false" outlineLevel="0" collapsed="false">
      <c r="H545" s="26"/>
      <c r="I545" s="27" t="str">
        <f aca="false">IF(A545="","",IF(H545&lt;&gt;"",UPPER(TRIM(H545)),IFERROR(CHOOSE(VALUE(E545)+1,"A","B","C","D"),IF(OR(LEFT(UPPER(TRIM(E545)),1)="F",UPPER(TRIM(E545))="A"),"A",IF(OR(LEFT(UPPER(TRIM(E545)),1)="M",UPPER(TRIM(E545))="B"),"B",IF(OR(LEFT(UPPER(TRIM(E545)),2)="SL",UPPER(TRIM(E545))="C"),"C",IF(OR(LEFT(UPPER(TRIM(E545)),1)="D",UPPER(TRIM(E545))="D"),"D","")))))))</f>
        <v/>
      </c>
      <c r="J545" s="27" t="str">
        <f aca="false">IF(I545="","",IF(AND(I545="D",Settings!$B$6&lt;&gt;"Yes"),"",IFERROR(INDEX(Settings!$C$9:$C$12,MATCH(I545,Settings!$A$9:$A$12,0)),"")))</f>
        <v/>
      </c>
      <c r="K545" s="27" t="str">
        <f aca="false">IF(J545="","",COUNTIF($I$2:I545,I545))</f>
        <v/>
      </c>
      <c r="L545" s="27" t="str">
        <f aca="false">IF(J545="","",CHOOSE(Q545+1,"Tue","Wed","Thu","Fri"))</f>
        <v/>
      </c>
      <c r="M545" s="27" t="str">
        <f aca="false">IF(J545="","",IF(J545=1,"Every week",R545+1&amp;" of "&amp;J545))</f>
        <v/>
      </c>
      <c r="N545" s="28" t="str">
        <f aca="false">IF(J545="","",Settings!$B$4+R545*7+Q545)</f>
        <v/>
      </c>
      <c r="O545" s="28" t="str">
        <f aca="true">IF(J545="","",N545+MAX(0,ROUNDUP((TODAY()-N545)/(J545*7),0))*J545*7)</f>
        <v/>
      </c>
      <c r="P545" s="27" t="str">
        <f aca="false">IF(J545="","",MOD(K545-1,J545*4))</f>
        <v/>
      </c>
      <c r="Q545" s="27" t="str">
        <f aca="false">IF(J545="","",MOD(P545,4))</f>
        <v/>
      </c>
      <c r="R545" s="27" t="str">
        <f aca="false">IF(J545="","",INT(P545/4))</f>
        <v/>
      </c>
      <c r="S545" s="27" t="str">
        <f aca="false">IF(J545="","",IF(AND('Daily Count Sheet'!$H$3=Q545,MOD('Daily Count Sheet'!$I$3,J545)=R545),1,""))</f>
        <v/>
      </c>
      <c r="T545" s="27" t="str">
        <f aca="false">IF(S545=1,COUNTIF($S$2:S545,1),"")</f>
        <v/>
      </c>
    </row>
    <row r="546" customFormat="false" ht="15" hidden="false" customHeight="false" outlineLevel="0" collapsed="false">
      <c r="H546" s="26"/>
      <c r="I546" s="27" t="str">
        <f aca="false">IF(A546="","",IF(H546&lt;&gt;"",UPPER(TRIM(H546)),IFERROR(CHOOSE(VALUE(E546)+1,"A","B","C","D"),IF(OR(LEFT(UPPER(TRIM(E546)),1)="F",UPPER(TRIM(E546))="A"),"A",IF(OR(LEFT(UPPER(TRIM(E546)),1)="M",UPPER(TRIM(E546))="B"),"B",IF(OR(LEFT(UPPER(TRIM(E546)),2)="SL",UPPER(TRIM(E546))="C"),"C",IF(OR(LEFT(UPPER(TRIM(E546)),1)="D",UPPER(TRIM(E546))="D"),"D","")))))))</f>
        <v/>
      </c>
      <c r="J546" s="27" t="str">
        <f aca="false">IF(I546="","",IF(AND(I546="D",Settings!$B$6&lt;&gt;"Yes"),"",IFERROR(INDEX(Settings!$C$9:$C$12,MATCH(I546,Settings!$A$9:$A$12,0)),"")))</f>
        <v/>
      </c>
      <c r="K546" s="27" t="str">
        <f aca="false">IF(J546="","",COUNTIF($I$2:I546,I546))</f>
        <v/>
      </c>
      <c r="L546" s="27" t="str">
        <f aca="false">IF(J546="","",CHOOSE(Q546+1,"Tue","Wed","Thu","Fri"))</f>
        <v/>
      </c>
      <c r="M546" s="27" t="str">
        <f aca="false">IF(J546="","",IF(J546=1,"Every week",R546+1&amp;" of "&amp;J546))</f>
        <v/>
      </c>
      <c r="N546" s="28" t="str">
        <f aca="false">IF(J546="","",Settings!$B$4+R546*7+Q546)</f>
        <v/>
      </c>
      <c r="O546" s="28" t="str">
        <f aca="true">IF(J546="","",N546+MAX(0,ROUNDUP((TODAY()-N546)/(J546*7),0))*J546*7)</f>
        <v/>
      </c>
      <c r="P546" s="27" t="str">
        <f aca="false">IF(J546="","",MOD(K546-1,J546*4))</f>
        <v/>
      </c>
      <c r="Q546" s="27" t="str">
        <f aca="false">IF(J546="","",MOD(P546,4))</f>
        <v/>
      </c>
      <c r="R546" s="27" t="str">
        <f aca="false">IF(J546="","",INT(P546/4))</f>
        <v/>
      </c>
      <c r="S546" s="27" t="str">
        <f aca="false">IF(J546="","",IF(AND('Daily Count Sheet'!$H$3=Q546,MOD('Daily Count Sheet'!$I$3,J546)=R546),1,""))</f>
        <v/>
      </c>
      <c r="T546" s="27" t="str">
        <f aca="false">IF(S546=1,COUNTIF($S$2:S546,1),"")</f>
        <v/>
      </c>
    </row>
    <row r="547" customFormat="false" ht="15" hidden="false" customHeight="false" outlineLevel="0" collapsed="false">
      <c r="H547" s="26"/>
      <c r="I547" s="27" t="str">
        <f aca="false">IF(A547="","",IF(H547&lt;&gt;"",UPPER(TRIM(H547)),IFERROR(CHOOSE(VALUE(E547)+1,"A","B","C","D"),IF(OR(LEFT(UPPER(TRIM(E547)),1)="F",UPPER(TRIM(E547))="A"),"A",IF(OR(LEFT(UPPER(TRIM(E547)),1)="M",UPPER(TRIM(E547))="B"),"B",IF(OR(LEFT(UPPER(TRIM(E547)),2)="SL",UPPER(TRIM(E547))="C"),"C",IF(OR(LEFT(UPPER(TRIM(E547)),1)="D",UPPER(TRIM(E547))="D"),"D","")))))))</f>
        <v/>
      </c>
      <c r="J547" s="27" t="str">
        <f aca="false">IF(I547="","",IF(AND(I547="D",Settings!$B$6&lt;&gt;"Yes"),"",IFERROR(INDEX(Settings!$C$9:$C$12,MATCH(I547,Settings!$A$9:$A$12,0)),"")))</f>
        <v/>
      </c>
      <c r="K547" s="27" t="str">
        <f aca="false">IF(J547="","",COUNTIF($I$2:I547,I547))</f>
        <v/>
      </c>
      <c r="L547" s="27" t="str">
        <f aca="false">IF(J547="","",CHOOSE(Q547+1,"Tue","Wed","Thu","Fri"))</f>
        <v/>
      </c>
      <c r="M547" s="27" t="str">
        <f aca="false">IF(J547="","",IF(J547=1,"Every week",R547+1&amp;" of "&amp;J547))</f>
        <v/>
      </c>
      <c r="N547" s="28" t="str">
        <f aca="false">IF(J547="","",Settings!$B$4+R547*7+Q547)</f>
        <v/>
      </c>
      <c r="O547" s="28" t="str">
        <f aca="true">IF(J547="","",N547+MAX(0,ROUNDUP((TODAY()-N547)/(J547*7),0))*J547*7)</f>
        <v/>
      </c>
      <c r="P547" s="27" t="str">
        <f aca="false">IF(J547="","",MOD(K547-1,J547*4))</f>
        <v/>
      </c>
      <c r="Q547" s="27" t="str">
        <f aca="false">IF(J547="","",MOD(P547,4))</f>
        <v/>
      </c>
      <c r="R547" s="27" t="str">
        <f aca="false">IF(J547="","",INT(P547/4))</f>
        <v/>
      </c>
      <c r="S547" s="27" t="str">
        <f aca="false">IF(J547="","",IF(AND('Daily Count Sheet'!$H$3=Q547,MOD('Daily Count Sheet'!$I$3,J547)=R547),1,""))</f>
        <v/>
      </c>
      <c r="T547" s="27" t="str">
        <f aca="false">IF(S547=1,COUNTIF($S$2:S547,1),"")</f>
        <v/>
      </c>
    </row>
    <row r="548" customFormat="false" ht="15" hidden="false" customHeight="false" outlineLevel="0" collapsed="false">
      <c r="H548" s="26"/>
      <c r="I548" s="27" t="str">
        <f aca="false">IF(A548="","",IF(H548&lt;&gt;"",UPPER(TRIM(H548)),IFERROR(CHOOSE(VALUE(E548)+1,"A","B","C","D"),IF(OR(LEFT(UPPER(TRIM(E548)),1)="F",UPPER(TRIM(E548))="A"),"A",IF(OR(LEFT(UPPER(TRIM(E548)),1)="M",UPPER(TRIM(E548))="B"),"B",IF(OR(LEFT(UPPER(TRIM(E548)),2)="SL",UPPER(TRIM(E548))="C"),"C",IF(OR(LEFT(UPPER(TRIM(E548)),1)="D",UPPER(TRIM(E548))="D"),"D","")))))))</f>
        <v/>
      </c>
      <c r="J548" s="27" t="str">
        <f aca="false">IF(I548="","",IF(AND(I548="D",Settings!$B$6&lt;&gt;"Yes"),"",IFERROR(INDEX(Settings!$C$9:$C$12,MATCH(I548,Settings!$A$9:$A$12,0)),"")))</f>
        <v/>
      </c>
      <c r="K548" s="27" t="str">
        <f aca="false">IF(J548="","",COUNTIF($I$2:I548,I548))</f>
        <v/>
      </c>
      <c r="L548" s="27" t="str">
        <f aca="false">IF(J548="","",CHOOSE(Q548+1,"Tue","Wed","Thu","Fri"))</f>
        <v/>
      </c>
      <c r="M548" s="27" t="str">
        <f aca="false">IF(J548="","",IF(J548=1,"Every week",R548+1&amp;" of "&amp;J548))</f>
        <v/>
      </c>
      <c r="N548" s="28" t="str">
        <f aca="false">IF(J548="","",Settings!$B$4+R548*7+Q548)</f>
        <v/>
      </c>
      <c r="O548" s="28" t="str">
        <f aca="true">IF(J548="","",N548+MAX(0,ROUNDUP((TODAY()-N548)/(J548*7),0))*J548*7)</f>
        <v/>
      </c>
      <c r="P548" s="27" t="str">
        <f aca="false">IF(J548="","",MOD(K548-1,J548*4))</f>
        <v/>
      </c>
      <c r="Q548" s="27" t="str">
        <f aca="false">IF(J548="","",MOD(P548,4))</f>
        <v/>
      </c>
      <c r="R548" s="27" t="str">
        <f aca="false">IF(J548="","",INT(P548/4))</f>
        <v/>
      </c>
      <c r="S548" s="27" t="str">
        <f aca="false">IF(J548="","",IF(AND('Daily Count Sheet'!$H$3=Q548,MOD('Daily Count Sheet'!$I$3,J548)=R548),1,""))</f>
        <v/>
      </c>
      <c r="T548" s="27" t="str">
        <f aca="false">IF(S548=1,COUNTIF($S$2:S548,1),"")</f>
        <v/>
      </c>
    </row>
    <row r="549" customFormat="false" ht="15" hidden="false" customHeight="false" outlineLevel="0" collapsed="false">
      <c r="H549" s="26"/>
      <c r="I549" s="27" t="str">
        <f aca="false">IF(A549="","",IF(H549&lt;&gt;"",UPPER(TRIM(H549)),IFERROR(CHOOSE(VALUE(E549)+1,"A","B","C","D"),IF(OR(LEFT(UPPER(TRIM(E549)),1)="F",UPPER(TRIM(E549))="A"),"A",IF(OR(LEFT(UPPER(TRIM(E549)),1)="M",UPPER(TRIM(E549))="B"),"B",IF(OR(LEFT(UPPER(TRIM(E549)),2)="SL",UPPER(TRIM(E549))="C"),"C",IF(OR(LEFT(UPPER(TRIM(E549)),1)="D",UPPER(TRIM(E549))="D"),"D","")))))))</f>
        <v/>
      </c>
      <c r="J549" s="27" t="str">
        <f aca="false">IF(I549="","",IF(AND(I549="D",Settings!$B$6&lt;&gt;"Yes"),"",IFERROR(INDEX(Settings!$C$9:$C$12,MATCH(I549,Settings!$A$9:$A$12,0)),"")))</f>
        <v/>
      </c>
      <c r="K549" s="27" t="str">
        <f aca="false">IF(J549="","",COUNTIF($I$2:I549,I549))</f>
        <v/>
      </c>
      <c r="L549" s="27" t="str">
        <f aca="false">IF(J549="","",CHOOSE(Q549+1,"Tue","Wed","Thu","Fri"))</f>
        <v/>
      </c>
      <c r="M549" s="27" t="str">
        <f aca="false">IF(J549="","",IF(J549=1,"Every week",R549+1&amp;" of "&amp;J549))</f>
        <v/>
      </c>
      <c r="N549" s="28" t="str">
        <f aca="false">IF(J549="","",Settings!$B$4+R549*7+Q549)</f>
        <v/>
      </c>
      <c r="O549" s="28" t="str">
        <f aca="true">IF(J549="","",N549+MAX(0,ROUNDUP((TODAY()-N549)/(J549*7),0))*J549*7)</f>
        <v/>
      </c>
      <c r="P549" s="27" t="str">
        <f aca="false">IF(J549="","",MOD(K549-1,J549*4))</f>
        <v/>
      </c>
      <c r="Q549" s="27" t="str">
        <f aca="false">IF(J549="","",MOD(P549,4))</f>
        <v/>
      </c>
      <c r="R549" s="27" t="str">
        <f aca="false">IF(J549="","",INT(P549/4))</f>
        <v/>
      </c>
      <c r="S549" s="27" t="str">
        <f aca="false">IF(J549="","",IF(AND('Daily Count Sheet'!$H$3=Q549,MOD('Daily Count Sheet'!$I$3,J549)=R549),1,""))</f>
        <v/>
      </c>
      <c r="T549" s="27" t="str">
        <f aca="false">IF(S549=1,COUNTIF($S$2:S549,1),"")</f>
        <v/>
      </c>
    </row>
    <row r="550" customFormat="false" ht="15" hidden="false" customHeight="false" outlineLevel="0" collapsed="false">
      <c r="H550" s="26"/>
      <c r="I550" s="27" t="str">
        <f aca="false">IF(A550="","",IF(H550&lt;&gt;"",UPPER(TRIM(H550)),IFERROR(CHOOSE(VALUE(E550)+1,"A","B","C","D"),IF(OR(LEFT(UPPER(TRIM(E550)),1)="F",UPPER(TRIM(E550))="A"),"A",IF(OR(LEFT(UPPER(TRIM(E550)),1)="M",UPPER(TRIM(E550))="B"),"B",IF(OR(LEFT(UPPER(TRIM(E550)),2)="SL",UPPER(TRIM(E550))="C"),"C",IF(OR(LEFT(UPPER(TRIM(E550)),1)="D",UPPER(TRIM(E550))="D"),"D","")))))))</f>
        <v/>
      </c>
      <c r="J550" s="27" t="str">
        <f aca="false">IF(I550="","",IF(AND(I550="D",Settings!$B$6&lt;&gt;"Yes"),"",IFERROR(INDEX(Settings!$C$9:$C$12,MATCH(I550,Settings!$A$9:$A$12,0)),"")))</f>
        <v/>
      </c>
      <c r="K550" s="27" t="str">
        <f aca="false">IF(J550="","",COUNTIF($I$2:I550,I550))</f>
        <v/>
      </c>
      <c r="L550" s="27" t="str">
        <f aca="false">IF(J550="","",CHOOSE(Q550+1,"Tue","Wed","Thu","Fri"))</f>
        <v/>
      </c>
      <c r="M550" s="27" t="str">
        <f aca="false">IF(J550="","",IF(J550=1,"Every week",R550+1&amp;" of "&amp;J550))</f>
        <v/>
      </c>
      <c r="N550" s="28" t="str">
        <f aca="false">IF(J550="","",Settings!$B$4+R550*7+Q550)</f>
        <v/>
      </c>
      <c r="O550" s="28" t="str">
        <f aca="true">IF(J550="","",N550+MAX(0,ROUNDUP((TODAY()-N550)/(J550*7),0))*J550*7)</f>
        <v/>
      </c>
      <c r="P550" s="27" t="str">
        <f aca="false">IF(J550="","",MOD(K550-1,J550*4))</f>
        <v/>
      </c>
      <c r="Q550" s="27" t="str">
        <f aca="false">IF(J550="","",MOD(P550,4))</f>
        <v/>
      </c>
      <c r="R550" s="27" t="str">
        <f aca="false">IF(J550="","",INT(P550/4))</f>
        <v/>
      </c>
      <c r="S550" s="27" t="str">
        <f aca="false">IF(J550="","",IF(AND('Daily Count Sheet'!$H$3=Q550,MOD('Daily Count Sheet'!$I$3,J550)=R550),1,""))</f>
        <v/>
      </c>
      <c r="T550" s="27" t="str">
        <f aca="false">IF(S550=1,COUNTIF($S$2:S550,1),"")</f>
        <v/>
      </c>
    </row>
    <row r="551" customFormat="false" ht="15" hidden="false" customHeight="false" outlineLevel="0" collapsed="false">
      <c r="H551" s="26"/>
      <c r="I551" s="27" t="str">
        <f aca="false">IF(A551="","",IF(H551&lt;&gt;"",UPPER(TRIM(H551)),IFERROR(CHOOSE(VALUE(E551)+1,"A","B","C","D"),IF(OR(LEFT(UPPER(TRIM(E551)),1)="F",UPPER(TRIM(E551))="A"),"A",IF(OR(LEFT(UPPER(TRIM(E551)),1)="M",UPPER(TRIM(E551))="B"),"B",IF(OR(LEFT(UPPER(TRIM(E551)),2)="SL",UPPER(TRIM(E551))="C"),"C",IF(OR(LEFT(UPPER(TRIM(E551)),1)="D",UPPER(TRIM(E551))="D"),"D","")))))))</f>
        <v/>
      </c>
      <c r="J551" s="27" t="str">
        <f aca="false">IF(I551="","",IF(AND(I551="D",Settings!$B$6&lt;&gt;"Yes"),"",IFERROR(INDEX(Settings!$C$9:$C$12,MATCH(I551,Settings!$A$9:$A$12,0)),"")))</f>
        <v/>
      </c>
      <c r="K551" s="27" t="str">
        <f aca="false">IF(J551="","",COUNTIF($I$2:I551,I551))</f>
        <v/>
      </c>
      <c r="L551" s="27" t="str">
        <f aca="false">IF(J551="","",CHOOSE(Q551+1,"Tue","Wed","Thu","Fri"))</f>
        <v/>
      </c>
      <c r="M551" s="27" t="str">
        <f aca="false">IF(J551="","",IF(J551=1,"Every week",R551+1&amp;" of "&amp;J551))</f>
        <v/>
      </c>
      <c r="N551" s="28" t="str">
        <f aca="false">IF(J551="","",Settings!$B$4+R551*7+Q551)</f>
        <v/>
      </c>
      <c r="O551" s="28" t="str">
        <f aca="true">IF(J551="","",N551+MAX(0,ROUNDUP((TODAY()-N551)/(J551*7),0))*J551*7)</f>
        <v/>
      </c>
      <c r="P551" s="27" t="str">
        <f aca="false">IF(J551="","",MOD(K551-1,J551*4))</f>
        <v/>
      </c>
      <c r="Q551" s="27" t="str">
        <f aca="false">IF(J551="","",MOD(P551,4))</f>
        <v/>
      </c>
      <c r="R551" s="27" t="str">
        <f aca="false">IF(J551="","",INT(P551/4))</f>
        <v/>
      </c>
      <c r="S551" s="27" t="str">
        <f aca="false">IF(J551="","",IF(AND('Daily Count Sheet'!$H$3=Q551,MOD('Daily Count Sheet'!$I$3,J551)=R551),1,""))</f>
        <v/>
      </c>
      <c r="T551" s="27" t="str">
        <f aca="false">IF(S551=1,COUNTIF($S$2:S551,1),"")</f>
        <v/>
      </c>
    </row>
    <row r="552" customFormat="false" ht="15" hidden="false" customHeight="false" outlineLevel="0" collapsed="false">
      <c r="H552" s="26"/>
      <c r="I552" s="27" t="str">
        <f aca="false">IF(A552="","",IF(H552&lt;&gt;"",UPPER(TRIM(H552)),IFERROR(CHOOSE(VALUE(E552)+1,"A","B","C","D"),IF(OR(LEFT(UPPER(TRIM(E552)),1)="F",UPPER(TRIM(E552))="A"),"A",IF(OR(LEFT(UPPER(TRIM(E552)),1)="M",UPPER(TRIM(E552))="B"),"B",IF(OR(LEFT(UPPER(TRIM(E552)),2)="SL",UPPER(TRIM(E552))="C"),"C",IF(OR(LEFT(UPPER(TRIM(E552)),1)="D",UPPER(TRIM(E552))="D"),"D","")))))))</f>
        <v/>
      </c>
      <c r="J552" s="27" t="str">
        <f aca="false">IF(I552="","",IF(AND(I552="D",Settings!$B$6&lt;&gt;"Yes"),"",IFERROR(INDEX(Settings!$C$9:$C$12,MATCH(I552,Settings!$A$9:$A$12,0)),"")))</f>
        <v/>
      </c>
      <c r="K552" s="27" t="str">
        <f aca="false">IF(J552="","",COUNTIF($I$2:I552,I552))</f>
        <v/>
      </c>
      <c r="L552" s="27" t="str">
        <f aca="false">IF(J552="","",CHOOSE(Q552+1,"Tue","Wed","Thu","Fri"))</f>
        <v/>
      </c>
      <c r="M552" s="27" t="str">
        <f aca="false">IF(J552="","",IF(J552=1,"Every week",R552+1&amp;" of "&amp;J552))</f>
        <v/>
      </c>
      <c r="N552" s="28" t="str">
        <f aca="false">IF(J552="","",Settings!$B$4+R552*7+Q552)</f>
        <v/>
      </c>
      <c r="O552" s="28" t="str">
        <f aca="true">IF(J552="","",N552+MAX(0,ROUNDUP((TODAY()-N552)/(J552*7),0))*J552*7)</f>
        <v/>
      </c>
      <c r="P552" s="27" t="str">
        <f aca="false">IF(J552="","",MOD(K552-1,J552*4))</f>
        <v/>
      </c>
      <c r="Q552" s="27" t="str">
        <f aca="false">IF(J552="","",MOD(P552,4))</f>
        <v/>
      </c>
      <c r="R552" s="27" t="str">
        <f aca="false">IF(J552="","",INT(P552/4))</f>
        <v/>
      </c>
      <c r="S552" s="27" t="str">
        <f aca="false">IF(J552="","",IF(AND('Daily Count Sheet'!$H$3=Q552,MOD('Daily Count Sheet'!$I$3,J552)=R552),1,""))</f>
        <v/>
      </c>
      <c r="T552" s="27" t="str">
        <f aca="false">IF(S552=1,COUNTIF($S$2:S552,1),"")</f>
        <v/>
      </c>
    </row>
    <row r="553" customFormat="false" ht="15" hidden="false" customHeight="false" outlineLevel="0" collapsed="false">
      <c r="H553" s="26"/>
      <c r="I553" s="27" t="str">
        <f aca="false">IF(A553="","",IF(H553&lt;&gt;"",UPPER(TRIM(H553)),IFERROR(CHOOSE(VALUE(E553)+1,"A","B","C","D"),IF(OR(LEFT(UPPER(TRIM(E553)),1)="F",UPPER(TRIM(E553))="A"),"A",IF(OR(LEFT(UPPER(TRIM(E553)),1)="M",UPPER(TRIM(E553))="B"),"B",IF(OR(LEFT(UPPER(TRIM(E553)),2)="SL",UPPER(TRIM(E553))="C"),"C",IF(OR(LEFT(UPPER(TRIM(E553)),1)="D",UPPER(TRIM(E553))="D"),"D","")))))))</f>
        <v/>
      </c>
      <c r="J553" s="27" t="str">
        <f aca="false">IF(I553="","",IF(AND(I553="D",Settings!$B$6&lt;&gt;"Yes"),"",IFERROR(INDEX(Settings!$C$9:$C$12,MATCH(I553,Settings!$A$9:$A$12,0)),"")))</f>
        <v/>
      </c>
      <c r="K553" s="27" t="str">
        <f aca="false">IF(J553="","",COUNTIF($I$2:I553,I553))</f>
        <v/>
      </c>
      <c r="L553" s="27" t="str">
        <f aca="false">IF(J553="","",CHOOSE(Q553+1,"Tue","Wed","Thu","Fri"))</f>
        <v/>
      </c>
      <c r="M553" s="27" t="str">
        <f aca="false">IF(J553="","",IF(J553=1,"Every week",R553+1&amp;" of "&amp;J553))</f>
        <v/>
      </c>
      <c r="N553" s="28" t="str">
        <f aca="false">IF(J553="","",Settings!$B$4+R553*7+Q553)</f>
        <v/>
      </c>
      <c r="O553" s="28" t="str">
        <f aca="true">IF(J553="","",N553+MAX(0,ROUNDUP((TODAY()-N553)/(J553*7),0))*J553*7)</f>
        <v/>
      </c>
      <c r="P553" s="27" t="str">
        <f aca="false">IF(J553="","",MOD(K553-1,J553*4))</f>
        <v/>
      </c>
      <c r="Q553" s="27" t="str">
        <f aca="false">IF(J553="","",MOD(P553,4))</f>
        <v/>
      </c>
      <c r="R553" s="27" t="str">
        <f aca="false">IF(J553="","",INT(P553/4))</f>
        <v/>
      </c>
      <c r="S553" s="27" t="str">
        <f aca="false">IF(J553="","",IF(AND('Daily Count Sheet'!$H$3=Q553,MOD('Daily Count Sheet'!$I$3,J553)=R553),1,""))</f>
        <v/>
      </c>
      <c r="T553" s="27" t="str">
        <f aca="false">IF(S553=1,COUNTIF($S$2:S553,1),"")</f>
        <v/>
      </c>
    </row>
    <row r="554" customFormat="false" ht="15" hidden="false" customHeight="false" outlineLevel="0" collapsed="false">
      <c r="H554" s="26"/>
      <c r="I554" s="27" t="str">
        <f aca="false">IF(A554="","",IF(H554&lt;&gt;"",UPPER(TRIM(H554)),IFERROR(CHOOSE(VALUE(E554)+1,"A","B","C","D"),IF(OR(LEFT(UPPER(TRIM(E554)),1)="F",UPPER(TRIM(E554))="A"),"A",IF(OR(LEFT(UPPER(TRIM(E554)),1)="M",UPPER(TRIM(E554))="B"),"B",IF(OR(LEFT(UPPER(TRIM(E554)),2)="SL",UPPER(TRIM(E554))="C"),"C",IF(OR(LEFT(UPPER(TRIM(E554)),1)="D",UPPER(TRIM(E554))="D"),"D","")))))))</f>
        <v/>
      </c>
      <c r="J554" s="27" t="str">
        <f aca="false">IF(I554="","",IF(AND(I554="D",Settings!$B$6&lt;&gt;"Yes"),"",IFERROR(INDEX(Settings!$C$9:$C$12,MATCH(I554,Settings!$A$9:$A$12,0)),"")))</f>
        <v/>
      </c>
      <c r="K554" s="27" t="str">
        <f aca="false">IF(J554="","",COUNTIF($I$2:I554,I554))</f>
        <v/>
      </c>
      <c r="L554" s="27" t="str">
        <f aca="false">IF(J554="","",CHOOSE(Q554+1,"Tue","Wed","Thu","Fri"))</f>
        <v/>
      </c>
      <c r="M554" s="27" t="str">
        <f aca="false">IF(J554="","",IF(J554=1,"Every week",R554+1&amp;" of "&amp;J554))</f>
        <v/>
      </c>
      <c r="N554" s="28" t="str">
        <f aca="false">IF(J554="","",Settings!$B$4+R554*7+Q554)</f>
        <v/>
      </c>
      <c r="O554" s="28" t="str">
        <f aca="true">IF(J554="","",N554+MAX(0,ROUNDUP((TODAY()-N554)/(J554*7),0))*J554*7)</f>
        <v/>
      </c>
      <c r="P554" s="27" t="str">
        <f aca="false">IF(J554="","",MOD(K554-1,J554*4))</f>
        <v/>
      </c>
      <c r="Q554" s="27" t="str">
        <f aca="false">IF(J554="","",MOD(P554,4))</f>
        <v/>
      </c>
      <c r="R554" s="27" t="str">
        <f aca="false">IF(J554="","",INT(P554/4))</f>
        <v/>
      </c>
      <c r="S554" s="27" t="str">
        <f aca="false">IF(J554="","",IF(AND('Daily Count Sheet'!$H$3=Q554,MOD('Daily Count Sheet'!$I$3,J554)=R554),1,""))</f>
        <v/>
      </c>
      <c r="T554" s="27" t="str">
        <f aca="false">IF(S554=1,COUNTIF($S$2:S554,1),"")</f>
        <v/>
      </c>
    </row>
    <row r="555" customFormat="false" ht="15" hidden="false" customHeight="false" outlineLevel="0" collapsed="false">
      <c r="H555" s="26"/>
      <c r="I555" s="27" t="str">
        <f aca="false">IF(A555="","",IF(H555&lt;&gt;"",UPPER(TRIM(H555)),IFERROR(CHOOSE(VALUE(E555)+1,"A","B","C","D"),IF(OR(LEFT(UPPER(TRIM(E555)),1)="F",UPPER(TRIM(E555))="A"),"A",IF(OR(LEFT(UPPER(TRIM(E555)),1)="M",UPPER(TRIM(E555))="B"),"B",IF(OR(LEFT(UPPER(TRIM(E555)),2)="SL",UPPER(TRIM(E555))="C"),"C",IF(OR(LEFT(UPPER(TRIM(E555)),1)="D",UPPER(TRIM(E555))="D"),"D","")))))))</f>
        <v/>
      </c>
      <c r="J555" s="27" t="str">
        <f aca="false">IF(I555="","",IF(AND(I555="D",Settings!$B$6&lt;&gt;"Yes"),"",IFERROR(INDEX(Settings!$C$9:$C$12,MATCH(I555,Settings!$A$9:$A$12,0)),"")))</f>
        <v/>
      </c>
      <c r="K555" s="27" t="str">
        <f aca="false">IF(J555="","",COUNTIF($I$2:I555,I555))</f>
        <v/>
      </c>
      <c r="L555" s="27" t="str">
        <f aca="false">IF(J555="","",CHOOSE(Q555+1,"Tue","Wed","Thu","Fri"))</f>
        <v/>
      </c>
      <c r="M555" s="27" t="str">
        <f aca="false">IF(J555="","",IF(J555=1,"Every week",R555+1&amp;" of "&amp;J555))</f>
        <v/>
      </c>
      <c r="N555" s="28" t="str">
        <f aca="false">IF(J555="","",Settings!$B$4+R555*7+Q555)</f>
        <v/>
      </c>
      <c r="O555" s="28" t="str">
        <f aca="true">IF(J555="","",N555+MAX(0,ROUNDUP((TODAY()-N555)/(J555*7),0))*J555*7)</f>
        <v/>
      </c>
      <c r="P555" s="27" t="str">
        <f aca="false">IF(J555="","",MOD(K555-1,J555*4))</f>
        <v/>
      </c>
      <c r="Q555" s="27" t="str">
        <f aca="false">IF(J555="","",MOD(P555,4))</f>
        <v/>
      </c>
      <c r="R555" s="27" t="str">
        <f aca="false">IF(J555="","",INT(P555/4))</f>
        <v/>
      </c>
      <c r="S555" s="27" t="str">
        <f aca="false">IF(J555="","",IF(AND('Daily Count Sheet'!$H$3=Q555,MOD('Daily Count Sheet'!$I$3,J555)=R555),1,""))</f>
        <v/>
      </c>
      <c r="T555" s="27" t="str">
        <f aca="false">IF(S555=1,COUNTIF($S$2:S555,1),"")</f>
        <v/>
      </c>
    </row>
    <row r="556" customFormat="false" ht="15" hidden="false" customHeight="false" outlineLevel="0" collapsed="false">
      <c r="H556" s="26"/>
      <c r="I556" s="27" t="str">
        <f aca="false">IF(A556="","",IF(H556&lt;&gt;"",UPPER(TRIM(H556)),IFERROR(CHOOSE(VALUE(E556)+1,"A","B","C","D"),IF(OR(LEFT(UPPER(TRIM(E556)),1)="F",UPPER(TRIM(E556))="A"),"A",IF(OR(LEFT(UPPER(TRIM(E556)),1)="M",UPPER(TRIM(E556))="B"),"B",IF(OR(LEFT(UPPER(TRIM(E556)),2)="SL",UPPER(TRIM(E556))="C"),"C",IF(OR(LEFT(UPPER(TRIM(E556)),1)="D",UPPER(TRIM(E556))="D"),"D","")))))))</f>
        <v/>
      </c>
      <c r="J556" s="27" t="str">
        <f aca="false">IF(I556="","",IF(AND(I556="D",Settings!$B$6&lt;&gt;"Yes"),"",IFERROR(INDEX(Settings!$C$9:$C$12,MATCH(I556,Settings!$A$9:$A$12,0)),"")))</f>
        <v/>
      </c>
      <c r="K556" s="27" t="str">
        <f aca="false">IF(J556="","",COUNTIF($I$2:I556,I556))</f>
        <v/>
      </c>
      <c r="L556" s="27" t="str">
        <f aca="false">IF(J556="","",CHOOSE(Q556+1,"Tue","Wed","Thu","Fri"))</f>
        <v/>
      </c>
      <c r="M556" s="27" t="str">
        <f aca="false">IF(J556="","",IF(J556=1,"Every week",R556+1&amp;" of "&amp;J556))</f>
        <v/>
      </c>
      <c r="N556" s="28" t="str">
        <f aca="false">IF(J556="","",Settings!$B$4+R556*7+Q556)</f>
        <v/>
      </c>
      <c r="O556" s="28" t="str">
        <f aca="true">IF(J556="","",N556+MAX(0,ROUNDUP((TODAY()-N556)/(J556*7),0))*J556*7)</f>
        <v/>
      </c>
      <c r="P556" s="27" t="str">
        <f aca="false">IF(J556="","",MOD(K556-1,J556*4))</f>
        <v/>
      </c>
      <c r="Q556" s="27" t="str">
        <f aca="false">IF(J556="","",MOD(P556,4))</f>
        <v/>
      </c>
      <c r="R556" s="27" t="str">
        <f aca="false">IF(J556="","",INT(P556/4))</f>
        <v/>
      </c>
      <c r="S556" s="27" t="str">
        <f aca="false">IF(J556="","",IF(AND('Daily Count Sheet'!$H$3=Q556,MOD('Daily Count Sheet'!$I$3,J556)=R556),1,""))</f>
        <v/>
      </c>
      <c r="T556" s="27" t="str">
        <f aca="false">IF(S556=1,COUNTIF($S$2:S556,1),"")</f>
        <v/>
      </c>
    </row>
    <row r="557" customFormat="false" ht="15" hidden="false" customHeight="false" outlineLevel="0" collapsed="false">
      <c r="H557" s="26"/>
      <c r="I557" s="27" t="str">
        <f aca="false">IF(A557="","",IF(H557&lt;&gt;"",UPPER(TRIM(H557)),IFERROR(CHOOSE(VALUE(E557)+1,"A","B","C","D"),IF(OR(LEFT(UPPER(TRIM(E557)),1)="F",UPPER(TRIM(E557))="A"),"A",IF(OR(LEFT(UPPER(TRIM(E557)),1)="M",UPPER(TRIM(E557))="B"),"B",IF(OR(LEFT(UPPER(TRIM(E557)),2)="SL",UPPER(TRIM(E557))="C"),"C",IF(OR(LEFT(UPPER(TRIM(E557)),1)="D",UPPER(TRIM(E557))="D"),"D","")))))))</f>
        <v/>
      </c>
      <c r="J557" s="27" t="str">
        <f aca="false">IF(I557="","",IF(AND(I557="D",Settings!$B$6&lt;&gt;"Yes"),"",IFERROR(INDEX(Settings!$C$9:$C$12,MATCH(I557,Settings!$A$9:$A$12,0)),"")))</f>
        <v/>
      </c>
      <c r="K557" s="27" t="str">
        <f aca="false">IF(J557="","",COUNTIF($I$2:I557,I557))</f>
        <v/>
      </c>
      <c r="L557" s="27" t="str">
        <f aca="false">IF(J557="","",CHOOSE(Q557+1,"Tue","Wed","Thu","Fri"))</f>
        <v/>
      </c>
      <c r="M557" s="27" t="str">
        <f aca="false">IF(J557="","",IF(J557=1,"Every week",R557+1&amp;" of "&amp;J557))</f>
        <v/>
      </c>
      <c r="N557" s="28" t="str">
        <f aca="false">IF(J557="","",Settings!$B$4+R557*7+Q557)</f>
        <v/>
      </c>
      <c r="O557" s="28" t="str">
        <f aca="true">IF(J557="","",N557+MAX(0,ROUNDUP((TODAY()-N557)/(J557*7),0))*J557*7)</f>
        <v/>
      </c>
      <c r="P557" s="27" t="str">
        <f aca="false">IF(J557="","",MOD(K557-1,J557*4))</f>
        <v/>
      </c>
      <c r="Q557" s="27" t="str">
        <f aca="false">IF(J557="","",MOD(P557,4))</f>
        <v/>
      </c>
      <c r="R557" s="27" t="str">
        <f aca="false">IF(J557="","",INT(P557/4))</f>
        <v/>
      </c>
      <c r="S557" s="27" t="str">
        <f aca="false">IF(J557="","",IF(AND('Daily Count Sheet'!$H$3=Q557,MOD('Daily Count Sheet'!$I$3,J557)=R557),1,""))</f>
        <v/>
      </c>
      <c r="T557" s="27" t="str">
        <f aca="false">IF(S557=1,COUNTIF($S$2:S557,1),"")</f>
        <v/>
      </c>
    </row>
    <row r="558" customFormat="false" ht="15" hidden="false" customHeight="false" outlineLevel="0" collapsed="false">
      <c r="H558" s="26"/>
      <c r="I558" s="27" t="str">
        <f aca="false">IF(A558="","",IF(H558&lt;&gt;"",UPPER(TRIM(H558)),IFERROR(CHOOSE(VALUE(E558)+1,"A","B","C","D"),IF(OR(LEFT(UPPER(TRIM(E558)),1)="F",UPPER(TRIM(E558))="A"),"A",IF(OR(LEFT(UPPER(TRIM(E558)),1)="M",UPPER(TRIM(E558))="B"),"B",IF(OR(LEFT(UPPER(TRIM(E558)),2)="SL",UPPER(TRIM(E558))="C"),"C",IF(OR(LEFT(UPPER(TRIM(E558)),1)="D",UPPER(TRIM(E558))="D"),"D","")))))))</f>
        <v/>
      </c>
      <c r="J558" s="27" t="str">
        <f aca="false">IF(I558="","",IF(AND(I558="D",Settings!$B$6&lt;&gt;"Yes"),"",IFERROR(INDEX(Settings!$C$9:$C$12,MATCH(I558,Settings!$A$9:$A$12,0)),"")))</f>
        <v/>
      </c>
      <c r="K558" s="27" t="str">
        <f aca="false">IF(J558="","",COUNTIF($I$2:I558,I558))</f>
        <v/>
      </c>
      <c r="L558" s="27" t="str">
        <f aca="false">IF(J558="","",CHOOSE(Q558+1,"Tue","Wed","Thu","Fri"))</f>
        <v/>
      </c>
      <c r="M558" s="27" t="str">
        <f aca="false">IF(J558="","",IF(J558=1,"Every week",R558+1&amp;" of "&amp;J558))</f>
        <v/>
      </c>
      <c r="N558" s="28" t="str">
        <f aca="false">IF(J558="","",Settings!$B$4+R558*7+Q558)</f>
        <v/>
      </c>
      <c r="O558" s="28" t="str">
        <f aca="true">IF(J558="","",N558+MAX(0,ROUNDUP((TODAY()-N558)/(J558*7),0))*J558*7)</f>
        <v/>
      </c>
      <c r="P558" s="27" t="str">
        <f aca="false">IF(J558="","",MOD(K558-1,J558*4))</f>
        <v/>
      </c>
      <c r="Q558" s="27" t="str">
        <f aca="false">IF(J558="","",MOD(P558,4))</f>
        <v/>
      </c>
      <c r="R558" s="27" t="str">
        <f aca="false">IF(J558="","",INT(P558/4))</f>
        <v/>
      </c>
      <c r="S558" s="27" t="str">
        <f aca="false">IF(J558="","",IF(AND('Daily Count Sheet'!$H$3=Q558,MOD('Daily Count Sheet'!$I$3,J558)=R558),1,""))</f>
        <v/>
      </c>
      <c r="T558" s="27" t="str">
        <f aca="false">IF(S558=1,COUNTIF($S$2:S558,1),"")</f>
        <v/>
      </c>
    </row>
    <row r="559" customFormat="false" ht="15" hidden="false" customHeight="false" outlineLevel="0" collapsed="false">
      <c r="H559" s="26"/>
      <c r="I559" s="27" t="str">
        <f aca="false">IF(A559="","",IF(H559&lt;&gt;"",UPPER(TRIM(H559)),IFERROR(CHOOSE(VALUE(E559)+1,"A","B","C","D"),IF(OR(LEFT(UPPER(TRIM(E559)),1)="F",UPPER(TRIM(E559))="A"),"A",IF(OR(LEFT(UPPER(TRIM(E559)),1)="M",UPPER(TRIM(E559))="B"),"B",IF(OR(LEFT(UPPER(TRIM(E559)),2)="SL",UPPER(TRIM(E559))="C"),"C",IF(OR(LEFT(UPPER(TRIM(E559)),1)="D",UPPER(TRIM(E559))="D"),"D","")))))))</f>
        <v/>
      </c>
      <c r="J559" s="27" t="str">
        <f aca="false">IF(I559="","",IF(AND(I559="D",Settings!$B$6&lt;&gt;"Yes"),"",IFERROR(INDEX(Settings!$C$9:$C$12,MATCH(I559,Settings!$A$9:$A$12,0)),"")))</f>
        <v/>
      </c>
      <c r="K559" s="27" t="str">
        <f aca="false">IF(J559="","",COUNTIF($I$2:I559,I559))</f>
        <v/>
      </c>
      <c r="L559" s="27" t="str">
        <f aca="false">IF(J559="","",CHOOSE(Q559+1,"Tue","Wed","Thu","Fri"))</f>
        <v/>
      </c>
      <c r="M559" s="27" t="str">
        <f aca="false">IF(J559="","",IF(J559=1,"Every week",R559+1&amp;" of "&amp;J559))</f>
        <v/>
      </c>
      <c r="N559" s="28" t="str">
        <f aca="false">IF(J559="","",Settings!$B$4+R559*7+Q559)</f>
        <v/>
      </c>
      <c r="O559" s="28" t="str">
        <f aca="true">IF(J559="","",N559+MAX(0,ROUNDUP((TODAY()-N559)/(J559*7),0))*J559*7)</f>
        <v/>
      </c>
      <c r="P559" s="27" t="str">
        <f aca="false">IF(J559="","",MOD(K559-1,J559*4))</f>
        <v/>
      </c>
      <c r="Q559" s="27" t="str">
        <f aca="false">IF(J559="","",MOD(P559,4))</f>
        <v/>
      </c>
      <c r="R559" s="27" t="str">
        <f aca="false">IF(J559="","",INT(P559/4))</f>
        <v/>
      </c>
      <c r="S559" s="27" t="str">
        <f aca="false">IF(J559="","",IF(AND('Daily Count Sheet'!$H$3=Q559,MOD('Daily Count Sheet'!$I$3,J559)=R559),1,""))</f>
        <v/>
      </c>
      <c r="T559" s="27" t="str">
        <f aca="false">IF(S559=1,COUNTIF($S$2:S559,1),"")</f>
        <v/>
      </c>
    </row>
    <row r="560" customFormat="false" ht="15" hidden="false" customHeight="false" outlineLevel="0" collapsed="false">
      <c r="H560" s="26"/>
      <c r="I560" s="27" t="str">
        <f aca="false">IF(A560="","",IF(H560&lt;&gt;"",UPPER(TRIM(H560)),IFERROR(CHOOSE(VALUE(E560)+1,"A","B","C","D"),IF(OR(LEFT(UPPER(TRIM(E560)),1)="F",UPPER(TRIM(E560))="A"),"A",IF(OR(LEFT(UPPER(TRIM(E560)),1)="M",UPPER(TRIM(E560))="B"),"B",IF(OR(LEFT(UPPER(TRIM(E560)),2)="SL",UPPER(TRIM(E560))="C"),"C",IF(OR(LEFT(UPPER(TRIM(E560)),1)="D",UPPER(TRIM(E560))="D"),"D","")))))))</f>
        <v/>
      </c>
      <c r="J560" s="27" t="str">
        <f aca="false">IF(I560="","",IF(AND(I560="D",Settings!$B$6&lt;&gt;"Yes"),"",IFERROR(INDEX(Settings!$C$9:$C$12,MATCH(I560,Settings!$A$9:$A$12,0)),"")))</f>
        <v/>
      </c>
      <c r="K560" s="27" t="str">
        <f aca="false">IF(J560="","",COUNTIF($I$2:I560,I560))</f>
        <v/>
      </c>
      <c r="L560" s="27" t="str">
        <f aca="false">IF(J560="","",CHOOSE(Q560+1,"Tue","Wed","Thu","Fri"))</f>
        <v/>
      </c>
      <c r="M560" s="27" t="str">
        <f aca="false">IF(J560="","",IF(J560=1,"Every week",R560+1&amp;" of "&amp;J560))</f>
        <v/>
      </c>
      <c r="N560" s="28" t="str">
        <f aca="false">IF(J560="","",Settings!$B$4+R560*7+Q560)</f>
        <v/>
      </c>
      <c r="O560" s="28" t="str">
        <f aca="true">IF(J560="","",N560+MAX(0,ROUNDUP((TODAY()-N560)/(J560*7),0))*J560*7)</f>
        <v/>
      </c>
      <c r="P560" s="27" t="str">
        <f aca="false">IF(J560="","",MOD(K560-1,J560*4))</f>
        <v/>
      </c>
      <c r="Q560" s="27" t="str">
        <f aca="false">IF(J560="","",MOD(P560,4))</f>
        <v/>
      </c>
      <c r="R560" s="27" t="str">
        <f aca="false">IF(J560="","",INT(P560/4))</f>
        <v/>
      </c>
      <c r="S560" s="27" t="str">
        <f aca="false">IF(J560="","",IF(AND('Daily Count Sheet'!$H$3=Q560,MOD('Daily Count Sheet'!$I$3,J560)=R560),1,""))</f>
        <v/>
      </c>
      <c r="T560" s="27" t="str">
        <f aca="false">IF(S560=1,COUNTIF($S$2:S560,1),"")</f>
        <v/>
      </c>
    </row>
    <row r="561" customFormat="false" ht="15" hidden="false" customHeight="false" outlineLevel="0" collapsed="false">
      <c r="H561" s="26"/>
      <c r="I561" s="27" t="str">
        <f aca="false">IF(A561="","",IF(H561&lt;&gt;"",UPPER(TRIM(H561)),IFERROR(CHOOSE(VALUE(E561)+1,"A","B","C","D"),IF(OR(LEFT(UPPER(TRIM(E561)),1)="F",UPPER(TRIM(E561))="A"),"A",IF(OR(LEFT(UPPER(TRIM(E561)),1)="M",UPPER(TRIM(E561))="B"),"B",IF(OR(LEFT(UPPER(TRIM(E561)),2)="SL",UPPER(TRIM(E561))="C"),"C",IF(OR(LEFT(UPPER(TRIM(E561)),1)="D",UPPER(TRIM(E561))="D"),"D","")))))))</f>
        <v/>
      </c>
      <c r="J561" s="27" t="str">
        <f aca="false">IF(I561="","",IF(AND(I561="D",Settings!$B$6&lt;&gt;"Yes"),"",IFERROR(INDEX(Settings!$C$9:$C$12,MATCH(I561,Settings!$A$9:$A$12,0)),"")))</f>
        <v/>
      </c>
      <c r="K561" s="27" t="str">
        <f aca="false">IF(J561="","",COUNTIF($I$2:I561,I561))</f>
        <v/>
      </c>
      <c r="L561" s="27" t="str">
        <f aca="false">IF(J561="","",CHOOSE(Q561+1,"Tue","Wed","Thu","Fri"))</f>
        <v/>
      </c>
      <c r="M561" s="27" t="str">
        <f aca="false">IF(J561="","",IF(J561=1,"Every week",R561+1&amp;" of "&amp;J561))</f>
        <v/>
      </c>
      <c r="N561" s="28" t="str">
        <f aca="false">IF(J561="","",Settings!$B$4+R561*7+Q561)</f>
        <v/>
      </c>
      <c r="O561" s="28" t="str">
        <f aca="true">IF(J561="","",N561+MAX(0,ROUNDUP((TODAY()-N561)/(J561*7),0))*J561*7)</f>
        <v/>
      </c>
      <c r="P561" s="27" t="str">
        <f aca="false">IF(J561="","",MOD(K561-1,J561*4))</f>
        <v/>
      </c>
      <c r="Q561" s="27" t="str">
        <f aca="false">IF(J561="","",MOD(P561,4))</f>
        <v/>
      </c>
      <c r="R561" s="27" t="str">
        <f aca="false">IF(J561="","",INT(P561/4))</f>
        <v/>
      </c>
      <c r="S561" s="27" t="str">
        <f aca="false">IF(J561="","",IF(AND('Daily Count Sheet'!$H$3=Q561,MOD('Daily Count Sheet'!$I$3,J561)=R561),1,""))</f>
        <v/>
      </c>
      <c r="T561" s="27" t="str">
        <f aca="false">IF(S561=1,COUNTIF($S$2:S561,1),"")</f>
        <v/>
      </c>
    </row>
    <row r="562" customFormat="false" ht="15" hidden="false" customHeight="false" outlineLevel="0" collapsed="false">
      <c r="H562" s="26"/>
      <c r="I562" s="27" t="str">
        <f aca="false">IF(A562="","",IF(H562&lt;&gt;"",UPPER(TRIM(H562)),IFERROR(CHOOSE(VALUE(E562)+1,"A","B","C","D"),IF(OR(LEFT(UPPER(TRIM(E562)),1)="F",UPPER(TRIM(E562))="A"),"A",IF(OR(LEFT(UPPER(TRIM(E562)),1)="M",UPPER(TRIM(E562))="B"),"B",IF(OR(LEFT(UPPER(TRIM(E562)),2)="SL",UPPER(TRIM(E562))="C"),"C",IF(OR(LEFT(UPPER(TRIM(E562)),1)="D",UPPER(TRIM(E562))="D"),"D","")))))))</f>
        <v/>
      </c>
      <c r="J562" s="27" t="str">
        <f aca="false">IF(I562="","",IF(AND(I562="D",Settings!$B$6&lt;&gt;"Yes"),"",IFERROR(INDEX(Settings!$C$9:$C$12,MATCH(I562,Settings!$A$9:$A$12,0)),"")))</f>
        <v/>
      </c>
      <c r="K562" s="27" t="str">
        <f aca="false">IF(J562="","",COUNTIF($I$2:I562,I562))</f>
        <v/>
      </c>
      <c r="L562" s="27" t="str">
        <f aca="false">IF(J562="","",CHOOSE(Q562+1,"Tue","Wed","Thu","Fri"))</f>
        <v/>
      </c>
      <c r="M562" s="27" t="str">
        <f aca="false">IF(J562="","",IF(J562=1,"Every week",R562+1&amp;" of "&amp;J562))</f>
        <v/>
      </c>
      <c r="N562" s="28" t="str">
        <f aca="false">IF(J562="","",Settings!$B$4+R562*7+Q562)</f>
        <v/>
      </c>
      <c r="O562" s="28" t="str">
        <f aca="true">IF(J562="","",N562+MAX(0,ROUNDUP((TODAY()-N562)/(J562*7),0))*J562*7)</f>
        <v/>
      </c>
      <c r="P562" s="27" t="str">
        <f aca="false">IF(J562="","",MOD(K562-1,J562*4))</f>
        <v/>
      </c>
      <c r="Q562" s="27" t="str">
        <f aca="false">IF(J562="","",MOD(P562,4))</f>
        <v/>
      </c>
      <c r="R562" s="27" t="str">
        <f aca="false">IF(J562="","",INT(P562/4))</f>
        <v/>
      </c>
      <c r="S562" s="27" t="str">
        <f aca="false">IF(J562="","",IF(AND('Daily Count Sheet'!$H$3=Q562,MOD('Daily Count Sheet'!$I$3,J562)=R562),1,""))</f>
        <v/>
      </c>
      <c r="T562" s="27" t="str">
        <f aca="false">IF(S562=1,COUNTIF($S$2:S562,1),"")</f>
        <v/>
      </c>
    </row>
    <row r="563" customFormat="false" ht="15" hidden="false" customHeight="false" outlineLevel="0" collapsed="false">
      <c r="H563" s="26"/>
      <c r="I563" s="27" t="str">
        <f aca="false">IF(A563="","",IF(H563&lt;&gt;"",UPPER(TRIM(H563)),IFERROR(CHOOSE(VALUE(E563)+1,"A","B","C","D"),IF(OR(LEFT(UPPER(TRIM(E563)),1)="F",UPPER(TRIM(E563))="A"),"A",IF(OR(LEFT(UPPER(TRIM(E563)),1)="M",UPPER(TRIM(E563))="B"),"B",IF(OR(LEFT(UPPER(TRIM(E563)),2)="SL",UPPER(TRIM(E563))="C"),"C",IF(OR(LEFT(UPPER(TRIM(E563)),1)="D",UPPER(TRIM(E563))="D"),"D","")))))))</f>
        <v/>
      </c>
      <c r="J563" s="27" t="str">
        <f aca="false">IF(I563="","",IF(AND(I563="D",Settings!$B$6&lt;&gt;"Yes"),"",IFERROR(INDEX(Settings!$C$9:$C$12,MATCH(I563,Settings!$A$9:$A$12,0)),"")))</f>
        <v/>
      </c>
      <c r="K563" s="27" t="str">
        <f aca="false">IF(J563="","",COUNTIF($I$2:I563,I563))</f>
        <v/>
      </c>
      <c r="L563" s="27" t="str">
        <f aca="false">IF(J563="","",CHOOSE(Q563+1,"Tue","Wed","Thu","Fri"))</f>
        <v/>
      </c>
      <c r="M563" s="27" t="str">
        <f aca="false">IF(J563="","",IF(J563=1,"Every week",R563+1&amp;" of "&amp;J563))</f>
        <v/>
      </c>
      <c r="N563" s="28" t="str">
        <f aca="false">IF(J563="","",Settings!$B$4+R563*7+Q563)</f>
        <v/>
      </c>
      <c r="O563" s="28" t="str">
        <f aca="true">IF(J563="","",N563+MAX(0,ROUNDUP((TODAY()-N563)/(J563*7),0))*J563*7)</f>
        <v/>
      </c>
      <c r="P563" s="27" t="str">
        <f aca="false">IF(J563="","",MOD(K563-1,J563*4))</f>
        <v/>
      </c>
      <c r="Q563" s="27" t="str">
        <f aca="false">IF(J563="","",MOD(P563,4))</f>
        <v/>
      </c>
      <c r="R563" s="27" t="str">
        <f aca="false">IF(J563="","",INT(P563/4))</f>
        <v/>
      </c>
      <c r="S563" s="27" t="str">
        <f aca="false">IF(J563="","",IF(AND('Daily Count Sheet'!$H$3=Q563,MOD('Daily Count Sheet'!$I$3,J563)=R563),1,""))</f>
        <v/>
      </c>
      <c r="T563" s="27" t="str">
        <f aca="false">IF(S563=1,COUNTIF($S$2:S563,1),"")</f>
        <v/>
      </c>
    </row>
    <row r="564" customFormat="false" ht="15" hidden="false" customHeight="false" outlineLevel="0" collapsed="false">
      <c r="H564" s="26"/>
      <c r="I564" s="27" t="str">
        <f aca="false">IF(A564="","",IF(H564&lt;&gt;"",UPPER(TRIM(H564)),IFERROR(CHOOSE(VALUE(E564)+1,"A","B","C","D"),IF(OR(LEFT(UPPER(TRIM(E564)),1)="F",UPPER(TRIM(E564))="A"),"A",IF(OR(LEFT(UPPER(TRIM(E564)),1)="M",UPPER(TRIM(E564))="B"),"B",IF(OR(LEFT(UPPER(TRIM(E564)),2)="SL",UPPER(TRIM(E564))="C"),"C",IF(OR(LEFT(UPPER(TRIM(E564)),1)="D",UPPER(TRIM(E564))="D"),"D","")))))))</f>
        <v/>
      </c>
      <c r="J564" s="27" t="str">
        <f aca="false">IF(I564="","",IF(AND(I564="D",Settings!$B$6&lt;&gt;"Yes"),"",IFERROR(INDEX(Settings!$C$9:$C$12,MATCH(I564,Settings!$A$9:$A$12,0)),"")))</f>
        <v/>
      </c>
      <c r="K564" s="27" t="str">
        <f aca="false">IF(J564="","",COUNTIF($I$2:I564,I564))</f>
        <v/>
      </c>
      <c r="L564" s="27" t="str">
        <f aca="false">IF(J564="","",CHOOSE(Q564+1,"Tue","Wed","Thu","Fri"))</f>
        <v/>
      </c>
      <c r="M564" s="27" t="str">
        <f aca="false">IF(J564="","",IF(J564=1,"Every week",R564+1&amp;" of "&amp;J564))</f>
        <v/>
      </c>
      <c r="N564" s="28" t="str">
        <f aca="false">IF(J564="","",Settings!$B$4+R564*7+Q564)</f>
        <v/>
      </c>
      <c r="O564" s="28" t="str">
        <f aca="true">IF(J564="","",N564+MAX(0,ROUNDUP((TODAY()-N564)/(J564*7),0))*J564*7)</f>
        <v/>
      </c>
      <c r="P564" s="27" t="str">
        <f aca="false">IF(J564="","",MOD(K564-1,J564*4))</f>
        <v/>
      </c>
      <c r="Q564" s="27" t="str">
        <f aca="false">IF(J564="","",MOD(P564,4))</f>
        <v/>
      </c>
      <c r="R564" s="27" t="str">
        <f aca="false">IF(J564="","",INT(P564/4))</f>
        <v/>
      </c>
      <c r="S564" s="27" t="str">
        <f aca="false">IF(J564="","",IF(AND('Daily Count Sheet'!$H$3=Q564,MOD('Daily Count Sheet'!$I$3,J564)=R564),1,""))</f>
        <v/>
      </c>
      <c r="T564" s="27" t="str">
        <f aca="false">IF(S564=1,COUNTIF($S$2:S564,1),"")</f>
        <v/>
      </c>
    </row>
    <row r="565" customFormat="false" ht="15" hidden="false" customHeight="false" outlineLevel="0" collapsed="false">
      <c r="H565" s="26"/>
      <c r="I565" s="27" t="str">
        <f aca="false">IF(A565="","",IF(H565&lt;&gt;"",UPPER(TRIM(H565)),IFERROR(CHOOSE(VALUE(E565)+1,"A","B","C","D"),IF(OR(LEFT(UPPER(TRIM(E565)),1)="F",UPPER(TRIM(E565))="A"),"A",IF(OR(LEFT(UPPER(TRIM(E565)),1)="M",UPPER(TRIM(E565))="B"),"B",IF(OR(LEFT(UPPER(TRIM(E565)),2)="SL",UPPER(TRIM(E565))="C"),"C",IF(OR(LEFT(UPPER(TRIM(E565)),1)="D",UPPER(TRIM(E565))="D"),"D","")))))))</f>
        <v/>
      </c>
      <c r="J565" s="27" t="str">
        <f aca="false">IF(I565="","",IF(AND(I565="D",Settings!$B$6&lt;&gt;"Yes"),"",IFERROR(INDEX(Settings!$C$9:$C$12,MATCH(I565,Settings!$A$9:$A$12,0)),"")))</f>
        <v/>
      </c>
      <c r="K565" s="27" t="str">
        <f aca="false">IF(J565="","",COUNTIF($I$2:I565,I565))</f>
        <v/>
      </c>
      <c r="L565" s="27" t="str">
        <f aca="false">IF(J565="","",CHOOSE(Q565+1,"Tue","Wed","Thu","Fri"))</f>
        <v/>
      </c>
      <c r="M565" s="27" t="str">
        <f aca="false">IF(J565="","",IF(J565=1,"Every week",R565+1&amp;" of "&amp;J565))</f>
        <v/>
      </c>
      <c r="N565" s="28" t="str">
        <f aca="false">IF(J565="","",Settings!$B$4+R565*7+Q565)</f>
        <v/>
      </c>
      <c r="O565" s="28" t="str">
        <f aca="true">IF(J565="","",N565+MAX(0,ROUNDUP((TODAY()-N565)/(J565*7),0))*J565*7)</f>
        <v/>
      </c>
      <c r="P565" s="27" t="str">
        <f aca="false">IF(J565="","",MOD(K565-1,J565*4))</f>
        <v/>
      </c>
      <c r="Q565" s="27" t="str">
        <f aca="false">IF(J565="","",MOD(P565,4))</f>
        <v/>
      </c>
      <c r="R565" s="27" t="str">
        <f aca="false">IF(J565="","",INT(P565/4))</f>
        <v/>
      </c>
      <c r="S565" s="27" t="str">
        <f aca="false">IF(J565="","",IF(AND('Daily Count Sheet'!$H$3=Q565,MOD('Daily Count Sheet'!$I$3,J565)=R565),1,""))</f>
        <v/>
      </c>
      <c r="T565" s="27" t="str">
        <f aca="false">IF(S565=1,COUNTIF($S$2:S565,1),"")</f>
        <v/>
      </c>
    </row>
    <row r="566" customFormat="false" ht="15" hidden="false" customHeight="false" outlineLevel="0" collapsed="false">
      <c r="H566" s="26"/>
      <c r="I566" s="27" t="str">
        <f aca="false">IF(A566="","",IF(H566&lt;&gt;"",UPPER(TRIM(H566)),IFERROR(CHOOSE(VALUE(E566)+1,"A","B","C","D"),IF(OR(LEFT(UPPER(TRIM(E566)),1)="F",UPPER(TRIM(E566))="A"),"A",IF(OR(LEFT(UPPER(TRIM(E566)),1)="M",UPPER(TRIM(E566))="B"),"B",IF(OR(LEFT(UPPER(TRIM(E566)),2)="SL",UPPER(TRIM(E566))="C"),"C",IF(OR(LEFT(UPPER(TRIM(E566)),1)="D",UPPER(TRIM(E566))="D"),"D","")))))))</f>
        <v/>
      </c>
      <c r="J566" s="27" t="str">
        <f aca="false">IF(I566="","",IF(AND(I566="D",Settings!$B$6&lt;&gt;"Yes"),"",IFERROR(INDEX(Settings!$C$9:$C$12,MATCH(I566,Settings!$A$9:$A$12,0)),"")))</f>
        <v/>
      </c>
      <c r="K566" s="27" t="str">
        <f aca="false">IF(J566="","",COUNTIF($I$2:I566,I566))</f>
        <v/>
      </c>
      <c r="L566" s="27" t="str">
        <f aca="false">IF(J566="","",CHOOSE(Q566+1,"Tue","Wed","Thu","Fri"))</f>
        <v/>
      </c>
      <c r="M566" s="27" t="str">
        <f aca="false">IF(J566="","",IF(J566=1,"Every week",R566+1&amp;" of "&amp;J566))</f>
        <v/>
      </c>
      <c r="N566" s="28" t="str">
        <f aca="false">IF(J566="","",Settings!$B$4+R566*7+Q566)</f>
        <v/>
      </c>
      <c r="O566" s="28" t="str">
        <f aca="true">IF(J566="","",N566+MAX(0,ROUNDUP((TODAY()-N566)/(J566*7),0))*J566*7)</f>
        <v/>
      </c>
      <c r="P566" s="27" t="str">
        <f aca="false">IF(J566="","",MOD(K566-1,J566*4))</f>
        <v/>
      </c>
      <c r="Q566" s="27" t="str">
        <f aca="false">IF(J566="","",MOD(P566,4))</f>
        <v/>
      </c>
      <c r="R566" s="27" t="str">
        <f aca="false">IF(J566="","",INT(P566/4))</f>
        <v/>
      </c>
      <c r="S566" s="27" t="str">
        <f aca="false">IF(J566="","",IF(AND('Daily Count Sheet'!$H$3=Q566,MOD('Daily Count Sheet'!$I$3,J566)=R566),1,""))</f>
        <v/>
      </c>
      <c r="T566" s="27" t="str">
        <f aca="false">IF(S566=1,COUNTIF($S$2:S566,1),"")</f>
        <v/>
      </c>
    </row>
    <row r="567" customFormat="false" ht="15" hidden="false" customHeight="false" outlineLevel="0" collapsed="false">
      <c r="H567" s="26"/>
      <c r="I567" s="27" t="str">
        <f aca="false">IF(A567="","",IF(H567&lt;&gt;"",UPPER(TRIM(H567)),IFERROR(CHOOSE(VALUE(E567)+1,"A","B","C","D"),IF(OR(LEFT(UPPER(TRIM(E567)),1)="F",UPPER(TRIM(E567))="A"),"A",IF(OR(LEFT(UPPER(TRIM(E567)),1)="M",UPPER(TRIM(E567))="B"),"B",IF(OR(LEFT(UPPER(TRIM(E567)),2)="SL",UPPER(TRIM(E567))="C"),"C",IF(OR(LEFT(UPPER(TRIM(E567)),1)="D",UPPER(TRIM(E567))="D"),"D","")))))))</f>
        <v/>
      </c>
      <c r="J567" s="27" t="str">
        <f aca="false">IF(I567="","",IF(AND(I567="D",Settings!$B$6&lt;&gt;"Yes"),"",IFERROR(INDEX(Settings!$C$9:$C$12,MATCH(I567,Settings!$A$9:$A$12,0)),"")))</f>
        <v/>
      </c>
      <c r="K567" s="27" t="str">
        <f aca="false">IF(J567="","",COUNTIF($I$2:I567,I567))</f>
        <v/>
      </c>
      <c r="L567" s="27" t="str">
        <f aca="false">IF(J567="","",CHOOSE(Q567+1,"Tue","Wed","Thu","Fri"))</f>
        <v/>
      </c>
      <c r="M567" s="27" t="str">
        <f aca="false">IF(J567="","",IF(J567=1,"Every week",R567+1&amp;" of "&amp;J567))</f>
        <v/>
      </c>
      <c r="N567" s="28" t="str">
        <f aca="false">IF(J567="","",Settings!$B$4+R567*7+Q567)</f>
        <v/>
      </c>
      <c r="O567" s="28" t="str">
        <f aca="true">IF(J567="","",N567+MAX(0,ROUNDUP((TODAY()-N567)/(J567*7),0))*J567*7)</f>
        <v/>
      </c>
      <c r="P567" s="27" t="str">
        <f aca="false">IF(J567="","",MOD(K567-1,J567*4))</f>
        <v/>
      </c>
      <c r="Q567" s="27" t="str">
        <f aca="false">IF(J567="","",MOD(P567,4))</f>
        <v/>
      </c>
      <c r="R567" s="27" t="str">
        <f aca="false">IF(J567="","",INT(P567/4))</f>
        <v/>
      </c>
      <c r="S567" s="27" t="str">
        <f aca="false">IF(J567="","",IF(AND('Daily Count Sheet'!$H$3=Q567,MOD('Daily Count Sheet'!$I$3,J567)=R567),1,""))</f>
        <v/>
      </c>
      <c r="T567" s="27" t="str">
        <f aca="false">IF(S567=1,COUNTIF($S$2:S567,1),"")</f>
        <v/>
      </c>
    </row>
    <row r="568" customFormat="false" ht="15" hidden="false" customHeight="false" outlineLevel="0" collapsed="false">
      <c r="H568" s="26"/>
      <c r="I568" s="27" t="str">
        <f aca="false">IF(A568="","",IF(H568&lt;&gt;"",UPPER(TRIM(H568)),IFERROR(CHOOSE(VALUE(E568)+1,"A","B","C","D"),IF(OR(LEFT(UPPER(TRIM(E568)),1)="F",UPPER(TRIM(E568))="A"),"A",IF(OR(LEFT(UPPER(TRIM(E568)),1)="M",UPPER(TRIM(E568))="B"),"B",IF(OR(LEFT(UPPER(TRIM(E568)),2)="SL",UPPER(TRIM(E568))="C"),"C",IF(OR(LEFT(UPPER(TRIM(E568)),1)="D",UPPER(TRIM(E568))="D"),"D","")))))))</f>
        <v/>
      </c>
      <c r="J568" s="27" t="str">
        <f aca="false">IF(I568="","",IF(AND(I568="D",Settings!$B$6&lt;&gt;"Yes"),"",IFERROR(INDEX(Settings!$C$9:$C$12,MATCH(I568,Settings!$A$9:$A$12,0)),"")))</f>
        <v/>
      </c>
      <c r="K568" s="27" t="str">
        <f aca="false">IF(J568="","",COUNTIF($I$2:I568,I568))</f>
        <v/>
      </c>
      <c r="L568" s="27" t="str">
        <f aca="false">IF(J568="","",CHOOSE(Q568+1,"Tue","Wed","Thu","Fri"))</f>
        <v/>
      </c>
      <c r="M568" s="27" t="str">
        <f aca="false">IF(J568="","",IF(J568=1,"Every week",R568+1&amp;" of "&amp;J568))</f>
        <v/>
      </c>
      <c r="N568" s="28" t="str">
        <f aca="false">IF(J568="","",Settings!$B$4+R568*7+Q568)</f>
        <v/>
      </c>
      <c r="O568" s="28" t="str">
        <f aca="true">IF(J568="","",N568+MAX(0,ROUNDUP((TODAY()-N568)/(J568*7),0))*J568*7)</f>
        <v/>
      </c>
      <c r="P568" s="27" t="str">
        <f aca="false">IF(J568="","",MOD(K568-1,J568*4))</f>
        <v/>
      </c>
      <c r="Q568" s="27" t="str">
        <f aca="false">IF(J568="","",MOD(P568,4))</f>
        <v/>
      </c>
      <c r="R568" s="27" t="str">
        <f aca="false">IF(J568="","",INT(P568/4))</f>
        <v/>
      </c>
      <c r="S568" s="27" t="str">
        <f aca="false">IF(J568="","",IF(AND('Daily Count Sheet'!$H$3=Q568,MOD('Daily Count Sheet'!$I$3,J568)=R568),1,""))</f>
        <v/>
      </c>
      <c r="T568" s="27" t="str">
        <f aca="false">IF(S568=1,COUNTIF($S$2:S568,1),"")</f>
        <v/>
      </c>
    </row>
    <row r="569" customFormat="false" ht="15" hidden="false" customHeight="false" outlineLevel="0" collapsed="false">
      <c r="H569" s="26"/>
      <c r="I569" s="27" t="str">
        <f aca="false">IF(A569="","",IF(H569&lt;&gt;"",UPPER(TRIM(H569)),IFERROR(CHOOSE(VALUE(E569)+1,"A","B","C","D"),IF(OR(LEFT(UPPER(TRIM(E569)),1)="F",UPPER(TRIM(E569))="A"),"A",IF(OR(LEFT(UPPER(TRIM(E569)),1)="M",UPPER(TRIM(E569))="B"),"B",IF(OR(LEFT(UPPER(TRIM(E569)),2)="SL",UPPER(TRIM(E569))="C"),"C",IF(OR(LEFT(UPPER(TRIM(E569)),1)="D",UPPER(TRIM(E569))="D"),"D","")))))))</f>
        <v/>
      </c>
      <c r="J569" s="27" t="str">
        <f aca="false">IF(I569="","",IF(AND(I569="D",Settings!$B$6&lt;&gt;"Yes"),"",IFERROR(INDEX(Settings!$C$9:$C$12,MATCH(I569,Settings!$A$9:$A$12,0)),"")))</f>
        <v/>
      </c>
      <c r="K569" s="27" t="str">
        <f aca="false">IF(J569="","",COUNTIF($I$2:I569,I569))</f>
        <v/>
      </c>
      <c r="L569" s="27" t="str">
        <f aca="false">IF(J569="","",CHOOSE(Q569+1,"Tue","Wed","Thu","Fri"))</f>
        <v/>
      </c>
      <c r="M569" s="27" t="str">
        <f aca="false">IF(J569="","",IF(J569=1,"Every week",R569+1&amp;" of "&amp;J569))</f>
        <v/>
      </c>
      <c r="N569" s="28" t="str">
        <f aca="false">IF(J569="","",Settings!$B$4+R569*7+Q569)</f>
        <v/>
      </c>
      <c r="O569" s="28" t="str">
        <f aca="true">IF(J569="","",N569+MAX(0,ROUNDUP((TODAY()-N569)/(J569*7),0))*J569*7)</f>
        <v/>
      </c>
      <c r="P569" s="27" t="str">
        <f aca="false">IF(J569="","",MOD(K569-1,J569*4))</f>
        <v/>
      </c>
      <c r="Q569" s="27" t="str">
        <f aca="false">IF(J569="","",MOD(P569,4))</f>
        <v/>
      </c>
      <c r="R569" s="27" t="str">
        <f aca="false">IF(J569="","",INT(P569/4))</f>
        <v/>
      </c>
      <c r="S569" s="27" t="str">
        <f aca="false">IF(J569="","",IF(AND('Daily Count Sheet'!$H$3=Q569,MOD('Daily Count Sheet'!$I$3,J569)=R569),1,""))</f>
        <v/>
      </c>
      <c r="T569" s="27" t="str">
        <f aca="false">IF(S569=1,COUNTIF($S$2:S569,1),"")</f>
        <v/>
      </c>
    </row>
    <row r="570" customFormat="false" ht="15" hidden="false" customHeight="false" outlineLevel="0" collapsed="false">
      <c r="H570" s="26"/>
      <c r="I570" s="27" t="str">
        <f aca="false">IF(A570="","",IF(H570&lt;&gt;"",UPPER(TRIM(H570)),IFERROR(CHOOSE(VALUE(E570)+1,"A","B","C","D"),IF(OR(LEFT(UPPER(TRIM(E570)),1)="F",UPPER(TRIM(E570))="A"),"A",IF(OR(LEFT(UPPER(TRIM(E570)),1)="M",UPPER(TRIM(E570))="B"),"B",IF(OR(LEFT(UPPER(TRIM(E570)),2)="SL",UPPER(TRIM(E570))="C"),"C",IF(OR(LEFT(UPPER(TRIM(E570)),1)="D",UPPER(TRIM(E570))="D"),"D","")))))))</f>
        <v/>
      </c>
      <c r="J570" s="27" t="str">
        <f aca="false">IF(I570="","",IF(AND(I570="D",Settings!$B$6&lt;&gt;"Yes"),"",IFERROR(INDEX(Settings!$C$9:$C$12,MATCH(I570,Settings!$A$9:$A$12,0)),"")))</f>
        <v/>
      </c>
      <c r="K570" s="27" t="str">
        <f aca="false">IF(J570="","",COUNTIF($I$2:I570,I570))</f>
        <v/>
      </c>
      <c r="L570" s="27" t="str">
        <f aca="false">IF(J570="","",CHOOSE(Q570+1,"Tue","Wed","Thu","Fri"))</f>
        <v/>
      </c>
      <c r="M570" s="27" t="str">
        <f aca="false">IF(J570="","",IF(J570=1,"Every week",R570+1&amp;" of "&amp;J570))</f>
        <v/>
      </c>
      <c r="N570" s="28" t="str">
        <f aca="false">IF(J570="","",Settings!$B$4+R570*7+Q570)</f>
        <v/>
      </c>
      <c r="O570" s="28" t="str">
        <f aca="true">IF(J570="","",N570+MAX(0,ROUNDUP((TODAY()-N570)/(J570*7),0))*J570*7)</f>
        <v/>
      </c>
      <c r="P570" s="27" t="str">
        <f aca="false">IF(J570="","",MOD(K570-1,J570*4))</f>
        <v/>
      </c>
      <c r="Q570" s="27" t="str">
        <f aca="false">IF(J570="","",MOD(P570,4))</f>
        <v/>
      </c>
      <c r="R570" s="27" t="str">
        <f aca="false">IF(J570="","",INT(P570/4))</f>
        <v/>
      </c>
      <c r="S570" s="27" t="str">
        <f aca="false">IF(J570="","",IF(AND('Daily Count Sheet'!$H$3=Q570,MOD('Daily Count Sheet'!$I$3,J570)=R570),1,""))</f>
        <v/>
      </c>
      <c r="T570" s="27" t="str">
        <f aca="false">IF(S570=1,COUNTIF($S$2:S570,1),"")</f>
        <v/>
      </c>
    </row>
    <row r="571" customFormat="false" ht="15" hidden="false" customHeight="false" outlineLevel="0" collapsed="false">
      <c r="H571" s="26"/>
      <c r="I571" s="27" t="str">
        <f aca="false">IF(A571="","",IF(H571&lt;&gt;"",UPPER(TRIM(H571)),IFERROR(CHOOSE(VALUE(E571)+1,"A","B","C","D"),IF(OR(LEFT(UPPER(TRIM(E571)),1)="F",UPPER(TRIM(E571))="A"),"A",IF(OR(LEFT(UPPER(TRIM(E571)),1)="M",UPPER(TRIM(E571))="B"),"B",IF(OR(LEFT(UPPER(TRIM(E571)),2)="SL",UPPER(TRIM(E571))="C"),"C",IF(OR(LEFT(UPPER(TRIM(E571)),1)="D",UPPER(TRIM(E571))="D"),"D","")))))))</f>
        <v/>
      </c>
      <c r="J571" s="27" t="str">
        <f aca="false">IF(I571="","",IF(AND(I571="D",Settings!$B$6&lt;&gt;"Yes"),"",IFERROR(INDEX(Settings!$C$9:$C$12,MATCH(I571,Settings!$A$9:$A$12,0)),"")))</f>
        <v/>
      </c>
      <c r="K571" s="27" t="str">
        <f aca="false">IF(J571="","",COUNTIF($I$2:I571,I571))</f>
        <v/>
      </c>
      <c r="L571" s="27" t="str">
        <f aca="false">IF(J571="","",CHOOSE(Q571+1,"Tue","Wed","Thu","Fri"))</f>
        <v/>
      </c>
      <c r="M571" s="27" t="str">
        <f aca="false">IF(J571="","",IF(J571=1,"Every week",R571+1&amp;" of "&amp;J571))</f>
        <v/>
      </c>
      <c r="N571" s="28" t="str">
        <f aca="false">IF(J571="","",Settings!$B$4+R571*7+Q571)</f>
        <v/>
      </c>
      <c r="O571" s="28" t="str">
        <f aca="true">IF(J571="","",N571+MAX(0,ROUNDUP((TODAY()-N571)/(J571*7),0))*J571*7)</f>
        <v/>
      </c>
      <c r="P571" s="27" t="str">
        <f aca="false">IF(J571="","",MOD(K571-1,J571*4))</f>
        <v/>
      </c>
      <c r="Q571" s="27" t="str">
        <f aca="false">IF(J571="","",MOD(P571,4))</f>
        <v/>
      </c>
      <c r="R571" s="27" t="str">
        <f aca="false">IF(J571="","",INT(P571/4))</f>
        <v/>
      </c>
      <c r="S571" s="27" t="str">
        <f aca="false">IF(J571="","",IF(AND('Daily Count Sheet'!$H$3=Q571,MOD('Daily Count Sheet'!$I$3,J571)=R571),1,""))</f>
        <v/>
      </c>
      <c r="T571" s="27" t="str">
        <f aca="false">IF(S571=1,COUNTIF($S$2:S571,1),"")</f>
        <v/>
      </c>
    </row>
    <row r="572" customFormat="false" ht="15" hidden="false" customHeight="false" outlineLevel="0" collapsed="false">
      <c r="H572" s="26"/>
      <c r="I572" s="27" t="str">
        <f aca="false">IF(A572="","",IF(H572&lt;&gt;"",UPPER(TRIM(H572)),IFERROR(CHOOSE(VALUE(E572)+1,"A","B","C","D"),IF(OR(LEFT(UPPER(TRIM(E572)),1)="F",UPPER(TRIM(E572))="A"),"A",IF(OR(LEFT(UPPER(TRIM(E572)),1)="M",UPPER(TRIM(E572))="B"),"B",IF(OR(LEFT(UPPER(TRIM(E572)),2)="SL",UPPER(TRIM(E572))="C"),"C",IF(OR(LEFT(UPPER(TRIM(E572)),1)="D",UPPER(TRIM(E572))="D"),"D","")))))))</f>
        <v/>
      </c>
      <c r="J572" s="27" t="str">
        <f aca="false">IF(I572="","",IF(AND(I572="D",Settings!$B$6&lt;&gt;"Yes"),"",IFERROR(INDEX(Settings!$C$9:$C$12,MATCH(I572,Settings!$A$9:$A$12,0)),"")))</f>
        <v/>
      </c>
      <c r="K572" s="27" t="str">
        <f aca="false">IF(J572="","",COUNTIF($I$2:I572,I572))</f>
        <v/>
      </c>
      <c r="L572" s="27" t="str">
        <f aca="false">IF(J572="","",CHOOSE(Q572+1,"Tue","Wed","Thu","Fri"))</f>
        <v/>
      </c>
      <c r="M572" s="27" t="str">
        <f aca="false">IF(J572="","",IF(J572=1,"Every week",R572+1&amp;" of "&amp;J572))</f>
        <v/>
      </c>
      <c r="N572" s="28" t="str">
        <f aca="false">IF(J572="","",Settings!$B$4+R572*7+Q572)</f>
        <v/>
      </c>
      <c r="O572" s="28" t="str">
        <f aca="true">IF(J572="","",N572+MAX(0,ROUNDUP((TODAY()-N572)/(J572*7),0))*J572*7)</f>
        <v/>
      </c>
      <c r="P572" s="27" t="str">
        <f aca="false">IF(J572="","",MOD(K572-1,J572*4))</f>
        <v/>
      </c>
      <c r="Q572" s="27" t="str">
        <f aca="false">IF(J572="","",MOD(P572,4))</f>
        <v/>
      </c>
      <c r="R572" s="27" t="str">
        <f aca="false">IF(J572="","",INT(P572/4))</f>
        <v/>
      </c>
      <c r="S572" s="27" t="str">
        <f aca="false">IF(J572="","",IF(AND('Daily Count Sheet'!$H$3=Q572,MOD('Daily Count Sheet'!$I$3,J572)=R572),1,""))</f>
        <v/>
      </c>
      <c r="T572" s="27" t="str">
        <f aca="false">IF(S572=1,COUNTIF($S$2:S572,1),"")</f>
        <v/>
      </c>
    </row>
    <row r="573" customFormat="false" ht="15" hidden="false" customHeight="false" outlineLevel="0" collapsed="false">
      <c r="H573" s="26"/>
      <c r="I573" s="27" t="str">
        <f aca="false">IF(A573="","",IF(H573&lt;&gt;"",UPPER(TRIM(H573)),IFERROR(CHOOSE(VALUE(E573)+1,"A","B","C","D"),IF(OR(LEFT(UPPER(TRIM(E573)),1)="F",UPPER(TRIM(E573))="A"),"A",IF(OR(LEFT(UPPER(TRIM(E573)),1)="M",UPPER(TRIM(E573))="B"),"B",IF(OR(LEFT(UPPER(TRIM(E573)),2)="SL",UPPER(TRIM(E573))="C"),"C",IF(OR(LEFT(UPPER(TRIM(E573)),1)="D",UPPER(TRIM(E573))="D"),"D","")))))))</f>
        <v/>
      </c>
      <c r="J573" s="27" t="str">
        <f aca="false">IF(I573="","",IF(AND(I573="D",Settings!$B$6&lt;&gt;"Yes"),"",IFERROR(INDEX(Settings!$C$9:$C$12,MATCH(I573,Settings!$A$9:$A$12,0)),"")))</f>
        <v/>
      </c>
      <c r="K573" s="27" t="str">
        <f aca="false">IF(J573="","",COUNTIF($I$2:I573,I573))</f>
        <v/>
      </c>
      <c r="L573" s="27" t="str">
        <f aca="false">IF(J573="","",CHOOSE(Q573+1,"Tue","Wed","Thu","Fri"))</f>
        <v/>
      </c>
      <c r="M573" s="27" t="str">
        <f aca="false">IF(J573="","",IF(J573=1,"Every week",R573+1&amp;" of "&amp;J573))</f>
        <v/>
      </c>
      <c r="N573" s="28" t="str">
        <f aca="false">IF(J573="","",Settings!$B$4+R573*7+Q573)</f>
        <v/>
      </c>
      <c r="O573" s="28" t="str">
        <f aca="true">IF(J573="","",N573+MAX(0,ROUNDUP((TODAY()-N573)/(J573*7),0))*J573*7)</f>
        <v/>
      </c>
      <c r="P573" s="27" t="str">
        <f aca="false">IF(J573="","",MOD(K573-1,J573*4))</f>
        <v/>
      </c>
      <c r="Q573" s="27" t="str">
        <f aca="false">IF(J573="","",MOD(P573,4))</f>
        <v/>
      </c>
      <c r="R573" s="27" t="str">
        <f aca="false">IF(J573="","",INT(P573/4))</f>
        <v/>
      </c>
      <c r="S573" s="27" t="str">
        <f aca="false">IF(J573="","",IF(AND('Daily Count Sheet'!$H$3=Q573,MOD('Daily Count Sheet'!$I$3,J573)=R573),1,""))</f>
        <v/>
      </c>
      <c r="T573" s="27" t="str">
        <f aca="false">IF(S573=1,COUNTIF($S$2:S573,1),"")</f>
        <v/>
      </c>
    </row>
    <row r="574" customFormat="false" ht="15" hidden="false" customHeight="false" outlineLevel="0" collapsed="false">
      <c r="H574" s="26"/>
      <c r="I574" s="27" t="str">
        <f aca="false">IF(A574="","",IF(H574&lt;&gt;"",UPPER(TRIM(H574)),IFERROR(CHOOSE(VALUE(E574)+1,"A","B","C","D"),IF(OR(LEFT(UPPER(TRIM(E574)),1)="F",UPPER(TRIM(E574))="A"),"A",IF(OR(LEFT(UPPER(TRIM(E574)),1)="M",UPPER(TRIM(E574))="B"),"B",IF(OR(LEFT(UPPER(TRIM(E574)),2)="SL",UPPER(TRIM(E574))="C"),"C",IF(OR(LEFT(UPPER(TRIM(E574)),1)="D",UPPER(TRIM(E574))="D"),"D","")))))))</f>
        <v/>
      </c>
      <c r="J574" s="27" t="str">
        <f aca="false">IF(I574="","",IF(AND(I574="D",Settings!$B$6&lt;&gt;"Yes"),"",IFERROR(INDEX(Settings!$C$9:$C$12,MATCH(I574,Settings!$A$9:$A$12,0)),"")))</f>
        <v/>
      </c>
      <c r="K574" s="27" t="str">
        <f aca="false">IF(J574="","",COUNTIF($I$2:I574,I574))</f>
        <v/>
      </c>
      <c r="L574" s="27" t="str">
        <f aca="false">IF(J574="","",CHOOSE(Q574+1,"Tue","Wed","Thu","Fri"))</f>
        <v/>
      </c>
      <c r="M574" s="27" t="str">
        <f aca="false">IF(J574="","",IF(J574=1,"Every week",R574+1&amp;" of "&amp;J574))</f>
        <v/>
      </c>
      <c r="N574" s="28" t="str">
        <f aca="false">IF(J574="","",Settings!$B$4+R574*7+Q574)</f>
        <v/>
      </c>
      <c r="O574" s="28" t="str">
        <f aca="true">IF(J574="","",N574+MAX(0,ROUNDUP((TODAY()-N574)/(J574*7),0))*J574*7)</f>
        <v/>
      </c>
      <c r="P574" s="27" t="str">
        <f aca="false">IF(J574="","",MOD(K574-1,J574*4))</f>
        <v/>
      </c>
      <c r="Q574" s="27" t="str">
        <f aca="false">IF(J574="","",MOD(P574,4))</f>
        <v/>
      </c>
      <c r="R574" s="27" t="str">
        <f aca="false">IF(J574="","",INT(P574/4))</f>
        <v/>
      </c>
      <c r="S574" s="27" t="str">
        <f aca="false">IF(J574="","",IF(AND('Daily Count Sheet'!$H$3=Q574,MOD('Daily Count Sheet'!$I$3,J574)=R574),1,""))</f>
        <v/>
      </c>
      <c r="T574" s="27" t="str">
        <f aca="false">IF(S574=1,COUNTIF($S$2:S574,1),"")</f>
        <v/>
      </c>
    </row>
    <row r="575" customFormat="false" ht="15" hidden="false" customHeight="false" outlineLevel="0" collapsed="false">
      <c r="H575" s="26"/>
      <c r="I575" s="27" t="str">
        <f aca="false">IF(A575="","",IF(H575&lt;&gt;"",UPPER(TRIM(H575)),IFERROR(CHOOSE(VALUE(E575)+1,"A","B","C","D"),IF(OR(LEFT(UPPER(TRIM(E575)),1)="F",UPPER(TRIM(E575))="A"),"A",IF(OR(LEFT(UPPER(TRIM(E575)),1)="M",UPPER(TRIM(E575))="B"),"B",IF(OR(LEFT(UPPER(TRIM(E575)),2)="SL",UPPER(TRIM(E575))="C"),"C",IF(OR(LEFT(UPPER(TRIM(E575)),1)="D",UPPER(TRIM(E575))="D"),"D","")))))))</f>
        <v/>
      </c>
      <c r="J575" s="27" t="str">
        <f aca="false">IF(I575="","",IF(AND(I575="D",Settings!$B$6&lt;&gt;"Yes"),"",IFERROR(INDEX(Settings!$C$9:$C$12,MATCH(I575,Settings!$A$9:$A$12,0)),"")))</f>
        <v/>
      </c>
      <c r="K575" s="27" t="str">
        <f aca="false">IF(J575="","",COUNTIF($I$2:I575,I575))</f>
        <v/>
      </c>
      <c r="L575" s="27" t="str">
        <f aca="false">IF(J575="","",CHOOSE(Q575+1,"Tue","Wed","Thu","Fri"))</f>
        <v/>
      </c>
      <c r="M575" s="27" t="str">
        <f aca="false">IF(J575="","",IF(J575=1,"Every week",R575+1&amp;" of "&amp;J575))</f>
        <v/>
      </c>
      <c r="N575" s="28" t="str">
        <f aca="false">IF(J575="","",Settings!$B$4+R575*7+Q575)</f>
        <v/>
      </c>
      <c r="O575" s="28" t="str">
        <f aca="true">IF(J575="","",N575+MAX(0,ROUNDUP((TODAY()-N575)/(J575*7),0))*J575*7)</f>
        <v/>
      </c>
      <c r="P575" s="27" t="str">
        <f aca="false">IF(J575="","",MOD(K575-1,J575*4))</f>
        <v/>
      </c>
      <c r="Q575" s="27" t="str">
        <f aca="false">IF(J575="","",MOD(P575,4))</f>
        <v/>
      </c>
      <c r="R575" s="27" t="str">
        <f aca="false">IF(J575="","",INT(P575/4))</f>
        <v/>
      </c>
      <c r="S575" s="27" t="str">
        <f aca="false">IF(J575="","",IF(AND('Daily Count Sheet'!$H$3=Q575,MOD('Daily Count Sheet'!$I$3,J575)=R575),1,""))</f>
        <v/>
      </c>
      <c r="T575" s="27" t="str">
        <f aca="false">IF(S575=1,COUNTIF($S$2:S575,1),"")</f>
        <v/>
      </c>
    </row>
    <row r="576" customFormat="false" ht="15" hidden="false" customHeight="false" outlineLevel="0" collapsed="false">
      <c r="H576" s="26"/>
      <c r="I576" s="27" t="str">
        <f aca="false">IF(A576="","",IF(H576&lt;&gt;"",UPPER(TRIM(H576)),IFERROR(CHOOSE(VALUE(E576)+1,"A","B","C","D"),IF(OR(LEFT(UPPER(TRIM(E576)),1)="F",UPPER(TRIM(E576))="A"),"A",IF(OR(LEFT(UPPER(TRIM(E576)),1)="M",UPPER(TRIM(E576))="B"),"B",IF(OR(LEFT(UPPER(TRIM(E576)),2)="SL",UPPER(TRIM(E576))="C"),"C",IF(OR(LEFT(UPPER(TRIM(E576)),1)="D",UPPER(TRIM(E576))="D"),"D","")))))))</f>
        <v/>
      </c>
      <c r="J576" s="27" t="str">
        <f aca="false">IF(I576="","",IF(AND(I576="D",Settings!$B$6&lt;&gt;"Yes"),"",IFERROR(INDEX(Settings!$C$9:$C$12,MATCH(I576,Settings!$A$9:$A$12,0)),"")))</f>
        <v/>
      </c>
      <c r="K576" s="27" t="str">
        <f aca="false">IF(J576="","",COUNTIF($I$2:I576,I576))</f>
        <v/>
      </c>
      <c r="L576" s="27" t="str">
        <f aca="false">IF(J576="","",CHOOSE(Q576+1,"Tue","Wed","Thu","Fri"))</f>
        <v/>
      </c>
      <c r="M576" s="27" t="str">
        <f aca="false">IF(J576="","",IF(J576=1,"Every week",R576+1&amp;" of "&amp;J576))</f>
        <v/>
      </c>
      <c r="N576" s="28" t="str">
        <f aca="false">IF(J576="","",Settings!$B$4+R576*7+Q576)</f>
        <v/>
      </c>
      <c r="O576" s="28" t="str">
        <f aca="true">IF(J576="","",N576+MAX(0,ROUNDUP((TODAY()-N576)/(J576*7),0))*J576*7)</f>
        <v/>
      </c>
      <c r="P576" s="27" t="str">
        <f aca="false">IF(J576="","",MOD(K576-1,J576*4))</f>
        <v/>
      </c>
      <c r="Q576" s="27" t="str">
        <f aca="false">IF(J576="","",MOD(P576,4))</f>
        <v/>
      </c>
      <c r="R576" s="27" t="str">
        <f aca="false">IF(J576="","",INT(P576/4))</f>
        <v/>
      </c>
      <c r="S576" s="27" t="str">
        <f aca="false">IF(J576="","",IF(AND('Daily Count Sheet'!$H$3=Q576,MOD('Daily Count Sheet'!$I$3,J576)=R576),1,""))</f>
        <v/>
      </c>
      <c r="T576" s="27" t="str">
        <f aca="false">IF(S576=1,COUNTIF($S$2:S576,1),"")</f>
        <v/>
      </c>
    </row>
    <row r="577" customFormat="false" ht="15" hidden="false" customHeight="false" outlineLevel="0" collapsed="false">
      <c r="H577" s="26"/>
      <c r="I577" s="27" t="str">
        <f aca="false">IF(A577="","",IF(H577&lt;&gt;"",UPPER(TRIM(H577)),IFERROR(CHOOSE(VALUE(E577)+1,"A","B","C","D"),IF(OR(LEFT(UPPER(TRIM(E577)),1)="F",UPPER(TRIM(E577))="A"),"A",IF(OR(LEFT(UPPER(TRIM(E577)),1)="M",UPPER(TRIM(E577))="B"),"B",IF(OR(LEFT(UPPER(TRIM(E577)),2)="SL",UPPER(TRIM(E577))="C"),"C",IF(OR(LEFT(UPPER(TRIM(E577)),1)="D",UPPER(TRIM(E577))="D"),"D","")))))))</f>
        <v/>
      </c>
      <c r="J577" s="27" t="str">
        <f aca="false">IF(I577="","",IF(AND(I577="D",Settings!$B$6&lt;&gt;"Yes"),"",IFERROR(INDEX(Settings!$C$9:$C$12,MATCH(I577,Settings!$A$9:$A$12,0)),"")))</f>
        <v/>
      </c>
      <c r="K577" s="27" t="str">
        <f aca="false">IF(J577="","",COUNTIF($I$2:I577,I577))</f>
        <v/>
      </c>
      <c r="L577" s="27" t="str">
        <f aca="false">IF(J577="","",CHOOSE(Q577+1,"Tue","Wed","Thu","Fri"))</f>
        <v/>
      </c>
      <c r="M577" s="27" t="str">
        <f aca="false">IF(J577="","",IF(J577=1,"Every week",R577+1&amp;" of "&amp;J577))</f>
        <v/>
      </c>
      <c r="N577" s="28" t="str">
        <f aca="false">IF(J577="","",Settings!$B$4+R577*7+Q577)</f>
        <v/>
      </c>
      <c r="O577" s="28" t="str">
        <f aca="true">IF(J577="","",N577+MAX(0,ROUNDUP((TODAY()-N577)/(J577*7),0))*J577*7)</f>
        <v/>
      </c>
      <c r="P577" s="27" t="str">
        <f aca="false">IF(J577="","",MOD(K577-1,J577*4))</f>
        <v/>
      </c>
      <c r="Q577" s="27" t="str">
        <f aca="false">IF(J577="","",MOD(P577,4))</f>
        <v/>
      </c>
      <c r="R577" s="27" t="str">
        <f aca="false">IF(J577="","",INT(P577/4))</f>
        <v/>
      </c>
      <c r="S577" s="27" t="str">
        <f aca="false">IF(J577="","",IF(AND('Daily Count Sheet'!$H$3=Q577,MOD('Daily Count Sheet'!$I$3,J577)=R577),1,""))</f>
        <v/>
      </c>
      <c r="T577" s="27" t="str">
        <f aca="false">IF(S577=1,COUNTIF($S$2:S577,1),"")</f>
        <v/>
      </c>
    </row>
    <row r="578" customFormat="false" ht="15" hidden="false" customHeight="false" outlineLevel="0" collapsed="false">
      <c r="H578" s="26"/>
      <c r="I578" s="27" t="str">
        <f aca="false">IF(A578="","",IF(H578&lt;&gt;"",UPPER(TRIM(H578)),IFERROR(CHOOSE(VALUE(E578)+1,"A","B","C","D"),IF(OR(LEFT(UPPER(TRIM(E578)),1)="F",UPPER(TRIM(E578))="A"),"A",IF(OR(LEFT(UPPER(TRIM(E578)),1)="M",UPPER(TRIM(E578))="B"),"B",IF(OR(LEFT(UPPER(TRIM(E578)),2)="SL",UPPER(TRIM(E578))="C"),"C",IF(OR(LEFT(UPPER(TRIM(E578)),1)="D",UPPER(TRIM(E578))="D"),"D","")))))))</f>
        <v/>
      </c>
      <c r="J578" s="27" t="str">
        <f aca="false">IF(I578="","",IF(AND(I578="D",Settings!$B$6&lt;&gt;"Yes"),"",IFERROR(INDEX(Settings!$C$9:$C$12,MATCH(I578,Settings!$A$9:$A$12,0)),"")))</f>
        <v/>
      </c>
      <c r="K578" s="27" t="str">
        <f aca="false">IF(J578="","",COUNTIF($I$2:I578,I578))</f>
        <v/>
      </c>
      <c r="L578" s="27" t="str">
        <f aca="false">IF(J578="","",CHOOSE(Q578+1,"Tue","Wed","Thu","Fri"))</f>
        <v/>
      </c>
      <c r="M578" s="27" t="str">
        <f aca="false">IF(J578="","",IF(J578=1,"Every week",R578+1&amp;" of "&amp;J578))</f>
        <v/>
      </c>
      <c r="N578" s="28" t="str">
        <f aca="false">IF(J578="","",Settings!$B$4+R578*7+Q578)</f>
        <v/>
      </c>
      <c r="O578" s="28" t="str">
        <f aca="true">IF(J578="","",N578+MAX(0,ROUNDUP((TODAY()-N578)/(J578*7),0))*J578*7)</f>
        <v/>
      </c>
      <c r="P578" s="27" t="str">
        <f aca="false">IF(J578="","",MOD(K578-1,J578*4))</f>
        <v/>
      </c>
      <c r="Q578" s="27" t="str">
        <f aca="false">IF(J578="","",MOD(P578,4))</f>
        <v/>
      </c>
      <c r="R578" s="27" t="str">
        <f aca="false">IF(J578="","",INT(P578/4))</f>
        <v/>
      </c>
      <c r="S578" s="27" t="str">
        <f aca="false">IF(J578="","",IF(AND('Daily Count Sheet'!$H$3=Q578,MOD('Daily Count Sheet'!$I$3,J578)=R578),1,""))</f>
        <v/>
      </c>
      <c r="T578" s="27" t="str">
        <f aca="false">IF(S578=1,COUNTIF($S$2:S578,1),"")</f>
        <v/>
      </c>
    </row>
    <row r="579" customFormat="false" ht="15" hidden="false" customHeight="false" outlineLevel="0" collapsed="false">
      <c r="H579" s="26"/>
      <c r="I579" s="27" t="str">
        <f aca="false">IF(A579="","",IF(H579&lt;&gt;"",UPPER(TRIM(H579)),IFERROR(CHOOSE(VALUE(E579)+1,"A","B","C","D"),IF(OR(LEFT(UPPER(TRIM(E579)),1)="F",UPPER(TRIM(E579))="A"),"A",IF(OR(LEFT(UPPER(TRIM(E579)),1)="M",UPPER(TRIM(E579))="B"),"B",IF(OR(LEFT(UPPER(TRIM(E579)),2)="SL",UPPER(TRIM(E579))="C"),"C",IF(OR(LEFT(UPPER(TRIM(E579)),1)="D",UPPER(TRIM(E579))="D"),"D","")))))))</f>
        <v/>
      </c>
      <c r="J579" s="27" t="str">
        <f aca="false">IF(I579="","",IF(AND(I579="D",Settings!$B$6&lt;&gt;"Yes"),"",IFERROR(INDEX(Settings!$C$9:$C$12,MATCH(I579,Settings!$A$9:$A$12,0)),"")))</f>
        <v/>
      </c>
      <c r="K579" s="27" t="str">
        <f aca="false">IF(J579="","",COUNTIF($I$2:I579,I579))</f>
        <v/>
      </c>
      <c r="L579" s="27" t="str">
        <f aca="false">IF(J579="","",CHOOSE(Q579+1,"Tue","Wed","Thu","Fri"))</f>
        <v/>
      </c>
      <c r="M579" s="27" t="str">
        <f aca="false">IF(J579="","",IF(J579=1,"Every week",R579+1&amp;" of "&amp;J579))</f>
        <v/>
      </c>
      <c r="N579" s="28" t="str">
        <f aca="false">IF(J579="","",Settings!$B$4+R579*7+Q579)</f>
        <v/>
      </c>
      <c r="O579" s="28" t="str">
        <f aca="true">IF(J579="","",N579+MAX(0,ROUNDUP((TODAY()-N579)/(J579*7),0))*J579*7)</f>
        <v/>
      </c>
      <c r="P579" s="27" t="str">
        <f aca="false">IF(J579="","",MOD(K579-1,J579*4))</f>
        <v/>
      </c>
      <c r="Q579" s="27" t="str">
        <f aca="false">IF(J579="","",MOD(P579,4))</f>
        <v/>
      </c>
      <c r="R579" s="27" t="str">
        <f aca="false">IF(J579="","",INT(P579/4))</f>
        <v/>
      </c>
      <c r="S579" s="27" t="str">
        <f aca="false">IF(J579="","",IF(AND('Daily Count Sheet'!$H$3=Q579,MOD('Daily Count Sheet'!$I$3,J579)=R579),1,""))</f>
        <v/>
      </c>
      <c r="T579" s="27" t="str">
        <f aca="false">IF(S579=1,COUNTIF($S$2:S579,1),"")</f>
        <v/>
      </c>
    </row>
    <row r="580" customFormat="false" ht="15" hidden="false" customHeight="false" outlineLevel="0" collapsed="false">
      <c r="H580" s="26"/>
      <c r="I580" s="27" t="str">
        <f aca="false">IF(A580="","",IF(H580&lt;&gt;"",UPPER(TRIM(H580)),IFERROR(CHOOSE(VALUE(E580)+1,"A","B","C","D"),IF(OR(LEFT(UPPER(TRIM(E580)),1)="F",UPPER(TRIM(E580))="A"),"A",IF(OR(LEFT(UPPER(TRIM(E580)),1)="M",UPPER(TRIM(E580))="B"),"B",IF(OR(LEFT(UPPER(TRIM(E580)),2)="SL",UPPER(TRIM(E580))="C"),"C",IF(OR(LEFT(UPPER(TRIM(E580)),1)="D",UPPER(TRIM(E580))="D"),"D","")))))))</f>
        <v/>
      </c>
      <c r="J580" s="27" t="str">
        <f aca="false">IF(I580="","",IF(AND(I580="D",Settings!$B$6&lt;&gt;"Yes"),"",IFERROR(INDEX(Settings!$C$9:$C$12,MATCH(I580,Settings!$A$9:$A$12,0)),"")))</f>
        <v/>
      </c>
      <c r="K580" s="27" t="str">
        <f aca="false">IF(J580="","",COUNTIF($I$2:I580,I580))</f>
        <v/>
      </c>
      <c r="L580" s="27" t="str">
        <f aca="false">IF(J580="","",CHOOSE(Q580+1,"Tue","Wed","Thu","Fri"))</f>
        <v/>
      </c>
      <c r="M580" s="27" t="str">
        <f aca="false">IF(J580="","",IF(J580=1,"Every week",R580+1&amp;" of "&amp;J580))</f>
        <v/>
      </c>
      <c r="N580" s="28" t="str">
        <f aca="false">IF(J580="","",Settings!$B$4+R580*7+Q580)</f>
        <v/>
      </c>
      <c r="O580" s="28" t="str">
        <f aca="true">IF(J580="","",N580+MAX(0,ROUNDUP((TODAY()-N580)/(J580*7),0))*J580*7)</f>
        <v/>
      </c>
      <c r="P580" s="27" t="str">
        <f aca="false">IF(J580="","",MOD(K580-1,J580*4))</f>
        <v/>
      </c>
      <c r="Q580" s="27" t="str">
        <f aca="false">IF(J580="","",MOD(P580,4))</f>
        <v/>
      </c>
      <c r="R580" s="27" t="str">
        <f aca="false">IF(J580="","",INT(P580/4))</f>
        <v/>
      </c>
      <c r="S580" s="27" t="str">
        <f aca="false">IF(J580="","",IF(AND('Daily Count Sheet'!$H$3=Q580,MOD('Daily Count Sheet'!$I$3,J580)=R580),1,""))</f>
        <v/>
      </c>
      <c r="T580" s="27" t="str">
        <f aca="false">IF(S580=1,COUNTIF($S$2:S580,1),"")</f>
        <v/>
      </c>
    </row>
    <row r="581" customFormat="false" ht="15" hidden="false" customHeight="false" outlineLevel="0" collapsed="false">
      <c r="H581" s="26"/>
      <c r="I581" s="27" t="str">
        <f aca="false">IF(A581="","",IF(H581&lt;&gt;"",UPPER(TRIM(H581)),IFERROR(CHOOSE(VALUE(E581)+1,"A","B","C","D"),IF(OR(LEFT(UPPER(TRIM(E581)),1)="F",UPPER(TRIM(E581))="A"),"A",IF(OR(LEFT(UPPER(TRIM(E581)),1)="M",UPPER(TRIM(E581))="B"),"B",IF(OR(LEFT(UPPER(TRIM(E581)),2)="SL",UPPER(TRIM(E581))="C"),"C",IF(OR(LEFT(UPPER(TRIM(E581)),1)="D",UPPER(TRIM(E581))="D"),"D","")))))))</f>
        <v/>
      </c>
      <c r="J581" s="27" t="str">
        <f aca="false">IF(I581="","",IF(AND(I581="D",Settings!$B$6&lt;&gt;"Yes"),"",IFERROR(INDEX(Settings!$C$9:$C$12,MATCH(I581,Settings!$A$9:$A$12,0)),"")))</f>
        <v/>
      </c>
      <c r="K581" s="27" t="str">
        <f aca="false">IF(J581="","",COUNTIF($I$2:I581,I581))</f>
        <v/>
      </c>
      <c r="L581" s="27" t="str">
        <f aca="false">IF(J581="","",CHOOSE(Q581+1,"Tue","Wed","Thu","Fri"))</f>
        <v/>
      </c>
      <c r="M581" s="27" t="str">
        <f aca="false">IF(J581="","",IF(J581=1,"Every week",R581+1&amp;" of "&amp;J581))</f>
        <v/>
      </c>
      <c r="N581" s="28" t="str">
        <f aca="false">IF(J581="","",Settings!$B$4+R581*7+Q581)</f>
        <v/>
      </c>
      <c r="O581" s="28" t="str">
        <f aca="true">IF(J581="","",N581+MAX(0,ROUNDUP((TODAY()-N581)/(J581*7),0))*J581*7)</f>
        <v/>
      </c>
      <c r="P581" s="27" t="str">
        <f aca="false">IF(J581="","",MOD(K581-1,J581*4))</f>
        <v/>
      </c>
      <c r="Q581" s="27" t="str">
        <f aca="false">IF(J581="","",MOD(P581,4))</f>
        <v/>
      </c>
      <c r="R581" s="27" t="str">
        <f aca="false">IF(J581="","",INT(P581/4))</f>
        <v/>
      </c>
      <c r="S581" s="27" t="str">
        <f aca="false">IF(J581="","",IF(AND('Daily Count Sheet'!$H$3=Q581,MOD('Daily Count Sheet'!$I$3,J581)=R581),1,""))</f>
        <v/>
      </c>
      <c r="T581" s="27" t="str">
        <f aca="false">IF(S581=1,COUNTIF($S$2:S581,1),"")</f>
        <v/>
      </c>
    </row>
    <row r="582" customFormat="false" ht="15" hidden="false" customHeight="false" outlineLevel="0" collapsed="false">
      <c r="H582" s="26"/>
      <c r="I582" s="27" t="str">
        <f aca="false">IF(A582="","",IF(H582&lt;&gt;"",UPPER(TRIM(H582)),IFERROR(CHOOSE(VALUE(E582)+1,"A","B","C","D"),IF(OR(LEFT(UPPER(TRIM(E582)),1)="F",UPPER(TRIM(E582))="A"),"A",IF(OR(LEFT(UPPER(TRIM(E582)),1)="M",UPPER(TRIM(E582))="B"),"B",IF(OR(LEFT(UPPER(TRIM(E582)),2)="SL",UPPER(TRIM(E582))="C"),"C",IF(OR(LEFT(UPPER(TRIM(E582)),1)="D",UPPER(TRIM(E582))="D"),"D","")))))))</f>
        <v/>
      </c>
      <c r="J582" s="27" t="str">
        <f aca="false">IF(I582="","",IF(AND(I582="D",Settings!$B$6&lt;&gt;"Yes"),"",IFERROR(INDEX(Settings!$C$9:$C$12,MATCH(I582,Settings!$A$9:$A$12,0)),"")))</f>
        <v/>
      </c>
      <c r="K582" s="27" t="str">
        <f aca="false">IF(J582="","",COUNTIF($I$2:I582,I582))</f>
        <v/>
      </c>
      <c r="L582" s="27" t="str">
        <f aca="false">IF(J582="","",CHOOSE(Q582+1,"Tue","Wed","Thu","Fri"))</f>
        <v/>
      </c>
      <c r="M582" s="27" t="str">
        <f aca="false">IF(J582="","",IF(J582=1,"Every week",R582+1&amp;" of "&amp;J582))</f>
        <v/>
      </c>
      <c r="N582" s="28" t="str">
        <f aca="false">IF(J582="","",Settings!$B$4+R582*7+Q582)</f>
        <v/>
      </c>
      <c r="O582" s="28" t="str">
        <f aca="true">IF(J582="","",N582+MAX(0,ROUNDUP((TODAY()-N582)/(J582*7),0))*J582*7)</f>
        <v/>
      </c>
      <c r="P582" s="27" t="str">
        <f aca="false">IF(J582="","",MOD(K582-1,J582*4))</f>
        <v/>
      </c>
      <c r="Q582" s="27" t="str">
        <f aca="false">IF(J582="","",MOD(P582,4))</f>
        <v/>
      </c>
      <c r="R582" s="27" t="str">
        <f aca="false">IF(J582="","",INT(P582/4))</f>
        <v/>
      </c>
      <c r="S582" s="27" t="str">
        <f aca="false">IF(J582="","",IF(AND('Daily Count Sheet'!$H$3=Q582,MOD('Daily Count Sheet'!$I$3,J582)=R582),1,""))</f>
        <v/>
      </c>
      <c r="T582" s="27" t="str">
        <f aca="false">IF(S582=1,COUNTIF($S$2:S582,1),"")</f>
        <v/>
      </c>
    </row>
    <row r="583" customFormat="false" ht="15" hidden="false" customHeight="false" outlineLevel="0" collapsed="false">
      <c r="H583" s="26"/>
      <c r="I583" s="27" t="str">
        <f aca="false">IF(A583="","",IF(H583&lt;&gt;"",UPPER(TRIM(H583)),IFERROR(CHOOSE(VALUE(E583)+1,"A","B","C","D"),IF(OR(LEFT(UPPER(TRIM(E583)),1)="F",UPPER(TRIM(E583))="A"),"A",IF(OR(LEFT(UPPER(TRIM(E583)),1)="M",UPPER(TRIM(E583))="B"),"B",IF(OR(LEFT(UPPER(TRIM(E583)),2)="SL",UPPER(TRIM(E583))="C"),"C",IF(OR(LEFT(UPPER(TRIM(E583)),1)="D",UPPER(TRIM(E583))="D"),"D","")))))))</f>
        <v/>
      </c>
      <c r="J583" s="27" t="str">
        <f aca="false">IF(I583="","",IF(AND(I583="D",Settings!$B$6&lt;&gt;"Yes"),"",IFERROR(INDEX(Settings!$C$9:$C$12,MATCH(I583,Settings!$A$9:$A$12,0)),"")))</f>
        <v/>
      </c>
      <c r="K583" s="27" t="str">
        <f aca="false">IF(J583="","",COUNTIF($I$2:I583,I583))</f>
        <v/>
      </c>
      <c r="L583" s="27" t="str">
        <f aca="false">IF(J583="","",CHOOSE(Q583+1,"Tue","Wed","Thu","Fri"))</f>
        <v/>
      </c>
      <c r="M583" s="27" t="str">
        <f aca="false">IF(J583="","",IF(J583=1,"Every week",R583+1&amp;" of "&amp;J583))</f>
        <v/>
      </c>
      <c r="N583" s="28" t="str">
        <f aca="false">IF(J583="","",Settings!$B$4+R583*7+Q583)</f>
        <v/>
      </c>
      <c r="O583" s="28" t="str">
        <f aca="true">IF(J583="","",N583+MAX(0,ROUNDUP((TODAY()-N583)/(J583*7),0))*J583*7)</f>
        <v/>
      </c>
      <c r="P583" s="27" t="str">
        <f aca="false">IF(J583="","",MOD(K583-1,J583*4))</f>
        <v/>
      </c>
      <c r="Q583" s="27" t="str">
        <f aca="false">IF(J583="","",MOD(P583,4))</f>
        <v/>
      </c>
      <c r="R583" s="27" t="str">
        <f aca="false">IF(J583="","",INT(P583/4))</f>
        <v/>
      </c>
      <c r="S583" s="27" t="str">
        <f aca="false">IF(J583="","",IF(AND('Daily Count Sheet'!$H$3=Q583,MOD('Daily Count Sheet'!$I$3,J583)=R583),1,""))</f>
        <v/>
      </c>
      <c r="T583" s="27" t="str">
        <f aca="false">IF(S583=1,COUNTIF($S$2:S583,1),"")</f>
        <v/>
      </c>
    </row>
    <row r="584" customFormat="false" ht="15" hidden="false" customHeight="false" outlineLevel="0" collapsed="false">
      <c r="H584" s="26"/>
      <c r="I584" s="27" t="str">
        <f aca="false">IF(A584="","",IF(H584&lt;&gt;"",UPPER(TRIM(H584)),IFERROR(CHOOSE(VALUE(E584)+1,"A","B","C","D"),IF(OR(LEFT(UPPER(TRIM(E584)),1)="F",UPPER(TRIM(E584))="A"),"A",IF(OR(LEFT(UPPER(TRIM(E584)),1)="M",UPPER(TRIM(E584))="B"),"B",IF(OR(LEFT(UPPER(TRIM(E584)),2)="SL",UPPER(TRIM(E584))="C"),"C",IF(OR(LEFT(UPPER(TRIM(E584)),1)="D",UPPER(TRIM(E584))="D"),"D","")))))))</f>
        <v/>
      </c>
      <c r="J584" s="27" t="str">
        <f aca="false">IF(I584="","",IF(AND(I584="D",Settings!$B$6&lt;&gt;"Yes"),"",IFERROR(INDEX(Settings!$C$9:$C$12,MATCH(I584,Settings!$A$9:$A$12,0)),"")))</f>
        <v/>
      </c>
      <c r="K584" s="27" t="str">
        <f aca="false">IF(J584="","",COUNTIF($I$2:I584,I584))</f>
        <v/>
      </c>
      <c r="L584" s="27" t="str">
        <f aca="false">IF(J584="","",CHOOSE(Q584+1,"Tue","Wed","Thu","Fri"))</f>
        <v/>
      </c>
      <c r="M584" s="27" t="str">
        <f aca="false">IF(J584="","",IF(J584=1,"Every week",R584+1&amp;" of "&amp;J584))</f>
        <v/>
      </c>
      <c r="N584" s="28" t="str">
        <f aca="false">IF(J584="","",Settings!$B$4+R584*7+Q584)</f>
        <v/>
      </c>
      <c r="O584" s="28" t="str">
        <f aca="true">IF(J584="","",N584+MAX(0,ROUNDUP((TODAY()-N584)/(J584*7),0))*J584*7)</f>
        <v/>
      </c>
      <c r="P584" s="27" t="str">
        <f aca="false">IF(J584="","",MOD(K584-1,J584*4))</f>
        <v/>
      </c>
      <c r="Q584" s="27" t="str">
        <f aca="false">IF(J584="","",MOD(P584,4))</f>
        <v/>
      </c>
      <c r="R584" s="27" t="str">
        <f aca="false">IF(J584="","",INT(P584/4))</f>
        <v/>
      </c>
      <c r="S584" s="27" t="str">
        <f aca="false">IF(J584="","",IF(AND('Daily Count Sheet'!$H$3=Q584,MOD('Daily Count Sheet'!$I$3,J584)=R584),1,""))</f>
        <v/>
      </c>
      <c r="T584" s="27" t="str">
        <f aca="false">IF(S584=1,COUNTIF($S$2:S584,1),"")</f>
        <v/>
      </c>
    </row>
    <row r="585" customFormat="false" ht="15" hidden="false" customHeight="false" outlineLevel="0" collapsed="false">
      <c r="H585" s="26"/>
      <c r="I585" s="27" t="str">
        <f aca="false">IF(A585="","",IF(H585&lt;&gt;"",UPPER(TRIM(H585)),IFERROR(CHOOSE(VALUE(E585)+1,"A","B","C","D"),IF(OR(LEFT(UPPER(TRIM(E585)),1)="F",UPPER(TRIM(E585))="A"),"A",IF(OR(LEFT(UPPER(TRIM(E585)),1)="M",UPPER(TRIM(E585))="B"),"B",IF(OR(LEFT(UPPER(TRIM(E585)),2)="SL",UPPER(TRIM(E585))="C"),"C",IF(OR(LEFT(UPPER(TRIM(E585)),1)="D",UPPER(TRIM(E585))="D"),"D","")))))))</f>
        <v/>
      </c>
      <c r="J585" s="27" t="str">
        <f aca="false">IF(I585="","",IF(AND(I585="D",Settings!$B$6&lt;&gt;"Yes"),"",IFERROR(INDEX(Settings!$C$9:$C$12,MATCH(I585,Settings!$A$9:$A$12,0)),"")))</f>
        <v/>
      </c>
      <c r="K585" s="27" t="str">
        <f aca="false">IF(J585="","",COUNTIF($I$2:I585,I585))</f>
        <v/>
      </c>
      <c r="L585" s="27" t="str">
        <f aca="false">IF(J585="","",CHOOSE(Q585+1,"Tue","Wed","Thu","Fri"))</f>
        <v/>
      </c>
      <c r="M585" s="27" t="str">
        <f aca="false">IF(J585="","",IF(J585=1,"Every week",R585+1&amp;" of "&amp;J585))</f>
        <v/>
      </c>
      <c r="N585" s="28" t="str">
        <f aca="false">IF(J585="","",Settings!$B$4+R585*7+Q585)</f>
        <v/>
      </c>
      <c r="O585" s="28" t="str">
        <f aca="true">IF(J585="","",N585+MAX(0,ROUNDUP((TODAY()-N585)/(J585*7),0))*J585*7)</f>
        <v/>
      </c>
      <c r="P585" s="27" t="str">
        <f aca="false">IF(J585="","",MOD(K585-1,J585*4))</f>
        <v/>
      </c>
      <c r="Q585" s="27" t="str">
        <f aca="false">IF(J585="","",MOD(P585,4))</f>
        <v/>
      </c>
      <c r="R585" s="27" t="str">
        <f aca="false">IF(J585="","",INT(P585/4))</f>
        <v/>
      </c>
      <c r="S585" s="27" t="str">
        <f aca="false">IF(J585="","",IF(AND('Daily Count Sheet'!$H$3=Q585,MOD('Daily Count Sheet'!$I$3,J585)=R585),1,""))</f>
        <v/>
      </c>
      <c r="T585" s="27" t="str">
        <f aca="false">IF(S585=1,COUNTIF($S$2:S585,1),"")</f>
        <v/>
      </c>
    </row>
    <row r="586" customFormat="false" ht="15" hidden="false" customHeight="false" outlineLevel="0" collapsed="false">
      <c r="H586" s="26"/>
      <c r="I586" s="27" t="str">
        <f aca="false">IF(A586="","",IF(H586&lt;&gt;"",UPPER(TRIM(H586)),IFERROR(CHOOSE(VALUE(E586)+1,"A","B","C","D"),IF(OR(LEFT(UPPER(TRIM(E586)),1)="F",UPPER(TRIM(E586))="A"),"A",IF(OR(LEFT(UPPER(TRIM(E586)),1)="M",UPPER(TRIM(E586))="B"),"B",IF(OR(LEFT(UPPER(TRIM(E586)),2)="SL",UPPER(TRIM(E586))="C"),"C",IF(OR(LEFT(UPPER(TRIM(E586)),1)="D",UPPER(TRIM(E586))="D"),"D","")))))))</f>
        <v/>
      </c>
      <c r="J586" s="27" t="str">
        <f aca="false">IF(I586="","",IF(AND(I586="D",Settings!$B$6&lt;&gt;"Yes"),"",IFERROR(INDEX(Settings!$C$9:$C$12,MATCH(I586,Settings!$A$9:$A$12,0)),"")))</f>
        <v/>
      </c>
      <c r="K586" s="27" t="str">
        <f aca="false">IF(J586="","",COUNTIF($I$2:I586,I586))</f>
        <v/>
      </c>
      <c r="L586" s="27" t="str">
        <f aca="false">IF(J586="","",CHOOSE(Q586+1,"Tue","Wed","Thu","Fri"))</f>
        <v/>
      </c>
      <c r="M586" s="27" t="str">
        <f aca="false">IF(J586="","",IF(J586=1,"Every week",R586+1&amp;" of "&amp;J586))</f>
        <v/>
      </c>
      <c r="N586" s="28" t="str">
        <f aca="false">IF(J586="","",Settings!$B$4+R586*7+Q586)</f>
        <v/>
      </c>
      <c r="O586" s="28" t="str">
        <f aca="true">IF(J586="","",N586+MAX(0,ROUNDUP((TODAY()-N586)/(J586*7),0))*J586*7)</f>
        <v/>
      </c>
      <c r="P586" s="27" t="str">
        <f aca="false">IF(J586="","",MOD(K586-1,J586*4))</f>
        <v/>
      </c>
      <c r="Q586" s="27" t="str">
        <f aca="false">IF(J586="","",MOD(P586,4))</f>
        <v/>
      </c>
      <c r="R586" s="27" t="str">
        <f aca="false">IF(J586="","",INT(P586/4))</f>
        <v/>
      </c>
      <c r="S586" s="27" t="str">
        <f aca="false">IF(J586="","",IF(AND('Daily Count Sheet'!$H$3=Q586,MOD('Daily Count Sheet'!$I$3,J586)=R586),1,""))</f>
        <v/>
      </c>
      <c r="T586" s="27" t="str">
        <f aca="false">IF(S586=1,COUNTIF($S$2:S586,1),"")</f>
        <v/>
      </c>
    </row>
    <row r="587" customFormat="false" ht="15" hidden="false" customHeight="false" outlineLevel="0" collapsed="false">
      <c r="H587" s="26"/>
      <c r="I587" s="27" t="str">
        <f aca="false">IF(A587="","",IF(H587&lt;&gt;"",UPPER(TRIM(H587)),IFERROR(CHOOSE(VALUE(E587)+1,"A","B","C","D"),IF(OR(LEFT(UPPER(TRIM(E587)),1)="F",UPPER(TRIM(E587))="A"),"A",IF(OR(LEFT(UPPER(TRIM(E587)),1)="M",UPPER(TRIM(E587))="B"),"B",IF(OR(LEFT(UPPER(TRIM(E587)),2)="SL",UPPER(TRIM(E587))="C"),"C",IF(OR(LEFT(UPPER(TRIM(E587)),1)="D",UPPER(TRIM(E587))="D"),"D","")))))))</f>
        <v/>
      </c>
      <c r="J587" s="27" t="str">
        <f aca="false">IF(I587="","",IF(AND(I587="D",Settings!$B$6&lt;&gt;"Yes"),"",IFERROR(INDEX(Settings!$C$9:$C$12,MATCH(I587,Settings!$A$9:$A$12,0)),"")))</f>
        <v/>
      </c>
      <c r="K587" s="27" t="str">
        <f aca="false">IF(J587="","",COUNTIF($I$2:I587,I587))</f>
        <v/>
      </c>
      <c r="L587" s="27" t="str">
        <f aca="false">IF(J587="","",CHOOSE(Q587+1,"Tue","Wed","Thu","Fri"))</f>
        <v/>
      </c>
      <c r="M587" s="27" t="str">
        <f aca="false">IF(J587="","",IF(J587=1,"Every week",R587+1&amp;" of "&amp;J587))</f>
        <v/>
      </c>
      <c r="N587" s="28" t="str">
        <f aca="false">IF(J587="","",Settings!$B$4+R587*7+Q587)</f>
        <v/>
      </c>
      <c r="O587" s="28" t="str">
        <f aca="true">IF(J587="","",N587+MAX(0,ROUNDUP((TODAY()-N587)/(J587*7),0))*J587*7)</f>
        <v/>
      </c>
      <c r="P587" s="27" t="str">
        <f aca="false">IF(J587="","",MOD(K587-1,J587*4))</f>
        <v/>
      </c>
      <c r="Q587" s="27" t="str">
        <f aca="false">IF(J587="","",MOD(P587,4))</f>
        <v/>
      </c>
      <c r="R587" s="27" t="str">
        <f aca="false">IF(J587="","",INT(P587/4))</f>
        <v/>
      </c>
      <c r="S587" s="27" t="str">
        <f aca="false">IF(J587="","",IF(AND('Daily Count Sheet'!$H$3=Q587,MOD('Daily Count Sheet'!$I$3,J587)=R587),1,""))</f>
        <v/>
      </c>
      <c r="T587" s="27" t="str">
        <f aca="false">IF(S587=1,COUNTIF($S$2:S587,1),"")</f>
        <v/>
      </c>
    </row>
    <row r="588" customFormat="false" ht="15" hidden="false" customHeight="false" outlineLevel="0" collapsed="false">
      <c r="H588" s="26"/>
      <c r="I588" s="27" t="str">
        <f aca="false">IF(A588="","",IF(H588&lt;&gt;"",UPPER(TRIM(H588)),IFERROR(CHOOSE(VALUE(E588)+1,"A","B","C","D"),IF(OR(LEFT(UPPER(TRIM(E588)),1)="F",UPPER(TRIM(E588))="A"),"A",IF(OR(LEFT(UPPER(TRIM(E588)),1)="M",UPPER(TRIM(E588))="B"),"B",IF(OR(LEFT(UPPER(TRIM(E588)),2)="SL",UPPER(TRIM(E588))="C"),"C",IF(OR(LEFT(UPPER(TRIM(E588)),1)="D",UPPER(TRIM(E588))="D"),"D","")))))))</f>
        <v/>
      </c>
      <c r="J588" s="27" t="str">
        <f aca="false">IF(I588="","",IF(AND(I588="D",Settings!$B$6&lt;&gt;"Yes"),"",IFERROR(INDEX(Settings!$C$9:$C$12,MATCH(I588,Settings!$A$9:$A$12,0)),"")))</f>
        <v/>
      </c>
      <c r="K588" s="27" t="str">
        <f aca="false">IF(J588="","",COUNTIF($I$2:I588,I588))</f>
        <v/>
      </c>
      <c r="L588" s="27" t="str">
        <f aca="false">IF(J588="","",CHOOSE(Q588+1,"Tue","Wed","Thu","Fri"))</f>
        <v/>
      </c>
      <c r="M588" s="27" t="str">
        <f aca="false">IF(J588="","",IF(J588=1,"Every week",R588+1&amp;" of "&amp;J588))</f>
        <v/>
      </c>
      <c r="N588" s="28" t="str">
        <f aca="false">IF(J588="","",Settings!$B$4+R588*7+Q588)</f>
        <v/>
      </c>
      <c r="O588" s="28" t="str">
        <f aca="true">IF(J588="","",N588+MAX(0,ROUNDUP((TODAY()-N588)/(J588*7),0))*J588*7)</f>
        <v/>
      </c>
      <c r="P588" s="27" t="str">
        <f aca="false">IF(J588="","",MOD(K588-1,J588*4))</f>
        <v/>
      </c>
      <c r="Q588" s="27" t="str">
        <f aca="false">IF(J588="","",MOD(P588,4))</f>
        <v/>
      </c>
      <c r="R588" s="27" t="str">
        <f aca="false">IF(J588="","",INT(P588/4))</f>
        <v/>
      </c>
      <c r="S588" s="27" t="str">
        <f aca="false">IF(J588="","",IF(AND('Daily Count Sheet'!$H$3=Q588,MOD('Daily Count Sheet'!$I$3,J588)=R588),1,""))</f>
        <v/>
      </c>
      <c r="T588" s="27" t="str">
        <f aca="false">IF(S588=1,COUNTIF($S$2:S588,1),"")</f>
        <v/>
      </c>
    </row>
    <row r="589" customFormat="false" ht="15" hidden="false" customHeight="false" outlineLevel="0" collapsed="false">
      <c r="H589" s="26"/>
      <c r="I589" s="27" t="str">
        <f aca="false">IF(A589="","",IF(H589&lt;&gt;"",UPPER(TRIM(H589)),IFERROR(CHOOSE(VALUE(E589)+1,"A","B","C","D"),IF(OR(LEFT(UPPER(TRIM(E589)),1)="F",UPPER(TRIM(E589))="A"),"A",IF(OR(LEFT(UPPER(TRIM(E589)),1)="M",UPPER(TRIM(E589))="B"),"B",IF(OR(LEFT(UPPER(TRIM(E589)),2)="SL",UPPER(TRIM(E589))="C"),"C",IF(OR(LEFT(UPPER(TRIM(E589)),1)="D",UPPER(TRIM(E589))="D"),"D","")))))))</f>
        <v/>
      </c>
      <c r="J589" s="27" t="str">
        <f aca="false">IF(I589="","",IF(AND(I589="D",Settings!$B$6&lt;&gt;"Yes"),"",IFERROR(INDEX(Settings!$C$9:$C$12,MATCH(I589,Settings!$A$9:$A$12,0)),"")))</f>
        <v/>
      </c>
      <c r="K589" s="27" t="str">
        <f aca="false">IF(J589="","",COUNTIF($I$2:I589,I589))</f>
        <v/>
      </c>
      <c r="L589" s="27" t="str">
        <f aca="false">IF(J589="","",CHOOSE(Q589+1,"Tue","Wed","Thu","Fri"))</f>
        <v/>
      </c>
      <c r="M589" s="27" t="str">
        <f aca="false">IF(J589="","",IF(J589=1,"Every week",R589+1&amp;" of "&amp;J589))</f>
        <v/>
      </c>
      <c r="N589" s="28" t="str">
        <f aca="false">IF(J589="","",Settings!$B$4+R589*7+Q589)</f>
        <v/>
      </c>
      <c r="O589" s="28" t="str">
        <f aca="true">IF(J589="","",N589+MAX(0,ROUNDUP((TODAY()-N589)/(J589*7),0))*J589*7)</f>
        <v/>
      </c>
      <c r="P589" s="27" t="str">
        <f aca="false">IF(J589="","",MOD(K589-1,J589*4))</f>
        <v/>
      </c>
      <c r="Q589" s="27" t="str">
        <f aca="false">IF(J589="","",MOD(P589,4))</f>
        <v/>
      </c>
      <c r="R589" s="27" t="str">
        <f aca="false">IF(J589="","",INT(P589/4))</f>
        <v/>
      </c>
      <c r="S589" s="27" t="str">
        <f aca="false">IF(J589="","",IF(AND('Daily Count Sheet'!$H$3=Q589,MOD('Daily Count Sheet'!$I$3,J589)=R589),1,""))</f>
        <v/>
      </c>
      <c r="T589" s="27" t="str">
        <f aca="false">IF(S589=1,COUNTIF($S$2:S589,1),"")</f>
        <v/>
      </c>
    </row>
    <row r="590" customFormat="false" ht="15" hidden="false" customHeight="false" outlineLevel="0" collapsed="false">
      <c r="H590" s="26"/>
      <c r="I590" s="27" t="str">
        <f aca="false">IF(A590="","",IF(H590&lt;&gt;"",UPPER(TRIM(H590)),IFERROR(CHOOSE(VALUE(E590)+1,"A","B","C","D"),IF(OR(LEFT(UPPER(TRIM(E590)),1)="F",UPPER(TRIM(E590))="A"),"A",IF(OR(LEFT(UPPER(TRIM(E590)),1)="M",UPPER(TRIM(E590))="B"),"B",IF(OR(LEFT(UPPER(TRIM(E590)),2)="SL",UPPER(TRIM(E590))="C"),"C",IF(OR(LEFT(UPPER(TRIM(E590)),1)="D",UPPER(TRIM(E590))="D"),"D","")))))))</f>
        <v/>
      </c>
      <c r="J590" s="27" t="str">
        <f aca="false">IF(I590="","",IF(AND(I590="D",Settings!$B$6&lt;&gt;"Yes"),"",IFERROR(INDEX(Settings!$C$9:$C$12,MATCH(I590,Settings!$A$9:$A$12,0)),"")))</f>
        <v/>
      </c>
      <c r="K590" s="27" t="str">
        <f aca="false">IF(J590="","",COUNTIF($I$2:I590,I590))</f>
        <v/>
      </c>
      <c r="L590" s="27" t="str">
        <f aca="false">IF(J590="","",CHOOSE(Q590+1,"Tue","Wed","Thu","Fri"))</f>
        <v/>
      </c>
      <c r="M590" s="27" t="str">
        <f aca="false">IF(J590="","",IF(J590=1,"Every week",R590+1&amp;" of "&amp;J590))</f>
        <v/>
      </c>
      <c r="N590" s="28" t="str">
        <f aca="false">IF(J590="","",Settings!$B$4+R590*7+Q590)</f>
        <v/>
      </c>
      <c r="O590" s="28" t="str">
        <f aca="true">IF(J590="","",N590+MAX(0,ROUNDUP((TODAY()-N590)/(J590*7),0))*J590*7)</f>
        <v/>
      </c>
      <c r="P590" s="27" t="str">
        <f aca="false">IF(J590="","",MOD(K590-1,J590*4))</f>
        <v/>
      </c>
      <c r="Q590" s="27" t="str">
        <f aca="false">IF(J590="","",MOD(P590,4))</f>
        <v/>
      </c>
      <c r="R590" s="27" t="str">
        <f aca="false">IF(J590="","",INT(P590/4))</f>
        <v/>
      </c>
      <c r="S590" s="27" t="str">
        <f aca="false">IF(J590="","",IF(AND('Daily Count Sheet'!$H$3=Q590,MOD('Daily Count Sheet'!$I$3,J590)=R590),1,""))</f>
        <v/>
      </c>
      <c r="T590" s="27" t="str">
        <f aca="false">IF(S590=1,COUNTIF($S$2:S590,1),"")</f>
        <v/>
      </c>
    </row>
    <row r="591" customFormat="false" ht="15" hidden="false" customHeight="false" outlineLevel="0" collapsed="false">
      <c r="H591" s="26"/>
      <c r="I591" s="27" t="str">
        <f aca="false">IF(A591="","",IF(H591&lt;&gt;"",UPPER(TRIM(H591)),IFERROR(CHOOSE(VALUE(E591)+1,"A","B","C","D"),IF(OR(LEFT(UPPER(TRIM(E591)),1)="F",UPPER(TRIM(E591))="A"),"A",IF(OR(LEFT(UPPER(TRIM(E591)),1)="M",UPPER(TRIM(E591))="B"),"B",IF(OR(LEFT(UPPER(TRIM(E591)),2)="SL",UPPER(TRIM(E591))="C"),"C",IF(OR(LEFT(UPPER(TRIM(E591)),1)="D",UPPER(TRIM(E591))="D"),"D","")))))))</f>
        <v/>
      </c>
      <c r="J591" s="27" t="str">
        <f aca="false">IF(I591="","",IF(AND(I591="D",Settings!$B$6&lt;&gt;"Yes"),"",IFERROR(INDEX(Settings!$C$9:$C$12,MATCH(I591,Settings!$A$9:$A$12,0)),"")))</f>
        <v/>
      </c>
      <c r="K591" s="27" t="str">
        <f aca="false">IF(J591="","",COUNTIF($I$2:I591,I591))</f>
        <v/>
      </c>
      <c r="L591" s="27" t="str">
        <f aca="false">IF(J591="","",CHOOSE(Q591+1,"Tue","Wed","Thu","Fri"))</f>
        <v/>
      </c>
      <c r="M591" s="27" t="str">
        <f aca="false">IF(J591="","",IF(J591=1,"Every week",R591+1&amp;" of "&amp;J591))</f>
        <v/>
      </c>
      <c r="N591" s="28" t="str">
        <f aca="false">IF(J591="","",Settings!$B$4+R591*7+Q591)</f>
        <v/>
      </c>
      <c r="O591" s="28" t="str">
        <f aca="true">IF(J591="","",N591+MAX(0,ROUNDUP((TODAY()-N591)/(J591*7),0))*J591*7)</f>
        <v/>
      </c>
      <c r="P591" s="27" t="str">
        <f aca="false">IF(J591="","",MOD(K591-1,J591*4))</f>
        <v/>
      </c>
      <c r="Q591" s="27" t="str">
        <f aca="false">IF(J591="","",MOD(P591,4))</f>
        <v/>
      </c>
      <c r="R591" s="27" t="str">
        <f aca="false">IF(J591="","",INT(P591/4))</f>
        <v/>
      </c>
      <c r="S591" s="27" t="str">
        <f aca="false">IF(J591="","",IF(AND('Daily Count Sheet'!$H$3=Q591,MOD('Daily Count Sheet'!$I$3,J591)=R591),1,""))</f>
        <v/>
      </c>
      <c r="T591" s="27" t="str">
        <f aca="false">IF(S591=1,COUNTIF($S$2:S591,1),"")</f>
        <v/>
      </c>
    </row>
    <row r="592" customFormat="false" ht="15" hidden="false" customHeight="false" outlineLevel="0" collapsed="false">
      <c r="H592" s="26"/>
      <c r="I592" s="27" t="str">
        <f aca="false">IF(A592="","",IF(H592&lt;&gt;"",UPPER(TRIM(H592)),IFERROR(CHOOSE(VALUE(E592)+1,"A","B","C","D"),IF(OR(LEFT(UPPER(TRIM(E592)),1)="F",UPPER(TRIM(E592))="A"),"A",IF(OR(LEFT(UPPER(TRIM(E592)),1)="M",UPPER(TRIM(E592))="B"),"B",IF(OR(LEFT(UPPER(TRIM(E592)),2)="SL",UPPER(TRIM(E592))="C"),"C",IF(OR(LEFT(UPPER(TRIM(E592)),1)="D",UPPER(TRIM(E592))="D"),"D","")))))))</f>
        <v/>
      </c>
      <c r="J592" s="27" t="str">
        <f aca="false">IF(I592="","",IF(AND(I592="D",Settings!$B$6&lt;&gt;"Yes"),"",IFERROR(INDEX(Settings!$C$9:$C$12,MATCH(I592,Settings!$A$9:$A$12,0)),"")))</f>
        <v/>
      </c>
      <c r="K592" s="27" t="str">
        <f aca="false">IF(J592="","",COUNTIF($I$2:I592,I592))</f>
        <v/>
      </c>
      <c r="L592" s="27" t="str">
        <f aca="false">IF(J592="","",CHOOSE(Q592+1,"Tue","Wed","Thu","Fri"))</f>
        <v/>
      </c>
      <c r="M592" s="27" t="str">
        <f aca="false">IF(J592="","",IF(J592=1,"Every week",R592+1&amp;" of "&amp;J592))</f>
        <v/>
      </c>
      <c r="N592" s="28" t="str">
        <f aca="false">IF(J592="","",Settings!$B$4+R592*7+Q592)</f>
        <v/>
      </c>
      <c r="O592" s="28" t="str">
        <f aca="true">IF(J592="","",N592+MAX(0,ROUNDUP((TODAY()-N592)/(J592*7),0))*J592*7)</f>
        <v/>
      </c>
      <c r="P592" s="27" t="str">
        <f aca="false">IF(J592="","",MOD(K592-1,J592*4))</f>
        <v/>
      </c>
      <c r="Q592" s="27" t="str">
        <f aca="false">IF(J592="","",MOD(P592,4))</f>
        <v/>
      </c>
      <c r="R592" s="27" t="str">
        <f aca="false">IF(J592="","",INT(P592/4))</f>
        <v/>
      </c>
      <c r="S592" s="27" t="str">
        <f aca="false">IF(J592="","",IF(AND('Daily Count Sheet'!$H$3=Q592,MOD('Daily Count Sheet'!$I$3,J592)=R592),1,""))</f>
        <v/>
      </c>
      <c r="T592" s="27" t="str">
        <f aca="false">IF(S592=1,COUNTIF($S$2:S592,1),"")</f>
        <v/>
      </c>
    </row>
    <row r="593" customFormat="false" ht="15" hidden="false" customHeight="false" outlineLevel="0" collapsed="false">
      <c r="H593" s="26"/>
      <c r="I593" s="27" t="str">
        <f aca="false">IF(A593="","",IF(H593&lt;&gt;"",UPPER(TRIM(H593)),IFERROR(CHOOSE(VALUE(E593)+1,"A","B","C","D"),IF(OR(LEFT(UPPER(TRIM(E593)),1)="F",UPPER(TRIM(E593))="A"),"A",IF(OR(LEFT(UPPER(TRIM(E593)),1)="M",UPPER(TRIM(E593))="B"),"B",IF(OR(LEFT(UPPER(TRIM(E593)),2)="SL",UPPER(TRIM(E593))="C"),"C",IF(OR(LEFT(UPPER(TRIM(E593)),1)="D",UPPER(TRIM(E593))="D"),"D","")))))))</f>
        <v/>
      </c>
      <c r="J593" s="27" t="str">
        <f aca="false">IF(I593="","",IF(AND(I593="D",Settings!$B$6&lt;&gt;"Yes"),"",IFERROR(INDEX(Settings!$C$9:$C$12,MATCH(I593,Settings!$A$9:$A$12,0)),"")))</f>
        <v/>
      </c>
      <c r="K593" s="27" t="str">
        <f aca="false">IF(J593="","",COUNTIF($I$2:I593,I593))</f>
        <v/>
      </c>
      <c r="L593" s="27" t="str">
        <f aca="false">IF(J593="","",CHOOSE(Q593+1,"Tue","Wed","Thu","Fri"))</f>
        <v/>
      </c>
      <c r="M593" s="27" t="str">
        <f aca="false">IF(J593="","",IF(J593=1,"Every week",R593+1&amp;" of "&amp;J593))</f>
        <v/>
      </c>
      <c r="N593" s="28" t="str">
        <f aca="false">IF(J593="","",Settings!$B$4+R593*7+Q593)</f>
        <v/>
      </c>
      <c r="O593" s="28" t="str">
        <f aca="true">IF(J593="","",N593+MAX(0,ROUNDUP((TODAY()-N593)/(J593*7),0))*J593*7)</f>
        <v/>
      </c>
      <c r="P593" s="27" t="str">
        <f aca="false">IF(J593="","",MOD(K593-1,J593*4))</f>
        <v/>
      </c>
      <c r="Q593" s="27" t="str">
        <f aca="false">IF(J593="","",MOD(P593,4))</f>
        <v/>
      </c>
      <c r="R593" s="27" t="str">
        <f aca="false">IF(J593="","",INT(P593/4))</f>
        <v/>
      </c>
      <c r="S593" s="27" t="str">
        <f aca="false">IF(J593="","",IF(AND('Daily Count Sheet'!$H$3=Q593,MOD('Daily Count Sheet'!$I$3,J593)=R593),1,""))</f>
        <v/>
      </c>
      <c r="T593" s="27" t="str">
        <f aca="false">IF(S593=1,COUNTIF($S$2:S593,1),"")</f>
        <v/>
      </c>
    </row>
    <row r="594" customFormat="false" ht="15" hidden="false" customHeight="false" outlineLevel="0" collapsed="false">
      <c r="H594" s="26"/>
      <c r="I594" s="27" t="str">
        <f aca="false">IF(A594="","",IF(H594&lt;&gt;"",UPPER(TRIM(H594)),IFERROR(CHOOSE(VALUE(E594)+1,"A","B","C","D"),IF(OR(LEFT(UPPER(TRIM(E594)),1)="F",UPPER(TRIM(E594))="A"),"A",IF(OR(LEFT(UPPER(TRIM(E594)),1)="M",UPPER(TRIM(E594))="B"),"B",IF(OR(LEFT(UPPER(TRIM(E594)),2)="SL",UPPER(TRIM(E594))="C"),"C",IF(OR(LEFT(UPPER(TRIM(E594)),1)="D",UPPER(TRIM(E594))="D"),"D","")))))))</f>
        <v/>
      </c>
      <c r="J594" s="27" t="str">
        <f aca="false">IF(I594="","",IF(AND(I594="D",Settings!$B$6&lt;&gt;"Yes"),"",IFERROR(INDEX(Settings!$C$9:$C$12,MATCH(I594,Settings!$A$9:$A$12,0)),"")))</f>
        <v/>
      </c>
      <c r="K594" s="27" t="str">
        <f aca="false">IF(J594="","",COUNTIF($I$2:I594,I594))</f>
        <v/>
      </c>
      <c r="L594" s="27" t="str">
        <f aca="false">IF(J594="","",CHOOSE(Q594+1,"Tue","Wed","Thu","Fri"))</f>
        <v/>
      </c>
      <c r="M594" s="27" t="str">
        <f aca="false">IF(J594="","",IF(J594=1,"Every week",R594+1&amp;" of "&amp;J594))</f>
        <v/>
      </c>
      <c r="N594" s="28" t="str">
        <f aca="false">IF(J594="","",Settings!$B$4+R594*7+Q594)</f>
        <v/>
      </c>
      <c r="O594" s="28" t="str">
        <f aca="true">IF(J594="","",N594+MAX(0,ROUNDUP((TODAY()-N594)/(J594*7),0))*J594*7)</f>
        <v/>
      </c>
      <c r="P594" s="27" t="str">
        <f aca="false">IF(J594="","",MOD(K594-1,J594*4))</f>
        <v/>
      </c>
      <c r="Q594" s="27" t="str">
        <f aca="false">IF(J594="","",MOD(P594,4))</f>
        <v/>
      </c>
      <c r="R594" s="27" t="str">
        <f aca="false">IF(J594="","",INT(P594/4))</f>
        <v/>
      </c>
      <c r="S594" s="27" t="str">
        <f aca="false">IF(J594="","",IF(AND('Daily Count Sheet'!$H$3=Q594,MOD('Daily Count Sheet'!$I$3,J594)=R594),1,""))</f>
        <v/>
      </c>
      <c r="T594" s="27" t="str">
        <f aca="false">IF(S594=1,COUNTIF($S$2:S594,1),"")</f>
        <v/>
      </c>
    </row>
    <row r="595" customFormat="false" ht="15" hidden="false" customHeight="false" outlineLevel="0" collapsed="false">
      <c r="H595" s="26"/>
      <c r="I595" s="27" t="str">
        <f aca="false">IF(A595="","",IF(H595&lt;&gt;"",UPPER(TRIM(H595)),IFERROR(CHOOSE(VALUE(E595)+1,"A","B","C","D"),IF(OR(LEFT(UPPER(TRIM(E595)),1)="F",UPPER(TRIM(E595))="A"),"A",IF(OR(LEFT(UPPER(TRIM(E595)),1)="M",UPPER(TRIM(E595))="B"),"B",IF(OR(LEFT(UPPER(TRIM(E595)),2)="SL",UPPER(TRIM(E595))="C"),"C",IF(OR(LEFT(UPPER(TRIM(E595)),1)="D",UPPER(TRIM(E595))="D"),"D","")))))))</f>
        <v/>
      </c>
      <c r="J595" s="27" t="str">
        <f aca="false">IF(I595="","",IF(AND(I595="D",Settings!$B$6&lt;&gt;"Yes"),"",IFERROR(INDEX(Settings!$C$9:$C$12,MATCH(I595,Settings!$A$9:$A$12,0)),"")))</f>
        <v/>
      </c>
      <c r="K595" s="27" t="str">
        <f aca="false">IF(J595="","",COUNTIF($I$2:I595,I595))</f>
        <v/>
      </c>
      <c r="L595" s="27" t="str">
        <f aca="false">IF(J595="","",CHOOSE(Q595+1,"Tue","Wed","Thu","Fri"))</f>
        <v/>
      </c>
      <c r="M595" s="27" t="str">
        <f aca="false">IF(J595="","",IF(J595=1,"Every week",R595+1&amp;" of "&amp;J595))</f>
        <v/>
      </c>
      <c r="N595" s="28" t="str">
        <f aca="false">IF(J595="","",Settings!$B$4+R595*7+Q595)</f>
        <v/>
      </c>
      <c r="O595" s="28" t="str">
        <f aca="true">IF(J595="","",N595+MAX(0,ROUNDUP((TODAY()-N595)/(J595*7),0))*J595*7)</f>
        <v/>
      </c>
      <c r="P595" s="27" t="str">
        <f aca="false">IF(J595="","",MOD(K595-1,J595*4))</f>
        <v/>
      </c>
      <c r="Q595" s="27" t="str">
        <f aca="false">IF(J595="","",MOD(P595,4))</f>
        <v/>
      </c>
      <c r="R595" s="27" t="str">
        <f aca="false">IF(J595="","",INT(P595/4))</f>
        <v/>
      </c>
      <c r="S595" s="27" t="str">
        <f aca="false">IF(J595="","",IF(AND('Daily Count Sheet'!$H$3=Q595,MOD('Daily Count Sheet'!$I$3,J595)=R595),1,""))</f>
        <v/>
      </c>
      <c r="T595" s="27" t="str">
        <f aca="false">IF(S595=1,COUNTIF($S$2:S595,1),"")</f>
        <v/>
      </c>
    </row>
    <row r="596" customFormat="false" ht="15" hidden="false" customHeight="false" outlineLevel="0" collapsed="false">
      <c r="H596" s="26"/>
      <c r="I596" s="27" t="str">
        <f aca="false">IF(A596="","",IF(H596&lt;&gt;"",UPPER(TRIM(H596)),IFERROR(CHOOSE(VALUE(E596)+1,"A","B","C","D"),IF(OR(LEFT(UPPER(TRIM(E596)),1)="F",UPPER(TRIM(E596))="A"),"A",IF(OR(LEFT(UPPER(TRIM(E596)),1)="M",UPPER(TRIM(E596))="B"),"B",IF(OR(LEFT(UPPER(TRIM(E596)),2)="SL",UPPER(TRIM(E596))="C"),"C",IF(OR(LEFT(UPPER(TRIM(E596)),1)="D",UPPER(TRIM(E596))="D"),"D","")))))))</f>
        <v/>
      </c>
      <c r="J596" s="27" t="str">
        <f aca="false">IF(I596="","",IF(AND(I596="D",Settings!$B$6&lt;&gt;"Yes"),"",IFERROR(INDEX(Settings!$C$9:$C$12,MATCH(I596,Settings!$A$9:$A$12,0)),"")))</f>
        <v/>
      </c>
      <c r="K596" s="27" t="str">
        <f aca="false">IF(J596="","",COUNTIF($I$2:I596,I596))</f>
        <v/>
      </c>
      <c r="L596" s="27" t="str">
        <f aca="false">IF(J596="","",CHOOSE(Q596+1,"Tue","Wed","Thu","Fri"))</f>
        <v/>
      </c>
      <c r="M596" s="27" t="str">
        <f aca="false">IF(J596="","",IF(J596=1,"Every week",R596+1&amp;" of "&amp;J596))</f>
        <v/>
      </c>
      <c r="N596" s="28" t="str">
        <f aca="false">IF(J596="","",Settings!$B$4+R596*7+Q596)</f>
        <v/>
      </c>
      <c r="O596" s="28" t="str">
        <f aca="true">IF(J596="","",N596+MAX(0,ROUNDUP((TODAY()-N596)/(J596*7),0))*J596*7)</f>
        <v/>
      </c>
      <c r="P596" s="27" t="str">
        <f aca="false">IF(J596="","",MOD(K596-1,J596*4))</f>
        <v/>
      </c>
      <c r="Q596" s="27" t="str">
        <f aca="false">IF(J596="","",MOD(P596,4))</f>
        <v/>
      </c>
      <c r="R596" s="27" t="str">
        <f aca="false">IF(J596="","",INT(P596/4))</f>
        <v/>
      </c>
      <c r="S596" s="27" t="str">
        <f aca="false">IF(J596="","",IF(AND('Daily Count Sheet'!$H$3=Q596,MOD('Daily Count Sheet'!$I$3,J596)=R596),1,""))</f>
        <v/>
      </c>
      <c r="T596" s="27" t="str">
        <f aca="false">IF(S596=1,COUNTIF($S$2:S596,1),"")</f>
        <v/>
      </c>
    </row>
    <row r="597" customFormat="false" ht="15" hidden="false" customHeight="false" outlineLevel="0" collapsed="false">
      <c r="H597" s="26"/>
      <c r="I597" s="27" t="str">
        <f aca="false">IF(A597="","",IF(H597&lt;&gt;"",UPPER(TRIM(H597)),IFERROR(CHOOSE(VALUE(E597)+1,"A","B","C","D"),IF(OR(LEFT(UPPER(TRIM(E597)),1)="F",UPPER(TRIM(E597))="A"),"A",IF(OR(LEFT(UPPER(TRIM(E597)),1)="M",UPPER(TRIM(E597))="B"),"B",IF(OR(LEFT(UPPER(TRIM(E597)),2)="SL",UPPER(TRIM(E597))="C"),"C",IF(OR(LEFT(UPPER(TRIM(E597)),1)="D",UPPER(TRIM(E597))="D"),"D","")))))))</f>
        <v/>
      </c>
      <c r="J597" s="27" t="str">
        <f aca="false">IF(I597="","",IF(AND(I597="D",Settings!$B$6&lt;&gt;"Yes"),"",IFERROR(INDEX(Settings!$C$9:$C$12,MATCH(I597,Settings!$A$9:$A$12,0)),"")))</f>
        <v/>
      </c>
      <c r="K597" s="27" t="str">
        <f aca="false">IF(J597="","",COUNTIF($I$2:I597,I597))</f>
        <v/>
      </c>
      <c r="L597" s="27" t="str">
        <f aca="false">IF(J597="","",CHOOSE(Q597+1,"Tue","Wed","Thu","Fri"))</f>
        <v/>
      </c>
      <c r="M597" s="27" t="str">
        <f aca="false">IF(J597="","",IF(J597=1,"Every week",R597+1&amp;" of "&amp;J597))</f>
        <v/>
      </c>
      <c r="N597" s="28" t="str">
        <f aca="false">IF(J597="","",Settings!$B$4+R597*7+Q597)</f>
        <v/>
      </c>
      <c r="O597" s="28" t="str">
        <f aca="true">IF(J597="","",N597+MAX(0,ROUNDUP((TODAY()-N597)/(J597*7),0))*J597*7)</f>
        <v/>
      </c>
      <c r="P597" s="27" t="str">
        <f aca="false">IF(J597="","",MOD(K597-1,J597*4))</f>
        <v/>
      </c>
      <c r="Q597" s="27" t="str">
        <f aca="false">IF(J597="","",MOD(P597,4))</f>
        <v/>
      </c>
      <c r="R597" s="27" t="str">
        <f aca="false">IF(J597="","",INT(P597/4))</f>
        <v/>
      </c>
      <c r="S597" s="27" t="str">
        <f aca="false">IF(J597="","",IF(AND('Daily Count Sheet'!$H$3=Q597,MOD('Daily Count Sheet'!$I$3,J597)=R597),1,""))</f>
        <v/>
      </c>
      <c r="T597" s="27" t="str">
        <f aca="false">IF(S597=1,COUNTIF($S$2:S597,1),"")</f>
        <v/>
      </c>
    </row>
    <row r="598" customFormat="false" ht="15" hidden="false" customHeight="false" outlineLevel="0" collapsed="false">
      <c r="H598" s="26"/>
      <c r="I598" s="27" t="str">
        <f aca="false">IF(A598="","",IF(H598&lt;&gt;"",UPPER(TRIM(H598)),IFERROR(CHOOSE(VALUE(E598)+1,"A","B","C","D"),IF(OR(LEFT(UPPER(TRIM(E598)),1)="F",UPPER(TRIM(E598))="A"),"A",IF(OR(LEFT(UPPER(TRIM(E598)),1)="M",UPPER(TRIM(E598))="B"),"B",IF(OR(LEFT(UPPER(TRIM(E598)),2)="SL",UPPER(TRIM(E598))="C"),"C",IF(OR(LEFT(UPPER(TRIM(E598)),1)="D",UPPER(TRIM(E598))="D"),"D","")))))))</f>
        <v/>
      </c>
      <c r="J598" s="27" t="str">
        <f aca="false">IF(I598="","",IF(AND(I598="D",Settings!$B$6&lt;&gt;"Yes"),"",IFERROR(INDEX(Settings!$C$9:$C$12,MATCH(I598,Settings!$A$9:$A$12,0)),"")))</f>
        <v/>
      </c>
      <c r="K598" s="27" t="str">
        <f aca="false">IF(J598="","",COUNTIF($I$2:I598,I598))</f>
        <v/>
      </c>
      <c r="L598" s="27" t="str">
        <f aca="false">IF(J598="","",CHOOSE(Q598+1,"Tue","Wed","Thu","Fri"))</f>
        <v/>
      </c>
      <c r="M598" s="27" t="str">
        <f aca="false">IF(J598="","",IF(J598=1,"Every week",R598+1&amp;" of "&amp;J598))</f>
        <v/>
      </c>
      <c r="N598" s="28" t="str">
        <f aca="false">IF(J598="","",Settings!$B$4+R598*7+Q598)</f>
        <v/>
      </c>
      <c r="O598" s="28" t="str">
        <f aca="true">IF(J598="","",N598+MAX(0,ROUNDUP((TODAY()-N598)/(J598*7),0))*J598*7)</f>
        <v/>
      </c>
      <c r="P598" s="27" t="str">
        <f aca="false">IF(J598="","",MOD(K598-1,J598*4))</f>
        <v/>
      </c>
      <c r="Q598" s="27" t="str">
        <f aca="false">IF(J598="","",MOD(P598,4))</f>
        <v/>
      </c>
      <c r="R598" s="27" t="str">
        <f aca="false">IF(J598="","",INT(P598/4))</f>
        <v/>
      </c>
      <c r="S598" s="27" t="str">
        <f aca="false">IF(J598="","",IF(AND('Daily Count Sheet'!$H$3=Q598,MOD('Daily Count Sheet'!$I$3,J598)=R598),1,""))</f>
        <v/>
      </c>
      <c r="T598" s="27" t="str">
        <f aca="false">IF(S598=1,COUNTIF($S$2:S598,1),"")</f>
        <v/>
      </c>
    </row>
    <row r="599" customFormat="false" ht="15" hidden="false" customHeight="false" outlineLevel="0" collapsed="false">
      <c r="H599" s="26"/>
      <c r="I599" s="27" t="str">
        <f aca="false">IF(A599="","",IF(H599&lt;&gt;"",UPPER(TRIM(H599)),IFERROR(CHOOSE(VALUE(E599)+1,"A","B","C","D"),IF(OR(LEFT(UPPER(TRIM(E599)),1)="F",UPPER(TRIM(E599))="A"),"A",IF(OR(LEFT(UPPER(TRIM(E599)),1)="M",UPPER(TRIM(E599))="B"),"B",IF(OR(LEFT(UPPER(TRIM(E599)),2)="SL",UPPER(TRIM(E599))="C"),"C",IF(OR(LEFT(UPPER(TRIM(E599)),1)="D",UPPER(TRIM(E599))="D"),"D","")))))))</f>
        <v/>
      </c>
      <c r="J599" s="27" t="str">
        <f aca="false">IF(I599="","",IF(AND(I599="D",Settings!$B$6&lt;&gt;"Yes"),"",IFERROR(INDEX(Settings!$C$9:$C$12,MATCH(I599,Settings!$A$9:$A$12,0)),"")))</f>
        <v/>
      </c>
      <c r="K599" s="27" t="str">
        <f aca="false">IF(J599="","",COUNTIF($I$2:I599,I599))</f>
        <v/>
      </c>
      <c r="L599" s="27" t="str">
        <f aca="false">IF(J599="","",CHOOSE(Q599+1,"Tue","Wed","Thu","Fri"))</f>
        <v/>
      </c>
      <c r="M599" s="27" t="str">
        <f aca="false">IF(J599="","",IF(J599=1,"Every week",R599+1&amp;" of "&amp;J599))</f>
        <v/>
      </c>
      <c r="N599" s="28" t="str">
        <f aca="false">IF(J599="","",Settings!$B$4+R599*7+Q599)</f>
        <v/>
      </c>
      <c r="O599" s="28" t="str">
        <f aca="true">IF(J599="","",N599+MAX(0,ROUNDUP((TODAY()-N599)/(J599*7),0))*J599*7)</f>
        <v/>
      </c>
      <c r="P599" s="27" t="str">
        <f aca="false">IF(J599="","",MOD(K599-1,J599*4))</f>
        <v/>
      </c>
      <c r="Q599" s="27" t="str">
        <f aca="false">IF(J599="","",MOD(P599,4))</f>
        <v/>
      </c>
      <c r="R599" s="27" t="str">
        <f aca="false">IF(J599="","",INT(P599/4))</f>
        <v/>
      </c>
      <c r="S599" s="27" t="str">
        <f aca="false">IF(J599="","",IF(AND('Daily Count Sheet'!$H$3=Q599,MOD('Daily Count Sheet'!$I$3,J599)=R599),1,""))</f>
        <v/>
      </c>
      <c r="T599" s="27" t="str">
        <f aca="false">IF(S599=1,COUNTIF($S$2:S599,1),"")</f>
        <v/>
      </c>
    </row>
    <row r="600" customFormat="false" ht="15" hidden="false" customHeight="false" outlineLevel="0" collapsed="false">
      <c r="H600" s="26"/>
      <c r="I600" s="27" t="str">
        <f aca="false">IF(A600="","",IF(H600&lt;&gt;"",UPPER(TRIM(H600)),IFERROR(CHOOSE(VALUE(E600)+1,"A","B","C","D"),IF(OR(LEFT(UPPER(TRIM(E600)),1)="F",UPPER(TRIM(E600))="A"),"A",IF(OR(LEFT(UPPER(TRIM(E600)),1)="M",UPPER(TRIM(E600))="B"),"B",IF(OR(LEFT(UPPER(TRIM(E600)),2)="SL",UPPER(TRIM(E600))="C"),"C",IF(OR(LEFT(UPPER(TRIM(E600)),1)="D",UPPER(TRIM(E600))="D"),"D","")))))))</f>
        <v/>
      </c>
      <c r="J600" s="27" t="str">
        <f aca="false">IF(I600="","",IF(AND(I600="D",Settings!$B$6&lt;&gt;"Yes"),"",IFERROR(INDEX(Settings!$C$9:$C$12,MATCH(I600,Settings!$A$9:$A$12,0)),"")))</f>
        <v/>
      </c>
      <c r="K600" s="27" t="str">
        <f aca="false">IF(J600="","",COUNTIF($I$2:I600,I600))</f>
        <v/>
      </c>
      <c r="L600" s="27" t="str">
        <f aca="false">IF(J600="","",CHOOSE(Q600+1,"Tue","Wed","Thu","Fri"))</f>
        <v/>
      </c>
      <c r="M600" s="27" t="str">
        <f aca="false">IF(J600="","",IF(J600=1,"Every week",R600+1&amp;" of "&amp;J600))</f>
        <v/>
      </c>
      <c r="N600" s="28" t="str">
        <f aca="false">IF(J600="","",Settings!$B$4+R600*7+Q600)</f>
        <v/>
      </c>
      <c r="O600" s="28" t="str">
        <f aca="true">IF(J600="","",N600+MAX(0,ROUNDUP((TODAY()-N600)/(J600*7),0))*J600*7)</f>
        <v/>
      </c>
      <c r="P600" s="27" t="str">
        <f aca="false">IF(J600="","",MOD(K600-1,J600*4))</f>
        <v/>
      </c>
      <c r="Q600" s="27" t="str">
        <f aca="false">IF(J600="","",MOD(P600,4))</f>
        <v/>
      </c>
      <c r="R600" s="27" t="str">
        <f aca="false">IF(J600="","",INT(P600/4))</f>
        <v/>
      </c>
      <c r="S600" s="27" t="str">
        <f aca="false">IF(J600="","",IF(AND('Daily Count Sheet'!$H$3=Q600,MOD('Daily Count Sheet'!$I$3,J600)=R600),1,""))</f>
        <v/>
      </c>
      <c r="T600" s="27" t="str">
        <f aca="false">IF(S600=1,COUNTIF($S$2:S600,1),"")</f>
        <v/>
      </c>
    </row>
    <row r="601" customFormat="false" ht="15" hidden="false" customHeight="false" outlineLevel="0" collapsed="false">
      <c r="H601" s="26"/>
      <c r="I601" s="27" t="str">
        <f aca="false">IF(A601="","",IF(H601&lt;&gt;"",UPPER(TRIM(H601)),IFERROR(CHOOSE(VALUE(E601)+1,"A","B","C","D"),IF(OR(LEFT(UPPER(TRIM(E601)),1)="F",UPPER(TRIM(E601))="A"),"A",IF(OR(LEFT(UPPER(TRIM(E601)),1)="M",UPPER(TRIM(E601))="B"),"B",IF(OR(LEFT(UPPER(TRIM(E601)),2)="SL",UPPER(TRIM(E601))="C"),"C",IF(OR(LEFT(UPPER(TRIM(E601)),1)="D",UPPER(TRIM(E601))="D"),"D","")))))))</f>
        <v/>
      </c>
      <c r="J601" s="27" t="str">
        <f aca="false">IF(I601="","",IF(AND(I601="D",Settings!$B$6&lt;&gt;"Yes"),"",IFERROR(INDEX(Settings!$C$9:$C$12,MATCH(I601,Settings!$A$9:$A$12,0)),"")))</f>
        <v/>
      </c>
      <c r="K601" s="27" t="str">
        <f aca="false">IF(J601="","",COUNTIF($I$2:I601,I601))</f>
        <v/>
      </c>
      <c r="L601" s="27" t="str">
        <f aca="false">IF(J601="","",CHOOSE(Q601+1,"Tue","Wed","Thu","Fri"))</f>
        <v/>
      </c>
      <c r="M601" s="27" t="str">
        <f aca="false">IF(J601="","",IF(J601=1,"Every week",R601+1&amp;" of "&amp;J601))</f>
        <v/>
      </c>
      <c r="N601" s="28" t="str">
        <f aca="false">IF(J601="","",Settings!$B$4+R601*7+Q601)</f>
        <v/>
      </c>
      <c r="O601" s="28" t="str">
        <f aca="true">IF(J601="","",N601+MAX(0,ROUNDUP((TODAY()-N601)/(J601*7),0))*J601*7)</f>
        <v/>
      </c>
      <c r="P601" s="27" t="str">
        <f aca="false">IF(J601="","",MOD(K601-1,J601*4))</f>
        <v/>
      </c>
      <c r="Q601" s="27" t="str">
        <f aca="false">IF(J601="","",MOD(P601,4))</f>
        <v/>
      </c>
      <c r="R601" s="27" t="str">
        <f aca="false">IF(J601="","",INT(P601/4))</f>
        <v/>
      </c>
      <c r="S601" s="27" t="str">
        <f aca="false">IF(J601="","",IF(AND('Daily Count Sheet'!$H$3=Q601,MOD('Daily Count Sheet'!$I$3,J601)=R601),1,""))</f>
        <v/>
      </c>
      <c r="T601" s="27" t="str">
        <f aca="false">IF(S601=1,COUNTIF($S$2:S601,1),"")</f>
        <v/>
      </c>
    </row>
    <row r="602" customFormat="false" ht="15" hidden="false" customHeight="false" outlineLevel="0" collapsed="false">
      <c r="H602" s="26"/>
      <c r="I602" s="27" t="str">
        <f aca="false">IF(A602="","",IF(H602&lt;&gt;"",UPPER(TRIM(H602)),IFERROR(CHOOSE(VALUE(E602)+1,"A","B","C","D"),IF(OR(LEFT(UPPER(TRIM(E602)),1)="F",UPPER(TRIM(E602))="A"),"A",IF(OR(LEFT(UPPER(TRIM(E602)),1)="M",UPPER(TRIM(E602))="B"),"B",IF(OR(LEFT(UPPER(TRIM(E602)),2)="SL",UPPER(TRIM(E602))="C"),"C",IF(OR(LEFT(UPPER(TRIM(E602)),1)="D",UPPER(TRIM(E602))="D"),"D","")))))))</f>
        <v/>
      </c>
      <c r="J602" s="27" t="str">
        <f aca="false">IF(I602="","",IF(AND(I602="D",Settings!$B$6&lt;&gt;"Yes"),"",IFERROR(INDEX(Settings!$C$9:$C$12,MATCH(I602,Settings!$A$9:$A$12,0)),"")))</f>
        <v/>
      </c>
      <c r="K602" s="27" t="str">
        <f aca="false">IF(J602="","",COUNTIF($I$2:I602,I602))</f>
        <v/>
      </c>
      <c r="L602" s="27" t="str">
        <f aca="false">IF(J602="","",CHOOSE(Q602+1,"Tue","Wed","Thu","Fri"))</f>
        <v/>
      </c>
      <c r="M602" s="27" t="str">
        <f aca="false">IF(J602="","",IF(J602=1,"Every week",R602+1&amp;" of "&amp;J602))</f>
        <v/>
      </c>
      <c r="N602" s="28" t="str">
        <f aca="false">IF(J602="","",Settings!$B$4+R602*7+Q602)</f>
        <v/>
      </c>
      <c r="O602" s="28" t="str">
        <f aca="true">IF(J602="","",N602+MAX(0,ROUNDUP((TODAY()-N602)/(J602*7),0))*J602*7)</f>
        <v/>
      </c>
      <c r="P602" s="27" t="str">
        <f aca="false">IF(J602="","",MOD(K602-1,J602*4))</f>
        <v/>
      </c>
      <c r="Q602" s="27" t="str">
        <f aca="false">IF(J602="","",MOD(P602,4))</f>
        <v/>
      </c>
      <c r="R602" s="27" t="str">
        <f aca="false">IF(J602="","",INT(P602/4))</f>
        <v/>
      </c>
      <c r="S602" s="27" t="str">
        <f aca="false">IF(J602="","",IF(AND('Daily Count Sheet'!$H$3=Q602,MOD('Daily Count Sheet'!$I$3,J602)=R602),1,""))</f>
        <v/>
      </c>
      <c r="T602" s="27" t="str">
        <f aca="false">IF(S602=1,COUNTIF($S$2:S602,1),"")</f>
        <v/>
      </c>
    </row>
    <row r="603" customFormat="false" ht="15" hidden="false" customHeight="false" outlineLevel="0" collapsed="false">
      <c r="H603" s="26"/>
      <c r="I603" s="27" t="str">
        <f aca="false">IF(A603="","",IF(H603&lt;&gt;"",UPPER(TRIM(H603)),IFERROR(CHOOSE(VALUE(E603)+1,"A","B","C","D"),IF(OR(LEFT(UPPER(TRIM(E603)),1)="F",UPPER(TRIM(E603))="A"),"A",IF(OR(LEFT(UPPER(TRIM(E603)),1)="M",UPPER(TRIM(E603))="B"),"B",IF(OR(LEFT(UPPER(TRIM(E603)),2)="SL",UPPER(TRIM(E603))="C"),"C",IF(OR(LEFT(UPPER(TRIM(E603)),1)="D",UPPER(TRIM(E603))="D"),"D","")))))))</f>
        <v/>
      </c>
      <c r="J603" s="27" t="str">
        <f aca="false">IF(I603="","",IF(AND(I603="D",Settings!$B$6&lt;&gt;"Yes"),"",IFERROR(INDEX(Settings!$C$9:$C$12,MATCH(I603,Settings!$A$9:$A$12,0)),"")))</f>
        <v/>
      </c>
      <c r="K603" s="27" t="str">
        <f aca="false">IF(J603="","",COUNTIF($I$2:I603,I603))</f>
        <v/>
      </c>
      <c r="L603" s="27" t="str">
        <f aca="false">IF(J603="","",CHOOSE(Q603+1,"Tue","Wed","Thu","Fri"))</f>
        <v/>
      </c>
      <c r="M603" s="27" t="str">
        <f aca="false">IF(J603="","",IF(J603=1,"Every week",R603+1&amp;" of "&amp;J603))</f>
        <v/>
      </c>
      <c r="N603" s="28" t="str">
        <f aca="false">IF(J603="","",Settings!$B$4+R603*7+Q603)</f>
        <v/>
      </c>
      <c r="O603" s="28" t="str">
        <f aca="true">IF(J603="","",N603+MAX(0,ROUNDUP((TODAY()-N603)/(J603*7),0))*J603*7)</f>
        <v/>
      </c>
      <c r="P603" s="27" t="str">
        <f aca="false">IF(J603="","",MOD(K603-1,J603*4))</f>
        <v/>
      </c>
      <c r="Q603" s="27" t="str">
        <f aca="false">IF(J603="","",MOD(P603,4))</f>
        <v/>
      </c>
      <c r="R603" s="27" t="str">
        <f aca="false">IF(J603="","",INT(P603/4))</f>
        <v/>
      </c>
      <c r="S603" s="27" t="str">
        <f aca="false">IF(J603="","",IF(AND('Daily Count Sheet'!$H$3=Q603,MOD('Daily Count Sheet'!$I$3,J603)=R603),1,""))</f>
        <v/>
      </c>
      <c r="T603" s="27" t="str">
        <f aca="false">IF(S603=1,COUNTIF($S$2:S603,1),"")</f>
        <v/>
      </c>
    </row>
    <row r="604" customFormat="false" ht="15" hidden="false" customHeight="false" outlineLevel="0" collapsed="false">
      <c r="H604" s="26"/>
      <c r="I604" s="27" t="str">
        <f aca="false">IF(A604="","",IF(H604&lt;&gt;"",UPPER(TRIM(H604)),IFERROR(CHOOSE(VALUE(E604)+1,"A","B","C","D"),IF(OR(LEFT(UPPER(TRIM(E604)),1)="F",UPPER(TRIM(E604))="A"),"A",IF(OR(LEFT(UPPER(TRIM(E604)),1)="M",UPPER(TRIM(E604))="B"),"B",IF(OR(LEFT(UPPER(TRIM(E604)),2)="SL",UPPER(TRIM(E604))="C"),"C",IF(OR(LEFT(UPPER(TRIM(E604)),1)="D",UPPER(TRIM(E604))="D"),"D","")))))))</f>
        <v/>
      </c>
      <c r="J604" s="27" t="str">
        <f aca="false">IF(I604="","",IF(AND(I604="D",Settings!$B$6&lt;&gt;"Yes"),"",IFERROR(INDEX(Settings!$C$9:$C$12,MATCH(I604,Settings!$A$9:$A$12,0)),"")))</f>
        <v/>
      </c>
      <c r="K604" s="27" t="str">
        <f aca="false">IF(J604="","",COUNTIF($I$2:I604,I604))</f>
        <v/>
      </c>
      <c r="L604" s="27" t="str">
        <f aca="false">IF(J604="","",CHOOSE(Q604+1,"Tue","Wed","Thu","Fri"))</f>
        <v/>
      </c>
      <c r="M604" s="27" t="str">
        <f aca="false">IF(J604="","",IF(J604=1,"Every week",R604+1&amp;" of "&amp;J604))</f>
        <v/>
      </c>
      <c r="N604" s="28" t="str">
        <f aca="false">IF(J604="","",Settings!$B$4+R604*7+Q604)</f>
        <v/>
      </c>
      <c r="O604" s="28" t="str">
        <f aca="true">IF(J604="","",N604+MAX(0,ROUNDUP((TODAY()-N604)/(J604*7),0))*J604*7)</f>
        <v/>
      </c>
      <c r="P604" s="27" t="str">
        <f aca="false">IF(J604="","",MOD(K604-1,J604*4))</f>
        <v/>
      </c>
      <c r="Q604" s="27" t="str">
        <f aca="false">IF(J604="","",MOD(P604,4))</f>
        <v/>
      </c>
      <c r="R604" s="27" t="str">
        <f aca="false">IF(J604="","",INT(P604/4))</f>
        <v/>
      </c>
      <c r="S604" s="27" t="str">
        <f aca="false">IF(J604="","",IF(AND('Daily Count Sheet'!$H$3=Q604,MOD('Daily Count Sheet'!$I$3,J604)=R604),1,""))</f>
        <v/>
      </c>
      <c r="T604" s="27" t="str">
        <f aca="false">IF(S604=1,COUNTIF($S$2:S604,1),"")</f>
        <v/>
      </c>
    </row>
    <row r="605" customFormat="false" ht="15" hidden="false" customHeight="false" outlineLevel="0" collapsed="false">
      <c r="H605" s="26"/>
      <c r="I605" s="27" t="str">
        <f aca="false">IF(A605="","",IF(H605&lt;&gt;"",UPPER(TRIM(H605)),IFERROR(CHOOSE(VALUE(E605)+1,"A","B","C","D"),IF(OR(LEFT(UPPER(TRIM(E605)),1)="F",UPPER(TRIM(E605))="A"),"A",IF(OR(LEFT(UPPER(TRIM(E605)),1)="M",UPPER(TRIM(E605))="B"),"B",IF(OR(LEFT(UPPER(TRIM(E605)),2)="SL",UPPER(TRIM(E605))="C"),"C",IF(OR(LEFT(UPPER(TRIM(E605)),1)="D",UPPER(TRIM(E605))="D"),"D","")))))))</f>
        <v/>
      </c>
      <c r="J605" s="27" t="str">
        <f aca="false">IF(I605="","",IF(AND(I605="D",Settings!$B$6&lt;&gt;"Yes"),"",IFERROR(INDEX(Settings!$C$9:$C$12,MATCH(I605,Settings!$A$9:$A$12,0)),"")))</f>
        <v/>
      </c>
      <c r="K605" s="27" t="str">
        <f aca="false">IF(J605="","",COUNTIF($I$2:I605,I605))</f>
        <v/>
      </c>
      <c r="L605" s="27" t="str">
        <f aca="false">IF(J605="","",CHOOSE(Q605+1,"Tue","Wed","Thu","Fri"))</f>
        <v/>
      </c>
      <c r="M605" s="27" t="str">
        <f aca="false">IF(J605="","",IF(J605=1,"Every week",R605+1&amp;" of "&amp;J605))</f>
        <v/>
      </c>
      <c r="N605" s="28" t="str">
        <f aca="false">IF(J605="","",Settings!$B$4+R605*7+Q605)</f>
        <v/>
      </c>
      <c r="O605" s="28" t="str">
        <f aca="true">IF(J605="","",N605+MAX(0,ROUNDUP((TODAY()-N605)/(J605*7),0))*J605*7)</f>
        <v/>
      </c>
      <c r="P605" s="27" t="str">
        <f aca="false">IF(J605="","",MOD(K605-1,J605*4))</f>
        <v/>
      </c>
      <c r="Q605" s="27" t="str">
        <f aca="false">IF(J605="","",MOD(P605,4))</f>
        <v/>
      </c>
      <c r="R605" s="27" t="str">
        <f aca="false">IF(J605="","",INT(P605/4))</f>
        <v/>
      </c>
      <c r="S605" s="27" t="str">
        <f aca="false">IF(J605="","",IF(AND('Daily Count Sheet'!$H$3=Q605,MOD('Daily Count Sheet'!$I$3,J605)=R605),1,""))</f>
        <v/>
      </c>
      <c r="T605" s="27" t="str">
        <f aca="false">IF(S605=1,COUNTIF($S$2:S605,1),"")</f>
        <v/>
      </c>
    </row>
    <row r="606" customFormat="false" ht="15" hidden="false" customHeight="false" outlineLevel="0" collapsed="false">
      <c r="H606" s="26"/>
      <c r="I606" s="27" t="str">
        <f aca="false">IF(A606="","",IF(H606&lt;&gt;"",UPPER(TRIM(H606)),IFERROR(CHOOSE(VALUE(E606)+1,"A","B","C","D"),IF(OR(LEFT(UPPER(TRIM(E606)),1)="F",UPPER(TRIM(E606))="A"),"A",IF(OR(LEFT(UPPER(TRIM(E606)),1)="M",UPPER(TRIM(E606))="B"),"B",IF(OR(LEFT(UPPER(TRIM(E606)),2)="SL",UPPER(TRIM(E606))="C"),"C",IF(OR(LEFT(UPPER(TRIM(E606)),1)="D",UPPER(TRIM(E606))="D"),"D","")))))))</f>
        <v/>
      </c>
      <c r="J606" s="27" t="str">
        <f aca="false">IF(I606="","",IF(AND(I606="D",Settings!$B$6&lt;&gt;"Yes"),"",IFERROR(INDEX(Settings!$C$9:$C$12,MATCH(I606,Settings!$A$9:$A$12,0)),"")))</f>
        <v/>
      </c>
      <c r="K606" s="27" t="str">
        <f aca="false">IF(J606="","",COUNTIF($I$2:I606,I606))</f>
        <v/>
      </c>
      <c r="L606" s="27" t="str">
        <f aca="false">IF(J606="","",CHOOSE(Q606+1,"Tue","Wed","Thu","Fri"))</f>
        <v/>
      </c>
      <c r="M606" s="27" t="str">
        <f aca="false">IF(J606="","",IF(J606=1,"Every week",R606+1&amp;" of "&amp;J606))</f>
        <v/>
      </c>
      <c r="N606" s="28" t="str">
        <f aca="false">IF(J606="","",Settings!$B$4+R606*7+Q606)</f>
        <v/>
      </c>
      <c r="O606" s="28" t="str">
        <f aca="true">IF(J606="","",N606+MAX(0,ROUNDUP((TODAY()-N606)/(J606*7),0))*J606*7)</f>
        <v/>
      </c>
      <c r="P606" s="27" t="str">
        <f aca="false">IF(J606="","",MOD(K606-1,J606*4))</f>
        <v/>
      </c>
      <c r="Q606" s="27" t="str">
        <f aca="false">IF(J606="","",MOD(P606,4))</f>
        <v/>
      </c>
      <c r="R606" s="27" t="str">
        <f aca="false">IF(J606="","",INT(P606/4))</f>
        <v/>
      </c>
      <c r="S606" s="27" t="str">
        <f aca="false">IF(J606="","",IF(AND('Daily Count Sheet'!$H$3=Q606,MOD('Daily Count Sheet'!$I$3,J606)=R606),1,""))</f>
        <v/>
      </c>
      <c r="T606" s="27" t="str">
        <f aca="false">IF(S606=1,COUNTIF($S$2:S606,1),"")</f>
        <v/>
      </c>
    </row>
    <row r="607" customFormat="false" ht="15" hidden="false" customHeight="false" outlineLevel="0" collapsed="false">
      <c r="H607" s="26"/>
      <c r="I607" s="27" t="str">
        <f aca="false">IF(A607="","",IF(H607&lt;&gt;"",UPPER(TRIM(H607)),IFERROR(CHOOSE(VALUE(E607)+1,"A","B","C","D"),IF(OR(LEFT(UPPER(TRIM(E607)),1)="F",UPPER(TRIM(E607))="A"),"A",IF(OR(LEFT(UPPER(TRIM(E607)),1)="M",UPPER(TRIM(E607))="B"),"B",IF(OR(LEFT(UPPER(TRIM(E607)),2)="SL",UPPER(TRIM(E607))="C"),"C",IF(OR(LEFT(UPPER(TRIM(E607)),1)="D",UPPER(TRIM(E607))="D"),"D","")))))))</f>
        <v/>
      </c>
      <c r="J607" s="27" t="str">
        <f aca="false">IF(I607="","",IF(AND(I607="D",Settings!$B$6&lt;&gt;"Yes"),"",IFERROR(INDEX(Settings!$C$9:$C$12,MATCH(I607,Settings!$A$9:$A$12,0)),"")))</f>
        <v/>
      </c>
      <c r="K607" s="27" t="str">
        <f aca="false">IF(J607="","",COUNTIF($I$2:I607,I607))</f>
        <v/>
      </c>
      <c r="L607" s="27" t="str">
        <f aca="false">IF(J607="","",CHOOSE(Q607+1,"Tue","Wed","Thu","Fri"))</f>
        <v/>
      </c>
      <c r="M607" s="27" t="str">
        <f aca="false">IF(J607="","",IF(J607=1,"Every week",R607+1&amp;" of "&amp;J607))</f>
        <v/>
      </c>
      <c r="N607" s="28" t="str">
        <f aca="false">IF(J607="","",Settings!$B$4+R607*7+Q607)</f>
        <v/>
      </c>
      <c r="O607" s="28" t="str">
        <f aca="true">IF(J607="","",N607+MAX(0,ROUNDUP((TODAY()-N607)/(J607*7),0))*J607*7)</f>
        <v/>
      </c>
      <c r="P607" s="27" t="str">
        <f aca="false">IF(J607="","",MOD(K607-1,J607*4))</f>
        <v/>
      </c>
      <c r="Q607" s="27" t="str">
        <f aca="false">IF(J607="","",MOD(P607,4))</f>
        <v/>
      </c>
      <c r="R607" s="27" t="str">
        <f aca="false">IF(J607="","",INT(P607/4))</f>
        <v/>
      </c>
      <c r="S607" s="27" t="str">
        <f aca="false">IF(J607="","",IF(AND('Daily Count Sheet'!$H$3=Q607,MOD('Daily Count Sheet'!$I$3,J607)=R607),1,""))</f>
        <v/>
      </c>
      <c r="T607" s="27" t="str">
        <f aca="false">IF(S607=1,COUNTIF($S$2:S607,1),"")</f>
        <v/>
      </c>
    </row>
    <row r="608" customFormat="false" ht="15" hidden="false" customHeight="false" outlineLevel="0" collapsed="false">
      <c r="H608" s="26"/>
      <c r="I608" s="27" t="str">
        <f aca="false">IF(A608="","",IF(H608&lt;&gt;"",UPPER(TRIM(H608)),IFERROR(CHOOSE(VALUE(E608)+1,"A","B","C","D"),IF(OR(LEFT(UPPER(TRIM(E608)),1)="F",UPPER(TRIM(E608))="A"),"A",IF(OR(LEFT(UPPER(TRIM(E608)),1)="M",UPPER(TRIM(E608))="B"),"B",IF(OR(LEFT(UPPER(TRIM(E608)),2)="SL",UPPER(TRIM(E608))="C"),"C",IF(OR(LEFT(UPPER(TRIM(E608)),1)="D",UPPER(TRIM(E608))="D"),"D","")))))))</f>
        <v/>
      </c>
      <c r="J608" s="27" t="str">
        <f aca="false">IF(I608="","",IF(AND(I608="D",Settings!$B$6&lt;&gt;"Yes"),"",IFERROR(INDEX(Settings!$C$9:$C$12,MATCH(I608,Settings!$A$9:$A$12,0)),"")))</f>
        <v/>
      </c>
      <c r="K608" s="27" t="str">
        <f aca="false">IF(J608="","",COUNTIF($I$2:I608,I608))</f>
        <v/>
      </c>
      <c r="L608" s="27" t="str">
        <f aca="false">IF(J608="","",CHOOSE(Q608+1,"Tue","Wed","Thu","Fri"))</f>
        <v/>
      </c>
      <c r="M608" s="27" t="str">
        <f aca="false">IF(J608="","",IF(J608=1,"Every week",R608+1&amp;" of "&amp;J608))</f>
        <v/>
      </c>
      <c r="N608" s="28" t="str">
        <f aca="false">IF(J608="","",Settings!$B$4+R608*7+Q608)</f>
        <v/>
      </c>
      <c r="O608" s="28" t="str">
        <f aca="true">IF(J608="","",N608+MAX(0,ROUNDUP((TODAY()-N608)/(J608*7),0))*J608*7)</f>
        <v/>
      </c>
      <c r="P608" s="27" t="str">
        <f aca="false">IF(J608="","",MOD(K608-1,J608*4))</f>
        <v/>
      </c>
      <c r="Q608" s="27" t="str">
        <f aca="false">IF(J608="","",MOD(P608,4))</f>
        <v/>
      </c>
      <c r="R608" s="27" t="str">
        <f aca="false">IF(J608="","",INT(P608/4))</f>
        <v/>
      </c>
      <c r="S608" s="27" t="str">
        <f aca="false">IF(J608="","",IF(AND('Daily Count Sheet'!$H$3=Q608,MOD('Daily Count Sheet'!$I$3,J608)=R608),1,""))</f>
        <v/>
      </c>
      <c r="T608" s="27" t="str">
        <f aca="false">IF(S608=1,COUNTIF($S$2:S608,1),"")</f>
        <v/>
      </c>
    </row>
    <row r="609" customFormat="false" ht="15" hidden="false" customHeight="false" outlineLevel="0" collapsed="false">
      <c r="H609" s="26"/>
      <c r="I609" s="27" t="str">
        <f aca="false">IF(A609="","",IF(H609&lt;&gt;"",UPPER(TRIM(H609)),IFERROR(CHOOSE(VALUE(E609)+1,"A","B","C","D"),IF(OR(LEFT(UPPER(TRIM(E609)),1)="F",UPPER(TRIM(E609))="A"),"A",IF(OR(LEFT(UPPER(TRIM(E609)),1)="M",UPPER(TRIM(E609))="B"),"B",IF(OR(LEFT(UPPER(TRIM(E609)),2)="SL",UPPER(TRIM(E609))="C"),"C",IF(OR(LEFT(UPPER(TRIM(E609)),1)="D",UPPER(TRIM(E609))="D"),"D","")))))))</f>
        <v/>
      </c>
      <c r="J609" s="27" t="str">
        <f aca="false">IF(I609="","",IF(AND(I609="D",Settings!$B$6&lt;&gt;"Yes"),"",IFERROR(INDEX(Settings!$C$9:$C$12,MATCH(I609,Settings!$A$9:$A$12,0)),"")))</f>
        <v/>
      </c>
      <c r="K609" s="27" t="str">
        <f aca="false">IF(J609="","",COUNTIF($I$2:I609,I609))</f>
        <v/>
      </c>
      <c r="L609" s="27" t="str">
        <f aca="false">IF(J609="","",CHOOSE(Q609+1,"Tue","Wed","Thu","Fri"))</f>
        <v/>
      </c>
      <c r="M609" s="27" t="str">
        <f aca="false">IF(J609="","",IF(J609=1,"Every week",R609+1&amp;" of "&amp;J609))</f>
        <v/>
      </c>
      <c r="N609" s="28" t="str">
        <f aca="false">IF(J609="","",Settings!$B$4+R609*7+Q609)</f>
        <v/>
      </c>
      <c r="O609" s="28" t="str">
        <f aca="true">IF(J609="","",N609+MAX(0,ROUNDUP((TODAY()-N609)/(J609*7),0))*J609*7)</f>
        <v/>
      </c>
      <c r="P609" s="27" t="str">
        <f aca="false">IF(J609="","",MOD(K609-1,J609*4))</f>
        <v/>
      </c>
      <c r="Q609" s="27" t="str">
        <f aca="false">IF(J609="","",MOD(P609,4))</f>
        <v/>
      </c>
      <c r="R609" s="27" t="str">
        <f aca="false">IF(J609="","",INT(P609/4))</f>
        <v/>
      </c>
      <c r="S609" s="27" t="str">
        <f aca="false">IF(J609="","",IF(AND('Daily Count Sheet'!$H$3=Q609,MOD('Daily Count Sheet'!$I$3,J609)=R609),1,""))</f>
        <v/>
      </c>
      <c r="T609" s="27" t="str">
        <f aca="false">IF(S609=1,COUNTIF($S$2:S609,1),"")</f>
        <v/>
      </c>
    </row>
    <row r="610" customFormat="false" ht="15" hidden="false" customHeight="false" outlineLevel="0" collapsed="false">
      <c r="H610" s="26"/>
      <c r="I610" s="27" t="str">
        <f aca="false">IF(A610="","",IF(H610&lt;&gt;"",UPPER(TRIM(H610)),IFERROR(CHOOSE(VALUE(E610)+1,"A","B","C","D"),IF(OR(LEFT(UPPER(TRIM(E610)),1)="F",UPPER(TRIM(E610))="A"),"A",IF(OR(LEFT(UPPER(TRIM(E610)),1)="M",UPPER(TRIM(E610))="B"),"B",IF(OR(LEFT(UPPER(TRIM(E610)),2)="SL",UPPER(TRIM(E610))="C"),"C",IF(OR(LEFT(UPPER(TRIM(E610)),1)="D",UPPER(TRIM(E610))="D"),"D","")))))))</f>
        <v/>
      </c>
      <c r="J610" s="27" t="str">
        <f aca="false">IF(I610="","",IF(AND(I610="D",Settings!$B$6&lt;&gt;"Yes"),"",IFERROR(INDEX(Settings!$C$9:$C$12,MATCH(I610,Settings!$A$9:$A$12,0)),"")))</f>
        <v/>
      </c>
      <c r="K610" s="27" t="str">
        <f aca="false">IF(J610="","",COUNTIF($I$2:I610,I610))</f>
        <v/>
      </c>
      <c r="L610" s="27" t="str">
        <f aca="false">IF(J610="","",CHOOSE(Q610+1,"Tue","Wed","Thu","Fri"))</f>
        <v/>
      </c>
      <c r="M610" s="27" t="str">
        <f aca="false">IF(J610="","",IF(J610=1,"Every week",R610+1&amp;" of "&amp;J610))</f>
        <v/>
      </c>
      <c r="N610" s="28" t="str">
        <f aca="false">IF(J610="","",Settings!$B$4+R610*7+Q610)</f>
        <v/>
      </c>
      <c r="O610" s="28" t="str">
        <f aca="true">IF(J610="","",N610+MAX(0,ROUNDUP((TODAY()-N610)/(J610*7),0))*J610*7)</f>
        <v/>
      </c>
      <c r="P610" s="27" t="str">
        <f aca="false">IF(J610="","",MOD(K610-1,J610*4))</f>
        <v/>
      </c>
      <c r="Q610" s="27" t="str">
        <f aca="false">IF(J610="","",MOD(P610,4))</f>
        <v/>
      </c>
      <c r="R610" s="27" t="str">
        <f aca="false">IF(J610="","",INT(P610/4))</f>
        <v/>
      </c>
      <c r="S610" s="27" t="str">
        <f aca="false">IF(J610="","",IF(AND('Daily Count Sheet'!$H$3=Q610,MOD('Daily Count Sheet'!$I$3,J610)=R610),1,""))</f>
        <v/>
      </c>
      <c r="T610" s="27" t="str">
        <f aca="false">IF(S610=1,COUNTIF($S$2:S610,1),"")</f>
        <v/>
      </c>
    </row>
    <row r="611" customFormat="false" ht="15" hidden="false" customHeight="false" outlineLevel="0" collapsed="false">
      <c r="H611" s="26"/>
      <c r="I611" s="27" t="str">
        <f aca="false">IF(A611="","",IF(H611&lt;&gt;"",UPPER(TRIM(H611)),IFERROR(CHOOSE(VALUE(E611)+1,"A","B","C","D"),IF(OR(LEFT(UPPER(TRIM(E611)),1)="F",UPPER(TRIM(E611))="A"),"A",IF(OR(LEFT(UPPER(TRIM(E611)),1)="M",UPPER(TRIM(E611))="B"),"B",IF(OR(LEFT(UPPER(TRIM(E611)),2)="SL",UPPER(TRIM(E611))="C"),"C",IF(OR(LEFT(UPPER(TRIM(E611)),1)="D",UPPER(TRIM(E611))="D"),"D","")))))))</f>
        <v/>
      </c>
      <c r="J611" s="27" t="str">
        <f aca="false">IF(I611="","",IF(AND(I611="D",Settings!$B$6&lt;&gt;"Yes"),"",IFERROR(INDEX(Settings!$C$9:$C$12,MATCH(I611,Settings!$A$9:$A$12,0)),"")))</f>
        <v/>
      </c>
      <c r="K611" s="27" t="str">
        <f aca="false">IF(J611="","",COUNTIF($I$2:I611,I611))</f>
        <v/>
      </c>
      <c r="L611" s="27" t="str">
        <f aca="false">IF(J611="","",CHOOSE(Q611+1,"Tue","Wed","Thu","Fri"))</f>
        <v/>
      </c>
      <c r="M611" s="27" t="str">
        <f aca="false">IF(J611="","",IF(J611=1,"Every week",R611+1&amp;" of "&amp;J611))</f>
        <v/>
      </c>
      <c r="N611" s="28" t="str">
        <f aca="false">IF(J611="","",Settings!$B$4+R611*7+Q611)</f>
        <v/>
      </c>
      <c r="O611" s="28" t="str">
        <f aca="true">IF(J611="","",N611+MAX(0,ROUNDUP((TODAY()-N611)/(J611*7),0))*J611*7)</f>
        <v/>
      </c>
      <c r="P611" s="27" t="str">
        <f aca="false">IF(J611="","",MOD(K611-1,J611*4))</f>
        <v/>
      </c>
      <c r="Q611" s="27" t="str">
        <f aca="false">IF(J611="","",MOD(P611,4))</f>
        <v/>
      </c>
      <c r="R611" s="27" t="str">
        <f aca="false">IF(J611="","",INT(P611/4))</f>
        <v/>
      </c>
      <c r="S611" s="27" t="str">
        <f aca="false">IF(J611="","",IF(AND('Daily Count Sheet'!$H$3=Q611,MOD('Daily Count Sheet'!$I$3,J611)=R611),1,""))</f>
        <v/>
      </c>
      <c r="T611" s="27" t="str">
        <f aca="false">IF(S611=1,COUNTIF($S$2:S611,1),"")</f>
        <v/>
      </c>
    </row>
    <row r="612" customFormat="false" ht="15" hidden="false" customHeight="false" outlineLevel="0" collapsed="false">
      <c r="H612" s="26"/>
      <c r="I612" s="27" t="str">
        <f aca="false">IF(A612="","",IF(H612&lt;&gt;"",UPPER(TRIM(H612)),IFERROR(CHOOSE(VALUE(E612)+1,"A","B","C","D"),IF(OR(LEFT(UPPER(TRIM(E612)),1)="F",UPPER(TRIM(E612))="A"),"A",IF(OR(LEFT(UPPER(TRIM(E612)),1)="M",UPPER(TRIM(E612))="B"),"B",IF(OR(LEFT(UPPER(TRIM(E612)),2)="SL",UPPER(TRIM(E612))="C"),"C",IF(OR(LEFT(UPPER(TRIM(E612)),1)="D",UPPER(TRIM(E612))="D"),"D","")))))))</f>
        <v/>
      </c>
      <c r="J612" s="27" t="str">
        <f aca="false">IF(I612="","",IF(AND(I612="D",Settings!$B$6&lt;&gt;"Yes"),"",IFERROR(INDEX(Settings!$C$9:$C$12,MATCH(I612,Settings!$A$9:$A$12,0)),"")))</f>
        <v/>
      </c>
      <c r="K612" s="27" t="str">
        <f aca="false">IF(J612="","",COUNTIF($I$2:I612,I612))</f>
        <v/>
      </c>
      <c r="L612" s="27" t="str">
        <f aca="false">IF(J612="","",CHOOSE(Q612+1,"Tue","Wed","Thu","Fri"))</f>
        <v/>
      </c>
      <c r="M612" s="27" t="str">
        <f aca="false">IF(J612="","",IF(J612=1,"Every week",R612+1&amp;" of "&amp;J612))</f>
        <v/>
      </c>
      <c r="N612" s="28" t="str">
        <f aca="false">IF(J612="","",Settings!$B$4+R612*7+Q612)</f>
        <v/>
      </c>
      <c r="O612" s="28" t="str">
        <f aca="true">IF(J612="","",N612+MAX(0,ROUNDUP((TODAY()-N612)/(J612*7),0))*J612*7)</f>
        <v/>
      </c>
      <c r="P612" s="27" t="str">
        <f aca="false">IF(J612="","",MOD(K612-1,J612*4))</f>
        <v/>
      </c>
      <c r="Q612" s="27" t="str">
        <f aca="false">IF(J612="","",MOD(P612,4))</f>
        <v/>
      </c>
      <c r="R612" s="27" t="str">
        <f aca="false">IF(J612="","",INT(P612/4))</f>
        <v/>
      </c>
      <c r="S612" s="27" t="str">
        <f aca="false">IF(J612="","",IF(AND('Daily Count Sheet'!$H$3=Q612,MOD('Daily Count Sheet'!$I$3,J612)=R612),1,""))</f>
        <v/>
      </c>
      <c r="T612" s="27" t="str">
        <f aca="false">IF(S612=1,COUNTIF($S$2:S612,1),"")</f>
        <v/>
      </c>
    </row>
    <row r="613" customFormat="false" ht="15" hidden="false" customHeight="false" outlineLevel="0" collapsed="false">
      <c r="H613" s="26"/>
      <c r="I613" s="27" t="str">
        <f aca="false">IF(A613="","",IF(H613&lt;&gt;"",UPPER(TRIM(H613)),IFERROR(CHOOSE(VALUE(E613)+1,"A","B","C","D"),IF(OR(LEFT(UPPER(TRIM(E613)),1)="F",UPPER(TRIM(E613))="A"),"A",IF(OR(LEFT(UPPER(TRIM(E613)),1)="M",UPPER(TRIM(E613))="B"),"B",IF(OR(LEFT(UPPER(TRIM(E613)),2)="SL",UPPER(TRIM(E613))="C"),"C",IF(OR(LEFT(UPPER(TRIM(E613)),1)="D",UPPER(TRIM(E613))="D"),"D","")))))))</f>
        <v/>
      </c>
      <c r="J613" s="27" t="str">
        <f aca="false">IF(I613="","",IF(AND(I613="D",Settings!$B$6&lt;&gt;"Yes"),"",IFERROR(INDEX(Settings!$C$9:$C$12,MATCH(I613,Settings!$A$9:$A$12,0)),"")))</f>
        <v/>
      </c>
      <c r="K613" s="27" t="str">
        <f aca="false">IF(J613="","",COUNTIF($I$2:I613,I613))</f>
        <v/>
      </c>
      <c r="L613" s="27" t="str">
        <f aca="false">IF(J613="","",CHOOSE(Q613+1,"Tue","Wed","Thu","Fri"))</f>
        <v/>
      </c>
      <c r="M613" s="27" t="str">
        <f aca="false">IF(J613="","",IF(J613=1,"Every week",R613+1&amp;" of "&amp;J613))</f>
        <v/>
      </c>
      <c r="N613" s="28" t="str">
        <f aca="false">IF(J613="","",Settings!$B$4+R613*7+Q613)</f>
        <v/>
      </c>
      <c r="O613" s="28" t="str">
        <f aca="true">IF(J613="","",N613+MAX(0,ROUNDUP((TODAY()-N613)/(J613*7),0))*J613*7)</f>
        <v/>
      </c>
      <c r="P613" s="27" t="str">
        <f aca="false">IF(J613="","",MOD(K613-1,J613*4))</f>
        <v/>
      </c>
      <c r="Q613" s="27" t="str">
        <f aca="false">IF(J613="","",MOD(P613,4))</f>
        <v/>
      </c>
      <c r="R613" s="27" t="str">
        <f aca="false">IF(J613="","",INT(P613/4))</f>
        <v/>
      </c>
      <c r="S613" s="27" t="str">
        <f aca="false">IF(J613="","",IF(AND('Daily Count Sheet'!$H$3=Q613,MOD('Daily Count Sheet'!$I$3,J613)=R613),1,""))</f>
        <v/>
      </c>
      <c r="T613" s="27" t="str">
        <f aca="false">IF(S613=1,COUNTIF($S$2:S613,1),"")</f>
        <v/>
      </c>
    </row>
    <row r="614" customFormat="false" ht="15" hidden="false" customHeight="false" outlineLevel="0" collapsed="false">
      <c r="H614" s="26"/>
      <c r="I614" s="27" t="str">
        <f aca="false">IF(A614="","",IF(H614&lt;&gt;"",UPPER(TRIM(H614)),IFERROR(CHOOSE(VALUE(E614)+1,"A","B","C","D"),IF(OR(LEFT(UPPER(TRIM(E614)),1)="F",UPPER(TRIM(E614))="A"),"A",IF(OR(LEFT(UPPER(TRIM(E614)),1)="M",UPPER(TRIM(E614))="B"),"B",IF(OR(LEFT(UPPER(TRIM(E614)),2)="SL",UPPER(TRIM(E614))="C"),"C",IF(OR(LEFT(UPPER(TRIM(E614)),1)="D",UPPER(TRIM(E614))="D"),"D","")))))))</f>
        <v/>
      </c>
      <c r="J614" s="27" t="str">
        <f aca="false">IF(I614="","",IF(AND(I614="D",Settings!$B$6&lt;&gt;"Yes"),"",IFERROR(INDEX(Settings!$C$9:$C$12,MATCH(I614,Settings!$A$9:$A$12,0)),"")))</f>
        <v/>
      </c>
      <c r="K614" s="27" t="str">
        <f aca="false">IF(J614="","",COUNTIF($I$2:I614,I614))</f>
        <v/>
      </c>
      <c r="L614" s="27" t="str">
        <f aca="false">IF(J614="","",CHOOSE(Q614+1,"Tue","Wed","Thu","Fri"))</f>
        <v/>
      </c>
      <c r="M614" s="27" t="str">
        <f aca="false">IF(J614="","",IF(J614=1,"Every week",R614+1&amp;" of "&amp;J614))</f>
        <v/>
      </c>
      <c r="N614" s="28" t="str">
        <f aca="false">IF(J614="","",Settings!$B$4+R614*7+Q614)</f>
        <v/>
      </c>
      <c r="O614" s="28" t="str">
        <f aca="true">IF(J614="","",N614+MAX(0,ROUNDUP((TODAY()-N614)/(J614*7),0))*J614*7)</f>
        <v/>
      </c>
      <c r="P614" s="27" t="str">
        <f aca="false">IF(J614="","",MOD(K614-1,J614*4))</f>
        <v/>
      </c>
      <c r="Q614" s="27" t="str">
        <f aca="false">IF(J614="","",MOD(P614,4))</f>
        <v/>
      </c>
      <c r="R614" s="27" t="str">
        <f aca="false">IF(J614="","",INT(P614/4))</f>
        <v/>
      </c>
      <c r="S614" s="27" t="str">
        <f aca="false">IF(J614="","",IF(AND('Daily Count Sheet'!$H$3=Q614,MOD('Daily Count Sheet'!$I$3,J614)=R614),1,""))</f>
        <v/>
      </c>
      <c r="T614" s="27" t="str">
        <f aca="false">IF(S614=1,COUNTIF($S$2:S614,1),"")</f>
        <v/>
      </c>
    </row>
    <row r="615" customFormat="false" ht="15" hidden="false" customHeight="false" outlineLevel="0" collapsed="false">
      <c r="H615" s="26"/>
      <c r="I615" s="27" t="str">
        <f aca="false">IF(A615="","",IF(H615&lt;&gt;"",UPPER(TRIM(H615)),IFERROR(CHOOSE(VALUE(E615)+1,"A","B","C","D"),IF(OR(LEFT(UPPER(TRIM(E615)),1)="F",UPPER(TRIM(E615))="A"),"A",IF(OR(LEFT(UPPER(TRIM(E615)),1)="M",UPPER(TRIM(E615))="B"),"B",IF(OR(LEFT(UPPER(TRIM(E615)),2)="SL",UPPER(TRIM(E615))="C"),"C",IF(OR(LEFT(UPPER(TRIM(E615)),1)="D",UPPER(TRIM(E615))="D"),"D","")))))))</f>
        <v/>
      </c>
      <c r="J615" s="27" t="str">
        <f aca="false">IF(I615="","",IF(AND(I615="D",Settings!$B$6&lt;&gt;"Yes"),"",IFERROR(INDEX(Settings!$C$9:$C$12,MATCH(I615,Settings!$A$9:$A$12,0)),"")))</f>
        <v/>
      </c>
      <c r="K615" s="27" t="str">
        <f aca="false">IF(J615="","",COUNTIF($I$2:I615,I615))</f>
        <v/>
      </c>
      <c r="L615" s="27" t="str">
        <f aca="false">IF(J615="","",CHOOSE(Q615+1,"Tue","Wed","Thu","Fri"))</f>
        <v/>
      </c>
      <c r="M615" s="27" t="str">
        <f aca="false">IF(J615="","",IF(J615=1,"Every week",R615+1&amp;" of "&amp;J615))</f>
        <v/>
      </c>
      <c r="N615" s="28" t="str">
        <f aca="false">IF(J615="","",Settings!$B$4+R615*7+Q615)</f>
        <v/>
      </c>
      <c r="O615" s="28" t="str">
        <f aca="true">IF(J615="","",N615+MAX(0,ROUNDUP((TODAY()-N615)/(J615*7),0))*J615*7)</f>
        <v/>
      </c>
      <c r="P615" s="27" t="str">
        <f aca="false">IF(J615="","",MOD(K615-1,J615*4))</f>
        <v/>
      </c>
      <c r="Q615" s="27" t="str">
        <f aca="false">IF(J615="","",MOD(P615,4))</f>
        <v/>
      </c>
      <c r="R615" s="27" t="str">
        <f aca="false">IF(J615="","",INT(P615/4))</f>
        <v/>
      </c>
      <c r="S615" s="27" t="str">
        <f aca="false">IF(J615="","",IF(AND('Daily Count Sheet'!$H$3=Q615,MOD('Daily Count Sheet'!$I$3,J615)=R615),1,""))</f>
        <v/>
      </c>
      <c r="T615" s="27" t="str">
        <f aca="false">IF(S615=1,COUNTIF($S$2:S615,1),"")</f>
        <v/>
      </c>
    </row>
    <row r="616" customFormat="false" ht="15" hidden="false" customHeight="false" outlineLevel="0" collapsed="false">
      <c r="H616" s="26"/>
      <c r="I616" s="27" t="str">
        <f aca="false">IF(A616="","",IF(H616&lt;&gt;"",UPPER(TRIM(H616)),IFERROR(CHOOSE(VALUE(E616)+1,"A","B","C","D"),IF(OR(LEFT(UPPER(TRIM(E616)),1)="F",UPPER(TRIM(E616))="A"),"A",IF(OR(LEFT(UPPER(TRIM(E616)),1)="M",UPPER(TRIM(E616))="B"),"B",IF(OR(LEFT(UPPER(TRIM(E616)),2)="SL",UPPER(TRIM(E616))="C"),"C",IF(OR(LEFT(UPPER(TRIM(E616)),1)="D",UPPER(TRIM(E616))="D"),"D","")))))))</f>
        <v/>
      </c>
      <c r="J616" s="27" t="str">
        <f aca="false">IF(I616="","",IF(AND(I616="D",Settings!$B$6&lt;&gt;"Yes"),"",IFERROR(INDEX(Settings!$C$9:$C$12,MATCH(I616,Settings!$A$9:$A$12,0)),"")))</f>
        <v/>
      </c>
      <c r="K616" s="27" t="str">
        <f aca="false">IF(J616="","",COUNTIF($I$2:I616,I616))</f>
        <v/>
      </c>
      <c r="L616" s="27" t="str">
        <f aca="false">IF(J616="","",CHOOSE(Q616+1,"Tue","Wed","Thu","Fri"))</f>
        <v/>
      </c>
      <c r="M616" s="27" t="str">
        <f aca="false">IF(J616="","",IF(J616=1,"Every week",R616+1&amp;" of "&amp;J616))</f>
        <v/>
      </c>
      <c r="N616" s="28" t="str">
        <f aca="false">IF(J616="","",Settings!$B$4+R616*7+Q616)</f>
        <v/>
      </c>
      <c r="O616" s="28" t="str">
        <f aca="true">IF(J616="","",N616+MAX(0,ROUNDUP((TODAY()-N616)/(J616*7),0))*J616*7)</f>
        <v/>
      </c>
      <c r="P616" s="27" t="str">
        <f aca="false">IF(J616="","",MOD(K616-1,J616*4))</f>
        <v/>
      </c>
      <c r="Q616" s="27" t="str">
        <f aca="false">IF(J616="","",MOD(P616,4))</f>
        <v/>
      </c>
      <c r="R616" s="27" t="str">
        <f aca="false">IF(J616="","",INT(P616/4))</f>
        <v/>
      </c>
      <c r="S616" s="27" t="str">
        <f aca="false">IF(J616="","",IF(AND('Daily Count Sheet'!$H$3=Q616,MOD('Daily Count Sheet'!$I$3,J616)=R616),1,""))</f>
        <v/>
      </c>
      <c r="T616" s="27" t="str">
        <f aca="false">IF(S616=1,COUNTIF($S$2:S616,1),"")</f>
        <v/>
      </c>
    </row>
    <row r="617" customFormat="false" ht="15" hidden="false" customHeight="false" outlineLevel="0" collapsed="false">
      <c r="H617" s="26"/>
      <c r="I617" s="27" t="str">
        <f aca="false">IF(A617="","",IF(H617&lt;&gt;"",UPPER(TRIM(H617)),IFERROR(CHOOSE(VALUE(E617)+1,"A","B","C","D"),IF(OR(LEFT(UPPER(TRIM(E617)),1)="F",UPPER(TRIM(E617))="A"),"A",IF(OR(LEFT(UPPER(TRIM(E617)),1)="M",UPPER(TRIM(E617))="B"),"B",IF(OR(LEFT(UPPER(TRIM(E617)),2)="SL",UPPER(TRIM(E617))="C"),"C",IF(OR(LEFT(UPPER(TRIM(E617)),1)="D",UPPER(TRIM(E617))="D"),"D","")))))))</f>
        <v/>
      </c>
      <c r="J617" s="27" t="str">
        <f aca="false">IF(I617="","",IF(AND(I617="D",Settings!$B$6&lt;&gt;"Yes"),"",IFERROR(INDEX(Settings!$C$9:$C$12,MATCH(I617,Settings!$A$9:$A$12,0)),"")))</f>
        <v/>
      </c>
      <c r="K617" s="27" t="str">
        <f aca="false">IF(J617="","",COUNTIF($I$2:I617,I617))</f>
        <v/>
      </c>
      <c r="L617" s="27" t="str">
        <f aca="false">IF(J617="","",CHOOSE(Q617+1,"Tue","Wed","Thu","Fri"))</f>
        <v/>
      </c>
      <c r="M617" s="27" t="str">
        <f aca="false">IF(J617="","",IF(J617=1,"Every week",R617+1&amp;" of "&amp;J617))</f>
        <v/>
      </c>
      <c r="N617" s="28" t="str">
        <f aca="false">IF(J617="","",Settings!$B$4+R617*7+Q617)</f>
        <v/>
      </c>
      <c r="O617" s="28" t="str">
        <f aca="true">IF(J617="","",N617+MAX(0,ROUNDUP((TODAY()-N617)/(J617*7),0))*J617*7)</f>
        <v/>
      </c>
      <c r="P617" s="27" t="str">
        <f aca="false">IF(J617="","",MOD(K617-1,J617*4))</f>
        <v/>
      </c>
      <c r="Q617" s="27" t="str">
        <f aca="false">IF(J617="","",MOD(P617,4))</f>
        <v/>
      </c>
      <c r="R617" s="27" t="str">
        <f aca="false">IF(J617="","",INT(P617/4))</f>
        <v/>
      </c>
      <c r="S617" s="27" t="str">
        <f aca="false">IF(J617="","",IF(AND('Daily Count Sheet'!$H$3=Q617,MOD('Daily Count Sheet'!$I$3,J617)=R617),1,""))</f>
        <v/>
      </c>
      <c r="T617" s="27" t="str">
        <f aca="false">IF(S617=1,COUNTIF($S$2:S617,1),"")</f>
        <v/>
      </c>
    </row>
    <row r="618" customFormat="false" ht="15" hidden="false" customHeight="false" outlineLevel="0" collapsed="false">
      <c r="H618" s="26"/>
      <c r="I618" s="27" t="str">
        <f aca="false">IF(A618="","",IF(H618&lt;&gt;"",UPPER(TRIM(H618)),IFERROR(CHOOSE(VALUE(E618)+1,"A","B","C","D"),IF(OR(LEFT(UPPER(TRIM(E618)),1)="F",UPPER(TRIM(E618))="A"),"A",IF(OR(LEFT(UPPER(TRIM(E618)),1)="M",UPPER(TRIM(E618))="B"),"B",IF(OR(LEFT(UPPER(TRIM(E618)),2)="SL",UPPER(TRIM(E618))="C"),"C",IF(OR(LEFT(UPPER(TRIM(E618)),1)="D",UPPER(TRIM(E618))="D"),"D","")))))))</f>
        <v/>
      </c>
      <c r="J618" s="27" t="str">
        <f aca="false">IF(I618="","",IF(AND(I618="D",Settings!$B$6&lt;&gt;"Yes"),"",IFERROR(INDEX(Settings!$C$9:$C$12,MATCH(I618,Settings!$A$9:$A$12,0)),"")))</f>
        <v/>
      </c>
      <c r="K618" s="27" t="str">
        <f aca="false">IF(J618="","",COUNTIF($I$2:I618,I618))</f>
        <v/>
      </c>
      <c r="L618" s="27" t="str">
        <f aca="false">IF(J618="","",CHOOSE(Q618+1,"Tue","Wed","Thu","Fri"))</f>
        <v/>
      </c>
      <c r="M618" s="27" t="str">
        <f aca="false">IF(J618="","",IF(J618=1,"Every week",R618+1&amp;" of "&amp;J618))</f>
        <v/>
      </c>
      <c r="N618" s="28" t="str">
        <f aca="false">IF(J618="","",Settings!$B$4+R618*7+Q618)</f>
        <v/>
      </c>
      <c r="O618" s="28" t="str">
        <f aca="true">IF(J618="","",N618+MAX(0,ROUNDUP((TODAY()-N618)/(J618*7),0))*J618*7)</f>
        <v/>
      </c>
      <c r="P618" s="27" t="str">
        <f aca="false">IF(J618="","",MOD(K618-1,J618*4))</f>
        <v/>
      </c>
      <c r="Q618" s="27" t="str">
        <f aca="false">IF(J618="","",MOD(P618,4))</f>
        <v/>
      </c>
      <c r="R618" s="27" t="str">
        <f aca="false">IF(J618="","",INT(P618/4))</f>
        <v/>
      </c>
      <c r="S618" s="27" t="str">
        <f aca="false">IF(J618="","",IF(AND('Daily Count Sheet'!$H$3=Q618,MOD('Daily Count Sheet'!$I$3,J618)=R618),1,""))</f>
        <v/>
      </c>
      <c r="T618" s="27" t="str">
        <f aca="false">IF(S618=1,COUNTIF($S$2:S618,1),"")</f>
        <v/>
      </c>
    </row>
    <row r="619" customFormat="false" ht="15" hidden="false" customHeight="false" outlineLevel="0" collapsed="false">
      <c r="H619" s="26"/>
      <c r="I619" s="27" t="str">
        <f aca="false">IF(A619="","",IF(H619&lt;&gt;"",UPPER(TRIM(H619)),IFERROR(CHOOSE(VALUE(E619)+1,"A","B","C","D"),IF(OR(LEFT(UPPER(TRIM(E619)),1)="F",UPPER(TRIM(E619))="A"),"A",IF(OR(LEFT(UPPER(TRIM(E619)),1)="M",UPPER(TRIM(E619))="B"),"B",IF(OR(LEFT(UPPER(TRIM(E619)),2)="SL",UPPER(TRIM(E619))="C"),"C",IF(OR(LEFT(UPPER(TRIM(E619)),1)="D",UPPER(TRIM(E619))="D"),"D","")))))))</f>
        <v/>
      </c>
      <c r="J619" s="27" t="str">
        <f aca="false">IF(I619="","",IF(AND(I619="D",Settings!$B$6&lt;&gt;"Yes"),"",IFERROR(INDEX(Settings!$C$9:$C$12,MATCH(I619,Settings!$A$9:$A$12,0)),"")))</f>
        <v/>
      </c>
      <c r="K619" s="27" t="str">
        <f aca="false">IF(J619="","",COUNTIF($I$2:I619,I619))</f>
        <v/>
      </c>
      <c r="L619" s="27" t="str">
        <f aca="false">IF(J619="","",CHOOSE(Q619+1,"Tue","Wed","Thu","Fri"))</f>
        <v/>
      </c>
      <c r="M619" s="27" t="str">
        <f aca="false">IF(J619="","",IF(J619=1,"Every week",R619+1&amp;" of "&amp;J619))</f>
        <v/>
      </c>
      <c r="N619" s="28" t="str">
        <f aca="false">IF(J619="","",Settings!$B$4+R619*7+Q619)</f>
        <v/>
      </c>
      <c r="O619" s="28" t="str">
        <f aca="true">IF(J619="","",N619+MAX(0,ROUNDUP((TODAY()-N619)/(J619*7),0))*J619*7)</f>
        <v/>
      </c>
      <c r="P619" s="27" t="str">
        <f aca="false">IF(J619="","",MOD(K619-1,J619*4))</f>
        <v/>
      </c>
      <c r="Q619" s="27" t="str">
        <f aca="false">IF(J619="","",MOD(P619,4))</f>
        <v/>
      </c>
      <c r="R619" s="27" t="str">
        <f aca="false">IF(J619="","",INT(P619/4))</f>
        <v/>
      </c>
      <c r="S619" s="27" t="str">
        <f aca="false">IF(J619="","",IF(AND('Daily Count Sheet'!$H$3=Q619,MOD('Daily Count Sheet'!$I$3,J619)=R619),1,""))</f>
        <v/>
      </c>
      <c r="T619" s="27" t="str">
        <f aca="false">IF(S619=1,COUNTIF($S$2:S619,1),"")</f>
        <v/>
      </c>
    </row>
    <row r="620" customFormat="false" ht="15" hidden="false" customHeight="false" outlineLevel="0" collapsed="false">
      <c r="H620" s="26"/>
      <c r="I620" s="27" t="str">
        <f aca="false">IF(A620="","",IF(H620&lt;&gt;"",UPPER(TRIM(H620)),IFERROR(CHOOSE(VALUE(E620)+1,"A","B","C","D"),IF(OR(LEFT(UPPER(TRIM(E620)),1)="F",UPPER(TRIM(E620))="A"),"A",IF(OR(LEFT(UPPER(TRIM(E620)),1)="M",UPPER(TRIM(E620))="B"),"B",IF(OR(LEFT(UPPER(TRIM(E620)),2)="SL",UPPER(TRIM(E620))="C"),"C",IF(OR(LEFT(UPPER(TRIM(E620)),1)="D",UPPER(TRIM(E620))="D"),"D","")))))))</f>
        <v/>
      </c>
      <c r="J620" s="27" t="str">
        <f aca="false">IF(I620="","",IF(AND(I620="D",Settings!$B$6&lt;&gt;"Yes"),"",IFERROR(INDEX(Settings!$C$9:$C$12,MATCH(I620,Settings!$A$9:$A$12,0)),"")))</f>
        <v/>
      </c>
      <c r="K620" s="27" t="str">
        <f aca="false">IF(J620="","",COUNTIF($I$2:I620,I620))</f>
        <v/>
      </c>
      <c r="L620" s="27" t="str">
        <f aca="false">IF(J620="","",CHOOSE(Q620+1,"Tue","Wed","Thu","Fri"))</f>
        <v/>
      </c>
      <c r="M620" s="27" t="str">
        <f aca="false">IF(J620="","",IF(J620=1,"Every week",R620+1&amp;" of "&amp;J620))</f>
        <v/>
      </c>
      <c r="N620" s="28" t="str">
        <f aca="false">IF(J620="","",Settings!$B$4+R620*7+Q620)</f>
        <v/>
      </c>
      <c r="O620" s="28" t="str">
        <f aca="true">IF(J620="","",N620+MAX(0,ROUNDUP((TODAY()-N620)/(J620*7),0))*J620*7)</f>
        <v/>
      </c>
      <c r="P620" s="27" t="str">
        <f aca="false">IF(J620="","",MOD(K620-1,J620*4))</f>
        <v/>
      </c>
      <c r="Q620" s="27" t="str">
        <f aca="false">IF(J620="","",MOD(P620,4))</f>
        <v/>
      </c>
      <c r="R620" s="27" t="str">
        <f aca="false">IF(J620="","",INT(P620/4))</f>
        <v/>
      </c>
      <c r="S620" s="27" t="str">
        <f aca="false">IF(J620="","",IF(AND('Daily Count Sheet'!$H$3=Q620,MOD('Daily Count Sheet'!$I$3,J620)=R620),1,""))</f>
        <v/>
      </c>
      <c r="T620" s="27" t="str">
        <f aca="false">IF(S620=1,COUNTIF($S$2:S620,1),"")</f>
        <v/>
      </c>
    </row>
    <row r="621" customFormat="false" ht="15" hidden="false" customHeight="false" outlineLevel="0" collapsed="false">
      <c r="H621" s="26"/>
      <c r="I621" s="27" t="str">
        <f aca="false">IF(A621="","",IF(H621&lt;&gt;"",UPPER(TRIM(H621)),IFERROR(CHOOSE(VALUE(E621)+1,"A","B","C","D"),IF(OR(LEFT(UPPER(TRIM(E621)),1)="F",UPPER(TRIM(E621))="A"),"A",IF(OR(LEFT(UPPER(TRIM(E621)),1)="M",UPPER(TRIM(E621))="B"),"B",IF(OR(LEFT(UPPER(TRIM(E621)),2)="SL",UPPER(TRIM(E621))="C"),"C",IF(OR(LEFT(UPPER(TRIM(E621)),1)="D",UPPER(TRIM(E621))="D"),"D","")))))))</f>
        <v/>
      </c>
      <c r="J621" s="27" t="str">
        <f aca="false">IF(I621="","",IF(AND(I621="D",Settings!$B$6&lt;&gt;"Yes"),"",IFERROR(INDEX(Settings!$C$9:$C$12,MATCH(I621,Settings!$A$9:$A$12,0)),"")))</f>
        <v/>
      </c>
      <c r="K621" s="27" t="str">
        <f aca="false">IF(J621="","",COUNTIF($I$2:I621,I621))</f>
        <v/>
      </c>
      <c r="L621" s="27" t="str">
        <f aca="false">IF(J621="","",CHOOSE(Q621+1,"Tue","Wed","Thu","Fri"))</f>
        <v/>
      </c>
      <c r="M621" s="27" t="str">
        <f aca="false">IF(J621="","",IF(J621=1,"Every week",R621+1&amp;" of "&amp;J621))</f>
        <v/>
      </c>
      <c r="N621" s="28" t="str">
        <f aca="false">IF(J621="","",Settings!$B$4+R621*7+Q621)</f>
        <v/>
      </c>
      <c r="O621" s="28" t="str">
        <f aca="true">IF(J621="","",N621+MAX(0,ROUNDUP((TODAY()-N621)/(J621*7),0))*J621*7)</f>
        <v/>
      </c>
      <c r="P621" s="27" t="str">
        <f aca="false">IF(J621="","",MOD(K621-1,J621*4))</f>
        <v/>
      </c>
      <c r="Q621" s="27" t="str">
        <f aca="false">IF(J621="","",MOD(P621,4))</f>
        <v/>
      </c>
      <c r="R621" s="27" t="str">
        <f aca="false">IF(J621="","",INT(P621/4))</f>
        <v/>
      </c>
      <c r="S621" s="27" t="str">
        <f aca="false">IF(J621="","",IF(AND('Daily Count Sheet'!$H$3=Q621,MOD('Daily Count Sheet'!$I$3,J621)=R621),1,""))</f>
        <v/>
      </c>
      <c r="T621" s="27" t="str">
        <f aca="false">IF(S621=1,COUNTIF($S$2:S621,1),"")</f>
        <v/>
      </c>
    </row>
    <row r="622" customFormat="false" ht="15" hidden="false" customHeight="false" outlineLevel="0" collapsed="false">
      <c r="H622" s="26"/>
      <c r="I622" s="27" t="str">
        <f aca="false">IF(A622="","",IF(H622&lt;&gt;"",UPPER(TRIM(H622)),IFERROR(CHOOSE(VALUE(E622)+1,"A","B","C","D"),IF(OR(LEFT(UPPER(TRIM(E622)),1)="F",UPPER(TRIM(E622))="A"),"A",IF(OR(LEFT(UPPER(TRIM(E622)),1)="M",UPPER(TRIM(E622))="B"),"B",IF(OR(LEFT(UPPER(TRIM(E622)),2)="SL",UPPER(TRIM(E622))="C"),"C",IF(OR(LEFT(UPPER(TRIM(E622)),1)="D",UPPER(TRIM(E622))="D"),"D","")))))))</f>
        <v/>
      </c>
      <c r="J622" s="27" t="str">
        <f aca="false">IF(I622="","",IF(AND(I622="D",Settings!$B$6&lt;&gt;"Yes"),"",IFERROR(INDEX(Settings!$C$9:$C$12,MATCH(I622,Settings!$A$9:$A$12,0)),"")))</f>
        <v/>
      </c>
      <c r="K622" s="27" t="str">
        <f aca="false">IF(J622="","",COUNTIF($I$2:I622,I622))</f>
        <v/>
      </c>
      <c r="L622" s="27" t="str">
        <f aca="false">IF(J622="","",CHOOSE(Q622+1,"Tue","Wed","Thu","Fri"))</f>
        <v/>
      </c>
      <c r="M622" s="27" t="str">
        <f aca="false">IF(J622="","",IF(J622=1,"Every week",R622+1&amp;" of "&amp;J622))</f>
        <v/>
      </c>
      <c r="N622" s="28" t="str">
        <f aca="false">IF(J622="","",Settings!$B$4+R622*7+Q622)</f>
        <v/>
      </c>
      <c r="O622" s="28" t="str">
        <f aca="true">IF(J622="","",N622+MAX(0,ROUNDUP((TODAY()-N622)/(J622*7),0))*J622*7)</f>
        <v/>
      </c>
      <c r="P622" s="27" t="str">
        <f aca="false">IF(J622="","",MOD(K622-1,J622*4))</f>
        <v/>
      </c>
      <c r="Q622" s="27" t="str">
        <f aca="false">IF(J622="","",MOD(P622,4))</f>
        <v/>
      </c>
      <c r="R622" s="27" t="str">
        <f aca="false">IF(J622="","",INT(P622/4))</f>
        <v/>
      </c>
      <c r="S622" s="27" t="str">
        <f aca="false">IF(J622="","",IF(AND('Daily Count Sheet'!$H$3=Q622,MOD('Daily Count Sheet'!$I$3,J622)=R622),1,""))</f>
        <v/>
      </c>
      <c r="T622" s="27" t="str">
        <f aca="false">IF(S622=1,COUNTIF($S$2:S622,1),"")</f>
        <v/>
      </c>
    </row>
    <row r="623" customFormat="false" ht="15" hidden="false" customHeight="false" outlineLevel="0" collapsed="false">
      <c r="H623" s="26"/>
      <c r="I623" s="27" t="str">
        <f aca="false">IF(A623="","",IF(H623&lt;&gt;"",UPPER(TRIM(H623)),IFERROR(CHOOSE(VALUE(E623)+1,"A","B","C","D"),IF(OR(LEFT(UPPER(TRIM(E623)),1)="F",UPPER(TRIM(E623))="A"),"A",IF(OR(LEFT(UPPER(TRIM(E623)),1)="M",UPPER(TRIM(E623))="B"),"B",IF(OR(LEFT(UPPER(TRIM(E623)),2)="SL",UPPER(TRIM(E623))="C"),"C",IF(OR(LEFT(UPPER(TRIM(E623)),1)="D",UPPER(TRIM(E623))="D"),"D","")))))))</f>
        <v/>
      </c>
      <c r="J623" s="27" t="str">
        <f aca="false">IF(I623="","",IF(AND(I623="D",Settings!$B$6&lt;&gt;"Yes"),"",IFERROR(INDEX(Settings!$C$9:$C$12,MATCH(I623,Settings!$A$9:$A$12,0)),"")))</f>
        <v/>
      </c>
      <c r="K623" s="27" t="str">
        <f aca="false">IF(J623="","",COUNTIF($I$2:I623,I623))</f>
        <v/>
      </c>
      <c r="L623" s="27" t="str">
        <f aca="false">IF(J623="","",CHOOSE(Q623+1,"Tue","Wed","Thu","Fri"))</f>
        <v/>
      </c>
      <c r="M623" s="27" t="str">
        <f aca="false">IF(J623="","",IF(J623=1,"Every week",R623+1&amp;" of "&amp;J623))</f>
        <v/>
      </c>
      <c r="N623" s="28" t="str">
        <f aca="false">IF(J623="","",Settings!$B$4+R623*7+Q623)</f>
        <v/>
      </c>
      <c r="O623" s="28" t="str">
        <f aca="true">IF(J623="","",N623+MAX(0,ROUNDUP((TODAY()-N623)/(J623*7),0))*J623*7)</f>
        <v/>
      </c>
      <c r="P623" s="27" t="str">
        <f aca="false">IF(J623="","",MOD(K623-1,J623*4))</f>
        <v/>
      </c>
      <c r="Q623" s="27" t="str">
        <f aca="false">IF(J623="","",MOD(P623,4))</f>
        <v/>
      </c>
      <c r="R623" s="27" t="str">
        <f aca="false">IF(J623="","",INT(P623/4))</f>
        <v/>
      </c>
      <c r="S623" s="27" t="str">
        <f aca="false">IF(J623="","",IF(AND('Daily Count Sheet'!$H$3=Q623,MOD('Daily Count Sheet'!$I$3,J623)=R623),1,""))</f>
        <v/>
      </c>
      <c r="T623" s="27" t="str">
        <f aca="false">IF(S623=1,COUNTIF($S$2:S623,1),"")</f>
        <v/>
      </c>
    </row>
    <row r="624" customFormat="false" ht="15" hidden="false" customHeight="false" outlineLevel="0" collapsed="false">
      <c r="H624" s="26"/>
      <c r="I624" s="27" t="str">
        <f aca="false">IF(A624="","",IF(H624&lt;&gt;"",UPPER(TRIM(H624)),IFERROR(CHOOSE(VALUE(E624)+1,"A","B","C","D"),IF(OR(LEFT(UPPER(TRIM(E624)),1)="F",UPPER(TRIM(E624))="A"),"A",IF(OR(LEFT(UPPER(TRIM(E624)),1)="M",UPPER(TRIM(E624))="B"),"B",IF(OR(LEFT(UPPER(TRIM(E624)),2)="SL",UPPER(TRIM(E624))="C"),"C",IF(OR(LEFT(UPPER(TRIM(E624)),1)="D",UPPER(TRIM(E624))="D"),"D","")))))))</f>
        <v/>
      </c>
      <c r="J624" s="27" t="str">
        <f aca="false">IF(I624="","",IF(AND(I624="D",Settings!$B$6&lt;&gt;"Yes"),"",IFERROR(INDEX(Settings!$C$9:$C$12,MATCH(I624,Settings!$A$9:$A$12,0)),"")))</f>
        <v/>
      </c>
      <c r="K624" s="27" t="str">
        <f aca="false">IF(J624="","",COUNTIF($I$2:I624,I624))</f>
        <v/>
      </c>
      <c r="L624" s="27" t="str">
        <f aca="false">IF(J624="","",CHOOSE(Q624+1,"Tue","Wed","Thu","Fri"))</f>
        <v/>
      </c>
      <c r="M624" s="27" t="str">
        <f aca="false">IF(J624="","",IF(J624=1,"Every week",R624+1&amp;" of "&amp;J624))</f>
        <v/>
      </c>
      <c r="N624" s="28" t="str">
        <f aca="false">IF(J624="","",Settings!$B$4+R624*7+Q624)</f>
        <v/>
      </c>
      <c r="O624" s="28" t="str">
        <f aca="true">IF(J624="","",N624+MAX(0,ROUNDUP((TODAY()-N624)/(J624*7),0))*J624*7)</f>
        <v/>
      </c>
      <c r="P624" s="27" t="str">
        <f aca="false">IF(J624="","",MOD(K624-1,J624*4))</f>
        <v/>
      </c>
      <c r="Q624" s="27" t="str">
        <f aca="false">IF(J624="","",MOD(P624,4))</f>
        <v/>
      </c>
      <c r="R624" s="27" t="str">
        <f aca="false">IF(J624="","",INT(P624/4))</f>
        <v/>
      </c>
      <c r="S624" s="27" t="str">
        <f aca="false">IF(J624="","",IF(AND('Daily Count Sheet'!$H$3=Q624,MOD('Daily Count Sheet'!$I$3,J624)=R624),1,""))</f>
        <v/>
      </c>
      <c r="T624" s="27" t="str">
        <f aca="false">IF(S624=1,COUNTIF($S$2:S624,1),"")</f>
        <v/>
      </c>
    </row>
    <row r="625" customFormat="false" ht="15" hidden="false" customHeight="false" outlineLevel="0" collapsed="false">
      <c r="H625" s="26"/>
      <c r="I625" s="27" t="str">
        <f aca="false">IF(A625="","",IF(H625&lt;&gt;"",UPPER(TRIM(H625)),IFERROR(CHOOSE(VALUE(E625)+1,"A","B","C","D"),IF(OR(LEFT(UPPER(TRIM(E625)),1)="F",UPPER(TRIM(E625))="A"),"A",IF(OR(LEFT(UPPER(TRIM(E625)),1)="M",UPPER(TRIM(E625))="B"),"B",IF(OR(LEFT(UPPER(TRIM(E625)),2)="SL",UPPER(TRIM(E625))="C"),"C",IF(OR(LEFT(UPPER(TRIM(E625)),1)="D",UPPER(TRIM(E625))="D"),"D","")))))))</f>
        <v/>
      </c>
      <c r="J625" s="27" t="str">
        <f aca="false">IF(I625="","",IF(AND(I625="D",Settings!$B$6&lt;&gt;"Yes"),"",IFERROR(INDEX(Settings!$C$9:$C$12,MATCH(I625,Settings!$A$9:$A$12,0)),"")))</f>
        <v/>
      </c>
      <c r="K625" s="27" t="str">
        <f aca="false">IF(J625="","",COUNTIF($I$2:I625,I625))</f>
        <v/>
      </c>
      <c r="L625" s="27" t="str">
        <f aca="false">IF(J625="","",CHOOSE(Q625+1,"Tue","Wed","Thu","Fri"))</f>
        <v/>
      </c>
      <c r="M625" s="27" t="str">
        <f aca="false">IF(J625="","",IF(J625=1,"Every week",R625+1&amp;" of "&amp;J625))</f>
        <v/>
      </c>
      <c r="N625" s="28" t="str">
        <f aca="false">IF(J625="","",Settings!$B$4+R625*7+Q625)</f>
        <v/>
      </c>
      <c r="O625" s="28" t="str">
        <f aca="true">IF(J625="","",N625+MAX(0,ROUNDUP((TODAY()-N625)/(J625*7),0))*J625*7)</f>
        <v/>
      </c>
      <c r="P625" s="27" t="str">
        <f aca="false">IF(J625="","",MOD(K625-1,J625*4))</f>
        <v/>
      </c>
      <c r="Q625" s="27" t="str">
        <f aca="false">IF(J625="","",MOD(P625,4))</f>
        <v/>
      </c>
      <c r="R625" s="27" t="str">
        <f aca="false">IF(J625="","",INT(P625/4))</f>
        <v/>
      </c>
      <c r="S625" s="27" t="str">
        <f aca="false">IF(J625="","",IF(AND('Daily Count Sheet'!$H$3=Q625,MOD('Daily Count Sheet'!$I$3,J625)=R625),1,""))</f>
        <v/>
      </c>
      <c r="T625" s="27" t="str">
        <f aca="false">IF(S625=1,COUNTIF($S$2:S625,1),"")</f>
        <v/>
      </c>
    </row>
    <row r="626" customFormat="false" ht="15" hidden="false" customHeight="false" outlineLevel="0" collapsed="false">
      <c r="H626" s="26"/>
      <c r="I626" s="27" t="str">
        <f aca="false">IF(A626="","",IF(H626&lt;&gt;"",UPPER(TRIM(H626)),IFERROR(CHOOSE(VALUE(E626)+1,"A","B","C","D"),IF(OR(LEFT(UPPER(TRIM(E626)),1)="F",UPPER(TRIM(E626))="A"),"A",IF(OR(LEFT(UPPER(TRIM(E626)),1)="M",UPPER(TRIM(E626))="B"),"B",IF(OR(LEFT(UPPER(TRIM(E626)),2)="SL",UPPER(TRIM(E626))="C"),"C",IF(OR(LEFT(UPPER(TRIM(E626)),1)="D",UPPER(TRIM(E626))="D"),"D","")))))))</f>
        <v/>
      </c>
      <c r="J626" s="27" t="str">
        <f aca="false">IF(I626="","",IF(AND(I626="D",Settings!$B$6&lt;&gt;"Yes"),"",IFERROR(INDEX(Settings!$C$9:$C$12,MATCH(I626,Settings!$A$9:$A$12,0)),"")))</f>
        <v/>
      </c>
      <c r="K626" s="27" t="str">
        <f aca="false">IF(J626="","",COUNTIF($I$2:I626,I626))</f>
        <v/>
      </c>
      <c r="L626" s="27" t="str">
        <f aca="false">IF(J626="","",CHOOSE(Q626+1,"Tue","Wed","Thu","Fri"))</f>
        <v/>
      </c>
      <c r="M626" s="27" t="str">
        <f aca="false">IF(J626="","",IF(J626=1,"Every week",R626+1&amp;" of "&amp;J626))</f>
        <v/>
      </c>
      <c r="N626" s="28" t="str">
        <f aca="false">IF(J626="","",Settings!$B$4+R626*7+Q626)</f>
        <v/>
      </c>
      <c r="O626" s="28" t="str">
        <f aca="true">IF(J626="","",N626+MAX(0,ROUNDUP((TODAY()-N626)/(J626*7),0))*J626*7)</f>
        <v/>
      </c>
      <c r="P626" s="27" t="str">
        <f aca="false">IF(J626="","",MOD(K626-1,J626*4))</f>
        <v/>
      </c>
      <c r="Q626" s="27" t="str">
        <f aca="false">IF(J626="","",MOD(P626,4))</f>
        <v/>
      </c>
      <c r="R626" s="27" t="str">
        <f aca="false">IF(J626="","",INT(P626/4))</f>
        <v/>
      </c>
      <c r="S626" s="27" t="str">
        <f aca="false">IF(J626="","",IF(AND('Daily Count Sheet'!$H$3=Q626,MOD('Daily Count Sheet'!$I$3,J626)=R626),1,""))</f>
        <v/>
      </c>
      <c r="T626" s="27" t="str">
        <f aca="false">IF(S626=1,COUNTIF($S$2:S626,1),"")</f>
        <v/>
      </c>
    </row>
    <row r="627" customFormat="false" ht="15" hidden="false" customHeight="false" outlineLevel="0" collapsed="false">
      <c r="H627" s="26"/>
      <c r="I627" s="27" t="str">
        <f aca="false">IF(A627="","",IF(H627&lt;&gt;"",UPPER(TRIM(H627)),IFERROR(CHOOSE(VALUE(E627)+1,"A","B","C","D"),IF(OR(LEFT(UPPER(TRIM(E627)),1)="F",UPPER(TRIM(E627))="A"),"A",IF(OR(LEFT(UPPER(TRIM(E627)),1)="M",UPPER(TRIM(E627))="B"),"B",IF(OR(LEFT(UPPER(TRIM(E627)),2)="SL",UPPER(TRIM(E627))="C"),"C",IF(OR(LEFT(UPPER(TRIM(E627)),1)="D",UPPER(TRIM(E627))="D"),"D","")))))))</f>
        <v/>
      </c>
      <c r="J627" s="27" t="str">
        <f aca="false">IF(I627="","",IF(AND(I627="D",Settings!$B$6&lt;&gt;"Yes"),"",IFERROR(INDEX(Settings!$C$9:$C$12,MATCH(I627,Settings!$A$9:$A$12,0)),"")))</f>
        <v/>
      </c>
      <c r="K627" s="27" t="str">
        <f aca="false">IF(J627="","",COUNTIF($I$2:I627,I627))</f>
        <v/>
      </c>
      <c r="L627" s="27" t="str">
        <f aca="false">IF(J627="","",CHOOSE(Q627+1,"Tue","Wed","Thu","Fri"))</f>
        <v/>
      </c>
      <c r="M627" s="27" t="str">
        <f aca="false">IF(J627="","",IF(J627=1,"Every week",R627+1&amp;" of "&amp;J627))</f>
        <v/>
      </c>
      <c r="N627" s="28" t="str">
        <f aca="false">IF(J627="","",Settings!$B$4+R627*7+Q627)</f>
        <v/>
      </c>
      <c r="O627" s="28" t="str">
        <f aca="true">IF(J627="","",N627+MAX(0,ROUNDUP((TODAY()-N627)/(J627*7),0))*J627*7)</f>
        <v/>
      </c>
      <c r="P627" s="27" t="str">
        <f aca="false">IF(J627="","",MOD(K627-1,J627*4))</f>
        <v/>
      </c>
      <c r="Q627" s="27" t="str">
        <f aca="false">IF(J627="","",MOD(P627,4))</f>
        <v/>
      </c>
      <c r="R627" s="27" t="str">
        <f aca="false">IF(J627="","",INT(P627/4))</f>
        <v/>
      </c>
      <c r="S627" s="27" t="str">
        <f aca="false">IF(J627="","",IF(AND('Daily Count Sheet'!$H$3=Q627,MOD('Daily Count Sheet'!$I$3,J627)=R627),1,""))</f>
        <v/>
      </c>
      <c r="T627" s="27" t="str">
        <f aca="false">IF(S627=1,COUNTIF($S$2:S627,1),"")</f>
        <v/>
      </c>
    </row>
    <row r="628" customFormat="false" ht="15" hidden="false" customHeight="false" outlineLevel="0" collapsed="false">
      <c r="H628" s="26"/>
      <c r="I628" s="27" t="str">
        <f aca="false">IF(A628="","",IF(H628&lt;&gt;"",UPPER(TRIM(H628)),IFERROR(CHOOSE(VALUE(E628)+1,"A","B","C","D"),IF(OR(LEFT(UPPER(TRIM(E628)),1)="F",UPPER(TRIM(E628))="A"),"A",IF(OR(LEFT(UPPER(TRIM(E628)),1)="M",UPPER(TRIM(E628))="B"),"B",IF(OR(LEFT(UPPER(TRIM(E628)),2)="SL",UPPER(TRIM(E628))="C"),"C",IF(OR(LEFT(UPPER(TRIM(E628)),1)="D",UPPER(TRIM(E628))="D"),"D","")))))))</f>
        <v/>
      </c>
      <c r="J628" s="27" t="str">
        <f aca="false">IF(I628="","",IF(AND(I628="D",Settings!$B$6&lt;&gt;"Yes"),"",IFERROR(INDEX(Settings!$C$9:$C$12,MATCH(I628,Settings!$A$9:$A$12,0)),"")))</f>
        <v/>
      </c>
      <c r="K628" s="27" t="str">
        <f aca="false">IF(J628="","",COUNTIF($I$2:I628,I628))</f>
        <v/>
      </c>
      <c r="L628" s="27" t="str">
        <f aca="false">IF(J628="","",CHOOSE(Q628+1,"Tue","Wed","Thu","Fri"))</f>
        <v/>
      </c>
      <c r="M628" s="27" t="str">
        <f aca="false">IF(J628="","",IF(J628=1,"Every week",R628+1&amp;" of "&amp;J628))</f>
        <v/>
      </c>
      <c r="N628" s="28" t="str">
        <f aca="false">IF(J628="","",Settings!$B$4+R628*7+Q628)</f>
        <v/>
      </c>
      <c r="O628" s="28" t="str">
        <f aca="true">IF(J628="","",N628+MAX(0,ROUNDUP((TODAY()-N628)/(J628*7),0))*J628*7)</f>
        <v/>
      </c>
      <c r="P628" s="27" t="str">
        <f aca="false">IF(J628="","",MOD(K628-1,J628*4))</f>
        <v/>
      </c>
      <c r="Q628" s="27" t="str">
        <f aca="false">IF(J628="","",MOD(P628,4))</f>
        <v/>
      </c>
      <c r="R628" s="27" t="str">
        <f aca="false">IF(J628="","",INT(P628/4))</f>
        <v/>
      </c>
      <c r="S628" s="27" t="str">
        <f aca="false">IF(J628="","",IF(AND('Daily Count Sheet'!$H$3=Q628,MOD('Daily Count Sheet'!$I$3,J628)=R628),1,""))</f>
        <v/>
      </c>
      <c r="T628" s="27" t="str">
        <f aca="false">IF(S628=1,COUNTIF($S$2:S628,1),"")</f>
        <v/>
      </c>
    </row>
    <row r="629" customFormat="false" ht="15" hidden="false" customHeight="false" outlineLevel="0" collapsed="false">
      <c r="H629" s="26"/>
      <c r="I629" s="27" t="str">
        <f aca="false">IF(A629="","",IF(H629&lt;&gt;"",UPPER(TRIM(H629)),IFERROR(CHOOSE(VALUE(E629)+1,"A","B","C","D"),IF(OR(LEFT(UPPER(TRIM(E629)),1)="F",UPPER(TRIM(E629))="A"),"A",IF(OR(LEFT(UPPER(TRIM(E629)),1)="M",UPPER(TRIM(E629))="B"),"B",IF(OR(LEFT(UPPER(TRIM(E629)),2)="SL",UPPER(TRIM(E629))="C"),"C",IF(OR(LEFT(UPPER(TRIM(E629)),1)="D",UPPER(TRIM(E629))="D"),"D","")))))))</f>
        <v/>
      </c>
      <c r="J629" s="27" t="str">
        <f aca="false">IF(I629="","",IF(AND(I629="D",Settings!$B$6&lt;&gt;"Yes"),"",IFERROR(INDEX(Settings!$C$9:$C$12,MATCH(I629,Settings!$A$9:$A$12,0)),"")))</f>
        <v/>
      </c>
      <c r="K629" s="27" t="str">
        <f aca="false">IF(J629="","",COUNTIF($I$2:I629,I629))</f>
        <v/>
      </c>
      <c r="L629" s="27" t="str">
        <f aca="false">IF(J629="","",CHOOSE(Q629+1,"Tue","Wed","Thu","Fri"))</f>
        <v/>
      </c>
      <c r="M629" s="27" t="str">
        <f aca="false">IF(J629="","",IF(J629=1,"Every week",R629+1&amp;" of "&amp;J629))</f>
        <v/>
      </c>
      <c r="N629" s="28" t="str">
        <f aca="false">IF(J629="","",Settings!$B$4+R629*7+Q629)</f>
        <v/>
      </c>
      <c r="O629" s="28" t="str">
        <f aca="true">IF(J629="","",N629+MAX(0,ROUNDUP((TODAY()-N629)/(J629*7),0))*J629*7)</f>
        <v/>
      </c>
      <c r="P629" s="27" t="str">
        <f aca="false">IF(J629="","",MOD(K629-1,J629*4))</f>
        <v/>
      </c>
      <c r="Q629" s="27" t="str">
        <f aca="false">IF(J629="","",MOD(P629,4))</f>
        <v/>
      </c>
      <c r="R629" s="27" t="str">
        <f aca="false">IF(J629="","",INT(P629/4))</f>
        <v/>
      </c>
      <c r="S629" s="27" t="str">
        <f aca="false">IF(J629="","",IF(AND('Daily Count Sheet'!$H$3=Q629,MOD('Daily Count Sheet'!$I$3,J629)=R629),1,""))</f>
        <v/>
      </c>
      <c r="T629" s="27" t="str">
        <f aca="false">IF(S629=1,COUNTIF($S$2:S629,1),"")</f>
        <v/>
      </c>
    </row>
    <row r="630" customFormat="false" ht="15" hidden="false" customHeight="false" outlineLevel="0" collapsed="false">
      <c r="H630" s="26"/>
      <c r="I630" s="27" t="str">
        <f aca="false">IF(A630="","",IF(H630&lt;&gt;"",UPPER(TRIM(H630)),IFERROR(CHOOSE(VALUE(E630)+1,"A","B","C","D"),IF(OR(LEFT(UPPER(TRIM(E630)),1)="F",UPPER(TRIM(E630))="A"),"A",IF(OR(LEFT(UPPER(TRIM(E630)),1)="M",UPPER(TRIM(E630))="B"),"B",IF(OR(LEFT(UPPER(TRIM(E630)),2)="SL",UPPER(TRIM(E630))="C"),"C",IF(OR(LEFT(UPPER(TRIM(E630)),1)="D",UPPER(TRIM(E630))="D"),"D","")))))))</f>
        <v/>
      </c>
      <c r="J630" s="27" t="str">
        <f aca="false">IF(I630="","",IF(AND(I630="D",Settings!$B$6&lt;&gt;"Yes"),"",IFERROR(INDEX(Settings!$C$9:$C$12,MATCH(I630,Settings!$A$9:$A$12,0)),"")))</f>
        <v/>
      </c>
      <c r="K630" s="27" t="str">
        <f aca="false">IF(J630="","",COUNTIF($I$2:I630,I630))</f>
        <v/>
      </c>
      <c r="L630" s="27" t="str">
        <f aca="false">IF(J630="","",CHOOSE(Q630+1,"Tue","Wed","Thu","Fri"))</f>
        <v/>
      </c>
      <c r="M630" s="27" t="str">
        <f aca="false">IF(J630="","",IF(J630=1,"Every week",R630+1&amp;" of "&amp;J630))</f>
        <v/>
      </c>
      <c r="N630" s="28" t="str">
        <f aca="false">IF(J630="","",Settings!$B$4+R630*7+Q630)</f>
        <v/>
      </c>
      <c r="O630" s="28" t="str">
        <f aca="true">IF(J630="","",N630+MAX(0,ROUNDUP((TODAY()-N630)/(J630*7),0))*J630*7)</f>
        <v/>
      </c>
      <c r="P630" s="27" t="str">
        <f aca="false">IF(J630="","",MOD(K630-1,J630*4))</f>
        <v/>
      </c>
      <c r="Q630" s="27" t="str">
        <f aca="false">IF(J630="","",MOD(P630,4))</f>
        <v/>
      </c>
      <c r="R630" s="27" t="str">
        <f aca="false">IF(J630="","",INT(P630/4))</f>
        <v/>
      </c>
      <c r="S630" s="27" t="str">
        <f aca="false">IF(J630="","",IF(AND('Daily Count Sheet'!$H$3=Q630,MOD('Daily Count Sheet'!$I$3,J630)=R630),1,""))</f>
        <v/>
      </c>
      <c r="T630" s="27" t="str">
        <f aca="false">IF(S630=1,COUNTIF($S$2:S630,1),"")</f>
        <v/>
      </c>
    </row>
    <row r="631" customFormat="false" ht="15" hidden="false" customHeight="false" outlineLevel="0" collapsed="false">
      <c r="H631" s="26"/>
      <c r="I631" s="27" t="str">
        <f aca="false">IF(A631="","",IF(H631&lt;&gt;"",UPPER(TRIM(H631)),IFERROR(CHOOSE(VALUE(E631)+1,"A","B","C","D"),IF(OR(LEFT(UPPER(TRIM(E631)),1)="F",UPPER(TRIM(E631))="A"),"A",IF(OR(LEFT(UPPER(TRIM(E631)),1)="M",UPPER(TRIM(E631))="B"),"B",IF(OR(LEFT(UPPER(TRIM(E631)),2)="SL",UPPER(TRIM(E631))="C"),"C",IF(OR(LEFT(UPPER(TRIM(E631)),1)="D",UPPER(TRIM(E631))="D"),"D","")))))))</f>
        <v/>
      </c>
      <c r="J631" s="27" t="str">
        <f aca="false">IF(I631="","",IF(AND(I631="D",Settings!$B$6&lt;&gt;"Yes"),"",IFERROR(INDEX(Settings!$C$9:$C$12,MATCH(I631,Settings!$A$9:$A$12,0)),"")))</f>
        <v/>
      </c>
      <c r="K631" s="27" t="str">
        <f aca="false">IF(J631="","",COUNTIF($I$2:I631,I631))</f>
        <v/>
      </c>
      <c r="L631" s="27" t="str">
        <f aca="false">IF(J631="","",CHOOSE(Q631+1,"Tue","Wed","Thu","Fri"))</f>
        <v/>
      </c>
      <c r="M631" s="27" t="str">
        <f aca="false">IF(J631="","",IF(J631=1,"Every week",R631+1&amp;" of "&amp;J631))</f>
        <v/>
      </c>
      <c r="N631" s="28" t="str">
        <f aca="false">IF(J631="","",Settings!$B$4+R631*7+Q631)</f>
        <v/>
      </c>
      <c r="O631" s="28" t="str">
        <f aca="true">IF(J631="","",N631+MAX(0,ROUNDUP((TODAY()-N631)/(J631*7),0))*J631*7)</f>
        <v/>
      </c>
      <c r="P631" s="27" t="str">
        <f aca="false">IF(J631="","",MOD(K631-1,J631*4))</f>
        <v/>
      </c>
      <c r="Q631" s="27" t="str">
        <f aca="false">IF(J631="","",MOD(P631,4))</f>
        <v/>
      </c>
      <c r="R631" s="27" t="str">
        <f aca="false">IF(J631="","",INT(P631/4))</f>
        <v/>
      </c>
      <c r="S631" s="27" t="str">
        <f aca="false">IF(J631="","",IF(AND('Daily Count Sheet'!$H$3=Q631,MOD('Daily Count Sheet'!$I$3,J631)=R631),1,""))</f>
        <v/>
      </c>
      <c r="T631" s="27" t="str">
        <f aca="false">IF(S631=1,COUNTIF($S$2:S631,1),"")</f>
        <v/>
      </c>
    </row>
    <row r="632" customFormat="false" ht="15" hidden="false" customHeight="false" outlineLevel="0" collapsed="false">
      <c r="H632" s="26"/>
      <c r="I632" s="27" t="str">
        <f aca="false">IF(A632="","",IF(H632&lt;&gt;"",UPPER(TRIM(H632)),IFERROR(CHOOSE(VALUE(E632)+1,"A","B","C","D"),IF(OR(LEFT(UPPER(TRIM(E632)),1)="F",UPPER(TRIM(E632))="A"),"A",IF(OR(LEFT(UPPER(TRIM(E632)),1)="M",UPPER(TRIM(E632))="B"),"B",IF(OR(LEFT(UPPER(TRIM(E632)),2)="SL",UPPER(TRIM(E632))="C"),"C",IF(OR(LEFT(UPPER(TRIM(E632)),1)="D",UPPER(TRIM(E632))="D"),"D","")))))))</f>
        <v/>
      </c>
      <c r="J632" s="27" t="str">
        <f aca="false">IF(I632="","",IF(AND(I632="D",Settings!$B$6&lt;&gt;"Yes"),"",IFERROR(INDEX(Settings!$C$9:$C$12,MATCH(I632,Settings!$A$9:$A$12,0)),"")))</f>
        <v/>
      </c>
      <c r="K632" s="27" t="str">
        <f aca="false">IF(J632="","",COUNTIF($I$2:I632,I632))</f>
        <v/>
      </c>
      <c r="L632" s="27" t="str">
        <f aca="false">IF(J632="","",CHOOSE(Q632+1,"Tue","Wed","Thu","Fri"))</f>
        <v/>
      </c>
      <c r="M632" s="27" t="str">
        <f aca="false">IF(J632="","",IF(J632=1,"Every week",R632+1&amp;" of "&amp;J632))</f>
        <v/>
      </c>
      <c r="N632" s="28" t="str">
        <f aca="false">IF(J632="","",Settings!$B$4+R632*7+Q632)</f>
        <v/>
      </c>
      <c r="O632" s="28" t="str">
        <f aca="true">IF(J632="","",N632+MAX(0,ROUNDUP((TODAY()-N632)/(J632*7),0))*J632*7)</f>
        <v/>
      </c>
      <c r="P632" s="27" t="str">
        <f aca="false">IF(J632="","",MOD(K632-1,J632*4))</f>
        <v/>
      </c>
      <c r="Q632" s="27" t="str">
        <f aca="false">IF(J632="","",MOD(P632,4))</f>
        <v/>
      </c>
      <c r="R632" s="27" t="str">
        <f aca="false">IF(J632="","",INT(P632/4))</f>
        <v/>
      </c>
      <c r="S632" s="27" t="str">
        <f aca="false">IF(J632="","",IF(AND('Daily Count Sheet'!$H$3=Q632,MOD('Daily Count Sheet'!$I$3,J632)=R632),1,""))</f>
        <v/>
      </c>
      <c r="T632" s="27" t="str">
        <f aca="false">IF(S632=1,COUNTIF($S$2:S632,1),"")</f>
        <v/>
      </c>
    </row>
    <row r="633" customFormat="false" ht="15" hidden="false" customHeight="false" outlineLevel="0" collapsed="false">
      <c r="H633" s="26"/>
      <c r="I633" s="27" t="str">
        <f aca="false">IF(A633="","",IF(H633&lt;&gt;"",UPPER(TRIM(H633)),IFERROR(CHOOSE(VALUE(E633)+1,"A","B","C","D"),IF(OR(LEFT(UPPER(TRIM(E633)),1)="F",UPPER(TRIM(E633))="A"),"A",IF(OR(LEFT(UPPER(TRIM(E633)),1)="M",UPPER(TRIM(E633))="B"),"B",IF(OR(LEFT(UPPER(TRIM(E633)),2)="SL",UPPER(TRIM(E633))="C"),"C",IF(OR(LEFT(UPPER(TRIM(E633)),1)="D",UPPER(TRIM(E633))="D"),"D","")))))))</f>
        <v/>
      </c>
      <c r="J633" s="27" t="str">
        <f aca="false">IF(I633="","",IF(AND(I633="D",Settings!$B$6&lt;&gt;"Yes"),"",IFERROR(INDEX(Settings!$C$9:$C$12,MATCH(I633,Settings!$A$9:$A$12,0)),"")))</f>
        <v/>
      </c>
      <c r="K633" s="27" t="str">
        <f aca="false">IF(J633="","",COUNTIF($I$2:I633,I633))</f>
        <v/>
      </c>
      <c r="L633" s="27" t="str">
        <f aca="false">IF(J633="","",CHOOSE(Q633+1,"Tue","Wed","Thu","Fri"))</f>
        <v/>
      </c>
      <c r="M633" s="27" t="str">
        <f aca="false">IF(J633="","",IF(J633=1,"Every week",R633+1&amp;" of "&amp;J633))</f>
        <v/>
      </c>
      <c r="N633" s="28" t="str">
        <f aca="false">IF(J633="","",Settings!$B$4+R633*7+Q633)</f>
        <v/>
      </c>
      <c r="O633" s="28" t="str">
        <f aca="true">IF(J633="","",N633+MAX(0,ROUNDUP((TODAY()-N633)/(J633*7),0))*J633*7)</f>
        <v/>
      </c>
      <c r="P633" s="27" t="str">
        <f aca="false">IF(J633="","",MOD(K633-1,J633*4))</f>
        <v/>
      </c>
      <c r="Q633" s="27" t="str">
        <f aca="false">IF(J633="","",MOD(P633,4))</f>
        <v/>
      </c>
      <c r="R633" s="27" t="str">
        <f aca="false">IF(J633="","",INT(P633/4))</f>
        <v/>
      </c>
      <c r="S633" s="27" t="str">
        <f aca="false">IF(J633="","",IF(AND('Daily Count Sheet'!$H$3=Q633,MOD('Daily Count Sheet'!$I$3,J633)=R633),1,""))</f>
        <v/>
      </c>
      <c r="T633" s="27" t="str">
        <f aca="false">IF(S633=1,COUNTIF($S$2:S633,1),"")</f>
        <v/>
      </c>
    </row>
    <row r="634" customFormat="false" ht="15" hidden="false" customHeight="false" outlineLevel="0" collapsed="false">
      <c r="H634" s="26"/>
      <c r="I634" s="27" t="str">
        <f aca="false">IF(A634="","",IF(H634&lt;&gt;"",UPPER(TRIM(H634)),IFERROR(CHOOSE(VALUE(E634)+1,"A","B","C","D"),IF(OR(LEFT(UPPER(TRIM(E634)),1)="F",UPPER(TRIM(E634))="A"),"A",IF(OR(LEFT(UPPER(TRIM(E634)),1)="M",UPPER(TRIM(E634))="B"),"B",IF(OR(LEFT(UPPER(TRIM(E634)),2)="SL",UPPER(TRIM(E634))="C"),"C",IF(OR(LEFT(UPPER(TRIM(E634)),1)="D",UPPER(TRIM(E634))="D"),"D","")))))))</f>
        <v/>
      </c>
      <c r="J634" s="27" t="str">
        <f aca="false">IF(I634="","",IF(AND(I634="D",Settings!$B$6&lt;&gt;"Yes"),"",IFERROR(INDEX(Settings!$C$9:$C$12,MATCH(I634,Settings!$A$9:$A$12,0)),"")))</f>
        <v/>
      </c>
      <c r="K634" s="27" t="str">
        <f aca="false">IF(J634="","",COUNTIF($I$2:I634,I634))</f>
        <v/>
      </c>
      <c r="L634" s="27" t="str">
        <f aca="false">IF(J634="","",CHOOSE(Q634+1,"Tue","Wed","Thu","Fri"))</f>
        <v/>
      </c>
      <c r="M634" s="27" t="str">
        <f aca="false">IF(J634="","",IF(J634=1,"Every week",R634+1&amp;" of "&amp;J634))</f>
        <v/>
      </c>
      <c r="N634" s="28" t="str">
        <f aca="false">IF(J634="","",Settings!$B$4+R634*7+Q634)</f>
        <v/>
      </c>
      <c r="O634" s="28" t="str">
        <f aca="true">IF(J634="","",N634+MAX(0,ROUNDUP((TODAY()-N634)/(J634*7),0))*J634*7)</f>
        <v/>
      </c>
      <c r="P634" s="27" t="str">
        <f aca="false">IF(J634="","",MOD(K634-1,J634*4))</f>
        <v/>
      </c>
      <c r="Q634" s="27" t="str">
        <f aca="false">IF(J634="","",MOD(P634,4))</f>
        <v/>
      </c>
      <c r="R634" s="27" t="str">
        <f aca="false">IF(J634="","",INT(P634/4))</f>
        <v/>
      </c>
      <c r="S634" s="27" t="str">
        <f aca="false">IF(J634="","",IF(AND('Daily Count Sheet'!$H$3=Q634,MOD('Daily Count Sheet'!$I$3,J634)=R634),1,""))</f>
        <v/>
      </c>
      <c r="T634" s="27" t="str">
        <f aca="false">IF(S634=1,COUNTIF($S$2:S634,1),"")</f>
        <v/>
      </c>
    </row>
    <row r="635" customFormat="false" ht="15" hidden="false" customHeight="false" outlineLevel="0" collapsed="false">
      <c r="H635" s="26"/>
      <c r="I635" s="27" t="str">
        <f aca="false">IF(A635="","",IF(H635&lt;&gt;"",UPPER(TRIM(H635)),IFERROR(CHOOSE(VALUE(E635)+1,"A","B","C","D"),IF(OR(LEFT(UPPER(TRIM(E635)),1)="F",UPPER(TRIM(E635))="A"),"A",IF(OR(LEFT(UPPER(TRIM(E635)),1)="M",UPPER(TRIM(E635))="B"),"B",IF(OR(LEFT(UPPER(TRIM(E635)),2)="SL",UPPER(TRIM(E635))="C"),"C",IF(OR(LEFT(UPPER(TRIM(E635)),1)="D",UPPER(TRIM(E635))="D"),"D","")))))))</f>
        <v/>
      </c>
      <c r="J635" s="27" t="str">
        <f aca="false">IF(I635="","",IF(AND(I635="D",Settings!$B$6&lt;&gt;"Yes"),"",IFERROR(INDEX(Settings!$C$9:$C$12,MATCH(I635,Settings!$A$9:$A$12,0)),"")))</f>
        <v/>
      </c>
      <c r="K635" s="27" t="str">
        <f aca="false">IF(J635="","",COUNTIF($I$2:I635,I635))</f>
        <v/>
      </c>
      <c r="L635" s="27" t="str">
        <f aca="false">IF(J635="","",CHOOSE(Q635+1,"Tue","Wed","Thu","Fri"))</f>
        <v/>
      </c>
      <c r="M635" s="27" t="str">
        <f aca="false">IF(J635="","",IF(J635=1,"Every week",R635+1&amp;" of "&amp;J635))</f>
        <v/>
      </c>
      <c r="N635" s="28" t="str">
        <f aca="false">IF(J635="","",Settings!$B$4+R635*7+Q635)</f>
        <v/>
      </c>
      <c r="O635" s="28" t="str">
        <f aca="true">IF(J635="","",N635+MAX(0,ROUNDUP((TODAY()-N635)/(J635*7),0))*J635*7)</f>
        <v/>
      </c>
      <c r="P635" s="27" t="str">
        <f aca="false">IF(J635="","",MOD(K635-1,J635*4))</f>
        <v/>
      </c>
      <c r="Q635" s="27" t="str">
        <f aca="false">IF(J635="","",MOD(P635,4))</f>
        <v/>
      </c>
      <c r="R635" s="27" t="str">
        <f aca="false">IF(J635="","",INT(P635/4))</f>
        <v/>
      </c>
      <c r="S635" s="27" t="str">
        <f aca="false">IF(J635="","",IF(AND('Daily Count Sheet'!$H$3=Q635,MOD('Daily Count Sheet'!$I$3,J635)=R635),1,""))</f>
        <v/>
      </c>
      <c r="T635" s="27" t="str">
        <f aca="false">IF(S635=1,COUNTIF($S$2:S635,1),"")</f>
        <v/>
      </c>
    </row>
    <row r="636" customFormat="false" ht="15" hidden="false" customHeight="false" outlineLevel="0" collapsed="false">
      <c r="H636" s="26"/>
      <c r="I636" s="27" t="str">
        <f aca="false">IF(A636="","",IF(H636&lt;&gt;"",UPPER(TRIM(H636)),IFERROR(CHOOSE(VALUE(E636)+1,"A","B","C","D"),IF(OR(LEFT(UPPER(TRIM(E636)),1)="F",UPPER(TRIM(E636))="A"),"A",IF(OR(LEFT(UPPER(TRIM(E636)),1)="M",UPPER(TRIM(E636))="B"),"B",IF(OR(LEFT(UPPER(TRIM(E636)),2)="SL",UPPER(TRIM(E636))="C"),"C",IF(OR(LEFT(UPPER(TRIM(E636)),1)="D",UPPER(TRIM(E636))="D"),"D","")))))))</f>
        <v/>
      </c>
      <c r="J636" s="27" t="str">
        <f aca="false">IF(I636="","",IF(AND(I636="D",Settings!$B$6&lt;&gt;"Yes"),"",IFERROR(INDEX(Settings!$C$9:$C$12,MATCH(I636,Settings!$A$9:$A$12,0)),"")))</f>
        <v/>
      </c>
      <c r="K636" s="27" t="str">
        <f aca="false">IF(J636="","",COUNTIF($I$2:I636,I636))</f>
        <v/>
      </c>
      <c r="L636" s="27" t="str">
        <f aca="false">IF(J636="","",CHOOSE(Q636+1,"Tue","Wed","Thu","Fri"))</f>
        <v/>
      </c>
      <c r="M636" s="27" t="str">
        <f aca="false">IF(J636="","",IF(J636=1,"Every week",R636+1&amp;" of "&amp;J636))</f>
        <v/>
      </c>
      <c r="N636" s="28" t="str">
        <f aca="false">IF(J636="","",Settings!$B$4+R636*7+Q636)</f>
        <v/>
      </c>
      <c r="O636" s="28" t="str">
        <f aca="true">IF(J636="","",N636+MAX(0,ROUNDUP((TODAY()-N636)/(J636*7),0))*J636*7)</f>
        <v/>
      </c>
      <c r="P636" s="27" t="str">
        <f aca="false">IF(J636="","",MOD(K636-1,J636*4))</f>
        <v/>
      </c>
      <c r="Q636" s="27" t="str">
        <f aca="false">IF(J636="","",MOD(P636,4))</f>
        <v/>
      </c>
      <c r="R636" s="27" t="str">
        <f aca="false">IF(J636="","",INT(P636/4))</f>
        <v/>
      </c>
      <c r="S636" s="27" t="str">
        <f aca="false">IF(J636="","",IF(AND('Daily Count Sheet'!$H$3=Q636,MOD('Daily Count Sheet'!$I$3,J636)=R636),1,""))</f>
        <v/>
      </c>
      <c r="T636" s="27" t="str">
        <f aca="false">IF(S636=1,COUNTIF($S$2:S636,1),"")</f>
        <v/>
      </c>
    </row>
    <row r="637" customFormat="false" ht="15" hidden="false" customHeight="false" outlineLevel="0" collapsed="false">
      <c r="H637" s="26"/>
      <c r="I637" s="27" t="str">
        <f aca="false">IF(A637="","",IF(H637&lt;&gt;"",UPPER(TRIM(H637)),IFERROR(CHOOSE(VALUE(E637)+1,"A","B","C","D"),IF(OR(LEFT(UPPER(TRIM(E637)),1)="F",UPPER(TRIM(E637))="A"),"A",IF(OR(LEFT(UPPER(TRIM(E637)),1)="M",UPPER(TRIM(E637))="B"),"B",IF(OR(LEFT(UPPER(TRIM(E637)),2)="SL",UPPER(TRIM(E637))="C"),"C",IF(OR(LEFT(UPPER(TRIM(E637)),1)="D",UPPER(TRIM(E637))="D"),"D","")))))))</f>
        <v/>
      </c>
      <c r="J637" s="27" t="str">
        <f aca="false">IF(I637="","",IF(AND(I637="D",Settings!$B$6&lt;&gt;"Yes"),"",IFERROR(INDEX(Settings!$C$9:$C$12,MATCH(I637,Settings!$A$9:$A$12,0)),"")))</f>
        <v/>
      </c>
      <c r="K637" s="27" t="str">
        <f aca="false">IF(J637="","",COUNTIF($I$2:I637,I637))</f>
        <v/>
      </c>
      <c r="L637" s="27" t="str">
        <f aca="false">IF(J637="","",CHOOSE(Q637+1,"Tue","Wed","Thu","Fri"))</f>
        <v/>
      </c>
      <c r="M637" s="27" t="str">
        <f aca="false">IF(J637="","",IF(J637=1,"Every week",R637+1&amp;" of "&amp;J637))</f>
        <v/>
      </c>
      <c r="N637" s="28" t="str">
        <f aca="false">IF(J637="","",Settings!$B$4+R637*7+Q637)</f>
        <v/>
      </c>
      <c r="O637" s="28" t="str">
        <f aca="true">IF(J637="","",N637+MAX(0,ROUNDUP((TODAY()-N637)/(J637*7),0))*J637*7)</f>
        <v/>
      </c>
      <c r="P637" s="27" t="str">
        <f aca="false">IF(J637="","",MOD(K637-1,J637*4))</f>
        <v/>
      </c>
      <c r="Q637" s="27" t="str">
        <f aca="false">IF(J637="","",MOD(P637,4))</f>
        <v/>
      </c>
      <c r="R637" s="27" t="str">
        <f aca="false">IF(J637="","",INT(P637/4))</f>
        <v/>
      </c>
      <c r="S637" s="27" t="str">
        <f aca="false">IF(J637="","",IF(AND('Daily Count Sheet'!$H$3=Q637,MOD('Daily Count Sheet'!$I$3,J637)=R637),1,""))</f>
        <v/>
      </c>
      <c r="T637" s="27" t="str">
        <f aca="false">IF(S637=1,COUNTIF($S$2:S637,1),"")</f>
        <v/>
      </c>
    </row>
    <row r="638" customFormat="false" ht="15" hidden="false" customHeight="false" outlineLevel="0" collapsed="false">
      <c r="H638" s="26"/>
      <c r="I638" s="27" t="str">
        <f aca="false">IF(A638="","",IF(H638&lt;&gt;"",UPPER(TRIM(H638)),IFERROR(CHOOSE(VALUE(E638)+1,"A","B","C","D"),IF(OR(LEFT(UPPER(TRIM(E638)),1)="F",UPPER(TRIM(E638))="A"),"A",IF(OR(LEFT(UPPER(TRIM(E638)),1)="M",UPPER(TRIM(E638))="B"),"B",IF(OR(LEFT(UPPER(TRIM(E638)),2)="SL",UPPER(TRIM(E638))="C"),"C",IF(OR(LEFT(UPPER(TRIM(E638)),1)="D",UPPER(TRIM(E638))="D"),"D","")))))))</f>
        <v/>
      </c>
      <c r="J638" s="27" t="str">
        <f aca="false">IF(I638="","",IF(AND(I638="D",Settings!$B$6&lt;&gt;"Yes"),"",IFERROR(INDEX(Settings!$C$9:$C$12,MATCH(I638,Settings!$A$9:$A$12,0)),"")))</f>
        <v/>
      </c>
      <c r="K638" s="27" t="str">
        <f aca="false">IF(J638="","",COUNTIF($I$2:I638,I638))</f>
        <v/>
      </c>
      <c r="L638" s="27" t="str">
        <f aca="false">IF(J638="","",CHOOSE(Q638+1,"Tue","Wed","Thu","Fri"))</f>
        <v/>
      </c>
      <c r="M638" s="27" t="str">
        <f aca="false">IF(J638="","",IF(J638=1,"Every week",R638+1&amp;" of "&amp;J638))</f>
        <v/>
      </c>
      <c r="N638" s="28" t="str">
        <f aca="false">IF(J638="","",Settings!$B$4+R638*7+Q638)</f>
        <v/>
      </c>
      <c r="O638" s="28" t="str">
        <f aca="true">IF(J638="","",N638+MAX(0,ROUNDUP((TODAY()-N638)/(J638*7),0))*J638*7)</f>
        <v/>
      </c>
      <c r="P638" s="27" t="str">
        <f aca="false">IF(J638="","",MOD(K638-1,J638*4))</f>
        <v/>
      </c>
      <c r="Q638" s="27" t="str">
        <f aca="false">IF(J638="","",MOD(P638,4))</f>
        <v/>
      </c>
      <c r="R638" s="27" t="str">
        <f aca="false">IF(J638="","",INT(P638/4))</f>
        <v/>
      </c>
      <c r="S638" s="27" t="str">
        <f aca="false">IF(J638="","",IF(AND('Daily Count Sheet'!$H$3=Q638,MOD('Daily Count Sheet'!$I$3,J638)=R638),1,""))</f>
        <v/>
      </c>
      <c r="T638" s="27" t="str">
        <f aca="false">IF(S638=1,COUNTIF($S$2:S638,1),"")</f>
        <v/>
      </c>
    </row>
    <row r="639" customFormat="false" ht="15" hidden="false" customHeight="false" outlineLevel="0" collapsed="false">
      <c r="H639" s="26"/>
      <c r="I639" s="27" t="str">
        <f aca="false">IF(A639="","",IF(H639&lt;&gt;"",UPPER(TRIM(H639)),IFERROR(CHOOSE(VALUE(E639)+1,"A","B","C","D"),IF(OR(LEFT(UPPER(TRIM(E639)),1)="F",UPPER(TRIM(E639))="A"),"A",IF(OR(LEFT(UPPER(TRIM(E639)),1)="M",UPPER(TRIM(E639))="B"),"B",IF(OR(LEFT(UPPER(TRIM(E639)),2)="SL",UPPER(TRIM(E639))="C"),"C",IF(OR(LEFT(UPPER(TRIM(E639)),1)="D",UPPER(TRIM(E639))="D"),"D","")))))))</f>
        <v/>
      </c>
      <c r="J639" s="27" t="str">
        <f aca="false">IF(I639="","",IF(AND(I639="D",Settings!$B$6&lt;&gt;"Yes"),"",IFERROR(INDEX(Settings!$C$9:$C$12,MATCH(I639,Settings!$A$9:$A$12,0)),"")))</f>
        <v/>
      </c>
      <c r="K639" s="27" t="str">
        <f aca="false">IF(J639="","",COUNTIF($I$2:I639,I639))</f>
        <v/>
      </c>
      <c r="L639" s="27" t="str">
        <f aca="false">IF(J639="","",CHOOSE(Q639+1,"Tue","Wed","Thu","Fri"))</f>
        <v/>
      </c>
      <c r="M639" s="27" t="str">
        <f aca="false">IF(J639="","",IF(J639=1,"Every week",R639+1&amp;" of "&amp;J639))</f>
        <v/>
      </c>
      <c r="N639" s="28" t="str">
        <f aca="false">IF(J639="","",Settings!$B$4+R639*7+Q639)</f>
        <v/>
      </c>
      <c r="O639" s="28" t="str">
        <f aca="true">IF(J639="","",N639+MAX(0,ROUNDUP((TODAY()-N639)/(J639*7),0))*J639*7)</f>
        <v/>
      </c>
      <c r="P639" s="27" t="str">
        <f aca="false">IF(J639="","",MOD(K639-1,J639*4))</f>
        <v/>
      </c>
      <c r="Q639" s="27" t="str">
        <f aca="false">IF(J639="","",MOD(P639,4))</f>
        <v/>
      </c>
      <c r="R639" s="27" t="str">
        <f aca="false">IF(J639="","",INT(P639/4))</f>
        <v/>
      </c>
      <c r="S639" s="27" t="str">
        <f aca="false">IF(J639="","",IF(AND('Daily Count Sheet'!$H$3=Q639,MOD('Daily Count Sheet'!$I$3,J639)=R639),1,""))</f>
        <v/>
      </c>
      <c r="T639" s="27" t="str">
        <f aca="false">IF(S639=1,COUNTIF($S$2:S639,1),"")</f>
        <v/>
      </c>
    </row>
    <row r="640" customFormat="false" ht="15" hidden="false" customHeight="false" outlineLevel="0" collapsed="false">
      <c r="H640" s="26"/>
      <c r="I640" s="27" t="str">
        <f aca="false">IF(A640="","",IF(H640&lt;&gt;"",UPPER(TRIM(H640)),IFERROR(CHOOSE(VALUE(E640)+1,"A","B","C","D"),IF(OR(LEFT(UPPER(TRIM(E640)),1)="F",UPPER(TRIM(E640))="A"),"A",IF(OR(LEFT(UPPER(TRIM(E640)),1)="M",UPPER(TRIM(E640))="B"),"B",IF(OR(LEFT(UPPER(TRIM(E640)),2)="SL",UPPER(TRIM(E640))="C"),"C",IF(OR(LEFT(UPPER(TRIM(E640)),1)="D",UPPER(TRIM(E640))="D"),"D","")))))))</f>
        <v/>
      </c>
      <c r="J640" s="27" t="str">
        <f aca="false">IF(I640="","",IF(AND(I640="D",Settings!$B$6&lt;&gt;"Yes"),"",IFERROR(INDEX(Settings!$C$9:$C$12,MATCH(I640,Settings!$A$9:$A$12,0)),"")))</f>
        <v/>
      </c>
      <c r="K640" s="27" t="str">
        <f aca="false">IF(J640="","",COUNTIF($I$2:I640,I640))</f>
        <v/>
      </c>
      <c r="L640" s="27" t="str">
        <f aca="false">IF(J640="","",CHOOSE(Q640+1,"Tue","Wed","Thu","Fri"))</f>
        <v/>
      </c>
      <c r="M640" s="27" t="str">
        <f aca="false">IF(J640="","",IF(J640=1,"Every week",R640+1&amp;" of "&amp;J640))</f>
        <v/>
      </c>
      <c r="N640" s="28" t="str">
        <f aca="false">IF(J640="","",Settings!$B$4+R640*7+Q640)</f>
        <v/>
      </c>
      <c r="O640" s="28" t="str">
        <f aca="true">IF(J640="","",N640+MAX(0,ROUNDUP((TODAY()-N640)/(J640*7),0))*J640*7)</f>
        <v/>
      </c>
      <c r="P640" s="27" t="str">
        <f aca="false">IF(J640="","",MOD(K640-1,J640*4))</f>
        <v/>
      </c>
      <c r="Q640" s="27" t="str">
        <f aca="false">IF(J640="","",MOD(P640,4))</f>
        <v/>
      </c>
      <c r="R640" s="27" t="str">
        <f aca="false">IF(J640="","",INT(P640/4))</f>
        <v/>
      </c>
      <c r="S640" s="27" t="str">
        <f aca="false">IF(J640="","",IF(AND('Daily Count Sheet'!$H$3=Q640,MOD('Daily Count Sheet'!$I$3,J640)=R640),1,""))</f>
        <v/>
      </c>
      <c r="T640" s="27" t="str">
        <f aca="false">IF(S640=1,COUNTIF($S$2:S640,1),"")</f>
        <v/>
      </c>
    </row>
    <row r="641" customFormat="false" ht="15" hidden="false" customHeight="false" outlineLevel="0" collapsed="false">
      <c r="H641" s="26"/>
      <c r="I641" s="27" t="str">
        <f aca="false">IF(A641="","",IF(H641&lt;&gt;"",UPPER(TRIM(H641)),IFERROR(CHOOSE(VALUE(E641)+1,"A","B","C","D"),IF(OR(LEFT(UPPER(TRIM(E641)),1)="F",UPPER(TRIM(E641))="A"),"A",IF(OR(LEFT(UPPER(TRIM(E641)),1)="M",UPPER(TRIM(E641))="B"),"B",IF(OR(LEFT(UPPER(TRIM(E641)),2)="SL",UPPER(TRIM(E641))="C"),"C",IF(OR(LEFT(UPPER(TRIM(E641)),1)="D",UPPER(TRIM(E641))="D"),"D","")))))))</f>
        <v/>
      </c>
      <c r="J641" s="27" t="str">
        <f aca="false">IF(I641="","",IF(AND(I641="D",Settings!$B$6&lt;&gt;"Yes"),"",IFERROR(INDEX(Settings!$C$9:$C$12,MATCH(I641,Settings!$A$9:$A$12,0)),"")))</f>
        <v/>
      </c>
      <c r="K641" s="27" t="str">
        <f aca="false">IF(J641="","",COUNTIF($I$2:I641,I641))</f>
        <v/>
      </c>
      <c r="L641" s="27" t="str">
        <f aca="false">IF(J641="","",CHOOSE(Q641+1,"Tue","Wed","Thu","Fri"))</f>
        <v/>
      </c>
      <c r="M641" s="27" t="str">
        <f aca="false">IF(J641="","",IF(J641=1,"Every week",R641+1&amp;" of "&amp;J641))</f>
        <v/>
      </c>
      <c r="N641" s="28" t="str">
        <f aca="false">IF(J641="","",Settings!$B$4+R641*7+Q641)</f>
        <v/>
      </c>
      <c r="O641" s="28" t="str">
        <f aca="true">IF(J641="","",N641+MAX(0,ROUNDUP((TODAY()-N641)/(J641*7),0))*J641*7)</f>
        <v/>
      </c>
      <c r="P641" s="27" t="str">
        <f aca="false">IF(J641="","",MOD(K641-1,J641*4))</f>
        <v/>
      </c>
      <c r="Q641" s="27" t="str">
        <f aca="false">IF(J641="","",MOD(P641,4))</f>
        <v/>
      </c>
      <c r="R641" s="27" t="str">
        <f aca="false">IF(J641="","",INT(P641/4))</f>
        <v/>
      </c>
      <c r="S641" s="27" t="str">
        <f aca="false">IF(J641="","",IF(AND('Daily Count Sheet'!$H$3=Q641,MOD('Daily Count Sheet'!$I$3,J641)=R641),1,""))</f>
        <v/>
      </c>
      <c r="T641" s="27" t="str">
        <f aca="false">IF(S641=1,COUNTIF($S$2:S641,1),"")</f>
        <v/>
      </c>
    </row>
    <row r="642" customFormat="false" ht="15" hidden="false" customHeight="false" outlineLevel="0" collapsed="false">
      <c r="H642" s="26"/>
      <c r="I642" s="27" t="str">
        <f aca="false">IF(A642="","",IF(H642&lt;&gt;"",UPPER(TRIM(H642)),IFERROR(CHOOSE(VALUE(E642)+1,"A","B","C","D"),IF(OR(LEFT(UPPER(TRIM(E642)),1)="F",UPPER(TRIM(E642))="A"),"A",IF(OR(LEFT(UPPER(TRIM(E642)),1)="M",UPPER(TRIM(E642))="B"),"B",IF(OR(LEFT(UPPER(TRIM(E642)),2)="SL",UPPER(TRIM(E642))="C"),"C",IF(OR(LEFT(UPPER(TRIM(E642)),1)="D",UPPER(TRIM(E642))="D"),"D","")))))))</f>
        <v/>
      </c>
      <c r="J642" s="27" t="str">
        <f aca="false">IF(I642="","",IF(AND(I642="D",Settings!$B$6&lt;&gt;"Yes"),"",IFERROR(INDEX(Settings!$C$9:$C$12,MATCH(I642,Settings!$A$9:$A$12,0)),"")))</f>
        <v/>
      </c>
      <c r="K642" s="27" t="str">
        <f aca="false">IF(J642="","",COUNTIF($I$2:I642,I642))</f>
        <v/>
      </c>
      <c r="L642" s="27" t="str">
        <f aca="false">IF(J642="","",CHOOSE(Q642+1,"Tue","Wed","Thu","Fri"))</f>
        <v/>
      </c>
      <c r="M642" s="27" t="str">
        <f aca="false">IF(J642="","",IF(J642=1,"Every week",R642+1&amp;" of "&amp;J642))</f>
        <v/>
      </c>
      <c r="N642" s="28" t="str">
        <f aca="false">IF(J642="","",Settings!$B$4+R642*7+Q642)</f>
        <v/>
      </c>
      <c r="O642" s="28" t="str">
        <f aca="true">IF(J642="","",N642+MAX(0,ROUNDUP((TODAY()-N642)/(J642*7),0))*J642*7)</f>
        <v/>
      </c>
      <c r="P642" s="27" t="str">
        <f aca="false">IF(J642="","",MOD(K642-1,J642*4))</f>
        <v/>
      </c>
      <c r="Q642" s="27" t="str">
        <f aca="false">IF(J642="","",MOD(P642,4))</f>
        <v/>
      </c>
      <c r="R642" s="27" t="str">
        <f aca="false">IF(J642="","",INT(P642/4))</f>
        <v/>
      </c>
      <c r="S642" s="27" t="str">
        <f aca="false">IF(J642="","",IF(AND('Daily Count Sheet'!$H$3=Q642,MOD('Daily Count Sheet'!$I$3,J642)=R642),1,""))</f>
        <v/>
      </c>
      <c r="T642" s="27" t="str">
        <f aca="false">IF(S642=1,COUNTIF($S$2:S642,1),"")</f>
        <v/>
      </c>
    </row>
    <row r="643" customFormat="false" ht="15" hidden="false" customHeight="false" outlineLevel="0" collapsed="false">
      <c r="H643" s="26"/>
      <c r="I643" s="27" t="str">
        <f aca="false">IF(A643="","",IF(H643&lt;&gt;"",UPPER(TRIM(H643)),IFERROR(CHOOSE(VALUE(E643)+1,"A","B","C","D"),IF(OR(LEFT(UPPER(TRIM(E643)),1)="F",UPPER(TRIM(E643))="A"),"A",IF(OR(LEFT(UPPER(TRIM(E643)),1)="M",UPPER(TRIM(E643))="B"),"B",IF(OR(LEFT(UPPER(TRIM(E643)),2)="SL",UPPER(TRIM(E643))="C"),"C",IF(OR(LEFT(UPPER(TRIM(E643)),1)="D",UPPER(TRIM(E643))="D"),"D","")))))))</f>
        <v/>
      </c>
      <c r="J643" s="27" t="str">
        <f aca="false">IF(I643="","",IF(AND(I643="D",Settings!$B$6&lt;&gt;"Yes"),"",IFERROR(INDEX(Settings!$C$9:$C$12,MATCH(I643,Settings!$A$9:$A$12,0)),"")))</f>
        <v/>
      </c>
      <c r="K643" s="27" t="str">
        <f aca="false">IF(J643="","",COUNTIF($I$2:I643,I643))</f>
        <v/>
      </c>
      <c r="L643" s="27" t="str">
        <f aca="false">IF(J643="","",CHOOSE(Q643+1,"Tue","Wed","Thu","Fri"))</f>
        <v/>
      </c>
      <c r="M643" s="27" t="str">
        <f aca="false">IF(J643="","",IF(J643=1,"Every week",R643+1&amp;" of "&amp;J643))</f>
        <v/>
      </c>
      <c r="N643" s="28" t="str">
        <f aca="false">IF(J643="","",Settings!$B$4+R643*7+Q643)</f>
        <v/>
      </c>
      <c r="O643" s="28" t="str">
        <f aca="true">IF(J643="","",N643+MAX(0,ROUNDUP((TODAY()-N643)/(J643*7),0))*J643*7)</f>
        <v/>
      </c>
      <c r="P643" s="27" t="str">
        <f aca="false">IF(J643="","",MOD(K643-1,J643*4))</f>
        <v/>
      </c>
      <c r="Q643" s="27" t="str">
        <f aca="false">IF(J643="","",MOD(P643,4))</f>
        <v/>
      </c>
      <c r="R643" s="27" t="str">
        <f aca="false">IF(J643="","",INT(P643/4))</f>
        <v/>
      </c>
      <c r="S643" s="27" t="str">
        <f aca="false">IF(J643="","",IF(AND('Daily Count Sheet'!$H$3=Q643,MOD('Daily Count Sheet'!$I$3,J643)=R643),1,""))</f>
        <v/>
      </c>
      <c r="T643" s="27" t="str">
        <f aca="false">IF(S643=1,COUNTIF($S$2:S643,1),"")</f>
        <v/>
      </c>
    </row>
    <row r="644" customFormat="false" ht="15" hidden="false" customHeight="false" outlineLevel="0" collapsed="false">
      <c r="H644" s="26"/>
      <c r="I644" s="27" t="str">
        <f aca="false">IF(A644="","",IF(H644&lt;&gt;"",UPPER(TRIM(H644)),IFERROR(CHOOSE(VALUE(E644)+1,"A","B","C","D"),IF(OR(LEFT(UPPER(TRIM(E644)),1)="F",UPPER(TRIM(E644))="A"),"A",IF(OR(LEFT(UPPER(TRIM(E644)),1)="M",UPPER(TRIM(E644))="B"),"B",IF(OR(LEFT(UPPER(TRIM(E644)),2)="SL",UPPER(TRIM(E644))="C"),"C",IF(OR(LEFT(UPPER(TRIM(E644)),1)="D",UPPER(TRIM(E644))="D"),"D","")))))))</f>
        <v/>
      </c>
      <c r="J644" s="27" t="str">
        <f aca="false">IF(I644="","",IF(AND(I644="D",Settings!$B$6&lt;&gt;"Yes"),"",IFERROR(INDEX(Settings!$C$9:$C$12,MATCH(I644,Settings!$A$9:$A$12,0)),"")))</f>
        <v/>
      </c>
      <c r="K644" s="27" t="str">
        <f aca="false">IF(J644="","",COUNTIF($I$2:I644,I644))</f>
        <v/>
      </c>
      <c r="L644" s="27" t="str">
        <f aca="false">IF(J644="","",CHOOSE(Q644+1,"Tue","Wed","Thu","Fri"))</f>
        <v/>
      </c>
      <c r="M644" s="27" t="str">
        <f aca="false">IF(J644="","",IF(J644=1,"Every week",R644+1&amp;" of "&amp;J644))</f>
        <v/>
      </c>
      <c r="N644" s="28" t="str">
        <f aca="false">IF(J644="","",Settings!$B$4+R644*7+Q644)</f>
        <v/>
      </c>
      <c r="O644" s="28" t="str">
        <f aca="true">IF(J644="","",N644+MAX(0,ROUNDUP((TODAY()-N644)/(J644*7),0))*J644*7)</f>
        <v/>
      </c>
      <c r="P644" s="27" t="str">
        <f aca="false">IF(J644="","",MOD(K644-1,J644*4))</f>
        <v/>
      </c>
      <c r="Q644" s="27" t="str">
        <f aca="false">IF(J644="","",MOD(P644,4))</f>
        <v/>
      </c>
      <c r="R644" s="27" t="str">
        <f aca="false">IF(J644="","",INT(P644/4))</f>
        <v/>
      </c>
      <c r="S644" s="27" t="str">
        <f aca="false">IF(J644="","",IF(AND('Daily Count Sheet'!$H$3=Q644,MOD('Daily Count Sheet'!$I$3,J644)=R644),1,""))</f>
        <v/>
      </c>
      <c r="T644" s="27" t="str">
        <f aca="false">IF(S644=1,COUNTIF($S$2:S644,1),"")</f>
        <v/>
      </c>
    </row>
    <row r="645" customFormat="false" ht="15" hidden="false" customHeight="false" outlineLevel="0" collapsed="false">
      <c r="H645" s="26"/>
      <c r="I645" s="27" t="str">
        <f aca="false">IF(A645="","",IF(H645&lt;&gt;"",UPPER(TRIM(H645)),IFERROR(CHOOSE(VALUE(E645)+1,"A","B","C","D"),IF(OR(LEFT(UPPER(TRIM(E645)),1)="F",UPPER(TRIM(E645))="A"),"A",IF(OR(LEFT(UPPER(TRIM(E645)),1)="M",UPPER(TRIM(E645))="B"),"B",IF(OR(LEFT(UPPER(TRIM(E645)),2)="SL",UPPER(TRIM(E645))="C"),"C",IF(OR(LEFT(UPPER(TRIM(E645)),1)="D",UPPER(TRIM(E645))="D"),"D","")))))))</f>
        <v/>
      </c>
      <c r="J645" s="27" t="str">
        <f aca="false">IF(I645="","",IF(AND(I645="D",Settings!$B$6&lt;&gt;"Yes"),"",IFERROR(INDEX(Settings!$C$9:$C$12,MATCH(I645,Settings!$A$9:$A$12,0)),"")))</f>
        <v/>
      </c>
      <c r="K645" s="27" t="str">
        <f aca="false">IF(J645="","",COUNTIF($I$2:I645,I645))</f>
        <v/>
      </c>
      <c r="L645" s="27" t="str">
        <f aca="false">IF(J645="","",CHOOSE(Q645+1,"Tue","Wed","Thu","Fri"))</f>
        <v/>
      </c>
      <c r="M645" s="27" t="str">
        <f aca="false">IF(J645="","",IF(J645=1,"Every week",R645+1&amp;" of "&amp;J645))</f>
        <v/>
      </c>
      <c r="N645" s="28" t="str">
        <f aca="false">IF(J645="","",Settings!$B$4+R645*7+Q645)</f>
        <v/>
      </c>
      <c r="O645" s="28" t="str">
        <f aca="true">IF(J645="","",N645+MAX(0,ROUNDUP((TODAY()-N645)/(J645*7),0))*J645*7)</f>
        <v/>
      </c>
      <c r="P645" s="27" t="str">
        <f aca="false">IF(J645="","",MOD(K645-1,J645*4))</f>
        <v/>
      </c>
      <c r="Q645" s="27" t="str">
        <f aca="false">IF(J645="","",MOD(P645,4))</f>
        <v/>
      </c>
      <c r="R645" s="27" t="str">
        <f aca="false">IF(J645="","",INT(P645/4))</f>
        <v/>
      </c>
      <c r="S645" s="27" t="str">
        <f aca="false">IF(J645="","",IF(AND('Daily Count Sheet'!$H$3=Q645,MOD('Daily Count Sheet'!$I$3,J645)=R645),1,""))</f>
        <v/>
      </c>
      <c r="T645" s="27" t="str">
        <f aca="false">IF(S645=1,COUNTIF($S$2:S645,1),"")</f>
        <v/>
      </c>
    </row>
    <row r="646" customFormat="false" ht="15" hidden="false" customHeight="false" outlineLevel="0" collapsed="false">
      <c r="H646" s="26"/>
      <c r="I646" s="27" t="str">
        <f aca="false">IF(A646="","",IF(H646&lt;&gt;"",UPPER(TRIM(H646)),IFERROR(CHOOSE(VALUE(E646)+1,"A","B","C","D"),IF(OR(LEFT(UPPER(TRIM(E646)),1)="F",UPPER(TRIM(E646))="A"),"A",IF(OR(LEFT(UPPER(TRIM(E646)),1)="M",UPPER(TRIM(E646))="B"),"B",IF(OR(LEFT(UPPER(TRIM(E646)),2)="SL",UPPER(TRIM(E646))="C"),"C",IF(OR(LEFT(UPPER(TRIM(E646)),1)="D",UPPER(TRIM(E646))="D"),"D","")))))))</f>
        <v/>
      </c>
      <c r="J646" s="27" t="str">
        <f aca="false">IF(I646="","",IF(AND(I646="D",Settings!$B$6&lt;&gt;"Yes"),"",IFERROR(INDEX(Settings!$C$9:$C$12,MATCH(I646,Settings!$A$9:$A$12,0)),"")))</f>
        <v/>
      </c>
      <c r="K646" s="27" t="str">
        <f aca="false">IF(J646="","",COUNTIF($I$2:I646,I646))</f>
        <v/>
      </c>
      <c r="L646" s="27" t="str">
        <f aca="false">IF(J646="","",CHOOSE(Q646+1,"Tue","Wed","Thu","Fri"))</f>
        <v/>
      </c>
      <c r="M646" s="27" t="str">
        <f aca="false">IF(J646="","",IF(J646=1,"Every week",R646+1&amp;" of "&amp;J646))</f>
        <v/>
      </c>
      <c r="N646" s="28" t="str">
        <f aca="false">IF(J646="","",Settings!$B$4+R646*7+Q646)</f>
        <v/>
      </c>
      <c r="O646" s="28" t="str">
        <f aca="true">IF(J646="","",N646+MAX(0,ROUNDUP((TODAY()-N646)/(J646*7),0))*J646*7)</f>
        <v/>
      </c>
      <c r="P646" s="27" t="str">
        <f aca="false">IF(J646="","",MOD(K646-1,J646*4))</f>
        <v/>
      </c>
      <c r="Q646" s="27" t="str">
        <f aca="false">IF(J646="","",MOD(P646,4))</f>
        <v/>
      </c>
      <c r="R646" s="27" t="str">
        <f aca="false">IF(J646="","",INT(P646/4))</f>
        <v/>
      </c>
      <c r="S646" s="27" t="str">
        <f aca="false">IF(J646="","",IF(AND('Daily Count Sheet'!$H$3=Q646,MOD('Daily Count Sheet'!$I$3,J646)=R646),1,""))</f>
        <v/>
      </c>
      <c r="T646" s="27" t="str">
        <f aca="false">IF(S646=1,COUNTIF($S$2:S646,1),"")</f>
        <v/>
      </c>
    </row>
    <row r="647" customFormat="false" ht="15" hidden="false" customHeight="false" outlineLevel="0" collapsed="false">
      <c r="H647" s="26"/>
      <c r="I647" s="27" t="str">
        <f aca="false">IF(A647="","",IF(H647&lt;&gt;"",UPPER(TRIM(H647)),IFERROR(CHOOSE(VALUE(E647)+1,"A","B","C","D"),IF(OR(LEFT(UPPER(TRIM(E647)),1)="F",UPPER(TRIM(E647))="A"),"A",IF(OR(LEFT(UPPER(TRIM(E647)),1)="M",UPPER(TRIM(E647))="B"),"B",IF(OR(LEFT(UPPER(TRIM(E647)),2)="SL",UPPER(TRIM(E647))="C"),"C",IF(OR(LEFT(UPPER(TRIM(E647)),1)="D",UPPER(TRIM(E647))="D"),"D","")))))))</f>
        <v/>
      </c>
      <c r="J647" s="27" t="str">
        <f aca="false">IF(I647="","",IF(AND(I647="D",Settings!$B$6&lt;&gt;"Yes"),"",IFERROR(INDEX(Settings!$C$9:$C$12,MATCH(I647,Settings!$A$9:$A$12,0)),"")))</f>
        <v/>
      </c>
      <c r="K647" s="27" t="str">
        <f aca="false">IF(J647="","",COUNTIF($I$2:I647,I647))</f>
        <v/>
      </c>
      <c r="L647" s="27" t="str">
        <f aca="false">IF(J647="","",CHOOSE(Q647+1,"Tue","Wed","Thu","Fri"))</f>
        <v/>
      </c>
      <c r="M647" s="27" t="str">
        <f aca="false">IF(J647="","",IF(J647=1,"Every week",R647+1&amp;" of "&amp;J647))</f>
        <v/>
      </c>
      <c r="N647" s="28" t="str">
        <f aca="false">IF(J647="","",Settings!$B$4+R647*7+Q647)</f>
        <v/>
      </c>
      <c r="O647" s="28" t="str">
        <f aca="true">IF(J647="","",N647+MAX(0,ROUNDUP((TODAY()-N647)/(J647*7),0))*J647*7)</f>
        <v/>
      </c>
      <c r="P647" s="27" t="str">
        <f aca="false">IF(J647="","",MOD(K647-1,J647*4))</f>
        <v/>
      </c>
      <c r="Q647" s="27" t="str">
        <f aca="false">IF(J647="","",MOD(P647,4))</f>
        <v/>
      </c>
      <c r="R647" s="27" t="str">
        <f aca="false">IF(J647="","",INT(P647/4))</f>
        <v/>
      </c>
      <c r="S647" s="27" t="str">
        <f aca="false">IF(J647="","",IF(AND('Daily Count Sheet'!$H$3=Q647,MOD('Daily Count Sheet'!$I$3,J647)=R647),1,""))</f>
        <v/>
      </c>
      <c r="T647" s="27" t="str">
        <f aca="false">IF(S647=1,COUNTIF($S$2:S647,1),"")</f>
        <v/>
      </c>
    </row>
    <row r="648" customFormat="false" ht="15" hidden="false" customHeight="false" outlineLevel="0" collapsed="false">
      <c r="H648" s="26"/>
      <c r="I648" s="27" t="str">
        <f aca="false">IF(A648="","",IF(H648&lt;&gt;"",UPPER(TRIM(H648)),IFERROR(CHOOSE(VALUE(E648)+1,"A","B","C","D"),IF(OR(LEFT(UPPER(TRIM(E648)),1)="F",UPPER(TRIM(E648))="A"),"A",IF(OR(LEFT(UPPER(TRIM(E648)),1)="M",UPPER(TRIM(E648))="B"),"B",IF(OR(LEFT(UPPER(TRIM(E648)),2)="SL",UPPER(TRIM(E648))="C"),"C",IF(OR(LEFT(UPPER(TRIM(E648)),1)="D",UPPER(TRIM(E648))="D"),"D","")))))))</f>
        <v/>
      </c>
      <c r="J648" s="27" t="str">
        <f aca="false">IF(I648="","",IF(AND(I648="D",Settings!$B$6&lt;&gt;"Yes"),"",IFERROR(INDEX(Settings!$C$9:$C$12,MATCH(I648,Settings!$A$9:$A$12,0)),"")))</f>
        <v/>
      </c>
      <c r="K648" s="27" t="str">
        <f aca="false">IF(J648="","",COUNTIF($I$2:I648,I648))</f>
        <v/>
      </c>
      <c r="L648" s="27" t="str">
        <f aca="false">IF(J648="","",CHOOSE(Q648+1,"Tue","Wed","Thu","Fri"))</f>
        <v/>
      </c>
      <c r="M648" s="27" t="str">
        <f aca="false">IF(J648="","",IF(J648=1,"Every week",R648+1&amp;" of "&amp;J648))</f>
        <v/>
      </c>
      <c r="N648" s="28" t="str">
        <f aca="false">IF(J648="","",Settings!$B$4+R648*7+Q648)</f>
        <v/>
      </c>
      <c r="O648" s="28" t="str">
        <f aca="true">IF(J648="","",N648+MAX(0,ROUNDUP((TODAY()-N648)/(J648*7),0))*J648*7)</f>
        <v/>
      </c>
      <c r="P648" s="27" t="str">
        <f aca="false">IF(J648="","",MOD(K648-1,J648*4))</f>
        <v/>
      </c>
      <c r="Q648" s="27" t="str">
        <f aca="false">IF(J648="","",MOD(P648,4))</f>
        <v/>
      </c>
      <c r="R648" s="27" t="str">
        <f aca="false">IF(J648="","",INT(P648/4))</f>
        <v/>
      </c>
      <c r="S648" s="27" t="str">
        <f aca="false">IF(J648="","",IF(AND('Daily Count Sheet'!$H$3=Q648,MOD('Daily Count Sheet'!$I$3,J648)=R648),1,""))</f>
        <v/>
      </c>
      <c r="T648" s="27" t="str">
        <f aca="false">IF(S648=1,COUNTIF($S$2:S648,1),"")</f>
        <v/>
      </c>
    </row>
    <row r="649" customFormat="false" ht="15" hidden="false" customHeight="false" outlineLevel="0" collapsed="false">
      <c r="H649" s="26"/>
      <c r="I649" s="27" t="str">
        <f aca="false">IF(A649="","",IF(H649&lt;&gt;"",UPPER(TRIM(H649)),IFERROR(CHOOSE(VALUE(E649)+1,"A","B","C","D"),IF(OR(LEFT(UPPER(TRIM(E649)),1)="F",UPPER(TRIM(E649))="A"),"A",IF(OR(LEFT(UPPER(TRIM(E649)),1)="M",UPPER(TRIM(E649))="B"),"B",IF(OR(LEFT(UPPER(TRIM(E649)),2)="SL",UPPER(TRIM(E649))="C"),"C",IF(OR(LEFT(UPPER(TRIM(E649)),1)="D",UPPER(TRIM(E649))="D"),"D","")))))))</f>
        <v/>
      </c>
      <c r="J649" s="27" t="str">
        <f aca="false">IF(I649="","",IF(AND(I649="D",Settings!$B$6&lt;&gt;"Yes"),"",IFERROR(INDEX(Settings!$C$9:$C$12,MATCH(I649,Settings!$A$9:$A$12,0)),"")))</f>
        <v/>
      </c>
      <c r="K649" s="27" t="str">
        <f aca="false">IF(J649="","",COUNTIF($I$2:I649,I649))</f>
        <v/>
      </c>
      <c r="L649" s="27" t="str">
        <f aca="false">IF(J649="","",CHOOSE(Q649+1,"Tue","Wed","Thu","Fri"))</f>
        <v/>
      </c>
      <c r="M649" s="27" t="str">
        <f aca="false">IF(J649="","",IF(J649=1,"Every week",R649+1&amp;" of "&amp;J649))</f>
        <v/>
      </c>
      <c r="N649" s="28" t="str">
        <f aca="false">IF(J649="","",Settings!$B$4+R649*7+Q649)</f>
        <v/>
      </c>
      <c r="O649" s="28" t="str">
        <f aca="true">IF(J649="","",N649+MAX(0,ROUNDUP((TODAY()-N649)/(J649*7),0))*J649*7)</f>
        <v/>
      </c>
      <c r="P649" s="27" t="str">
        <f aca="false">IF(J649="","",MOD(K649-1,J649*4))</f>
        <v/>
      </c>
      <c r="Q649" s="27" t="str">
        <f aca="false">IF(J649="","",MOD(P649,4))</f>
        <v/>
      </c>
      <c r="R649" s="27" t="str">
        <f aca="false">IF(J649="","",INT(P649/4))</f>
        <v/>
      </c>
      <c r="S649" s="27" t="str">
        <f aca="false">IF(J649="","",IF(AND('Daily Count Sheet'!$H$3=Q649,MOD('Daily Count Sheet'!$I$3,J649)=R649),1,""))</f>
        <v/>
      </c>
      <c r="T649" s="27" t="str">
        <f aca="false">IF(S649=1,COUNTIF($S$2:S649,1),"")</f>
        <v/>
      </c>
    </row>
    <row r="650" customFormat="false" ht="15" hidden="false" customHeight="false" outlineLevel="0" collapsed="false">
      <c r="H650" s="26"/>
      <c r="I650" s="27" t="str">
        <f aca="false">IF(A650="","",IF(H650&lt;&gt;"",UPPER(TRIM(H650)),IFERROR(CHOOSE(VALUE(E650)+1,"A","B","C","D"),IF(OR(LEFT(UPPER(TRIM(E650)),1)="F",UPPER(TRIM(E650))="A"),"A",IF(OR(LEFT(UPPER(TRIM(E650)),1)="M",UPPER(TRIM(E650))="B"),"B",IF(OR(LEFT(UPPER(TRIM(E650)),2)="SL",UPPER(TRIM(E650))="C"),"C",IF(OR(LEFT(UPPER(TRIM(E650)),1)="D",UPPER(TRIM(E650))="D"),"D","")))))))</f>
        <v/>
      </c>
      <c r="J650" s="27" t="str">
        <f aca="false">IF(I650="","",IF(AND(I650="D",Settings!$B$6&lt;&gt;"Yes"),"",IFERROR(INDEX(Settings!$C$9:$C$12,MATCH(I650,Settings!$A$9:$A$12,0)),"")))</f>
        <v/>
      </c>
      <c r="K650" s="27" t="str">
        <f aca="false">IF(J650="","",COUNTIF($I$2:I650,I650))</f>
        <v/>
      </c>
      <c r="L650" s="27" t="str">
        <f aca="false">IF(J650="","",CHOOSE(Q650+1,"Tue","Wed","Thu","Fri"))</f>
        <v/>
      </c>
      <c r="M650" s="27" t="str">
        <f aca="false">IF(J650="","",IF(J650=1,"Every week",R650+1&amp;" of "&amp;J650))</f>
        <v/>
      </c>
      <c r="N650" s="28" t="str">
        <f aca="false">IF(J650="","",Settings!$B$4+R650*7+Q650)</f>
        <v/>
      </c>
      <c r="O650" s="28" t="str">
        <f aca="true">IF(J650="","",N650+MAX(0,ROUNDUP((TODAY()-N650)/(J650*7),0))*J650*7)</f>
        <v/>
      </c>
      <c r="P650" s="27" t="str">
        <f aca="false">IF(J650="","",MOD(K650-1,J650*4))</f>
        <v/>
      </c>
      <c r="Q650" s="27" t="str">
        <f aca="false">IF(J650="","",MOD(P650,4))</f>
        <v/>
      </c>
      <c r="R650" s="27" t="str">
        <f aca="false">IF(J650="","",INT(P650/4))</f>
        <v/>
      </c>
      <c r="S650" s="27" t="str">
        <f aca="false">IF(J650="","",IF(AND('Daily Count Sheet'!$H$3=Q650,MOD('Daily Count Sheet'!$I$3,J650)=R650),1,""))</f>
        <v/>
      </c>
      <c r="T650" s="27" t="str">
        <f aca="false">IF(S650=1,COUNTIF($S$2:S650,1),"")</f>
        <v/>
      </c>
    </row>
    <row r="651" customFormat="false" ht="15" hidden="false" customHeight="false" outlineLevel="0" collapsed="false">
      <c r="H651" s="26"/>
      <c r="I651" s="27" t="str">
        <f aca="false">IF(A651="","",IF(H651&lt;&gt;"",UPPER(TRIM(H651)),IFERROR(CHOOSE(VALUE(E651)+1,"A","B","C","D"),IF(OR(LEFT(UPPER(TRIM(E651)),1)="F",UPPER(TRIM(E651))="A"),"A",IF(OR(LEFT(UPPER(TRIM(E651)),1)="M",UPPER(TRIM(E651))="B"),"B",IF(OR(LEFT(UPPER(TRIM(E651)),2)="SL",UPPER(TRIM(E651))="C"),"C",IF(OR(LEFT(UPPER(TRIM(E651)),1)="D",UPPER(TRIM(E651))="D"),"D","")))))))</f>
        <v/>
      </c>
      <c r="J651" s="27" t="str">
        <f aca="false">IF(I651="","",IF(AND(I651="D",Settings!$B$6&lt;&gt;"Yes"),"",IFERROR(INDEX(Settings!$C$9:$C$12,MATCH(I651,Settings!$A$9:$A$12,0)),"")))</f>
        <v/>
      </c>
      <c r="K651" s="27" t="str">
        <f aca="false">IF(J651="","",COUNTIF($I$2:I651,I651))</f>
        <v/>
      </c>
      <c r="L651" s="27" t="str">
        <f aca="false">IF(J651="","",CHOOSE(Q651+1,"Tue","Wed","Thu","Fri"))</f>
        <v/>
      </c>
      <c r="M651" s="27" t="str">
        <f aca="false">IF(J651="","",IF(J651=1,"Every week",R651+1&amp;" of "&amp;J651))</f>
        <v/>
      </c>
      <c r="N651" s="28" t="str">
        <f aca="false">IF(J651="","",Settings!$B$4+R651*7+Q651)</f>
        <v/>
      </c>
      <c r="O651" s="28" t="str">
        <f aca="true">IF(J651="","",N651+MAX(0,ROUNDUP((TODAY()-N651)/(J651*7),0))*J651*7)</f>
        <v/>
      </c>
      <c r="P651" s="27" t="str">
        <f aca="false">IF(J651="","",MOD(K651-1,J651*4))</f>
        <v/>
      </c>
      <c r="Q651" s="27" t="str">
        <f aca="false">IF(J651="","",MOD(P651,4))</f>
        <v/>
      </c>
      <c r="R651" s="27" t="str">
        <f aca="false">IF(J651="","",INT(P651/4))</f>
        <v/>
      </c>
      <c r="S651" s="27" t="str">
        <f aca="false">IF(J651="","",IF(AND('Daily Count Sheet'!$H$3=Q651,MOD('Daily Count Sheet'!$I$3,J651)=R651),1,""))</f>
        <v/>
      </c>
      <c r="T651" s="27" t="str">
        <f aca="false">IF(S651=1,COUNTIF($S$2:S651,1),"")</f>
        <v/>
      </c>
    </row>
    <row r="652" customFormat="false" ht="15" hidden="false" customHeight="false" outlineLevel="0" collapsed="false">
      <c r="H652" s="26"/>
      <c r="I652" s="27" t="str">
        <f aca="false">IF(A652="","",IF(H652&lt;&gt;"",UPPER(TRIM(H652)),IFERROR(CHOOSE(VALUE(E652)+1,"A","B","C","D"),IF(OR(LEFT(UPPER(TRIM(E652)),1)="F",UPPER(TRIM(E652))="A"),"A",IF(OR(LEFT(UPPER(TRIM(E652)),1)="M",UPPER(TRIM(E652))="B"),"B",IF(OR(LEFT(UPPER(TRIM(E652)),2)="SL",UPPER(TRIM(E652))="C"),"C",IF(OR(LEFT(UPPER(TRIM(E652)),1)="D",UPPER(TRIM(E652))="D"),"D","")))))))</f>
        <v/>
      </c>
      <c r="J652" s="27" t="str">
        <f aca="false">IF(I652="","",IF(AND(I652="D",Settings!$B$6&lt;&gt;"Yes"),"",IFERROR(INDEX(Settings!$C$9:$C$12,MATCH(I652,Settings!$A$9:$A$12,0)),"")))</f>
        <v/>
      </c>
      <c r="K652" s="27" t="str">
        <f aca="false">IF(J652="","",COUNTIF($I$2:I652,I652))</f>
        <v/>
      </c>
      <c r="L652" s="27" t="str">
        <f aca="false">IF(J652="","",CHOOSE(Q652+1,"Tue","Wed","Thu","Fri"))</f>
        <v/>
      </c>
      <c r="M652" s="27" t="str">
        <f aca="false">IF(J652="","",IF(J652=1,"Every week",R652+1&amp;" of "&amp;J652))</f>
        <v/>
      </c>
      <c r="N652" s="28" t="str">
        <f aca="false">IF(J652="","",Settings!$B$4+R652*7+Q652)</f>
        <v/>
      </c>
      <c r="O652" s="28" t="str">
        <f aca="true">IF(J652="","",N652+MAX(0,ROUNDUP((TODAY()-N652)/(J652*7),0))*J652*7)</f>
        <v/>
      </c>
      <c r="P652" s="27" t="str">
        <f aca="false">IF(J652="","",MOD(K652-1,J652*4))</f>
        <v/>
      </c>
      <c r="Q652" s="27" t="str">
        <f aca="false">IF(J652="","",MOD(P652,4))</f>
        <v/>
      </c>
      <c r="R652" s="27" t="str">
        <f aca="false">IF(J652="","",INT(P652/4))</f>
        <v/>
      </c>
      <c r="S652" s="27" t="str">
        <f aca="false">IF(J652="","",IF(AND('Daily Count Sheet'!$H$3=Q652,MOD('Daily Count Sheet'!$I$3,J652)=R652),1,""))</f>
        <v/>
      </c>
      <c r="T652" s="27" t="str">
        <f aca="false">IF(S652=1,COUNTIF($S$2:S652,1),"")</f>
        <v/>
      </c>
    </row>
    <row r="653" customFormat="false" ht="15" hidden="false" customHeight="false" outlineLevel="0" collapsed="false">
      <c r="H653" s="26"/>
      <c r="I653" s="27" t="str">
        <f aca="false">IF(A653="","",IF(H653&lt;&gt;"",UPPER(TRIM(H653)),IFERROR(CHOOSE(VALUE(E653)+1,"A","B","C","D"),IF(OR(LEFT(UPPER(TRIM(E653)),1)="F",UPPER(TRIM(E653))="A"),"A",IF(OR(LEFT(UPPER(TRIM(E653)),1)="M",UPPER(TRIM(E653))="B"),"B",IF(OR(LEFT(UPPER(TRIM(E653)),2)="SL",UPPER(TRIM(E653))="C"),"C",IF(OR(LEFT(UPPER(TRIM(E653)),1)="D",UPPER(TRIM(E653))="D"),"D","")))))))</f>
        <v/>
      </c>
      <c r="J653" s="27" t="str">
        <f aca="false">IF(I653="","",IF(AND(I653="D",Settings!$B$6&lt;&gt;"Yes"),"",IFERROR(INDEX(Settings!$C$9:$C$12,MATCH(I653,Settings!$A$9:$A$12,0)),"")))</f>
        <v/>
      </c>
      <c r="K653" s="27" t="str">
        <f aca="false">IF(J653="","",COUNTIF($I$2:I653,I653))</f>
        <v/>
      </c>
      <c r="L653" s="27" t="str">
        <f aca="false">IF(J653="","",CHOOSE(Q653+1,"Tue","Wed","Thu","Fri"))</f>
        <v/>
      </c>
      <c r="M653" s="27" t="str">
        <f aca="false">IF(J653="","",IF(J653=1,"Every week",R653+1&amp;" of "&amp;J653))</f>
        <v/>
      </c>
      <c r="N653" s="28" t="str">
        <f aca="false">IF(J653="","",Settings!$B$4+R653*7+Q653)</f>
        <v/>
      </c>
      <c r="O653" s="28" t="str">
        <f aca="true">IF(J653="","",N653+MAX(0,ROUNDUP((TODAY()-N653)/(J653*7),0))*J653*7)</f>
        <v/>
      </c>
      <c r="P653" s="27" t="str">
        <f aca="false">IF(J653="","",MOD(K653-1,J653*4))</f>
        <v/>
      </c>
      <c r="Q653" s="27" t="str">
        <f aca="false">IF(J653="","",MOD(P653,4))</f>
        <v/>
      </c>
      <c r="R653" s="27" t="str">
        <f aca="false">IF(J653="","",INT(P653/4))</f>
        <v/>
      </c>
      <c r="S653" s="27" t="str">
        <f aca="false">IF(J653="","",IF(AND('Daily Count Sheet'!$H$3=Q653,MOD('Daily Count Sheet'!$I$3,J653)=R653),1,""))</f>
        <v/>
      </c>
      <c r="T653" s="27" t="str">
        <f aca="false">IF(S653=1,COUNTIF($S$2:S653,1),"")</f>
        <v/>
      </c>
    </row>
    <row r="654" customFormat="false" ht="15" hidden="false" customHeight="false" outlineLevel="0" collapsed="false">
      <c r="H654" s="26"/>
      <c r="I654" s="27" t="str">
        <f aca="false">IF(A654="","",IF(H654&lt;&gt;"",UPPER(TRIM(H654)),IFERROR(CHOOSE(VALUE(E654)+1,"A","B","C","D"),IF(OR(LEFT(UPPER(TRIM(E654)),1)="F",UPPER(TRIM(E654))="A"),"A",IF(OR(LEFT(UPPER(TRIM(E654)),1)="M",UPPER(TRIM(E654))="B"),"B",IF(OR(LEFT(UPPER(TRIM(E654)),2)="SL",UPPER(TRIM(E654))="C"),"C",IF(OR(LEFT(UPPER(TRIM(E654)),1)="D",UPPER(TRIM(E654))="D"),"D","")))))))</f>
        <v/>
      </c>
      <c r="J654" s="27" t="str">
        <f aca="false">IF(I654="","",IF(AND(I654="D",Settings!$B$6&lt;&gt;"Yes"),"",IFERROR(INDEX(Settings!$C$9:$C$12,MATCH(I654,Settings!$A$9:$A$12,0)),"")))</f>
        <v/>
      </c>
      <c r="K654" s="27" t="str">
        <f aca="false">IF(J654="","",COUNTIF($I$2:I654,I654))</f>
        <v/>
      </c>
      <c r="L654" s="27" t="str">
        <f aca="false">IF(J654="","",CHOOSE(Q654+1,"Tue","Wed","Thu","Fri"))</f>
        <v/>
      </c>
      <c r="M654" s="27" t="str">
        <f aca="false">IF(J654="","",IF(J654=1,"Every week",R654+1&amp;" of "&amp;J654))</f>
        <v/>
      </c>
      <c r="N654" s="28" t="str">
        <f aca="false">IF(J654="","",Settings!$B$4+R654*7+Q654)</f>
        <v/>
      </c>
      <c r="O654" s="28" t="str">
        <f aca="true">IF(J654="","",N654+MAX(0,ROUNDUP((TODAY()-N654)/(J654*7),0))*J654*7)</f>
        <v/>
      </c>
      <c r="P654" s="27" t="str">
        <f aca="false">IF(J654="","",MOD(K654-1,J654*4))</f>
        <v/>
      </c>
      <c r="Q654" s="27" t="str">
        <f aca="false">IF(J654="","",MOD(P654,4))</f>
        <v/>
      </c>
      <c r="R654" s="27" t="str">
        <f aca="false">IF(J654="","",INT(P654/4))</f>
        <v/>
      </c>
      <c r="S654" s="27" t="str">
        <f aca="false">IF(J654="","",IF(AND('Daily Count Sheet'!$H$3=Q654,MOD('Daily Count Sheet'!$I$3,J654)=R654),1,""))</f>
        <v/>
      </c>
      <c r="T654" s="27" t="str">
        <f aca="false">IF(S654=1,COUNTIF($S$2:S654,1),"")</f>
        <v/>
      </c>
    </row>
    <row r="655" customFormat="false" ht="15" hidden="false" customHeight="false" outlineLevel="0" collapsed="false">
      <c r="H655" s="26"/>
      <c r="I655" s="27" t="str">
        <f aca="false">IF(A655="","",IF(H655&lt;&gt;"",UPPER(TRIM(H655)),IFERROR(CHOOSE(VALUE(E655)+1,"A","B","C","D"),IF(OR(LEFT(UPPER(TRIM(E655)),1)="F",UPPER(TRIM(E655))="A"),"A",IF(OR(LEFT(UPPER(TRIM(E655)),1)="M",UPPER(TRIM(E655))="B"),"B",IF(OR(LEFT(UPPER(TRIM(E655)),2)="SL",UPPER(TRIM(E655))="C"),"C",IF(OR(LEFT(UPPER(TRIM(E655)),1)="D",UPPER(TRIM(E655))="D"),"D","")))))))</f>
        <v/>
      </c>
      <c r="J655" s="27" t="str">
        <f aca="false">IF(I655="","",IF(AND(I655="D",Settings!$B$6&lt;&gt;"Yes"),"",IFERROR(INDEX(Settings!$C$9:$C$12,MATCH(I655,Settings!$A$9:$A$12,0)),"")))</f>
        <v/>
      </c>
      <c r="K655" s="27" t="str">
        <f aca="false">IF(J655="","",COUNTIF($I$2:I655,I655))</f>
        <v/>
      </c>
      <c r="L655" s="27" t="str">
        <f aca="false">IF(J655="","",CHOOSE(Q655+1,"Tue","Wed","Thu","Fri"))</f>
        <v/>
      </c>
      <c r="M655" s="27" t="str">
        <f aca="false">IF(J655="","",IF(J655=1,"Every week",R655+1&amp;" of "&amp;J655))</f>
        <v/>
      </c>
      <c r="N655" s="28" t="str">
        <f aca="false">IF(J655="","",Settings!$B$4+R655*7+Q655)</f>
        <v/>
      </c>
      <c r="O655" s="28" t="str">
        <f aca="true">IF(J655="","",N655+MAX(0,ROUNDUP((TODAY()-N655)/(J655*7),0))*J655*7)</f>
        <v/>
      </c>
      <c r="P655" s="27" t="str">
        <f aca="false">IF(J655="","",MOD(K655-1,J655*4))</f>
        <v/>
      </c>
      <c r="Q655" s="27" t="str">
        <f aca="false">IF(J655="","",MOD(P655,4))</f>
        <v/>
      </c>
      <c r="R655" s="27" t="str">
        <f aca="false">IF(J655="","",INT(P655/4))</f>
        <v/>
      </c>
      <c r="S655" s="27" t="str">
        <f aca="false">IF(J655="","",IF(AND('Daily Count Sheet'!$H$3=Q655,MOD('Daily Count Sheet'!$I$3,J655)=R655),1,""))</f>
        <v/>
      </c>
      <c r="T655" s="27" t="str">
        <f aca="false">IF(S655=1,COUNTIF($S$2:S655,1),"")</f>
        <v/>
      </c>
    </row>
    <row r="656" customFormat="false" ht="15" hidden="false" customHeight="false" outlineLevel="0" collapsed="false">
      <c r="H656" s="26"/>
      <c r="I656" s="27" t="str">
        <f aca="false">IF(A656="","",IF(H656&lt;&gt;"",UPPER(TRIM(H656)),IFERROR(CHOOSE(VALUE(E656)+1,"A","B","C","D"),IF(OR(LEFT(UPPER(TRIM(E656)),1)="F",UPPER(TRIM(E656))="A"),"A",IF(OR(LEFT(UPPER(TRIM(E656)),1)="M",UPPER(TRIM(E656))="B"),"B",IF(OR(LEFT(UPPER(TRIM(E656)),2)="SL",UPPER(TRIM(E656))="C"),"C",IF(OR(LEFT(UPPER(TRIM(E656)),1)="D",UPPER(TRIM(E656))="D"),"D","")))))))</f>
        <v/>
      </c>
      <c r="J656" s="27" t="str">
        <f aca="false">IF(I656="","",IF(AND(I656="D",Settings!$B$6&lt;&gt;"Yes"),"",IFERROR(INDEX(Settings!$C$9:$C$12,MATCH(I656,Settings!$A$9:$A$12,0)),"")))</f>
        <v/>
      </c>
      <c r="K656" s="27" t="str">
        <f aca="false">IF(J656="","",COUNTIF($I$2:I656,I656))</f>
        <v/>
      </c>
      <c r="L656" s="27" t="str">
        <f aca="false">IF(J656="","",CHOOSE(Q656+1,"Tue","Wed","Thu","Fri"))</f>
        <v/>
      </c>
      <c r="M656" s="27" t="str">
        <f aca="false">IF(J656="","",IF(J656=1,"Every week",R656+1&amp;" of "&amp;J656))</f>
        <v/>
      </c>
      <c r="N656" s="28" t="str">
        <f aca="false">IF(J656="","",Settings!$B$4+R656*7+Q656)</f>
        <v/>
      </c>
      <c r="O656" s="28" t="str">
        <f aca="true">IF(J656="","",N656+MAX(0,ROUNDUP((TODAY()-N656)/(J656*7),0))*J656*7)</f>
        <v/>
      </c>
      <c r="P656" s="27" t="str">
        <f aca="false">IF(J656="","",MOD(K656-1,J656*4))</f>
        <v/>
      </c>
      <c r="Q656" s="27" t="str">
        <f aca="false">IF(J656="","",MOD(P656,4))</f>
        <v/>
      </c>
      <c r="R656" s="27" t="str">
        <f aca="false">IF(J656="","",INT(P656/4))</f>
        <v/>
      </c>
      <c r="S656" s="27" t="str">
        <f aca="false">IF(J656="","",IF(AND('Daily Count Sheet'!$H$3=Q656,MOD('Daily Count Sheet'!$I$3,J656)=R656),1,""))</f>
        <v/>
      </c>
      <c r="T656" s="27" t="str">
        <f aca="false">IF(S656=1,COUNTIF($S$2:S656,1),"")</f>
        <v/>
      </c>
    </row>
    <row r="657" customFormat="false" ht="15" hidden="false" customHeight="false" outlineLevel="0" collapsed="false">
      <c r="H657" s="26"/>
      <c r="I657" s="27" t="str">
        <f aca="false">IF(A657="","",IF(H657&lt;&gt;"",UPPER(TRIM(H657)),IFERROR(CHOOSE(VALUE(E657)+1,"A","B","C","D"),IF(OR(LEFT(UPPER(TRIM(E657)),1)="F",UPPER(TRIM(E657))="A"),"A",IF(OR(LEFT(UPPER(TRIM(E657)),1)="M",UPPER(TRIM(E657))="B"),"B",IF(OR(LEFT(UPPER(TRIM(E657)),2)="SL",UPPER(TRIM(E657))="C"),"C",IF(OR(LEFT(UPPER(TRIM(E657)),1)="D",UPPER(TRIM(E657))="D"),"D","")))))))</f>
        <v/>
      </c>
      <c r="J657" s="27" t="str">
        <f aca="false">IF(I657="","",IF(AND(I657="D",Settings!$B$6&lt;&gt;"Yes"),"",IFERROR(INDEX(Settings!$C$9:$C$12,MATCH(I657,Settings!$A$9:$A$12,0)),"")))</f>
        <v/>
      </c>
      <c r="K657" s="27" t="str">
        <f aca="false">IF(J657="","",COUNTIF($I$2:I657,I657))</f>
        <v/>
      </c>
      <c r="L657" s="27" t="str">
        <f aca="false">IF(J657="","",CHOOSE(Q657+1,"Tue","Wed","Thu","Fri"))</f>
        <v/>
      </c>
      <c r="M657" s="27" t="str">
        <f aca="false">IF(J657="","",IF(J657=1,"Every week",R657+1&amp;" of "&amp;J657))</f>
        <v/>
      </c>
      <c r="N657" s="28" t="str">
        <f aca="false">IF(J657="","",Settings!$B$4+R657*7+Q657)</f>
        <v/>
      </c>
      <c r="O657" s="28" t="str">
        <f aca="true">IF(J657="","",N657+MAX(0,ROUNDUP((TODAY()-N657)/(J657*7),0))*J657*7)</f>
        <v/>
      </c>
      <c r="P657" s="27" t="str">
        <f aca="false">IF(J657="","",MOD(K657-1,J657*4))</f>
        <v/>
      </c>
      <c r="Q657" s="27" t="str">
        <f aca="false">IF(J657="","",MOD(P657,4))</f>
        <v/>
      </c>
      <c r="R657" s="27" t="str">
        <f aca="false">IF(J657="","",INT(P657/4))</f>
        <v/>
      </c>
      <c r="S657" s="27" t="str">
        <f aca="false">IF(J657="","",IF(AND('Daily Count Sheet'!$H$3=Q657,MOD('Daily Count Sheet'!$I$3,J657)=R657),1,""))</f>
        <v/>
      </c>
      <c r="T657" s="27" t="str">
        <f aca="false">IF(S657=1,COUNTIF($S$2:S657,1),"")</f>
        <v/>
      </c>
    </row>
    <row r="658" customFormat="false" ht="15" hidden="false" customHeight="false" outlineLevel="0" collapsed="false">
      <c r="H658" s="26"/>
      <c r="I658" s="27" t="str">
        <f aca="false">IF(A658="","",IF(H658&lt;&gt;"",UPPER(TRIM(H658)),IFERROR(CHOOSE(VALUE(E658)+1,"A","B","C","D"),IF(OR(LEFT(UPPER(TRIM(E658)),1)="F",UPPER(TRIM(E658))="A"),"A",IF(OR(LEFT(UPPER(TRIM(E658)),1)="M",UPPER(TRIM(E658))="B"),"B",IF(OR(LEFT(UPPER(TRIM(E658)),2)="SL",UPPER(TRIM(E658))="C"),"C",IF(OR(LEFT(UPPER(TRIM(E658)),1)="D",UPPER(TRIM(E658))="D"),"D","")))))))</f>
        <v/>
      </c>
      <c r="J658" s="27" t="str">
        <f aca="false">IF(I658="","",IF(AND(I658="D",Settings!$B$6&lt;&gt;"Yes"),"",IFERROR(INDEX(Settings!$C$9:$C$12,MATCH(I658,Settings!$A$9:$A$12,0)),"")))</f>
        <v/>
      </c>
      <c r="K658" s="27" t="str">
        <f aca="false">IF(J658="","",COUNTIF($I$2:I658,I658))</f>
        <v/>
      </c>
      <c r="L658" s="27" t="str">
        <f aca="false">IF(J658="","",CHOOSE(Q658+1,"Tue","Wed","Thu","Fri"))</f>
        <v/>
      </c>
      <c r="M658" s="27" t="str">
        <f aca="false">IF(J658="","",IF(J658=1,"Every week",R658+1&amp;" of "&amp;J658))</f>
        <v/>
      </c>
      <c r="N658" s="28" t="str">
        <f aca="false">IF(J658="","",Settings!$B$4+R658*7+Q658)</f>
        <v/>
      </c>
      <c r="O658" s="28" t="str">
        <f aca="true">IF(J658="","",N658+MAX(0,ROUNDUP((TODAY()-N658)/(J658*7),0))*J658*7)</f>
        <v/>
      </c>
      <c r="P658" s="27" t="str">
        <f aca="false">IF(J658="","",MOD(K658-1,J658*4))</f>
        <v/>
      </c>
      <c r="Q658" s="27" t="str">
        <f aca="false">IF(J658="","",MOD(P658,4))</f>
        <v/>
      </c>
      <c r="R658" s="27" t="str">
        <f aca="false">IF(J658="","",INT(P658/4))</f>
        <v/>
      </c>
      <c r="S658" s="27" t="str">
        <f aca="false">IF(J658="","",IF(AND('Daily Count Sheet'!$H$3=Q658,MOD('Daily Count Sheet'!$I$3,J658)=R658),1,""))</f>
        <v/>
      </c>
      <c r="T658" s="27" t="str">
        <f aca="false">IF(S658=1,COUNTIF($S$2:S658,1),"")</f>
        <v/>
      </c>
    </row>
    <row r="659" customFormat="false" ht="15" hidden="false" customHeight="false" outlineLevel="0" collapsed="false">
      <c r="H659" s="26"/>
      <c r="I659" s="27" t="str">
        <f aca="false">IF(A659="","",IF(H659&lt;&gt;"",UPPER(TRIM(H659)),IFERROR(CHOOSE(VALUE(E659)+1,"A","B","C","D"),IF(OR(LEFT(UPPER(TRIM(E659)),1)="F",UPPER(TRIM(E659))="A"),"A",IF(OR(LEFT(UPPER(TRIM(E659)),1)="M",UPPER(TRIM(E659))="B"),"B",IF(OR(LEFT(UPPER(TRIM(E659)),2)="SL",UPPER(TRIM(E659))="C"),"C",IF(OR(LEFT(UPPER(TRIM(E659)),1)="D",UPPER(TRIM(E659))="D"),"D","")))))))</f>
        <v/>
      </c>
      <c r="J659" s="27" t="str">
        <f aca="false">IF(I659="","",IF(AND(I659="D",Settings!$B$6&lt;&gt;"Yes"),"",IFERROR(INDEX(Settings!$C$9:$C$12,MATCH(I659,Settings!$A$9:$A$12,0)),"")))</f>
        <v/>
      </c>
      <c r="K659" s="27" t="str">
        <f aca="false">IF(J659="","",COUNTIF($I$2:I659,I659))</f>
        <v/>
      </c>
      <c r="L659" s="27" t="str">
        <f aca="false">IF(J659="","",CHOOSE(Q659+1,"Tue","Wed","Thu","Fri"))</f>
        <v/>
      </c>
      <c r="M659" s="27" t="str">
        <f aca="false">IF(J659="","",IF(J659=1,"Every week",R659+1&amp;" of "&amp;J659))</f>
        <v/>
      </c>
      <c r="N659" s="28" t="str">
        <f aca="false">IF(J659="","",Settings!$B$4+R659*7+Q659)</f>
        <v/>
      </c>
      <c r="O659" s="28" t="str">
        <f aca="true">IF(J659="","",N659+MAX(0,ROUNDUP((TODAY()-N659)/(J659*7),0))*J659*7)</f>
        <v/>
      </c>
      <c r="P659" s="27" t="str">
        <f aca="false">IF(J659="","",MOD(K659-1,J659*4))</f>
        <v/>
      </c>
      <c r="Q659" s="27" t="str">
        <f aca="false">IF(J659="","",MOD(P659,4))</f>
        <v/>
      </c>
      <c r="R659" s="27" t="str">
        <f aca="false">IF(J659="","",INT(P659/4))</f>
        <v/>
      </c>
      <c r="S659" s="27" t="str">
        <f aca="false">IF(J659="","",IF(AND('Daily Count Sheet'!$H$3=Q659,MOD('Daily Count Sheet'!$I$3,J659)=R659),1,""))</f>
        <v/>
      </c>
      <c r="T659" s="27" t="str">
        <f aca="false">IF(S659=1,COUNTIF($S$2:S659,1),"")</f>
        <v/>
      </c>
    </row>
    <row r="660" customFormat="false" ht="15" hidden="false" customHeight="false" outlineLevel="0" collapsed="false">
      <c r="H660" s="26"/>
      <c r="I660" s="27" t="str">
        <f aca="false">IF(A660="","",IF(H660&lt;&gt;"",UPPER(TRIM(H660)),IFERROR(CHOOSE(VALUE(E660)+1,"A","B","C","D"),IF(OR(LEFT(UPPER(TRIM(E660)),1)="F",UPPER(TRIM(E660))="A"),"A",IF(OR(LEFT(UPPER(TRIM(E660)),1)="M",UPPER(TRIM(E660))="B"),"B",IF(OR(LEFT(UPPER(TRIM(E660)),2)="SL",UPPER(TRIM(E660))="C"),"C",IF(OR(LEFT(UPPER(TRIM(E660)),1)="D",UPPER(TRIM(E660))="D"),"D","")))))))</f>
        <v/>
      </c>
      <c r="J660" s="27" t="str">
        <f aca="false">IF(I660="","",IF(AND(I660="D",Settings!$B$6&lt;&gt;"Yes"),"",IFERROR(INDEX(Settings!$C$9:$C$12,MATCH(I660,Settings!$A$9:$A$12,0)),"")))</f>
        <v/>
      </c>
      <c r="K660" s="27" t="str">
        <f aca="false">IF(J660="","",COUNTIF($I$2:I660,I660))</f>
        <v/>
      </c>
      <c r="L660" s="27" t="str">
        <f aca="false">IF(J660="","",CHOOSE(Q660+1,"Tue","Wed","Thu","Fri"))</f>
        <v/>
      </c>
      <c r="M660" s="27" t="str">
        <f aca="false">IF(J660="","",IF(J660=1,"Every week",R660+1&amp;" of "&amp;J660))</f>
        <v/>
      </c>
      <c r="N660" s="28" t="str">
        <f aca="false">IF(J660="","",Settings!$B$4+R660*7+Q660)</f>
        <v/>
      </c>
      <c r="O660" s="28" t="str">
        <f aca="true">IF(J660="","",N660+MAX(0,ROUNDUP((TODAY()-N660)/(J660*7),0))*J660*7)</f>
        <v/>
      </c>
      <c r="P660" s="27" t="str">
        <f aca="false">IF(J660="","",MOD(K660-1,J660*4))</f>
        <v/>
      </c>
      <c r="Q660" s="27" t="str">
        <f aca="false">IF(J660="","",MOD(P660,4))</f>
        <v/>
      </c>
      <c r="R660" s="27" t="str">
        <f aca="false">IF(J660="","",INT(P660/4))</f>
        <v/>
      </c>
      <c r="S660" s="27" t="str">
        <f aca="false">IF(J660="","",IF(AND('Daily Count Sheet'!$H$3=Q660,MOD('Daily Count Sheet'!$I$3,J660)=R660),1,""))</f>
        <v/>
      </c>
      <c r="T660" s="27" t="str">
        <f aca="false">IF(S660=1,COUNTIF($S$2:S660,1),"")</f>
        <v/>
      </c>
    </row>
    <row r="661" customFormat="false" ht="15" hidden="false" customHeight="false" outlineLevel="0" collapsed="false">
      <c r="H661" s="26"/>
      <c r="I661" s="27" t="str">
        <f aca="false">IF(A661="","",IF(H661&lt;&gt;"",UPPER(TRIM(H661)),IFERROR(CHOOSE(VALUE(E661)+1,"A","B","C","D"),IF(OR(LEFT(UPPER(TRIM(E661)),1)="F",UPPER(TRIM(E661))="A"),"A",IF(OR(LEFT(UPPER(TRIM(E661)),1)="M",UPPER(TRIM(E661))="B"),"B",IF(OR(LEFT(UPPER(TRIM(E661)),2)="SL",UPPER(TRIM(E661))="C"),"C",IF(OR(LEFT(UPPER(TRIM(E661)),1)="D",UPPER(TRIM(E661))="D"),"D","")))))))</f>
        <v/>
      </c>
      <c r="J661" s="27" t="str">
        <f aca="false">IF(I661="","",IF(AND(I661="D",Settings!$B$6&lt;&gt;"Yes"),"",IFERROR(INDEX(Settings!$C$9:$C$12,MATCH(I661,Settings!$A$9:$A$12,0)),"")))</f>
        <v/>
      </c>
      <c r="K661" s="27" t="str">
        <f aca="false">IF(J661="","",COUNTIF($I$2:I661,I661))</f>
        <v/>
      </c>
      <c r="L661" s="27" t="str">
        <f aca="false">IF(J661="","",CHOOSE(Q661+1,"Tue","Wed","Thu","Fri"))</f>
        <v/>
      </c>
      <c r="M661" s="27" t="str">
        <f aca="false">IF(J661="","",IF(J661=1,"Every week",R661+1&amp;" of "&amp;J661))</f>
        <v/>
      </c>
      <c r="N661" s="28" t="str">
        <f aca="false">IF(J661="","",Settings!$B$4+R661*7+Q661)</f>
        <v/>
      </c>
      <c r="O661" s="28" t="str">
        <f aca="true">IF(J661="","",N661+MAX(0,ROUNDUP((TODAY()-N661)/(J661*7),0))*J661*7)</f>
        <v/>
      </c>
      <c r="P661" s="27" t="str">
        <f aca="false">IF(J661="","",MOD(K661-1,J661*4))</f>
        <v/>
      </c>
      <c r="Q661" s="27" t="str">
        <f aca="false">IF(J661="","",MOD(P661,4))</f>
        <v/>
      </c>
      <c r="R661" s="27" t="str">
        <f aca="false">IF(J661="","",INT(P661/4))</f>
        <v/>
      </c>
      <c r="S661" s="27" t="str">
        <f aca="false">IF(J661="","",IF(AND('Daily Count Sheet'!$H$3=Q661,MOD('Daily Count Sheet'!$I$3,J661)=R661),1,""))</f>
        <v/>
      </c>
      <c r="T661" s="27" t="str">
        <f aca="false">IF(S661=1,COUNTIF($S$2:S661,1),"")</f>
        <v/>
      </c>
    </row>
    <row r="662" customFormat="false" ht="15" hidden="false" customHeight="false" outlineLevel="0" collapsed="false">
      <c r="H662" s="26"/>
      <c r="I662" s="27" t="str">
        <f aca="false">IF(A662="","",IF(H662&lt;&gt;"",UPPER(TRIM(H662)),IFERROR(CHOOSE(VALUE(E662)+1,"A","B","C","D"),IF(OR(LEFT(UPPER(TRIM(E662)),1)="F",UPPER(TRIM(E662))="A"),"A",IF(OR(LEFT(UPPER(TRIM(E662)),1)="M",UPPER(TRIM(E662))="B"),"B",IF(OR(LEFT(UPPER(TRIM(E662)),2)="SL",UPPER(TRIM(E662))="C"),"C",IF(OR(LEFT(UPPER(TRIM(E662)),1)="D",UPPER(TRIM(E662))="D"),"D","")))))))</f>
        <v/>
      </c>
      <c r="J662" s="27" t="str">
        <f aca="false">IF(I662="","",IF(AND(I662="D",Settings!$B$6&lt;&gt;"Yes"),"",IFERROR(INDEX(Settings!$C$9:$C$12,MATCH(I662,Settings!$A$9:$A$12,0)),"")))</f>
        <v/>
      </c>
      <c r="K662" s="27" t="str">
        <f aca="false">IF(J662="","",COUNTIF($I$2:I662,I662))</f>
        <v/>
      </c>
      <c r="L662" s="27" t="str">
        <f aca="false">IF(J662="","",CHOOSE(Q662+1,"Tue","Wed","Thu","Fri"))</f>
        <v/>
      </c>
      <c r="M662" s="27" t="str">
        <f aca="false">IF(J662="","",IF(J662=1,"Every week",R662+1&amp;" of "&amp;J662))</f>
        <v/>
      </c>
      <c r="N662" s="28" t="str">
        <f aca="false">IF(J662="","",Settings!$B$4+R662*7+Q662)</f>
        <v/>
      </c>
      <c r="O662" s="28" t="str">
        <f aca="true">IF(J662="","",N662+MAX(0,ROUNDUP((TODAY()-N662)/(J662*7),0))*J662*7)</f>
        <v/>
      </c>
      <c r="P662" s="27" t="str">
        <f aca="false">IF(J662="","",MOD(K662-1,J662*4))</f>
        <v/>
      </c>
      <c r="Q662" s="27" t="str">
        <f aca="false">IF(J662="","",MOD(P662,4))</f>
        <v/>
      </c>
      <c r="R662" s="27" t="str">
        <f aca="false">IF(J662="","",INT(P662/4))</f>
        <v/>
      </c>
      <c r="S662" s="27" t="str">
        <f aca="false">IF(J662="","",IF(AND('Daily Count Sheet'!$H$3=Q662,MOD('Daily Count Sheet'!$I$3,J662)=R662),1,""))</f>
        <v/>
      </c>
      <c r="T662" s="27" t="str">
        <f aca="false">IF(S662=1,COUNTIF($S$2:S662,1),"")</f>
        <v/>
      </c>
    </row>
    <row r="663" customFormat="false" ht="15" hidden="false" customHeight="false" outlineLevel="0" collapsed="false">
      <c r="H663" s="26"/>
      <c r="I663" s="27" t="str">
        <f aca="false">IF(A663="","",IF(H663&lt;&gt;"",UPPER(TRIM(H663)),IFERROR(CHOOSE(VALUE(E663)+1,"A","B","C","D"),IF(OR(LEFT(UPPER(TRIM(E663)),1)="F",UPPER(TRIM(E663))="A"),"A",IF(OR(LEFT(UPPER(TRIM(E663)),1)="M",UPPER(TRIM(E663))="B"),"B",IF(OR(LEFT(UPPER(TRIM(E663)),2)="SL",UPPER(TRIM(E663))="C"),"C",IF(OR(LEFT(UPPER(TRIM(E663)),1)="D",UPPER(TRIM(E663))="D"),"D","")))))))</f>
        <v/>
      </c>
      <c r="J663" s="27" t="str">
        <f aca="false">IF(I663="","",IF(AND(I663="D",Settings!$B$6&lt;&gt;"Yes"),"",IFERROR(INDEX(Settings!$C$9:$C$12,MATCH(I663,Settings!$A$9:$A$12,0)),"")))</f>
        <v/>
      </c>
      <c r="K663" s="27" t="str">
        <f aca="false">IF(J663="","",COUNTIF($I$2:I663,I663))</f>
        <v/>
      </c>
      <c r="L663" s="27" t="str">
        <f aca="false">IF(J663="","",CHOOSE(Q663+1,"Tue","Wed","Thu","Fri"))</f>
        <v/>
      </c>
      <c r="M663" s="27" t="str">
        <f aca="false">IF(J663="","",IF(J663=1,"Every week",R663+1&amp;" of "&amp;J663))</f>
        <v/>
      </c>
      <c r="N663" s="28" t="str">
        <f aca="false">IF(J663="","",Settings!$B$4+R663*7+Q663)</f>
        <v/>
      </c>
      <c r="O663" s="28" t="str">
        <f aca="true">IF(J663="","",N663+MAX(0,ROUNDUP((TODAY()-N663)/(J663*7),0))*J663*7)</f>
        <v/>
      </c>
      <c r="P663" s="27" t="str">
        <f aca="false">IF(J663="","",MOD(K663-1,J663*4))</f>
        <v/>
      </c>
      <c r="Q663" s="27" t="str">
        <f aca="false">IF(J663="","",MOD(P663,4))</f>
        <v/>
      </c>
      <c r="R663" s="27" t="str">
        <f aca="false">IF(J663="","",INT(P663/4))</f>
        <v/>
      </c>
      <c r="S663" s="27" t="str">
        <f aca="false">IF(J663="","",IF(AND('Daily Count Sheet'!$H$3=Q663,MOD('Daily Count Sheet'!$I$3,J663)=R663),1,""))</f>
        <v/>
      </c>
      <c r="T663" s="27" t="str">
        <f aca="false">IF(S663=1,COUNTIF($S$2:S663,1),"")</f>
        <v/>
      </c>
    </row>
    <row r="664" customFormat="false" ht="15" hidden="false" customHeight="false" outlineLevel="0" collapsed="false">
      <c r="H664" s="26"/>
      <c r="I664" s="27" t="str">
        <f aca="false">IF(A664="","",IF(H664&lt;&gt;"",UPPER(TRIM(H664)),IFERROR(CHOOSE(VALUE(E664)+1,"A","B","C","D"),IF(OR(LEFT(UPPER(TRIM(E664)),1)="F",UPPER(TRIM(E664))="A"),"A",IF(OR(LEFT(UPPER(TRIM(E664)),1)="M",UPPER(TRIM(E664))="B"),"B",IF(OR(LEFT(UPPER(TRIM(E664)),2)="SL",UPPER(TRIM(E664))="C"),"C",IF(OR(LEFT(UPPER(TRIM(E664)),1)="D",UPPER(TRIM(E664))="D"),"D","")))))))</f>
        <v/>
      </c>
      <c r="J664" s="27" t="str">
        <f aca="false">IF(I664="","",IF(AND(I664="D",Settings!$B$6&lt;&gt;"Yes"),"",IFERROR(INDEX(Settings!$C$9:$C$12,MATCH(I664,Settings!$A$9:$A$12,0)),"")))</f>
        <v/>
      </c>
      <c r="K664" s="27" t="str">
        <f aca="false">IF(J664="","",COUNTIF($I$2:I664,I664))</f>
        <v/>
      </c>
      <c r="L664" s="27" t="str">
        <f aca="false">IF(J664="","",CHOOSE(Q664+1,"Tue","Wed","Thu","Fri"))</f>
        <v/>
      </c>
      <c r="M664" s="27" t="str">
        <f aca="false">IF(J664="","",IF(J664=1,"Every week",R664+1&amp;" of "&amp;J664))</f>
        <v/>
      </c>
      <c r="N664" s="28" t="str">
        <f aca="false">IF(J664="","",Settings!$B$4+R664*7+Q664)</f>
        <v/>
      </c>
      <c r="O664" s="28" t="str">
        <f aca="true">IF(J664="","",N664+MAX(0,ROUNDUP((TODAY()-N664)/(J664*7),0))*J664*7)</f>
        <v/>
      </c>
      <c r="P664" s="27" t="str">
        <f aca="false">IF(J664="","",MOD(K664-1,J664*4))</f>
        <v/>
      </c>
      <c r="Q664" s="27" t="str">
        <f aca="false">IF(J664="","",MOD(P664,4))</f>
        <v/>
      </c>
      <c r="R664" s="27" t="str">
        <f aca="false">IF(J664="","",INT(P664/4))</f>
        <v/>
      </c>
      <c r="S664" s="27" t="str">
        <f aca="false">IF(J664="","",IF(AND('Daily Count Sheet'!$H$3=Q664,MOD('Daily Count Sheet'!$I$3,J664)=R664),1,""))</f>
        <v/>
      </c>
      <c r="T664" s="27" t="str">
        <f aca="false">IF(S664=1,COUNTIF($S$2:S664,1),"")</f>
        <v/>
      </c>
    </row>
    <row r="665" customFormat="false" ht="15" hidden="false" customHeight="false" outlineLevel="0" collapsed="false">
      <c r="H665" s="26"/>
      <c r="I665" s="27" t="str">
        <f aca="false">IF(A665="","",IF(H665&lt;&gt;"",UPPER(TRIM(H665)),IFERROR(CHOOSE(VALUE(E665)+1,"A","B","C","D"),IF(OR(LEFT(UPPER(TRIM(E665)),1)="F",UPPER(TRIM(E665))="A"),"A",IF(OR(LEFT(UPPER(TRIM(E665)),1)="M",UPPER(TRIM(E665))="B"),"B",IF(OR(LEFT(UPPER(TRIM(E665)),2)="SL",UPPER(TRIM(E665))="C"),"C",IF(OR(LEFT(UPPER(TRIM(E665)),1)="D",UPPER(TRIM(E665))="D"),"D","")))))))</f>
        <v/>
      </c>
      <c r="J665" s="27" t="str">
        <f aca="false">IF(I665="","",IF(AND(I665="D",Settings!$B$6&lt;&gt;"Yes"),"",IFERROR(INDEX(Settings!$C$9:$C$12,MATCH(I665,Settings!$A$9:$A$12,0)),"")))</f>
        <v/>
      </c>
      <c r="K665" s="27" t="str">
        <f aca="false">IF(J665="","",COUNTIF($I$2:I665,I665))</f>
        <v/>
      </c>
      <c r="L665" s="27" t="str">
        <f aca="false">IF(J665="","",CHOOSE(Q665+1,"Tue","Wed","Thu","Fri"))</f>
        <v/>
      </c>
      <c r="M665" s="27" t="str">
        <f aca="false">IF(J665="","",IF(J665=1,"Every week",R665+1&amp;" of "&amp;J665))</f>
        <v/>
      </c>
      <c r="N665" s="28" t="str">
        <f aca="false">IF(J665="","",Settings!$B$4+R665*7+Q665)</f>
        <v/>
      </c>
      <c r="O665" s="28" t="str">
        <f aca="true">IF(J665="","",N665+MAX(0,ROUNDUP((TODAY()-N665)/(J665*7),0))*J665*7)</f>
        <v/>
      </c>
      <c r="P665" s="27" t="str">
        <f aca="false">IF(J665="","",MOD(K665-1,J665*4))</f>
        <v/>
      </c>
      <c r="Q665" s="27" t="str">
        <f aca="false">IF(J665="","",MOD(P665,4))</f>
        <v/>
      </c>
      <c r="R665" s="27" t="str">
        <f aca="false">IF(J665="","",INT(P665/4))</f>
        <v/>
      </c>
      <c r="S665" s="27" t="str">
        <f aca="false">IF(J665="","",IF(AND('Daily Count Sheet'!$H$3=Q665,MOD('Daily Count Sheet'!$I$3,J665)=R665),1,""))</f>
        <v/>
      </c>
      <c r="T665" s="27" t="str">
        <f aca="false">IF(S665=1,COUNTIF($S$2:S665,1),"")</f>
        <v/>
      </c>
    </row>
    <row r="666" customFormat="false" ht="15" hidden="false" customHeight="false" outlineLevel="0" collapsed="false">
      <c r="H666" s="26"/>
      <c r="I666" s="27" t="str">
        <f aca="false">IF(A666="","",IF(H666&lt;&gt;"",UPPER(TRIM(H666)),IFERROR(CHOOSE(VALUE(E666)+1,"A","B","C","D"),IF(OR(LEFT(UPPER(TRIM(E666)),1)="F",UPPER(TRIM(E666))="A"),"A",IF(OR(LEFT(UPPER(TRIM(E666)),1)="M",UPPER(TRIM(E666))="B"),"B",IF(OR(LEFT(UPPER(TRIM(E666)),2)="SL",UPPER(TRIM(E666))="C"),"C",IF(OR(LEFT(UPPER(TRIM(E666)),1)="D",UPPER(TRIM(E666))="D"),"D","")))))))</f>
        <v/>
      </c>
      <c r="J666" s="27" t="str">
        <f aca="false">IF(I666="","",IF(AND(I666="D",Settings!$B$6&lt;&gt;"Yes"),"",IFERROR(INDEX(Settings!$C$9:$C$12,MATCH(I666,Settings!$A$9:$A$12,0)),"")))</f>
        <v/>
      </c>
      <c r="K666" s="27" t="str">
        <f aca="false">IF(J666="","",COUNTIF($I$2:I666,I666))</f>
        <v/>
      </c>
      <c r="L666" s="27" t="str">
        <f aca="false">IF(J666="","",CHOOSE(Q666+1,"Tue","Wed","Thu","Fri"))</f>
        <v/>
      </c>
      <c r="M666" s="27" t="str">
        <f aca="false">IF(J666="","",IF(J666=1,"Every week",R666+1&amp;" of "&amp;J666))</f>
        <v/>
      </c>
      <c r="N666" s="28" t="str">
        <f aca="false">IF(J666="","",Settings!$B$4+R666*7+Q666)</f>
        <v/>
      </c>
      <c r="O666" s="28" t="str">
        <f aca="true">IF(J666="","",N666+MAX(0,ROUNDUP((TODAY()-N666)/(J666*7),0))*J666*7)</f>
        <v/>
      </c>
      <c r="P666" s="27" t="str">
        <f aca="false">IF(J666="","",MOD(K666-1,J666*4))</f>
        <v/>
      </c>
      <c r="Q666" s="27" t="str">
        <f aca="false">IF(J666="","",MOD(P666,4))</f>
        <v/>
      </c>
      <c r="R666" s="27" t="str">
        <f aca="false">IF(J666="","",INT(P666/4))</f>
        <v/>
      </c>
      <c r="S666" s="27" t="str">
        <f aca="false">IF(J666="","",IF(AND('Daily Count Sheet'!$H$3=Q666,MOD('Daily Count Sheet'!$I$3,J666)=R666),1,""))</f>
        <v/>
      </c>
      <c r="T666" s="27" t="str">
        <f aca="false">IF(S666=1,COUNTIF($S$2:S666,1),"")</f>
        <v/>
      </c>
    </row>
    <row r="667" customFormat="false" ht="15" hidden="false" customHeight="false" outlineLevel="0" collapsed="false">
      <c r="H667" s="26"/>
      <c r="I667" s="27" t="str">
        <f aca="false">IF(A667="","",IF(H667&lt;&gt;"",UPPER(TRIM(H667)),IFERROR(CHOOSE(VALUE(E667)+1,"A","B","C","D"),IF(OR(LEFT(UPPER(TRIM(E667)),1)="F",UPPER(TRIM(E667))="A"),"A",IF(OR(LEFT(UPPER(TRIM(E667)),1)="M",UPPER(TRIM(E667))="B"),"B",IF(OR(LEFT(UPPER(TRIM(E667)),2)="SL",UPPER(TRIM(E667))="C"),"C",IF(OR(LEFT(UPPER(TRIM(E667)),1)="D",UPPER(TRIM(E667))="D"),"D","")))))))</f>
        <v/>
      </c>
      <c r="J667" s="27" t="str">
        <f aca="false">IF(I667="","",IF(AND(I667="D",Settings!$B$6&lt;&gt;"Yes"),"",IFERROR(INDEX(Settings!$C$9:$C$12,MATCH(I667,Settings!$A$9:$A$12,0)),"")))</f>
        <v/>
      </c>
      <c r="K667" s="27" t="str">
        <f aca="false">IF(J667="","",COUNTIF($I$2:I667,I667))</f>
        <v/>
      </c>
      <c r="L667" s="27" t="str">
        <f aca="false">IF(J667="","",CHOOSE(Q667+1,"Tue","Wed","Thu","Fri"))</f>
        <v/>
      </c>
      <c r="M667" s="27" t="str">
        <f aca="false">IF(J667="","",IF(J667=1,"Every week",R667+1&amp;" of "&amp;J667))</f>
        <v/>
      </c>
      <c r="N667" s="28" t="str">
        <f aca="false">IF(J667="","",Settings!$B$4+R667*7+Q667)</f>
        <v/>
      </c>
      <c r="O667" s="28" t="str">
        <f aca="true">IF(J667="","",N667+MAX(0,ROUNDUP((TODAY()-N667)/(J667*7),0))*J667*7)</f>
        <v/>
      </c>
      <c r="P667" s="27" t="str">
        <f aca="false">IF(J667="","",MOD(K667-1,J667*4))</f>
        <v/>
      </c>
      <c r="Q667" s="27" t="str">
        <f aca="false">IF(J667="","",MOD(P667,4))</f>
        <v/>
      </c>
      <c r="R667" s="27" t="str">
        <f aca="false">IF(J667="","",INT(P667/4))</f>
        <v/>
      </c>
      <c r="S667" s="27" t="str">
        <f aca="false">IF(J667="","",IF(AND('Daily Count Sheet'!$H$3=Q667,MOD('Daily Count Sheet'!$I$3,J667)=R667),1,""))</f>
        <v/>
      </c>
      <c r="T667" s="27" t="str">
        <f aca="false">IF(S667=1,COUNTIF($S$2:S667,1),"")</f>
        <v/>
      </c>
    </row>
    <row r="668" customFormat="false" ht="15" hidden="false" customHeight="false" outlineLevel="0" collapsed="false">
      <c r="H668" s="26"/>
      <c r="I668" s="27" t="str">
        <f aca="false">IF(A668="","",IF(H668&lt;&gt;"",UPPER(TRIM(H668)),IFERROR(CHOOSE(VALUE(E668)+1,"A","B","C","D"),IF(OR(LEFT(UPPER(TRIM(E668)),1)="F",UPPER(TRIM(E668))="A"),"A",IF(OR(LEFT(UPPER(TRIM(E668)),1)="M",UPPER(TRIM(E668))="B"),"B",IF(OR(LEFT(UPPER(TRIM(E668)),2)="SL",UPPER(TRIM(E668))="C"),"C",IF(OR(LEFT(UPPER(TRIM(E668)),1)="D",UPPER(TRIM(E668))="D"),"D","")))))))</f>
        <v/>
      </c>
      <c r="J668" s="27" t="str">
        <f aca="false">IF(I668="","",IF(AND(I668="D",Settings!$B$6&lt;&gt;"Yes"),"",IFERROR(INDEX(Settings!$C$9:$C$12,MATCH(I668,Settings!$A$9:$A$12,0)),"")))</f>
        <v/>
      </c>
      <c r="K668" s="27" t="str">
        <f aca="false">IF(J668="","",COUNTIF($I$2:I668,I668))</f>
        <v/>
      </c>
      <c r="L668" s="27" t="str">
        <f aca="false">IF(J668="","",CHOOSE(Q668+1,"Tue","Wed","Thu","Fri"))</f>
        <v/>
      </c>
      <c r="M668" s="27" t="str">
        <f aca="false">IF(J668="","",IF(J668=1,"Every week",R668+1&amp;" of "&amp;J668))</f>
        <v/>
      </c>
      <c r="N668" s="28" t="str">
        <f aca="false">IF(J668="","",Settings!$B$4+R668*7+Q668)</f>
        <v/>
      </c>
      <c r="O668" s="28" t="str">
        <f aca="true">IF(J668="","",N668+MAX(0,ROUNDUP((TODAY()-N668)/(J668*7),0))*J668*7)</f>
        <v/>
      </c>
      <c r="P668" s="27" t="str">
        <f aca="false">IF(J668="","",MOD(K668-1,J668*4))</f>
        <v/>
      </c>
      <c r="Q668" s="27" t="str">
        <f aca="false">IF(J668="","",MOD(P668,4))</f>
        <v/>
      </c>
      <c r="R668" s="27" t="str">
        <f aca="false">IF(J668="","",INT(P668/4))</f>
        <v/>
      </c>
      <c r="S668" s="27" t="str">
        <f aca="false">IF(J668="","",IF(AND('Daily Count Sheet'!$H$3=Q668,MOD('Daily Count Sheet'!$I$3,J668)=R668),1,""))</f>
        <v/>
      </c>
      <c r="T668" s="27" t="str">
        <f aca="false">IF(S668=1,COUNTIF($S$2:S668,1),"")</f>
        <v/>
      </c>
    </row>
    <row r="669" customFormat="false" ht="15" hidden="false" customHeight="false" outlineLevel="0" collapsed="false">
      <c r="H669" s="26"/>
      <c r="I669" s="27" t="str">
        <f aca="false">IF(A669="","",IF(H669&lt;&gt;"",UPPER(TRIM(H669)),IFERROR(CHOOSE(VALUE(E669)+1,"A","B","C","D"),IF(OR(LEFT(UPPER(TRIM(E669)),1)="F",UPPER(TRIM(E669))="A"),"A",IF(OR(LEFT(UPPER(TRIM(E669)),1)="M",UPPER(TRIM(E669))="B"),"B",IF(OR(LEFT(UPPER(TRIM(E669)),2)="SL",UPPER(TRIM(E669))="C"),"C",IF(OR(LEFT(UPPER(TRIM(E669)),1)="D",UPPER(TRIM(E669))="D"),"D","")))))))</f>
        <v/>
      </c>
      <c r="J669" s="27" t="str">
        <f aca="false">IF(I669="","",IF(AND(I669="D",Settings!$B$6&lt;&gt;"Yes"),"",IFERROR(INDEX(Settings!$C$9:$C$12,MATCH(I669,Settings!$A$9:$A$12,0)),"")))</f>
        <v/>
      </c>
      <c r="K669" s="27" t="str">
        <f aca="false">IF(J669="","",COUNTIF($I$2:I669,I669))</f>
        <v/>
      </c>
      <c r="L669" s="27" t="str">
        <f aca="false">IF(J669="","",CHOOSE(Q669+1,"Tue","Wed","Thu","Fri"))</f>
        <v/>
      </c>
      <c r="M669" s="27" t="str">
        <f aca="false">IF(J669="","",IF(J669=1,"Every week",R669+1&amp;" of "&amp;J669))</f>
        <v/>
      </c>
      <c r="N669" s="28" t="str">
        <f aca="false">IF(J669="","",Settings!$B$4+R669*7+Q669)</f>
        <v/>
      </c>
      <c r="O669" s="28" t="str">
        <f aca="true">IF(J669="","",N669+MAX(0,ROUNDUP((TODAY()-N669)/(J669*7),0))*J669*7)</f>
        <v/>
      </c>
      <c r="P669" s="27" t="str">
        <f aca="false">IF(J669="","",MOD(K669-1,J669*4))</f>
        <v/>
      </c>
      <c r="Q669" s="27" t="str">
        <f aca="false">IF(J669="","",MOD(P669,4))</f>
        <v/>
      </c>
      <c r="R669" s="27" t="str">
        <f aca="false">IF(J669="","",INT(P669/4))</f>
        <v/>
      </c>
      <c r="S669" s="27" t="str">
        <f aca="false">IF(J669="","",IF(AND('Daily Count Sheet'!$H$3=Q669,MOD('Daily Count Sheet'!$I$3,J669)=R669),1,""))</f>
        <v/>
      </c>
      <c r="T669" s="27" t="str">
        <f aca="false">IF(S669=1,COUNTIF($S$2:S669,1),"")</f>
        <v/>
      </c>
    </row>
    <row r="670" customFormat="false" ht="15" hidden="false" customHeight="false" outlineLevel="0" collapsed="false">
      <c r="H670" s="26"/>
      <c r="I670" s="27" t="str">
        <f aca="false">IF(A670="","",IF(H670&lt;&gt;"",UPPER(TRIM(H670)),IFERROR(CHOOSE(VALUE(E670)+1,"A","B","C","D"),IF(OR(LEFT(UPPER(TRIM(E670)),1)="F",UPPER(TRIM(E670))="A"),"A",IF(OR(LEFT(UPPER(TRIM(E670)),1)="M",UPPER(TRIM(E670))="B"),"B",IF(OR(LEFT(UPPER(TRIM(E670)),2)="SL",UPPER(TRIM(E670))="C"),"C",IF(OR(LEFT(UPPER(TRIM(E670)),1)="D",UPPER(TRIM(E670))="D"),"D","")))))))</f>
        <v/>
      </c>
      <c r="J670" s="27" t="str">
        <f aca="false">IF(I670="","",IF(AND(I670="D",Settings!$B$6&lt;&gt;"Yes"),"",IFERROR(INDEX(Settings!$C$9:$C$12,MATCH(I670,Settings!$A$9:$A$12,0)),"")))</f>
        <v/>
      </c>
      <c r="K670" s="27" t="str">
        <f aca="false">IF(J670="","",COUNTIF($I$2:I670,I670))</f>
        <v/>
      </c>
      <c r="L670" s="27" t="str">
        <f aca="false">IF(J670="","",CHOOSE(Q670+1,"Tue","Wed","Thu","Fri"))</f>
        <v/>
      </c>
      <c r="M670" s="27" t="str">
        <f aca="false">IF(J670="","",IF(J670=1,"Every week",R670+1&amp;" of "&amp;J670))</f>
        <v/>
      </c>
      <c r="N670" s="28" t="str">
        <f aca="false">IF(J670="","",Settings!$B$4+R670*7+Q670)</f>
        <v/>
      </c>
      <c r="O670" s="28" t="str">
        <f aca="true">IF(J670="","",N670+MAX(0,ROUNDUP((TODAY()-N670)/(J670*7),0))*J670*7)</f>
        <v/>
      </c>
      <c r="P670" s="27" t="str">
        <f aca="false">IF(J670="","",MOD(K670-1,J670*4))</f>
        <v/>
      </c>
      <c r="Q670" s="27" t="str">
        <f aca="false">IF(J670="","",MOD(P670,4))</f>
        <v/>
      </c>
      <c r="R670" s="27" t="str">
        <f aca="false">IF(J670="","",INT(P670/4))</f>
        <v/>
      </c>
      <c r="S670" s="27" t="str">
        <f aca="false">IF(J670="","",IF(AND('Daily Count Sheet'!$H$3=Q670,MOD('Daily Count Sheet'!$I$3,J670)=R670),1,""))</f>
        <v/>
      </c>
      <c r="T670" s="27" t="str">
        <f aca="false">IF(S670=1,COUNTIF($S$2:S670,1),"")</f>
        <v/>
      </c>
    </row>
    <row r="671" customFormat="false" ht="15" hidden="false" customHeight="false" outlineLevel="0" collapsed="false">
      <c r="H671" s="26"/>
      <c r="I671" s="27" t="str">
        <f aca="false">IF(A671="","",IF(H671&lt;&gt;"",UPPER(TRIM(H671)),IFERROR(CHOOSE(VALUE(E671)+1,"A","B","C","D"),IF(OR(LEFT(UPPER(TRIM(E671)),1)="F",UPPER(TRIM(E671))="A"),"A",IF(OR(LEFT(UPPER(TRIM(E671)),1)="M",UPPER(TRIM(E671))="B"),"B",IF(OR(LEFT(UPPER(TRIM(E671)),2)="SL",UPPER(TRIM(E671))="C"),"C",IF(OR(LEFT(UPPER(TRIM(E671)),1)="D",UPPER(TRIM(E671))="D"),"D","")))))))</f>
        <v/>
      </c>
      <c r="J671" s="27" t="str">
        <f aca="false">IF(I671="","",IF(AND(I671="D",Settings!$B$6&lt;&gt;"Yes"),"",IFERROR(INDEX(Settings!$C$9:$C$12,MATCH(I671,Settings!$A$9:$A$12,0)),"")))</f>
        <v/>
      </c>
      <c r="K671" s="27" t="str">
        <f aca="false">IF(J671="","",COUNTIF($I$2:I671,I671))</f>
        <v/>
      </c>
      <c r="L671" s="27" t="str">
        <f aca="false">IF(J671="","",CHOOSE(Q671+1,"Tue","Wed","Thu","Fri"))</f>
        <v/>
      </c>
      <c r="M671" s="27" t="str">
        <f aca="false">IF(J671="","",IF(J671=1,"Every week",R671+1&amp;" of "&amp;J671))</f>
        <v/>
      </c>
      <c r="N671" s="28" t="str">
        <f aca="false">IF(J671="","",Settings!$B$4+R671*7+Q671)</f>
        <v/>
      </c>
      <c r="O671" s="28" t="str">
        <f aca="true">IF(J671="","",N671+MAX(0,ROUNDUP((TODAY()-N671)/(J671*7),0))*J671*7)</f>
        <v/>
      </c>
      <c r="P671" s="27" t="str">
        <f aca="false">IF(J671="","",MOD(K671-1,J671*4))</f>
        <v/>
      </c>
      <c r="Q671" s="27" t="str">
        <f aca="false">IF(J671="","",MOD(P671,4))</f>
        <v/>
      </c>
      <c r="R671" s="27" t="str">
        <f aca="false">IF(J671="","",INT(P671/4))</f>
        <v/>
      </c>
      <c r="S671" s="27" t="str">
        <f aca="false">IF(J671="","",IF(AND('Daily Count Sheet'!$H$3=Q671,MOD('Daily Count Sheet'!$I$3,J671)=R671),1,""))</f>
        <v/>
      </c>
      <c r="T671" s="27" t="str">
        <f aca="false">IF(S671=1,COUNTIF($S$2:S671,1),"")</f>
        <v/>
      </c>
    </row>
    <row r="672" customFormat="false" ht="15" hidden="false" customHeight="false" outlineLevel="0" collapsed="false">
      <c r="H672" s="26"/>
      <c r="I672" s="27" t="str">
        <f aca="false">IF(A672="","",IF(H672&lt;&gt;"",UPPER(TRIM(H672)),IFERROR(CHOOSE(VALUE(E672)+1,"A","B","C","D"),IF(OR(LEFT(UPPER(TRIM(E672)),1)="F",UPPER(TRIM(E672))="A"),"A",IF(OR(LEFT(UPPER(TRIM(E672)),1)="M",UPPER(TRIM(E672))="B"),"B",IF(OR(LEFT(UPPER(TRIM(E672)),2)="SL",UPPER(TRIM(E672))="C"),"C",IF(OR(LEFT(UPPER(TRIM(E672)),1)="D",UPPER(TRIM(E672))="D"),"D","")))))))</f>
        <v/>
      </c>
      <c r="J672" s="27" t="str">
        <f aca="false">IF(I672="","",IF(AND(I672="D",Settings!$B$6&lt;&gt;"Yes"),"",IFERROR(INDEX(Settings!$C$9:$C$12,MATCH(I672,Settings!$A$9:$A$12,0)),"")))</f>
        <v/>
      </c>
      <c r="K672" s="27" t="str">
        <f aca="false">IF(J672="","",COUNTIF($I$2:I672,I672))</f>
        <v/>
      </c>
      <c r="L672" s="27" t="str">
        <f aca="false">IF(J672="","",CHOOSE(Q672+1,"Tue","Wed","Thu","Fri"))</f>
        <v/>
      </c>
      <c r="M672" s="27" t="str">
        <f aca="false">IF(J672="","",IF(J672=1,"Every week",R672+1&amp;" of "&amp;J672))</f>
        <v/>
      </c>
      <c r="N672" s="28" t="str">
        <f aca="false">IF(J672="","",Settings!$B$4+R672*7+Q672)</f>
        <v/>
      </c>
      <c r="O672" s="28" t="str">
        <f aca="true">IF(J672="","",N672+MAX(0,ROUNDUP((TODAY()-N672)/(J672*7),0))*J672*7)</f>
        <v/>
      </c>
      <c r="P672" s="27" t="str">
        <f aca="false">IF(J672="","",MOD(K672-1,J672*4))</f>
        <v/>
      </c>
      <c r="Q672" s="27" t="str">
        <f aca="false">IF(J672="","",MOD(P672,4))</f>
        <v/>
      </c>
      <c r="R672" s="27" t="str">
        <f aca="false">IF(J672="","",INT(P672/4))</f>
        <v/>
      </c>
      <c r="S672" s="27" t="str">
        <f aca="false">IF(J672="","",IF(AND('Daily Count Sheet'!$H$3=Q672,MOD('Daily Count Sheet'!$I$3,J672)=R672),1,""))</f>
        <v/>
      </c>
      <c r="T672" s="27" t="str">
        <f aca="false">IF(S672=1,COUNTIF($S$2:S672,1),"")</f>
        <v/>
      </c>
    </row>
    <row r="673" customFormat="false" ht="15" hidden="false" customHeight="false" outlineLevel="0" collapsed="false">
      <c r="H673" s="26"/>
      <c r="I673" s="27" t="str">
        <f aca="false">IF(A673="","",IF(H673&lt;&gt;"",UPPER(TRIM(H673)),IFERROR(CHOOSE(VALUE(E673)+1,"A","B","C","D"),IF(OR(LEFT(UPPER(TRIM(E673)),1)="F",UPPER(TRIM(E673))="A"),"A",IF(OR(LEFT(UPPER(TRIM(E673)),1)="M",UPPER(TRIM(E673))="B"),"B",IF(OR(LEFT(UPPER(TRIM(E673)),2)="SL",UPPER(TRIM(E673))="C"),"C",IF(OR(LEFT(UPPER(TRIM(E673)),1)="D",UPPER(TRIM(E673))="D"),"D","")))))))</f>
        <v/>
      </c>
      <c r="J673" s="27" t="str">
        <f aca="false">IF(I673="","",IF(AND(I673="D",Settings!$B$6&lt;&gt;"Yes"),"",IFERROR(INDEX(Settings!$C$9:$C$12,MATCH(I673,Settings!$A$9:$A$12,0)),"")))</f>
        <v/>
      </c>
      <c r="K673" s="27" t="str">
        <f aca="false">IF(J673="","",COUNTIF($I$2:I673,I673))</f>
        <v/>
      </c>
      <c r="L673" s="27" t="str">
        <f aca="false">IF(J673="","",CHOOSE(Q673+1,"Tue","Wed","Thu","Fri"))</f>
        <v/>
      </c>
      <c r="M673" s="27" t="str">
        <f aca="false">IF(J673="","",IF(J673=1,"Every week",R673+1&amp;" of "&amp;J673))</f>
        <v/>
      </c>
      <c r="N673" s="28" t="str">
        <f aca="false">IF(J673="","",Settings!$B$4+R673*7+Q673)</f>
        <v/>
      </c>
      <c r="O673" s="28" t="str">
        <f aca="true">IF(J673="","",N673+MAX(0,ROUNDUP((TODAY()-N673)/(J673*7),0))*J673*7)</f>
        <v/>
      </c>
      <c r="P673" s="27" t="str">
        <f aca="false">IF(J673="","",MOD(K673-1,J673*4))</f>
        <v/>
      </c>
      <c r="Q673" s="27" t="str">
        <f aca="false">IF(J673="","",MOD(P673,4))</f>
        <v/>
      </c>
      <c r="R673" s="27" t="str">
        <f aca="false">IF(J673="","",INT(P673/4))</f>
        <v/>
      </c>
      <c r="S673" s="27" t="str">
        <f aca="false">IF(J673="","",IF(AND('Daily Count Sheet'!$H$3=Q673,MOD('Daily Count Sheet'!$I$3,J673)=R673),1,""))</f>
        <v/>
      </c>
      <c r="T673" s="27" t="str">
        <f aca="false">IF(S673=1,COUNTIF($S$2:S673,1),"")</f>
        <v/>
      </c>
    </row>
    <row r="674" customFormat="false" ht="15" hidden="false" customHeight="false" outlineLevel="0" collapsed="false">
      <c r="H674" s="26"/>
      <c r="I674" s="27" t="str">
        <f aca="false">IF(A674="","",IF(H674&lt;&gt;"",UPPER(TRIM(H674)),IFERROR(CHOOSE(VALUE(E674)+1,"A","B","C","D"),IF(OR(LEFT(UPPER(TRIM(E674)),1)="F",UPPER(TRIM(E674))="A"),"A",IF(OR(LEFT(UPPER(TRIM(E674)),1)="M",UPPER(TRIM(E674))="B"),"B",IF(OR(LEFT(UPPER(TRIM(E674)),2)="SL",UPPER(TRIM(E674))="C"),"C",IF(OR(LEFT(UPPER(TRIM(E674)),1)="D",UPPER(TRIM(E674))="D"),"D","")))))))</f>
        <v/>
      </c>
      <c r="J674" s="27" t="str">
        <f aca="false">IF(I674="","",IF(AND(I674="D",Settings!$B$6&lt;&gt;"Yes"),"",IFERROR(INDEX(Settings!$C$9:$C$12,MATCH(I674,Settings!$A$9:$A$12,0)),"")))</f>
        <v/>
      </c>
      <c r="K674" s="27" t="str">
        <f aca="false">IF(J674="","",COUNTIF($I$2:I674,I674))</f>
        <v/>
      </c>
      <c r="L674" s="27" t="str">
        <f aca="false">IF(J674="","",CHOOSE(Q674+1,"Tue","Wed","Thu","Fri"))</f>
        <v/>
      </c>
      <c r="M674" s="27" t="str">
        <f aca="false">IF(J674="","",IF(J674=1,"Every week",R674+1&amp;" of "&amp;J674))</f>
        <v/>
      </c>
      <c r="N674" s="28" t="str">
        <f aca="false">IF(J674="","",Settings!$B$4+R674*7+Q674)</f>
        <v/>
      </c>
      <c r="O674" s="28" t="str">
        <f aca="true">IF(J674="","",N674+MAX(0,ROUNDUP((TODAY()-N674)/(J674*7),0))*J674*7)</f>
        <v/>
      </c>
      <c r="P674" s="27" t="str">
        <f aca="false">IF(J674="","",MOD(K674-1,J674*4))</f>
        <v/>
      </c>
      <c r="Q674" s="27" t="str">
        <f aca="false">IF(J674="","",MOD(P674,4))</f>
        <v/>
      </c>
      <c r="R674" s="27" t="str">
        <f aca="false">IF(J674="","",INT(P674/4))</f>
        <v/>
      </c>
      <c r="S674" s="27" t="str">
        <f aca="false">IF(J674="","",IF(AND('Daily Count Sheet'!$H$3=Q674,MOD('Daily Count Sheet'!$I$3,J674)=R674),1,""))</f>
        <v/>
      </c>
      <c r="T674" s="27" t="str">
        <f aca="false">IF(S674=1,COUNTIF($S$2:S674,1),"")</f>
        <v/>
      </c>
    </row>
    <row r="675" customFormat="false" ht="15" hidden="false" customHeight="false" outlineLevel="0" collapsed="false">
      <c r="H675" s="26"/>
      <c r="I675" s="27" t="str">
        <f aca="false">IF(A675="","",IF(H675&lt;&gt;"",UPPER(TRIM(H675)),IFERROR(CHOOSE(VALUE(E675)+1,"A","B","C","D"),IF(OR(LEFT(UPPER(TRIM(E675)),1)="F",UPPER(TRIM(E675))="A"),"A",IF(OR(LEFT(UPPER(TRIM(E675)),1)="M",UPPER(TRIM(E675))="B"),"B",IF(OR(LEFT(UPPER(TRIM(E675)),2)="SL",UPPER(TRIM(E675))="C"),"C",IF(OR(LEFT(UPPER(TRIM(E675)),1)="D",UPPER(TRIM(E675))="D"),"D","")))))))</f>
        <v/>
      </c>
      <c r="J675" s="27" t="str">
        <f aca="false">IF(I675="","",IF(AND(I675="D",Settings!$B$6&lt;&gt;"Yes"),"",IFERROR(INDEX(Settings!$C$9:$C$12,MATCH(I675,Settings!$A$9:$A$12,0)),"")))</f>
        <v/>
      </c>
      <c r="K675" s="27" t="str">
        <f aca="false">IF(J675="","",COUNTIF($I$2:I675,I675))</f>
        <v/>
      </c>
      <c r="L675" s="27" t="str">
        <f aca="false">IF(J675="","",CHOOSE(Q675+1,"Tue","Wed","Thu","Fri"))</f>
        <v/>
      </c>
      <c r="M675" s="27" t="str">
        <f aca="false">IF(J675="","",IF(J675=1,"Every week",R675+1&amp;" of "&amp;J675))</f>
        <v/>
      </c>
      <c r="N675" s="28" t="str">
        <f aca="false">IF(J675="","",Settings!$B$4+R675*7+Q675)</f>
        <v/>
      </c>
      <c r="O675" s="28" t="str">
        <f aca="true">IF(J675="","",N675+MAX(0,ROUNDUP((TODAY()-N675)/(J675*7),0))*J675*7)</f>
        <v/>
      </c>
      <c r="P675" s="27" t="str">
        <f aca="false">IF(J675="","",MOD(K675-1,J675*4))</f>
        <v/>
      </c>
      <c r="Q675" s="27" t="str">
        <f aca="false">IF(J675="","",MOD(P675,4))</f>
        <v/>
      </c>
      <c r="R675" s="27" t="str">
        <f aca="false">IF(J675="","",INT(P675/4))</f>
        <v/>
      </c>
      <c r="S675" s="27" t="str">
        <f aca="false">IF(J675="","",IF(AND('Daily Count Sheet'!$H$3=Q675,MOD('Daily Count Sheet'!$I$3,J675)=R675),1,""))</f>
        <v/>
      </c>
      <c r="T675" s="27" t="str">
        <f aca="false">IF(S675=1,COUNTIF($S$2:S675,1),"")</f>
        <v/>
      </c>
    </row>
    <row r="676" customFormat="false" ht="15" hidden="false" customHeight="false" outlineLevel="0" collapsed="false">
      <c r="H676" s="26"/>
      <c r="I676" s="27" t="str">
        <f aca="false">IF(A676="","",IF(H676&lt;&gt;"",UPPER(TRIM(H676)),IFERROR(CHOOSE(VALUE(E676)+1,"A","B","C","D"),IF(OR(LEFT(UPPER(TRIM(E676)),1)="F",UPPER(TRIM(E676))="A"),"A",IF(OR(LEFT(UPPER(TRIM(E676)),1)="M",UPPER(TRIM(E676))="B"),"B",IF(OR(LEFT(UPPER(TRIM(E676)),2)="SL",UPPER(TRIM(E676))="C"),"C",IF(OR(LEFT(UPPER(TRIM(E676)),1)="D",UPPER(TRIM(E676))="D"),"D","")))))))</f>
        <v/>
      </c>
      <c r="J676" s="27" t="str">
        <f aca="false">IF(I676="","",IF(AND(I676="D",Settings!$B$6&lt;&gt;"Yes"),"",IFERROR(INDEX(Settings!$C$9:$C$12,MATCH(I676,Settings!$A$9:$A$12,0)),"")))</f>
        <v/>
      </c>
      <c r="K676" s="27" t="str">
        <f aca="false">IF(J676="","",COUNTIF($I$2:I676,I676))</f>
        <v/>
      </c>
      <c r="L676" s="27" t="str">
        <f aca="false">IF(J676="","",CHOOSE(Q676+1,"Tue","Wed","Thu","Fri"))</f>
        <v/>
      </c>
      <c r="M676" s="27" t="str">
        <f aca="false">IF(J676="","",IF(J676=1,"Every week",R676+1&amp;" of "&amp;J676))</f>
        <v/>
      </c>
      <c r="N676" s="28" t="str">
        <f aca="false">IF(J676="","",Settings!$B$4+R676*7+Q676)</f>
        <v/>
      </c>
      <c r="O676" s="28" t="str">
        <f aca="true">IF(J676="","",N676+MAX(0,ROUNDUP((TODAY()-N676)/(J676*7),0))*J676*7)</f>
        <v/>
      </c>
      <c r="P676" s="27" t="str">
        <f aca="false">IF(J676="","",MOD(K676-1,J676*4))</f>
        <v/>
      </c>
      <c r="Q676" s="27" t="str">
        <f aca="false">IF(J676="","",MOD(P676,4))</f>
        <v/>
      </c>
      <c r="R676" s="27" t="str">
        <f aca="false">IF(J676="","",INT(P676/4))</f>
        <v/>
      </c>
      <c r="S676" s="27" t="str">
        <f aca="false">IF(J676="","",IF(AND('Daily Count Sheet'!$H$3=Q676,MOD('Daily Count Sheet'!$I$3,J676)=R676),1,""))</f>
        <v/>
      </c>
      <c r="T676" s="27" t="str">
        <f aca="false">IF(S676=1,COUNTIF($S$2:S676,1),"")</f>
        <v/>
      </c>
    </row>
    <row r="677" customFormat="false" ht="15" hidden="false" customHeight="false" outlineLevel="0" collapsed="false">
      <c r="H677" s="26"/>
      <c r="I677" s="27" t="str">
        <f aca="false">IF(A677="","",IF(H677&lt;&gt;"",UPPER(TRIM(H677)),IFERROR(CHOOSE(VALUE(E677)+1,"A","B","C","D"),IF(OR(LEFT(UPPER(TRIM(E677)),1)="F",UPPER(TRIM(E677))="A"),"A",IF(OR(LEFT(UPPER(TRIM(E677)),1)="M",UPPER(TRIM(E677))="B"),"B",IF(OR(LEFT(UPPER(TRIM(E677)),2)="SL",UPPER(TRIM(E677))="C"),"C",IF(OR(LEFT(UPPER(TRIM(E677)),1)="D",UPPER(TRIM(E677))="D"),"D","")))))))</f>
        <v/>
      </c>
      <c r="J677" s="27" t="str">
        <f aca="false">IF(I677="","",IF(AND(I677="D",Settings!$B$6&lt;&gt;"Yes"),"",IFERROR(INDEX(Settings!$C$9:$C$12,MATCH(I677,Settings!$A$9:$A$12,0)),"")))</f>
        <v/>
      </c>
      <c r="K677" s="27" t="str">
        <f aca="false">IF(J677="","",COUNTIF($I$2:I677,I677))</f>
        <v/>
      </c>
      <c r="L677" s="27" t="str">
        <f aca="false">IF(J677="","",CHOOSE(Q677+1,"Tue","Wed","Thu","Fri"))</f>
        <v/>
      </c>
      <c r="M677" s="27" t="str">
        <f aca="false">IF(J677="","",IF(J677=1,"Every week",R677+1&amp;" of "&amp;J677))</f>
        <v/>
      </c>
      <c r="N677" s="28" t="str">
        <f aca="false">IF(J677="","",Settings!$B$4+R677*7+Q677)</f>
        <v/>
      </c>
      <c r="O677" s="28" t="str">
        <f aca="true">IF(J677="","",N677+MAX(0,ROUNDUP((TODAY()-N677)/(J677*7),0))*J677*7)</f>
        <v/>
      </c>
      <c r="P677" s="27" t="str">
        <f aca="false">IF(J677="","",MOD(K677-1,J677*4))</f>
        <v/>
      </c>
      <c r="Q677" s="27" t="str">
        <f aca="false">IF(J677="","",MOD(P677,4))</f>
        <v/>
      </c>
      <c r="R677" s="27" t="str">
        <f aca="false">IF(J677="","",INT(P677/4))</f>
        <v/>
      </c>
      <c r="S677" s="27" t="str">
        <f aca="false">IF(J677="","",IF(AND('Daily Count Sheet'!$H$3=Q677,MOD('Daily Count Sheet'!$I$3,J677)=R677),1,""))</f>
        <v/>
      </c>
      <c r="T677" s="27" t="str">
        <f aca="false">IF(S677=1,COUNTIF($S$2:S677,1),"")</f>
        <v/>
      </c>
    </row>
    <row r="678" customFormat="false" ht="15" hidden="false" customHeight="false" outlineLevel="0" collapsed="false">
      <c r="H678" s="26"/>
      <c r="I678" s="27" t="str">
        <f aca="false">IF(A678="","",IF(H678&lt;&gt;"",UPPER(TRIM(H678)),IFERROR(CHOOSE(VALUE(E678)+1,"A","B","C","D"),IF(OR(LEFT(UPPER(TRIM(E678)),1)="F",UPPER(TRIM(E678))="A"),"A",IF(OR(LEFT(UPPER(TRIM(E678)),1)="M",UPPER(TRIM(E678))="B"),"B",IF(OR(LEFT(UPPER(TRIM(E678)),2)="SL",UPPER(TRIM(E678))="C"),"C",IF(OR(LEFT(UPPER(TRIM(E678)),1)="D",UPPER(TRIM(E678))="D"),"D","")))))))</f>
        <v/>
      </c>
      <c r="J678" s="27" t="str">
        <f aca="false">IF(I678="","",IF(AND(I678="D",Settings!$B$6&lt;&gt;"Yes"),"",IFERROR(INDEX(Settings!$C$9:$C$12,MATCH(I678,Settings!$A$9:$A$12,0)),"")))</f>
        <v/>
      </c>
      <c r="K678" s="27" t="str">
        <f aca="false">IF(J678="","",COUNTIF($I$2:I678,I678))</f>
        <v/>
      </c>
      <c r="L678" s="27" t="str">
        <f aca="false">IF(J678="","",CHOOSE(Q678+1,"Tue","Wed","Thu","Fri"))</f>
        <v/>
      </c>
      <c r="M678" s="27" t="str">
        <f aca="false">IF(J678="","",IF(J678=1,"Every week",R678+1&amp;" of "&amp;J678))</f>
        <v/>
      </c>
      <c r="N678" s="28" t="str">
        <f aca="false">IF(J678="","",Settings!$B$4+R678*7+Q678)</f>
        <v/>
      </c>
      <c r="O678" s="28" t="str">
        <f aca="true">IF(J678="","",N678+MAX(0,ROUNDUP((TODAY()-N678)/(J678*7),0))*J678*7)</f>
        <v/>
      </c>
      <c r="P678" s="27" t="str">
        <f aca="false">IF(J678="","",MOD(K678-1,J678*4))</f>
        <v/>
      </c>
      <c r="Q678" s="27" t="str">
        <f aca="false">IF(J678="","",MOD(P678,4))</f>
        <v/>
      </c>
      <c r="R678" s="27" t="str">
        <f aca="false">IF(J678="","",INT(P678/4))</f>
        <v/>
      </c>
      <c r="S678" s="27" t="str">
        <f aca="false">IF(J678="","",IF(AND('Daily Count Sheet'!$H$3=Q678,MOD('Daily Count Sheet'!$I$3,J678)=R678),1,""))</f>
        <v/>
      </c>
      <c r="T678" s="27" t="str">
        <f aca="false">IF(S678=1,COUNTIF($S$2:S678,1),"")</f>
        <v/>
      </c>
    </row>
    <row r="679" customFormat="false" ht="15" hidden="false" customHeight="false" outlineLevel="0" collapsed="false">
      <c r="H679" s="26"/>
      <c r="I679" s="27" t="str">
        <f aca="false">IF(A679="","",IF(H679&lt;&gt;"",UPPER(TRIM(H679)),IFERROR(CHOOSE(VALUE(E679)+1,"A","B","C","D"),IF(OR(LEFT(UPPER(TRIM(E679)),1)="F",UPPER(TRIM(E679))="A"),"A",IF(OR(LEFT(UPPER(TRIM(E679)),1)="M",UPPER(TRIM(E679))="B"),"B",IF(OR(LEFT(UPPER(TRIM(E679)),2)="SL",UPPER(TRIM(E679))="C"),"C",IF(OR(LEFT(UPPER(TRIM(E679)),1)="D",UPPER(TRIM(E679))="D"),"D","")))))))</f>
        <v/>
      </c>
      <c r="J679" s="27" t="str">
        <f aca="false">IF(I679="","",IF(AND(I679="D",Settings!$B$6&lt;&gt;"Yes"),"",IFERROR(INDEX(Settings!$C$9:$C$12,MATCH(I679,Settings!$A$9:$A$12,0)),"")))</f>
        <v/>
      </c>
      <c r="K679" s="27" t="str">
        <f aca="false">IF(J679="","",COUNTIF($I$2:I679,I679))</f>
        <v/>
      </c>
      <c r="L679" s="27" t="str">
        <f aca="false">IF(J679="","",CHOOSE(Q679+1,"Tue","Wed","Thu","Fri"))</f>
        <v/>
      </c>
      <c r="M679" s="27" t="str">
        <f aca="false">IF(J679="","",IF(J679=1,"Every week",R679+1&amp;" of "&amp;J679))</f>
        <v/>
      </c>
      <c r="N679" s="28" t="str">
        <f aca="false">IF(J679="","",Settings!$B$4+R679*7+Q679)</f>
        <v/>
      </c>
      <c r="O679" s="28" t="str">
        <f aca="true">IF(J679="","",N679+MAX(0,ROUNDUP((TODAY()-N679)/(J679*7),0))*J679*7)</f>
        <v/>
      </c>
      <c r="P679" s="27" t="str">
        <f aca="false">IF(J679="","",MOD(K679-1,J679*4))</f>
        <v/>
      </c>
      <c r="Q679" s="27" t="str">
        <f aca="false">IF(J679="","",MOD(P679,4))</f>
        <v/>
      </c>
      <c r="R679" s="27" t="str">
        <f aca="false">IF(J679="","",INT(P679/4))</f>
        <v/>
      </c>
      <c r="S679" s="27" t="str">
        <f aca="false">IF(J679="","",IF(AND('Daily Count Sheet'!$H$3=Q679,MOD('Daily Count Sheet'!$I$3,J679)=R679),1,""))</f>
        <v/>
      </c>
      <c r="T679" s="27" t="str">
        <f aca="false">IF(S679=1,COUNTIF($S$2:S679,1),"")</f>
        <v/>
      </c>
    </row>
    <row r="680" customFormat="false" ht="15" hidden="false" customHeight="false" outlineLevel="0" collapsed="false">
      <c r="H680" s="26"/>
      <c r="I680" s="27" t="str">
        <f aca="false">IF(A680="","",IF(H680&lt;&gt;"",UPPER(TRIM(H680)),IFERROR(CHOOSE(VALUE(E680)+1,"A","B","C","D"),IF(OR(LEFT(UPPER(TRIM(E680)),1)="F",UPPER(TRIM(E680))="A"),"A",IF(OR(LEFT(UPPER(TRIM(E680)),1)="M",UPPER(TRIM(E680))="B"),"B",IF(OR(LEFT(UPPER(TRIM(E680)),2)="SL",UPPER(TRIM(E680))="C"),"C",IF(OR(LEFT(UPPER(TRIM(E680)),1)="D",UPPER(TRIM(E680))="D"),"D","")))))))</f>
        <v/>
      </c>
      <c r="J680" s="27" t="str">
        <f aca="false">IF(I680="","",IF(AND(I680="D",Settings!$B$6&lt;&gt;"Yes"),"",IFERROR(INDEX(Settings!$C$9:$C$12,MATCH(I680,Settings!$A$9:$A$12,0)),"")))</f>
        <v/>
      </c>
      <c r="K680" s="27" t="str">
        <f aca="false">IF(J680="","",COUNTIF($I$2:I680,I680))</f>
        <v/>
      </c>
      <c r="L680" s="27" t="str">
        <f aca="false">IF(J680="","",CHOOSE(Q680+1,"Tue","Wed","Thu","Fri"))</f>
        <v/>
      </c>
      <c r="M680" s="27" t="str">
        <f aca="false">IF(J680="","",IF(J680=1,"Every week",R680+1&amp;" of "&amp;J680))</f>
        <v/>
      </c>
      <c r="N680" s="28" t="str">
        <f aca="false">IF(J680="","",Settings!$B$4+R680*7+Q680)</f>
        <v/>
      </c>
      <c r="O680" s="28" t="str">
        <f aca="true">IF(J680="","",N680+MAX(0,ROUNDUP((TODAY()-N680)/(J680*7),0))*J680*7)</f>
        <v/>
      </c>
      <c r="P680" s="27" t="str">
        <f aca="false">IF(J680="","",MOD(K680-1,J680*4))</f>
        <v/>
      </c>
      <c r="Q680" s="27" t="str">
        <f aca="false">IF(J680="","",MOD(P680,4))</f>
        <v/>
      </c>
      <c r="R680" s="27" t="str">
        <f aca="false">IF(J680="","",INT(P680/4))</f>
        <v/>
      </c>
      <c r="S680" s="27" t="str">
        <f aca="false">IF(J680="","",IF(AND('Daily Count Sheet'!$H$3=Q680,MOD('Daily Count Sheet'!$I$3,J680)=R680),1,""))</f>
        <v/>
      </c>
      <c r="T680" s="27" t="str">
        <f aca="false">IF(S680=1,COUNTIF($S$2:S680,1),"")</f>
        <v/>
      </c>
    </row>
    <row r="681" customFormat="false" ht="15" hidden="false" customHeight="false" outlineLevel="0" collapsed="false">
      <c r="H681" s="26"/>
      <c r="I681" s="27" t="str">
        <f aca="false">IF(A681="","",IF(H681&lt;&gt;"",UPPER(TRIM(H681)),IFERROR(CHOOSE(VALUE(E681)+1,"A","B","C","D"),IF(OR(LEFT(UPPER(TRIM(E681)),1)="F",UPPER(TRIM(E681))="A"),"A",IF(OR(LEFT(UPPER(TRIM(E681)),1)="M",UPPER(TRIM(E681))="B"),"B",IF(OR(LEFT(UPPER(TRIM(E681)),2)="SL",UPPER(TRIM(E681))="C"),"C",IF(OR(LEFT(UPPER(TRIM(E681)),1)="D",UPPER(TRIM(E681))="D"),"D","")))))))</f>
        <v/>
      </c>
      <c r="J681" s="27" t="str">
        <f aca="false">IF(I681="","",IF(AND(I681="D",Settings!$B$6&lt;&gt;"Yes"),"",IFERROR(INDEX(Settings!$C$9:$C$12,MATCH(I681,Settings!$A$9:$A$12,0)),"")))</f>
        <v/>
      </c>
      <c r="K681" s="27" t="str">
        <f aca="false">IF(J681="","",COUNTIF($I$2:I681,I681))</f>
        <v/>
      </c>
      <c r="L681" s="27" t="str">
        <f aca="false">IF(J681="","",CHOOSE(Q681+1,"Tue","Wed","Thu","Fri"))</f>
        <v/>
      </c>
      <c r="M681" s="27" t="str">
        <f aca="false">IF(J681="","",IF(J681=1,"Every week",R681+1&amp;" of "&amp;J681))</f>
        <v/>
      </c>
      <c r="N681" s="28" t="str">
        <f aca="false">IF(J681="","",Settings!$B$4+R681*7+Q681)</f>
        <v/>
      </c>
      <c r="O681" s="28" t="str">
        <f aca="true">IF(J681="","",N681+MAX(0,ROUNDUP((TODAY()-N681)/(J681*7),0))*J681*7)</f>
        <v/>
      </c>
      <c r="P681" s="27" t="str">
        <f aca="false">IF(J681="","",MOD(K681-1,J681*4))</f>
        <v/>
      </c>
      <c r="Q681" s="27" t="str">
        <f aca="false">IF(J681="","",MOD(P681,4))</f>
        <v/>
      </c>
      <c r="R681" s="27" t="str">
        <f aca="false">IF(J681="","",INT(P681/4))</f>
        <v/>
      </c>
      <c r="S681" s="27" t="str">
        <f aca="false">IF(J681="","",IF(AND('Daily Count Sheet'!$H$3=Q681,MOD('Daily Count Sheet'!$I$3,J681)=R681),1,""))</f>
        <v/>
      </c>
      <c r="T681" s="27" t="str">
        <f aca="false">IF(S681=1,COUNTIF($S$2:S681,1),"")</f>
        <v/>
      </c>
    </row>
    <row r="682" customFormat="false" ht="15" hidden="false" customHeight="false" outlineLevel="0" collapsed="false">
      <c r="H682" s="26"/>
      <c r="I682" s="27" t="str">
        <f aca="false">IF(A682="","",IF(H682&lt;&gt;"",UPPER(TRIM(H682)),IFERROR(CHOOSE(VALUE(E682)+1,"A","B","C","D"),IF(OR(LEFT(UPPER(TRIM(E682)),1)="F",UPPER(TRIM(E682))="A"),"A",IF(OR(LEFT(UPPER(TRIM(E682)),1)="M",UPPER(TRIM(E682))="B"),"B",IF(OR(LEFT(UPPER(TRIM(E682)),2)="SL",UPPER(TRIM(E682))="C"),"C",IF(OR(LEFT(UPPER(TRIM(E682)),1)="D",UPPER(TRIM(E682))="D"),"D","")))))))</f>
        <v/>
      </c>
      <c r="J682" s="27" t="str">
        <f aca="false">IF(I682="","",IF(AND(I682="D",Settings!$B$6&lt;&gt;"Yes"),"",IFERROR(INDEX(Settings!$C$9:$C$12,MATCH(I682,Settings!$A$9:$A$12,0)),"")))</f>
        <v/>
      </c>
      <c r="K682" s="27" t="str">
        <f aca="false">IF(J682="","",COUNTIF($I$2:I682,I682))</f>
        <v/>
      </c>
      <c r="L682" s="27" t="str">
        <f aca="false">IF(J682="","",CHOOSE(Q682+1,"Tue","Wed","Thu","Fri"))</f>
        <v/>
      </c>
      <c r="M682" s="27" t="str">
        <f aca="false">IF(J682="","",IF(J682=1,"Every week",R682+1&amp;" of "&amp;J682))</f>
        <v/>
      </c>
      <c r="N682" s="28" t="str">
        <f aca="false">IF(J682="","",Settings!$B$4+R682*7+Q682)</f>
        <v/>
      </c>
      <c r="O682" s="28" t="str">
        <f aca="true">IF(J682="","",N682+MAX(0,ROUNDUP((TODAY()-N682)/(J682*7),0))*J682*7)</f>
        <v/>
      </c>
      <c r="P682" s="27" t="str">
        <f aca="false">IF(J682="","",MOD(K682-1,J682*4))</f>
        <v/>
      </c>
      <c r="Q682" s="27" t="str">
        <f aca="false">IF(J682="","",MOD(P682,4))</f>
        <v/>
      </c>
      <c r="R682" s="27" t="str">
        <f aca="false">IF(J682="","",INT(P682/4))</f>
        <v/>
      </c>
      <c r="S682" s="27" t="str">
        <f aca="false">IF(J682="","",IF(AND('Daily Count Sheet'!$H$3=Q682,MOD('Daily Count Sheet'!$I$3,J682)=R682),1,""))</f>
        <v/>
      </c>
      <c r="T682" s="27" t="str">
        <f aca="false">IF(S682=1,COUNTIF($S$2:S682,1),"")</f>
        <v/>
      </c>
    </row>
    <row r="683" customFormat="false" ht="15" hidden="false" customHeight="false" outlineLevel="0" collapsed="false">
      <c r="H683" s="26"/>
      <c r="I683" s="27" t="str">
        <f aca="false">IF(A683="","",IF(H683&lt;&gt;"",UPPER(TRIM(H683)),IFERROR(CHOOSE(VALUE(E683)+1,"A","B","C","D"),IF(OR(LEFT(UPPER(TRIM(E683)),1)="F",UPPER(TRIM(E683))="A"),"A",IF(OR(LEFT(UPPER(TRIM(E683)),1)="M",UPPER(TRIM(E683))="B"),"B",IF(OR(LEFT(UPPER(TRIM(E683)),2)="SL",UPPER(TRIM(E683))="C"),"C",IF(OR(LEFT(UPPER(TRIM(E683)),1)="D",UPPER(TRIM(E683))="D"),"D","")))))))</f>
        <v/>
      </c>
      <c r="J683" s="27" t="str">
        <f aca="false">IF(I683="","",IF(AND(I683="D",Settings!$B$6&lt;&gt;"Yes"),"",IFERROR(INDEX(Settings!$C$9:$C$12,MATCH(I683,Settings!$A$9:$A$12,0)),"")))</f>
        <v/>
      </c>
      <c r="K683" s="27" t="str">
        <f aca="false">IF(J683="","",COUNTIF($I$2:I683,I683))</f>
        <v/>
      </c>
      <c r="L683" s="27" t="str">
        <f aca="false">IF(J683="","",CHOOSE(Q683+1,"Tue","Wed","Thu","Fri"))</f>
        <v/>
      </c>
      <c r="M683" s="27" t="str">
        <f aca="false">IF(J683="","",IF(J683=1,"Every week",R683+1&amp;" of "&amp;J683))</f>
        <v/>
      </c>
      <c r="N683" s="28" t="str">
        <f aca="false">IF(J683="","",Settings!$B$4+R683*7+Q683)</f>
        <v/>
      </c>
      <c r="O683" s="28" t="str">
        <f aca="true">IF(J683="","",N683+MAX(0,ROUNDUP((TODAY()-N683)/(J683*7),0))*J683*7)</f>
        <v/>
      </c>
      <c r="P683" s="27" t="str">
        <f aca="false">IF(J683="","",MOD(K683-1,J683*4))</f>
        <v/>
      </c>
      <c r="Q683" s="27" t="str">
        <f aca="false">IF(J683="","",MOD(P683,4))</f>
        <v/>
      </c>
      <c r="R683" s="27" t="str">
        <f aca="false">IF(J683="","",INT(P683/4))</f>
        <v/>
      </c>
      <c r="S683" s="27" t="str">
        <f aca="false">IF(J683="","",IF(AND('Daily Count Sheet'!$H$3=Q683,MOD('Daily Count Sheet'!$I$3,J683)=R683),1,""))</f>
        <v/>
      </c>
      <c r="T683" s="27" t="str">
        <f aca="false">IF(S683=1,COUNTIF($S$2:S683,1),"")</f>
        <v/>
      </c>
    </row>
    <row r="684" customFormat="false" ht="15" hidden="false" customHeight="false" outlineLevel="0" collapsed="false">
      <c r="H684" s="26"/>
      <c r="I684" s="27" t="str">
        <f aca="false">IF(A684="","",IF(H684&lt;&gt;"",UPPER(TRIM(H684)),IFERROR(CHOOSE(VALUE(E684)+1,"A","B","C","D"),IF(OR(LEFT(UPPER(TRIM(E684)),1)="F",UPPER(TRIM(E684))="A"),"A",IF(OR(LEFT(UPPER(TRIM(E684)),1)="M",UPPER(TRIM(E684))="B"),"B",IF(OR(LEFT(UPPER(TRIM(E684)),2)="SL",UPPER(TRIM(E684))="C"),"C",IF(OR(LEFT(UPPER(TRIM(E684)),1)="D",UPPER(TRIM(E684))="D"),"D","")))))))</f>
        <v/>
      </c>
      <c r="J684" s="27" t="str">
        <f aca="false">IF(I684="","",IF(AND(I684="D",Settings!$B$6&lt;&gt;"Yes"),"",IFERROR(INDEX(Settings!$C$9:$C$12,MATCH(I684,Settings!$A$9:$A$12,0)),"")))</f>
        <v/>
      </c>
      <c r="K684" s="27" t="str">
        <f aca="false">IF(J684="","",COUNTIF($I$2:I684,I684))</f>
        <v/>
      </c>
      <c r="L684" s="27" t="str">
        <f aca="false">IF(J684="","",CHOOSE(Q684+1,"Tue","Wed","Thu","Fri"))</f>
        <v/>
      </c>
      <c r="M684" s="27" t="str">
        <f aca="false">IF(J684="","",IF(J684=1,"Every week",R684+1&amp;" of "&amp;J684))</f>
        <v/>
      </c>
      <c r="N684" s="28" t="str">
        <f aca="false">IF(J684="","",Settings!$B$4+R684*7+Q684)</f>
        <v/>
      </c>
      <c r="O684" s="28" t="str">
        <f aca="true">IF(J684="","",N684+MAX(0,ROUNDUP((TODAY()-N684)/(J684*7),0))*J684*7)</f>
        <v/>
      </c>
      <c r="P684" s="27" t="str">
        <f aca="false">IF(J684="","",MOD(K684-1,J684*4))</f>
        <v/>
      </c>
      <c r="Q684" s="27" t="str">
        <f aca="false">IF(J684="","",MOD(P684,4))</f>
        <v/>
      </c>
      <c r="R684" s="27" t="str">
        <f aca="false">IF(J684="","",INT(P684/4))</f>
        <v/>
      </c>
      <c r="S684" s="27" t="str">
        <f aca="false">IF(J684="","",IF(AND('Daily Count Sheet'!$H$3=Q684,MOD('Daily Count Sheet'!$I$3,J684)=R684),1,""))</f>
        <v/>
      </c>
      <c r="T684" s="27" t="str">
        <f aca="false">IF(S684=1,COUNTIF($S$2:S684,1),"")</f>
        <v/>
      </c>
    </row>
    <row r="685" customFormat="false" ht="15" hidden="false" customHeight="false" outlineLevel="0" collapsed="false">
      <c r="H685" s="26"/>
      <c r="I685" s="27" t="str">
        <f aca="false">IF(A685="","",IF(H685&lt;&gt;"",UPPER(TRIM(H685)),IFERROR(CHOOSE(VALUE(E685)+1,"A","B","C","D"),IF(OR(LEFT(UPPER(TRIM(E685)),1)="F",UPPER(TRIM(E685))="A"),"A",IF(OR(LEFT(UPPER(TRIM(E685)),1)="M",UPPER(TRIM(E685))="B"),"B",IF(OR(LEFT(UPPER(TRIM(E685)),2)="SL",UPPER(TRIM(E685))="C"),"C",IF(OR(LEFT(UPPER(TRIM(E685)),1)="D",UPPER(TRIM(E685))="D"),"D","")))))))</f>
        <v/>
      </c>
      <c r="J685" s="27" t="str">
        <f aca="false">IF(I685="","",IF(AND(I685="D",Settings!$B$6&lt;&gt;"Yes"),"",IFERROR(INDEX(Settings!$C$9:$C$12,MATCH(I685,Settings!$A$9:$A$12,0)),"")))</f>
        <v/>
      </c>
      <c r="K685" s="27" t="str">
        <f aca="false">IF(J685="","",COUNTIF($I$2:I685,I685))</f>
        <v/>
      </c>
      <c r="L685" s="27" t="str">
        <f aca="false">IF(J685="","",CHOOSE(Q685+1,"Tue","Wed","Thu","Fri"))</f>
        <v/>
      </c>
      <c r="M685" s="27" t="str">
        <f aca="false">IF(J685="","",IF(J685=1,"Every week",R685+1&amp;" of "&amp;J685))</f>
        <v/>
      </c>
      <c r="N685" s="28" t="str">
        <f aca="false">IF(J685="","",Settings!$B$4+R685*7+Q685)</f>
        <v/>
      </c>
      <c r="O685" s="28" t="str">
        <f aca="true">IF(J685="","",N685+MAX(0,ROUNDUP((TODAY()-N685)/(J685*7),0))*J685*7)</f>
        <v/>
      </c>
      <c r="P685" s="27" t="str">
        <f aca="false">IF(J685="","",MOD(K685-1,J685*4))</f>
        <v/>
      </c>
      <c r="Q685" s="27" t="str">
        <f aca="false">IF(J685="","",MOD(P685,4))</f>
        <v/>
      </c>
      <c r="R685" s="27" t="str">
        <f aca="false">IF(J685="","",INT(P685/4))</f>
        <v/>
      </c>
      <c r="S685" s="27" t="str">
        <f aca="false">IF(J685="","",IF(AND('Daily Count Sheet'!$H$3=Q685,MOD('Daily Count Sheet'!$I$3,J685)=R685),1,""))</f>
        <v/>
      </c>
      <c r="T685" s="27" t="str">
        <f aca="false">IF(S685=1,COUNTIF($S$2:S685,1),"")</f>
        <v/>
      </c>
    </row>
    <row r="686" customFormat="false" ht="15" hidden="false" customHeight="false" outlineLevel="0" collapsed="false">
      <c r="H686" s="26"/>
      <c r="I686" s="27" t="str">
        <f aca="false">IF(A686="","",IF(H686&lt;&gt;"",UPPER(TRIM(H686)),IFERROR(CHOOSE(VALUE(E686)+1,"A","B","C","D"),IF(OR(LEFT(UPPER(TRIM(E686)),1)="F",UPPER(TRIM(E686))="A"),"A",IF(OR(LEFT(UPPER(TRIM(E686)),1)="M",UPPER(TRIM(E686))="B"),"B",IF(OR(LEFT(UPPER(TRIM(E686)),2)="SL",UPPER(TRIM(E686))="C"),"C",IF(OR(LEFT(UPPER(TRIM(E686)),1)="D",UPPER(TRIM(E686))="D"),"D","")))))))</f>
        <v/>
      </c>
      <c r="J686" s="27" t="str">
        <f aca="false">IF(I686="","",IF(AND(I686="D",Settings!$B$6&lt;&gt;"Yes"),"",IFERROR(INDEX(Settings!$C$9:$C$12,MATCH(I686,Settings!$A$9:$A$12,0)),"")))</f>
        <v/>
      </c>
      <c r="K686" s="27" t="str">
        <f aca="false">IF(J686="","",COUNTIF($I$2:I686,I686))</f>
        <v/>
      </c>
      <c r="L686" s="27" t="str">
        <f aca="false">IF(J686="","",CHOOSE(Q686+1,"Tue","Wed","Thu","Fri"))</f>
        <v/>
      </c>
      <c r="M686" s="27" t="str">
        <f aca="false">IF(J686="","",IF(J686=1,"Every week",R686+1&amp;" of "&amp;J686))</f>
        <v/>
      </c>
      <c r="N686" s="28" t="str">
        <f aca="false">IF(J686="","",Settings!$B$4+R686*7+Q686)</f>
        <v/>
      </c>
      <c r="O686" s="28" t="str">
        <f aca="true">IF(J686="","",N686+MAX(0,ROUNDUP((TODAY()-N686)/(J686*7),0))*J686*7)</f>
        <v/>
      </c>
      <c r="P686" s="27" t="str">
        <f aca="false">IF(J686="","",MOD(K686-1,J686*4))</f>
        <v/>
      </c>
      <c r="Q686" s="27" t="str">
        <f aca="false">IF(J686="","",MOD(P686,4))</f>
        <v/>
      </c>
      <c r="R686" s="27" t="str">
        <f aca="false">IF(J686="","",INT(P686/4))</f>
        <v/>
      </c>
      <c r="S686" s="27" t="str">
        <f aca="false">IF(J686="","",IF(AND('Daily Count Sheet'!$H$3=Q686,MOD('Daily Count Sheet'!$I$3,J686)=R686),1,""))</f>
        <v/>
      </c>
      <c r="T686" s="27" t="str">
        <f aca="false">IF(S686=1,COUNTIF($S$2:S686,1),"")</f>
        <v/>
      </c>
    </row>
    <row r="687" customFormat="false" ht="15" hidden="false" customHeight="false" outlineLevel="0" collapsed="false">
      <c r="H687" s="26"/>
      <c r="I687" s="27" t="str">
        <f aca="false">IF(A687="","",IF(H687&lt;&gt;"",UPPER(TRIM(H687)),IFERROR(CHOOSE(VALUE(E687)+1,"A","B","C","D"),IF(OR(LEFT(UPPER(TRIM(E687)),1)="F",UPPER(TRIM(E687))="A"),"A",IF(OR(LEFT(UPPER(TRIM(E687)),1)="M",UPPER(TRIM(E687))="B"),"B",IF(OR(LEFT(UPPER(TRIM(E687)),2)="SL",UPPER(TRIM(E687))="C"),"C",IF(OR(LEFT(UPPER(TRIM(E687)),1)="D",UPPER(TRIM(E687))="D"),"D","")))))))</f>
        <v/>
      </c>
      <c r="J687" s="27" t="str">
        <f aca="false">IF(I687="","",IF(AND(I687="D",Settings!$B$6&lt;&gt;"Yes"),"",IFERROR(INDEX(Settings!$C$9:$C$12,MATCH(I687,Settings!$A$9:$A$12,0)),"")))</f>
        <v/>
      </c>
      <c r="K687" s="27" t="str">
        <f aca="false">IF(J687="","",COUNTIF($I$2:I687,I687))</f>
        <v/>
      </c>
      <c r="L687" s="27" t="str">
        <f aca="false">IF(J687="","",CHOOSE(Q687+1,"Tue","Wed","Thu","Fri"))</f>
        <v/>
      </c>
      <c r="M687" s="27" t="str">
        <f aca="false">IF(J687="","",IF(J687=1,"Every week",R687+1&amp;" of "&amp;J687))</f>
        <v/>
      </c>
      <c r="N687" s="28" t="str">
        <f aca="false">IF(J687="","",Settings!$B$4+R687*7+Q687)</f>
        <v/>
      </c>
      <c r="O687" s="28" t="str">
        <f aca="true">IF(J687="","",N687+MAX(0,ROUNDUP((TODAY()-N687)/(J687*7),0))*J687*7)</f>
        <v/>
      </c>
      <c r="P687" s="27" t="str">
        <f aca="false">IF(J687="","",MOD(K687-1,J687*4))</f>
        <v/>
      </c>
      <c r="Q687" s="27" t="str">
        <f aca="false">IF(J687="","",MOD(P687,4))</f>
        <v/>
      </c>
      <c r="R687" s="27" t="str">
        <f aca="false">IF(J687="","",INT(P687/4))</f>
        <v/>
      </c>
      <c r="S687" s="27" t="str">
        <f aca="false">IF(J687="","",IF(AND('Daily Count Sheet'!$H$3=Q687,MOD('Daily Count Sheet'!$I$3,J687)=R687),1,""))</f>
        <v/>
      </c>
      <c r="T687" s="27" t="str">
        <f aca="false">IF(S687=1,COUNTIF($S$2:S687,1),"")</f>
        <v/>
      </c>
    </row>
    <row r="688" customFormat="false" ht="15" hidden="false" customHeight="false" outlineLevel="0" collapsed="false">
      <c r="H688" s="26"/>
      <c r="I688" s="27" t="str">
        <f aca="false">IF(A688="","",IF(H688&lt;&gt;"",UPPER(TRIM(H688)),IFERROR(CHOOSE(VALUE(E688)+1,"A","B","C","D"),IF(OR(LEFT(UPPER(TRIM(E688)),1)="F",UPPER(TRIM(E688))="A"),"A",IF(OR(LEFT(UPPER(TRIM(E688)),1)="M",UPPER(TRIM(E688))="B"),"B",IF(OR(LEFT(UPPER(TRIM(E688)),2)="SL",UPPER(TRIM(E688))="C"),"C",IF(OR(LEFT(UPPER(TRIM(E688)),1)="D",UPPER(TRIM(E688))="D"),"D","")))))))</f>
        <v/>
      </c>
      <c r="J688" s="27" t="str">
        <f aca="false">IF(I688="","",IF(AND(I688="D",Settings!$B$6&lt;&gt;"Yes"),"",IFERROR(INDEX(Settings!$C$9:$C$12,MATCH(I688,Settings!$A$9:$A$12,0)),"")))</f>
        <v/>
      </c>
      <c r="K688" s="27" t="str">
        <f aca="false">IF(J688="","",COUNTIF($I$2:I688,I688))</f>
        <v/>
      </c>
      <c r="L688" s="27" t="str">
        <f aca="false">IF(J688="","",CHOOSE(Q688+1,"Tue","Wed","Thu","Fri"))</f>
        <v/>
      </c>
      <c r="M688" s="27" t="str">
        <f aca="false">IF(J688="","",IF(J688=1,"Every week",R688+1&amp;" of "&amp;J688))</f>
        <v/>
      </c>
      <c r="N688" s="28" t="str">
        <f aca="false">IF(J688="","",Settings!$B$4+R688*7+Q688)</f>
        <v/>
      </c>
      <c r="O688" s="28" t="str">
        <f aca="true">IF(J688="","",N688+MAX(0,ROUNDUP((TODAY()-N688)/(J688*7),0))*J688*7)</f>
        <v/>
      </c>
      <c r="P688" s="27" t="str">
        <f aca="false">IF(J688="","",MOD(K688-1,J688*4))</f>
        <v/>
      </c>
      <c r="Q688" s="27" t="str">
        <f aca="false">IF(J688="","",MOD(P688,4))</f>
        <v/>
      </c>
      <c r="R688" s="27" t="str">
        <f aca="false">IF(J688="","",INT(P688/4))</f>
        <v/>
      </c>
      <c r="S688" s="27" t="str">
        <f aca="false">IF(J688="","",IF(AND('Daily Count Sheet'!$H$3=Q688,MOD('Daily Count Sheet'!$I$3,J688)=R688),1,""))</f>
        <v/>
      </c>
      <c r="T688" s="27" t="str">
        <f aca="false">IF(S688=1,COUNTIF($S$2:S688,1),"")</f>
        <v/>
      </c>
    </row>
    <row r="689" customFormat="false" ht="15" hidden="false" customHeight="false" outlineLevel="0" collapsed="false">
      <c r="H689" s="26"/>
      <c r="I689" s="27" t="str">
        <f aca="false">IF(A689="","",IF(H689&lt;&gt;"",UPPER(TRIM(H689)),IFERROR(CHOOSE(VALUE(E689)+1,"A","B","C","D"),IF(OR(LEFT(UPPER(TRIM(E689)),1)="F",UPPER(TRIM(E689))="A"),"A",IF(OR(LEFT(UPPER(TRIM(E689)),1)="M",UPPER(TRIM(E689))="B"),"B",IF(OR(LEFT(UPPER(TRIM(E689)),2)="SL",UPPER(TRIM(E689))="C"),"C",IF(OR(LEFT(UPPER(TRIM(E689)),1)="D",UPPER(TRIM(E689))="D"),"D","")))))))</f>
        <v/>
      </c>
      <c r="J689" s="27" t="str">
        <f aca="false">IF(I689="","",IF(AND(I689="D",Settings!$B$6&lt;&gt;"Yes"),"",IFERROR(INDEX(Settings!$C$9:$C$12,MATCH(I689,Settings!$A$9:$A$12,0)),"")))</f>
        <v/>
      </c>
      <c r="K689" s="27" t="str">
        <f aca="false">IF(J689="","",COUNTIF($I$2:I689,I689))</f>
        <v/>
      </c>
      <c r="L689" s="27" t="str">
        <f aca="false">IF(J689="","",CHOOSE(Q689+1,"Tue","Wed","Thu","Fri"))</f>
        <v/>
      </c>
      <c r="M689" s="27" t="str">
        <f aca="false">IF(J689="","",IF(J689=1,"Every week",R689+1&amp;" of "&amp;J689))</f>
        <v/>
      </c>
      <c r="N689" s="28" t="str">
        <f aca="false">IF(J689="","",Settings!$B$4+R689*7+Q689)</f>
        <v/>
      </c>
      <c r="O689" s="28" t="str">
        <f aca="true">IF(J689="","",N689+MAX(0,ROUNDUP((TODAY()-N689)/(J689*7),0))*J689*7)</f>
        <v/>
      </c>
      <c r="P689" s="27" t="str">
        <f aca="false">IF(J689="","",MOD(K689-1,J689*4))</f>
        <v/>
      </c>
      <c r="Q689" s="27" t="str">
        <f aca="false">IF(J689="","",MOD(P689,4))</f>
        <v/>
      </c>
      <c r="R689" s="27" t="str">
        <f aca="false">IF(J689="","",INT(P689/4))</f>
        <v/>
      </c>
      <c r="S689" s="27" t="str">
        <f aca="false">IF(J689="","",IF(AND('Daily Count Sheet'!$H$3=Q689,MOD('Daily Count Sheet'!$I$3,J689)=R689),1,""))</f>
        <v/>
      </c>
      <c r="T689" s="27" t="str">
        <f aca="false">IF(S689=1,COUNTIF($S$2:S689,1),"")</f>
        <v/>
      </c>
    </row>
    <row r="690" customFormat="false" ht="15" hidden="false" customHeight="false" outlineLevel="0" collapsed="false">
      <c r="H690" s="26"/>
      <c r="I690" s="27" t="str">
        <f aca="false">IF(A690="","",IF(H690&lt;&gt;"",UPPER(TRIM(H690)),IFERROR(CHOOSE(VALUE(E690)+1,"A","B","C","D"),IF(OR(LEFT(UPPER(TRIM(E690)),1)="F",UPPER(TRIM(E690))="A"),"A",IF(OR(LEFT(UPPER(TRIM(E690)),1)="M",UPPER(TRIM(E690))="B"),"B",IF(OR(LEFT(UPPER(TRIM(E690)),2)="SL",UPPER(TRIM(E690))="C"),"C",IF(OR(LEFT(UPPER(TRIM(E690)),1)="D",UPPER(TRIM(E690))="D"),"D","")))))))</f>
        <v/>
      </c>
      <c r="J690" s="27" t="str">
        <f aca="false">IF(I690="","",IF(AND(I690="D",Settings!$B$6&lt;&gt;"Yes"),"",IFERROR(INDEX(Settings!$C$9:$C$12,MATCH(I690,Settings!$A$9:$A$12,0)),"")))</f>
        <v/>
      </c>
      <c r="K690" s="27" t="str">
        <f aca="false">IF(J690="","",COUNTIF($I$2:I690,I690))</f>
        <v/>
      </c>
      <c r="L690" s="27" t="str">
        <f aca="false">IF(J690="","",CHOOSE(Q690+1,"Tue","Wed","Thu","Fri"))</f>
        <v/>
      </c>
      <c r="M690" s="27" t="str">
        <f aca="false">IF(J690="","",IF(J690=1,"Every week",R690+1&amp;" of "&amp;J690))</f>
        <v/>
      </c>
      <c r="N690" s="28" t="str">
        <f aca="false">IF(J690="","",Settings!$B$4+R690*7+Q690)</f>
        <v/>
      </c>
      <c r="O690" s="28" t="str">
        <f aca="true">IF(J690="","",N690+MAX(0,ROUNDUP((TODAY()-N690)/(J690*7),0))*J690*7)</f>
        <v/>
      </c>
      <c r="P690" s="27" t="str">
        <f aca="false">IF(J690="","",MOD(K690-1,J690*4))</f>
        <v/>
      </c>
      <c r="Q690" s="27" t="str">
        <f aca="false">IF(J690="","",MOD(P690,4))</f>
        <v/>
      </c>
      <c r="R690" s="27" t="str">
        <f aca="false">IF(J690="","",INT(P690/4))</f>
        <v/>
      </c>
      <c r="S690" s="27" t="str">
        <f aca="false">IF(J690="","",IF(AND('Daily Count Sheet'!$H$3=Q690,MOD('Daily Count Sheet'!$I$3,J690)=R690),1,""))</f>
        <v/>
      </c>
      <c r="T690" s="27" t="str">
        <f aca="false">IF(S690=1,COUNTIF($S$2:S690,1),"")</f>
        <v/>
      </c>
    </row>
    <row r="691" customFormat="false" ht="15" hidden="false" customHeight="false" outlineLevel="0" collapsed="false">
      <c r="H691" s="26"/>
      <c r="I691" s="27" t="str">
        <f aca="false">IF(A691="","",IF(H691&lt;&gt;"",UPPER(TRIM(H691)),IFERROR(CHOOSE(VALUE(E691)+1,"A","B","C","D"),IF(OR(LEFT(UPPER(TRIM(E691)),1)="F",UPPER(TRIM(E691))="A"),"A",IF(OR(LEFT(UPPER(TRIM(E691)),1)="M",UPPER(TRIM(E691))="B"),"B",IF(OR(LEFT(UPPER(TRIM(E691)),2)="SL",UPPER(TRIM(E691))="C"),"C",IF(OR(LEFT(UPPER(TRIM(E691)),1)="D",UPPER(TRIM(E691))="D"),"D","")))))))</f>
        <v/>
      </c>
      <c r="J691" s="27" t="str">
        <f aca="false">IF(I691="","",IF(AND(I691="D",Settings!$B$6&lt;&gt;"Yes"),"",IFERROR(INDEX(Settings!$C$9:$C$12,MATCH(I691,Settings!$A$9:$A$12,0)),"")))</f>
        <v/>
      </c>
      <c r="K691" s="27" t="str">
        <f aca="false">IF(J691="","",COUNTIF($I$2:I691,I691))</f>
        <v/>
      </c>
      <c r="L691" s="27" t="str">
        <f aca="false">IF(J691="","",CHOOSE(Q691+1,"Tue","Wed","Thu","Fri"))</f>
        <v/>
      </c>
      <c r="M691" s="27" t="str">
        <f aca="false">IF(J691="","",IF(J691=1,"Every week",R691+1&amp;" of "&amp;J691))</f>
        <v/>
      </c>
      <c r="N691" s="28" t="str">
        <f aca="false">IF(J691="","",Settings!$B$4+R691*7+Q691)</f>
        <v/>
      </c>
      <c r="O691" s="28" t="str">
        <f aca="true">IF(J691="","",N691+MAX(0,ROUNDUP((TODAY()-N691)/(J691*7),0))*J691*7)</f>
        <v/>
      </c>
      <c r="P691" s="27" t="str">
        <f aca="false">IF(J691="","",MOD(K691-1,J691*4))</f>
        <v/>
      </c>
      <c r="Q691" s="27" t="str">
        <f aca="false">IF(J691="","",MOD(P691,4))</f>
        <v/>
      </c>
      <c r="R691" s="27" t="str">
        <f aca="false">IF(J691="","",INT(P691/4))</f>
        <v/>
      </c>
      <c r="S691" s="27" t="str">
        <f aca="false">IF(J691="","",IF(AND('Daily Count Sheet'!$H$3=Q691,MOD('Daily Count Sheet'!$I$3,J691)=R691),1,""))</f>
        <v/>
      </c>
      <c r="T691" s="27" t="str">
        <f aca="false">IF(S691=1,COUNTIF($S$2:S691,1),"")</f>
        <v/>
      </c>
    </row>
    <row r="692" customFormat="false" ht="15" hidden="false" customHeight="false" outlineLevel="0" collapsed="false">
      <c r="H692" s="26"/>
      <c r="I692" s="27" t="str">
        <f aca="false">IF(A692="","",IF(H692&lt;&gt;"",UPPER(TRIM(H692)),IFERROR(CHOOSE(VALUE(E692)+1,"A","B","C","D"),IF(OR(LEFT(UPPER(TRIM(E692)),1)="F",UPPER(TRIM(E692))="A"),"A",IF(OR(LEFT(UPPER(TRIM(E692)),1)="M",UPPER(TRIM(E692))="B"),"B",IF(OR(LEFT(UPPER(TRIM(E692)),2)="SL",UPPER(TRIM(E692))="C"),"C",IF(OR(LEFT(UPPER(TRIM(E692)),1)="D",UPPER(TRIM(E692))="D"),"D","")))))))</f>
        <v/>
      </c>
      <c r="J692" s="27" t="str">
        <f aca="false">IF(I692="","",IF(AND(I692="D",Settings!$B$6&lt;&gt;"Yes"),"",IFERROR(INDEX(Settings!$C$9:$C$12,MATCH(I692,Settings!$A$9:$A$12,0)),"")))</f>
        <v/>
      </c>
      <c r="K692" s="27" t="str">
        <f aca="false">IF(J692="","",COUNTIF($I$2:I692,I692))</f>
        <v/>
      </c>
      <c r="L692" s="27" t="str">
        <f aca="false">IF(J692="","",CHOOSE(Q692+1,"Tue","Wed","Thu","Fri"))</f>
        <v/>
      </c>
      <c r="M692" s="27" t="str">
        <f aca="false">IF(J692="","",IF(J692=1,"Every week",R692+1&amp;" of "&amp;J692))</f>
        <v/>
      </c>
      <c r="N692" s="28" t="str">
        <f aca="false">IF(J692="","",Settings!$B$4+R692*7+Q692)</f>
        <v/>
      </c>
      <c r="O692" s="28" t="str">
        <f aca="true">IF(J692="","",N692+MAX(0,ROUNDUP((TODAY()-N692)/(J692*7),0))*J692*7)</f>
        <v/>
      </c>
      <c r="P692" s="27" t="str">
        <f aca="false">IF(J692="","",MOD(K692-1,J692*4))</f>
        <v/>
      </c>
      <c r="Q692" s="27" t="str">
        <f aca="false">IF(J692="","",MOD(P692,4))</f>
        <v/>
      </c>
      <c r="R692" s="27" t="str">
        <f aca="false">IF(J692="","",INT(P692/4))</f>
        <v/>
      </c>
      <c r="S692" s="27" t="str">
        <f aca="false">IF(J692="","",IF(AND('Daily Count Sheet'!$H$3=Q692,MOD('Daily Count Sheet'!$I$3,J692)=R692),1,""))</f>
        <v/>
      </c>
      <c r="T692" s="27" t="str">
        <f aca="false">IF(S692=1,COUNTIF($S$2:S692,1),"")</f>
        <v/>
      </c>
    </row>
    <row r="693" customFormat="false" ht="15" hidden="false" customHeight="false" outlineLevel="0" collapsed="false">
      <c r="H693" s="26"/>
      <c r="I693" s="27" t="str">
        <f aca="false">IF(A693="","",IF(H693&lt;&gt;"",UPPER(TRIM(H693)),IFERROR(CHOOSE(VALUE(E693)+1,"A","B","C","D"),IF(OR(LEFT(UPPER(TRIM(E693)),1)="F",UPPER(TRIM(E693))="A"),"A",IF(OR(LEFT(UPPER(TRIM(E693)),1)="M",UPPER(TRIM(E693))="B"),"B",IF(OR(LEFT(UPPER(TRIM(E693)),2)="SL",UPPER(TRIM(E693))="C"),"C",IF(OR(LEFT(UPPER(TRIM(E693)),1)="D",UPPER(TRIM(E693))="D"),"D","")))))))</f>
        <v/>
      </c>
      <c r="J693" s="27" t="str">
        <f aca="false">IF(I693="","",IF(AND(I693="D",Settings!$B$6&lt;&gt;"Yes"),"",IFERROR(INDEX(Settings!$C$9:$C$12,MATCH(I693,Settings!$A$9:$A$12,0)),"")))</f>
        <v/>
      </c>
      <c r="K693" s="27" t="str">
        <f aca="false">IF(J693="","",COUNTIF($I$2:I693,I693))</f>
        <v/>
      </c>
      <c r="L693" s="27" t="str">
        <f aca="false">IF(J693="","",CHOOSE(Q693+1,"Tue","Wed","Thu","Fri"))</f>
        <v/>
      </c>
      <c r="M693" s="27" t="str">
        <f aca="false">IF(J693="","",IF(J693=1,"Every week",R693+1&amp;" of "&amp;J693))</f>
        <v/>
      </c>
      <c r="N693" s="28" t="str">
        <f aca="false">IF(J693="","",Settings!$B$4+R693*7+Q693)</f>
        <v/>
      </c>
      <c r="O693" s="28" t="str">
        <f aca="true">IF(J693="","",N693+MAX(0,ROUNDUP((TODAY()-N693)/(J693*7),0))*J693*7)</f>
        <v/>
      </c>
      <c r="P693" s="27" t="str">
        <f aca="false">IF(J693="","",MOD(K693-1,J693*4))</f>
        <v/>
      </c>
      <c r="Q693" s="27" t="str">
        <f aca="false">IF(J693="","",MOD(P693,4))</f>
        <v/>
      </c>
      <c r="R693" s="27" t="str">
        <f aca="false">IF(J693="","",INT(P693/4))</f>
        <v/>
      </c>
      <c r="S693" s="27" t="str">
        <f aca="false">IF(J693="","",IF(AND('Daily Count Sheet'!$H$3=Q693,MOD('Daily Count Sheet'!$I$3,J693)=R693),1,""))</f>
        <v/>
      </c>
      <c r="T693" s="27" t="str">
        <f aca="false">IF(S693=1,COUNTIF($S$2:S693,1),"")</f>
        <v/>
      </c>
    </row>
    <row r="694" customFormat="false" ht="15" hidden="false" customHeight="false" outlineLevel="0" collapsed="false">
      <c r="H694" s="26"/>
      <c r="I694" s="27" t="str">
        <f aca="false">IF(A694="","",IF(H694&lt;&gt;"",UPPER(TRIM(H694)),IFERROR(CHOOSE(VALUE(E694)+1,"A","B","C","D"),IF(OR(LEFT(UPPER(TRIM(E694)),1)="F",UPPER(TRIM(E694))="A"),"A",IF(OR(LEFT(UPPER(TRIM(E694)),1)="M",UPPER(TRIM(E694))="B"),"B",IF(OR(LEFT(UPPER(TRIM(E694)),2)="SL",UPPER(TRIM(E694))="C"),"C",IF(OR(LEFT(UPPER(TRIM(E694)),1)="D",UPPER(TRIM(E694))="D"),"D","")))))))</f>
        <v/>
      </c>
      <c r="J694" s="27" t="str">
        <f aca="false">IF(I694="","",IF(AND(I694="D",Settings!$B$6&lt;&gt;"Yes"),"",IFERROR(INDEX(Settings!$C$9:$C$12,MATCH(I694,Settings!$A$9:$A$12,0)),"")))</f>
        <v/>
      </c>
      <c r="K694" s="27" t="str">
        <f aca="false">IF(J694="","",COUNTIF($I$2:I694,I694))</f>
        <v/>
      </c>
      <c r="L694" s="27" t="str">
        <f aca="false">IF(J694="","",CHOOSE(Q694+1,"Tue","Wed","Thu","Fri"))</f>
        <v/>
      </c>
      <c r="M694" s="27" t="str">
        <f aca="false">IF(J694="","",IF(J694=1,"Every week",R694+1&amp;" of "&amp;J694))</f>
        <v/>
      </c>
      <c r="N694" s="28" t="str">
        <f aca="false">IF(J694="","",Settings!$B$4+R694*7+Q694)</f>
        <v/>
      </c>
      <c r="O694" s="28" t="str">
        <f aca="true">IF(J694="","",N694+MAX(0,ROUNDUP((TODAY()-N694)/(J694*7),0))*J694*7)</f>
        <v/>
      </c>
      <c r="P694" s="27" t="str">
        <f aca="false">IF(J694="","",MOD(K694-1,J694*4))</f>
        <v/>
      </c>
      <c r="Q694" s="27" t="str">
        <f aca="false">IF(J694="","",MOD(P694,4))</f>
        <v/>
      </c>
      <c r="R694" s="27" t="str">
        <f aca="false">IF(J694="","",INT(P694/4))</f>
        <v/>
      </c>
      <c r="S694" s="27" t="str">
        <f aca="false">IF(J694="","",IF(AND('Daily Count Sheet'!$H$3=Q694,MOD('Daily Count Sheet'!$I$3,J694)=R694),1,""))</f>
        <v/>
      </c>
      <c r="T694" s="27" t="str">
        <f aca="false">IF(S694=1,COUNTIF($S$2:S694,1),"")</f>
        <v/>
      </c>
    </row>
    <row r="695" customFormat="false" ht="15" hidden="false" customHeight="false" outlineLevel="0" collapsed="false">
      <c r="H695" s="26"/>
      <c r="I695" s="27" t="str">
        <f aca="false">IF(A695="","",IF(H695&lt;&gt;"",UPPER(TRIM(H695)),IFERROR(CHOOSE(VALUE(E695)+1,"A","B","C","D"),IF(OR(LEFT(UPPER(TRIM(E695)),1)="F",UPPER(TRIM(E695))="A"),"A",IF(OR(LEFT(UPPER(TRIM(E695)),1)="M",UPPER(TRIM(E695))="B"),"B",IF(OR(LEFT(UPPER(TRIM(E695)),2)="SL",UPPER(TRIM(E695))="C"),"C",IF(OR(LEFT(UPPER(TRIM(E695)),1)="D",UPPER(TRIM(E695))="D"),"D","")))))))</f>
        <v/>
      </c>
      <c r="J695" s="27" t="str">
        <f aca="false">IF(I695="","",IF(AND(I695="D",Settings!$B$6&lt;&gt;"Yes"),"",IFERROR(INDEX(Settings!$C$9:$C$12,MATCH(I695,Settings!$A$9:$A$12,0)),"")))</f>
        <v/>
      </c>
      <c r="K695" s="27" t="str">
        <f aca="false">IF(J695="","",COUNTIF($I$2:I695,I695))</f>
        <v/>
      </c>
      <c r="L695" s="27" t="str">
        <f aca="false">IF(J695="","",CHOOSE(Q695+1,"Tue","Wed","Thu","Fri"))</f>
        <v/>
      </c>
      <c r="M695" s="27" t="str">
        <f aca="false">IF(J695="","",IF(J695=1,"Every week",R695+1&amp;" of "&amp;J695))</f>
        <v/>
      </c>
      <c r="N695" s="28" t="str">
        <f aca="false">IF(J695="","",Settings!$B$4+R695*7+Q695)</f>
        <v/>
      </c>
      <c r="O695" s="28" t="str">
        <f aca="true">IF(J695="","",N695+MAX(0,ROUNDUP((TODAY()-N695)/(J695*7),0))*J695*7)</f>
        <v/>
      </c>
      <c r="P695" s="27" t="str">
        <f aca="false">IF(J695="","",MOD(K695-1,J695*4))</f>
        <v/>
      </c>
      <c r="Q695" s="27" t="str">
        <f aca="false">IF(J695="","",MOD(P695,4))</f>
        <v/>
      </c>
      <c r="R695" s="27" t="str">
        <f aca="false">IF(J695="","",INT(P695/4))</f>
        <v/>
      </c>
      <c r="S695" s="27" t="str">
        <f aca="false">IF(J695="","",IF(AND('Daily Count Sheet'!$H$3=Q695,MOD('Daily Count Sheet'!$I$3,J695)=R695),1,""))</f>
        <v/>
      </c>
      <c r="T695" s="27" t="str">
        <f aca="false">IF(S695=1,COUNTIF($S$2:S695,1),"")</f>
        <v/>
      </c>
    </row>
    <row r="696" customFormat="false" ht="15" hidden="false" customHeight="false" outlineLevel="0" collapsed="false">
      <c r="H696" s="26"/>
      <c r="I696" s="27" t="str">
        <f aca="false">IF(A696="","",IF(H696&lt;&gt;"",UPPER(TRIM(H696)),IFERROR(CHOOSE(VALUE(E696)+1,"A","B","C","D"),IF(OR(LEFT(UPPER(TRIM(E696)),1)="F",UPPER(TRIM(E696))="A"),"A",IF(OR(LEFT(UPPER(TRIM(E696)),1)="M",UPPER(TRIM(E696))="B"),"B",IF(OR(LEFT(UPPER(TRIM(E696)),2)="SL",UPPER(TRIM(E696))="C"),"C",IF(OR(LEFT(UPPER(TRIM(E696)),1)="D",UPPER(TRIM(E696))="D"),"D","")))))))</f>
        <v/>
      </c>
      <c r="J696" s="27" t="str">
        <f aca="false">IF(I696="","",IF(AND(I696="D",Settings!$B$6&lt;&gt;"Yes"),"",IFERROR(INDEX(Settings!$C$9:$C$12,MATCH(I696,Settings!$A$9:$A$12,0)),"")))</f>
        <v/>
      </c>
      <c r="K696" s="27" t="str">
        <f aca="false">IF(J696="","",COUNTIF($I$2:I696,I696))</f>
        <v/>
      </c>
      <c r="L696" s="27" t="str">
        <f aca="false">IF(J696="","",CHOOSE(Q696+1,"Tue","Wed","Thu","Fri"))</f>
        <v/>
      </c>
      <c r="M696" s="27" t="str">
        <f aca="false">IF(J696="","",IF(J696=1,"Every week",R696+1&amp;" of "&amp;J696))</f>
        <v/>
      </c>
      <c r="N696" s="28" t="str">
        <f aca="false">IF(J696="","",Settings!$B$4+R696*7+Q696)</f>
        <v/>
      </c>
      <c r="O696" s="28" t="str">
        <f aca="true">IF(J696="","",N696+MAX(0,ROUNDUP((TODAY()-N696)/(J696*7),0))*J696*7)</f>
        <v/>
      </c>
      <c r="P696" s="27" t="str">
        <f aca="false">IF(J696="","",MOD(K696-1,J696*4))</f>
        <v/>
      </c>
      <c r="Q696" s="27" t="str">
        <f aca="false">IF(J696="","",MOD(P696,4))</f>
        <v/>
      </c>
      <c r="R696" s="27" t="str">
        <f aca="false">IF(J696="","",INT(P696/4))</f>
        <v/>
      </c>
      <c r="S696" s="27" t="str">
        <f aca="false">IF(J696="","",IF(AND('Daily Count Sheet'!$H$3=Q696,MOD('Daily Count Sheet'!$I$3,J696)=R696),1,""))</f>
        <v/>
      </c>
      <c r="T696" s="27" t="str">
        <f aca="false">IF(S696=1,COUNTIF($S$2:S696,1),"")</f>
        <v/>
      </c>
    </row>
    <row r="697" customFormat="false" ht="15" hidden="false" customHeight="false" outlineLevel="0" collapsed="false">
      <c r="H697" s="26"/>
      <c r="I697" s="27" t="str">
        <f aca="false">IF(A697="","",IF(H697&lt;&gt;"",UPPER(TRIM(H697)),IFERROR(CHOOSE(VALUE(E697)+1,"A","B","C","D"),IF(OR(LEFT(UPPER(TRIM(E697)),1)="F",UPPER(TRIM(E697))="A"),"A",IF(OR(LEFT(UPPER(TRIM(E697)),1)="M",UPPER(TRIM(E697))="B"),"B",IF(OR(LEFT(UPPER(TRIM(E697)),2)="SL",UPPER(TRIM(E697))="C"),"C",IF(OR(LEFT(UPPER(TRIM(E697)),1)="D",UPPER(TRIM(E697))="D"),"D","")))))))</f>
        <v/>
      </c>
      <c r="J697" s="27" t="str">
        <f aca="false">IF(I697="","",IF(AND(I697="D",Settings!$B$6&lt;&gt;"Yes"),"",IFERROR(INDEX(Settings!$C$9:$C$12,MATCH(I697,Settings!$A$9:$A$12,0)),"")))</f>
        <v/>
      </c>
      <c r="K697" s="27" t="str">
        <f aca="false">IF(J697="","",COUNTIF($I$2:I697,I697))</f>
        <v/>
      </c>
      <c r="L697" s="27" t="str">
        <f aca="false">IF(J697="","",CHOOSE(Q697+1,"Tue","Wed","Thu","Fri"))</f>
        <v/>
      </c>
      <c r="M697" s="27" t="str">
        <f aca="false">IF(J697="","",IF(J697=1,"Every week",R697+1&amp;" of "&amp;J697))</f>
        <v/>
      </c>
      <c r="N697" s="28" t="str">
        <f aca="false">IF(J697="","",Settings!$B$4+R697*7+Q697)</f>
        <v/>
      </c>
      <c r="O697" s="28" t="str">
        <f aca="true">IF(J697="","",N697+MAX(0,ROUNDUP((TODAY()-N697)/(J697*7),0))*J697*7)</f>
        <v/>
      </c>
      <c r="P697" s="27" t="str">
        <f aca="false">IF(J697="","",MOD(K697-1,J697*4))</f>
        <v/>
      </c>
      <c r="Q697" s="27" t="str">
        <f aca="false">IF(J697="","",MOD(P697,4))</f>
        <v/>
      </c>
      <c r="R697" s="27" t="str">
        <f aca="false">IF(J697="","",INT(P697/4))</f>
        <v/>
      </c>
      <c r="S697" s="27" t="str">
        <f aca="false">IF(J697="","",IF(AND('Daily Count Sheet'!$H$3=Q697,MOD('Daily Count Sheet'!$I$3,J697)=R697),1,""))</f>
        <v/>
      </c>
      <c r="T697" s="27" t="str">
        <f aca="false">IF(S697=1,COUNTIF($S$2:S697,1),"")</f>
        <v/>
      </c>
    </row>
    <row r="698" customFormat="false" ht="15" hidden="false" customHeight="false" outlineLevel="0" collapsed="false">
      <c r="H698" s="26"/>
      <c r="I698" s="27" t="str">
        <f aca="false">IF(A698="","",IF(H698&lt;&gt;"",UPPER(TRIM(H698)),IFERROR(CHOOSE(VALUE(E698)+1,"A","B","C","D"),IF(OR(LEFT(UPPER(TRIM(E698)),1)="F",UPPER(TRIM(E698))="A"),"A",IF(OR(LEFT(UPPER(TRIM(E698)),1)="M",UPPER(TRIM(E698))="B"),"B",IF(OR(LEFT(UPPER(TRIM(E698)),2)="SL",UPPER(TRIM(E698))="C"),"C",IF(OR(LEFT(UPPER(TRIM(E698)),1)="D",UPPER(TRIM(E698))="D"),"D","")))))))</f>
        <v/>
      </c>
      <c r="J698" s="27" t="str">
        <f aca="false">IF(I698="","",IF(AND(I698="D",Settings!$B$6&lt;&gt;"Yes"),"",IFERROR(INDEX(Settings!$C$9:$C$12,MATCH(I698,Settings!$A$9:$A$12,0)),"")))</f>
        <v/>
      </c>
      <c r="K698" s="27" t="str">
        <f aca="false">IF(J698="","",COUNTIF($I$2:I698,I698))</f>
        <v/>
      </c>
      <c r="L698" s="27" t="str">
        <f aca="false">IF(J698="","",CHOOSE(Q698+1,"Tue","Wed","Thu","Fri"))</f>
        <v/>
      </c>
      <c r="M698" s="27" t="str">
        <f aca="false">IF(J698="","",IF(J698=1,"Every week",R698+1&amp;" of "&amp;J698))</f>
        <v/>
      </c>
      <c r="N698" s="28" t="str">
        <f aca="false">IF(J698="","",Settings!$B$4+R698*7+Q698)</f>
        <v/>
      </c>
      <c r="O698" s="28" t="str">
        <f aca="true">IF(J698="","",N698+MAX(0,ROUNDUP((TODAY()-N698)/(J698*7),0))*J698*7)</f>
        <v/>
      </c>
      <c r="P698" s="27" t="str">
        <f aca="false">IF(J698="","",MOD(K698-1,J698*4))</f>
        <v/>
      </c>
      <c r="Q698" s="27" t="str">
        <f aca="false">IF(J698="","",MOD(P698,4))</f>
        <v/>
      </c>
      <c r="R698" s="27" t="str">
        <f aca="false">IF(J698="","",INT(P698/4))</f>
        <v/>
      </c>
      <c r="S698" s="27" t="str">
        <f aca="false">IF(J698="","",IF(AND('Daily Count Sheet'!$H$3=Q698,MOD('Daily Count Sheet'!$I$3,J698)=R698),1,""))</f>
        <v/>
      </c>
      <c r="T698" s="27" t="str">
        <f aca="false">IF(S698=1,COUNTIF($S$2:S698,1),"")</f>
        <v/>
      </c>
    </row>
    <row r="699" customFormat="false" ht="15" hidden="false" customHeight="false" outlineLevel="0" collapsed="false">
      <c r="H699" s="26"/>
      <c r="I699" s="27" t="str">
        <f aca="false">IF(A699="","",IF(H699&lt;&gt;"",UPPER(TRIM(H699)),IFERROR(CHOOSE(VALUE(E699)+1,"A","B","C","D"),IF(OR(LEFT(UPPER(TRIM(E699)),1)="F",UPPER(TRIM(E699))="A"),"A",IF(OR(LEFT(UPPER(TRIM(E699)),1)="M",UPPER(TRIM(E699))="B"),"B",IF(OR(LEFT(UPPER(TRIM(E699)),2)="SL",UPPER(TRIM(E699))="C"),"C",IF(OR(LEFT(UPPER(TRIM(E699)),1)="D",UPPER(TRIM(E699))="D"),"D","")))))))</f>
        <v/>
      </c>
      <c r="J699" s="27" t="str">
        <f aca="false">IF(I699="","",IF(AND(I699="D",Settings!$B$6&lt;&gt;"Yes"),"",IFERROR(INDEX(Settings!$C$9:$C$12,MATCH(I699,Settings!$A$9:$A$12,0)),"")))</f>
        <v/>
      </c>
      <c r="K699" s="27" t="str">
        <f aca="false">IF(J699="","",COUNTIF($I$2:I699,I699))</f>
        <v/>
      </c>
      <c r="L699" s="27" t="str">
        <f aca="false">IF(J699="","",CHOOSE(Q699+1,"Tue","Wed","Thu","Fri"))</f>
        <v/>
      </c>
      <c r="M699" s="27" t="str">
        <f aca="false">IF(J699="","",IF(J699=1,"Every week",R699+1&amp;" of "&amp;J699))</f>
        <v/>
      </c>
      <c r="N699" s="28" t="str">
        <f aca="false">IF(J699="","",Settings!$B$4+R699*7+Q699)</f>
        <v/>
      </c>
      <c r="O699" s="28" t="str">
        <f aca="true">IF(J699="","",N699+MAX(0,ROUNDUP((TODAY()-N699)/(J699*7),0))*J699*7)</f>
        <v/>
      </c>
      <c r="P699" s="27" t="str">
        <f aca="false">IF(J699="","",MOD(K699-1,J699*4))</f>
        <v/>
      </c>
      <c r="Q699" s="27" t="str">
        <f aca="false">IF(J699="","",MOD(P699,4))</f>
        <v/>
      </c>
      <c r="R699" s="27" t="str">
        <f aca="false">IF(J699="","",INT(P699/4))</f>
        <v/>
      </c>
      <c r="S699" s="27" t="str">
        <f aca="false">IF(J699="","",IF(AND('Daily Count Sheet'!$H$3=Q699,MOD('Daily Count Sheet'!$I$3,J699)=R699),1,""))</f>
        <v/>
      </c>
      <c r="T699" s="27" t="str">
        <f aca="false">IF(S699=1,COUNTIF($S$2:S699,1),"")</f>
        <v/>
      </c>
    </row>
    <row r="700" customFormat="false" ht="15" hidden="false" customHeight="false" outlineLevel="0" collapsed="false">
      <c r="H700" s="26"/>
      <c r="I700" s="27" t="str">
        <f aca="false">IF(A700="","",IF(H700&lt;&gt;"",UPPER(TRIM(H700)),IFERROR(CHOOSE(VALUE(E700)+1,"A","B","C","D"),IF(OR(LEFT(UPPER(TRIM(E700)),1)="F",UPPER(TRIM(E700))="A"),"A",IF(OR(LEFT(UPPER(TRIM(E700)),1)="M",UPPER(TRIM(E700))="B"),"B",IF(OR(LEFT(UPPER(TRIM(E700)),2)="SL",UPPER(TRIM(E700))="C"),"C",IF(OR(LEFT(UPPER(TRIM(E700)),1)="D",UPPER(TRIM(E700))="D"),"D","")))))))</f>
        <v/>
      </c>
      <c r="J700" s="27" t="str">
        <f aca="false">IF(I700="","",IF(AND(I700="D",Settings!$B$6&lt;&gt;"Yes"),"",IFERROR(INDEX(Settings!$C$9:$C$12,MATCH(I700,Settings!$A$9:$A$12,0)),"")))</f>
        <v/>
      </c>
      <c r="K700" s="27" t="str">
        <f aca="false">IF(J700="","",COUNTIF($I$2:I700,I700))</f>
        <v/>
      </c>
      <c r="L700" s="27" t="str">
        <f aca="false">IF(J700="","",CHOOSE(Q700+1,"Tue","Wed","Thu","Fri"))</f>
        <v/>
      </c>
      <c r="M700" s="27" t="str">
        <f aca="false">IF(J700="","",IF(J700=1,"Every week",R700+1&amp;" of "&amp;J700))</f>
        <v/>
      </c>
      <c r="N700" s="28" t="str">
        <f aca="false">IF(J700="","",Settings!$B$4+R700*7+Q700)</f>
        <v/>
      </c>
      <c r="O700" s="28" t="str">
        <f aca="true">IF(J700="","",N700+MAX(0,ROUNDUP((TODAY()-N700)/(J700*7),0))*J700*7)</f>
        <v/>
      </c>
      <c r="P700" s="27" t="str">
        <f aca="false">IF(J700="","",MOD(K700-1,J700*4))</f>
        <v/>
      </c>
      <c r="Q700" s="27" t="str">
        <f aca="false">IF(J700="","",MOD(P700,4))</f>
        <v/>
      </c>
      <c r="R700" s="27" t="str">
        <f aca="false">IF(J700="","",INT(P700/4))</f>
        <v/>
      </c>
      <c r="S700" s="27" t="str">
        <f aca="false">IF(J700="","",IF(AND('Daily Count Sheet'!$H$3=Q700,MOD('Daily Count Sheet'!$I$3,J700)=R700),1,""))</f>
        <v/>
      </c>
      <c r="T700" s="27" t="str">
        <f aca="false">IF(S700=1,COUNTIF($S$2:S700,1),"")</f>
        <v/>
      </c>
    </row>
    <row r="701" customFormat="false" ht="15" hidden="false" customHeight="false" outlineLevel="0" collapsed="false">
      <c r="H701" s="26"/>
      <c r="I701" s="27" t="str">
        <f aca="false">IF(A701="","",IF(H701&lt;&gt;"",UPPER(TRIM(H701)),IFERROR(CHOOSE(VALUE(E701)+1,"A","B","C","D"),IF(OR(LEFT(UPPER(TRIM(E701)),1)="F",UPPER(TRIM(E701))="A"),"A",IF(OR(LEFT(UPPER(TRIM(E701)),1)="M",UPPER(TRIM(E701))="B"),"B",IF(OR(LEFT(UPPER(TRIM(E701)),2)="SL",UPPER(TRIM(E701))="C"),"C",IF(OR(LEFT(UPPER(TRIM(E701)),1)="D",UPPER(TRIM(E701))="D"),"D","")))))))</f>
        <v/>
      </c>
      <c r="J701" s="27" t="str">
        <f aca="false">IF(I701="","",IF(AND(I701="D",Settings!$B$6&lt;&gt;"Yes"),"",IFERROR(INDEX(Settings!$C$9:$C$12,MATCH(I701,Settings!$A$9:$A$12,0)),"")))</f>
        <v/>
      </c>
      <c r="K701" s="27" t="str">
        <f aca="false">IF(J701="","",COUNTIF($I$2:I701,I701))</f>
        <v/>
      </c>
      <c r="L701" s="27" t="str">
        <f aca="false">IF(J701="","",CHOOSE(Q701+1,"Tue","Wed","Thu","Fri"))</f>
        <v/>
      </c>
      <c r="M701" s="27" t="str">
        <f aca="false">IF(J701="","",IF(J701=1,"Every week",R701+1&amp;" of "&amp;J701))</f>
        <v/>
      </c>
      <c r="N701" s="28" t="str">
        <f aca="false">IF(J701="","",Settings!$B$4+R701*7+Q701)</f>
        <v/>
      </c>
      <c r="O701" s="28" t="str">
        <f aca="true">IF(J701="","",N701+MAX(0,ROUNDUP((TODAY()-N701)/(J701*7),0))*J701*7)</f>
        <v/>
      </c>
      <c r="P701" s="27" t="str">
        <f aca="false">IF(J701="","",MOD(K701-1,J701*4))</f>
        <v/>
      </c>
      <c r="Q701" s="27" t="str">
        <f aca="false">IF(J701="","",MOD(P701,4))</f>
        <v/>
      </c>
      <c r="R701" s="27" t="str">
        <f aca="false">IF(J701="","",INT(P701/4))</f>
        <v/>
      </c>
      <c r="S701" s="27" t="str">
        <f aca="false">IF(J701="","",IF(AND('Daily Count Sheet'!$H$3=Q701,MOD('Daily Count Sheet'!$I$3,J701)=R701),1,""))</f>
        <v/>
      </c>
      <c r="T701" s="27" t="str">
        <f aca="false">IF(S701=1,COUNTIF($S$2:S701,1),"")</f>
        <v/>
      </c>
    </row>
    <row r="702" customFormat="false" ht="15" hidden="false" customHeight="false" outlineLevel="0" collapsed="false">
      <c r="H702" s="26"/>
      <c r="I702" s="27" t="str">
        <f aca="false">IF(A702="","",IF(H702&lt;&gt;"",UPPER(TRIM(H702)),IFERROR(CHOOSE(VALUE(E702)+1,"A","B","C","D"),IF(OR(LEFT(UPPER(TRIM(E702)),1)="F",UPPER(TRIM(E702))="A"),"A",IF(OR(LEFT(UPPER(TRIM(E702)),1)="M",UPPER(TRIM(E702))="B"),"B",IF(OR(LEFT(UPPER(TRIM(E702)),2)="SL",UPPER(TRIM(E702))="C"),"C",IF(OR(LEFT(UPPER(TRIM(E702)),1)="D",UPPER(TRIM(E702))="D"),"D","")))))))</f>
        <v/>
      </c>
      <c r="J702" s="27" t="str">
        <f aca="false">IF(I702="","",IF(AND(I702="D",Settings!$B$6&lt;&gt;"Yes"),"",IFERROR(INDEX(Settings!$C$9:$C$12,MATCH(I702,Settings!$A$9:$A$12,0)),"")))</f>
        <v/>
      </c>
      <c r="K702" s="27" t="str">
        <f aca="false">IF(J702="","",COUNTIF($I$2:I702,I702))</f>
        <v/>
      </c>
      <c r="L702" s="27" t="str">
        <f aca="false">IF(J702="","",CHOOSE(Q702+1,"Tue","Wed","Thu","Fri"))</f>
        <v/>
      </c>
      <c r="M702" s="27" t="str">
        <f aca="false">IF(J702="","",IF(J702=1,"Every week",R702+1&amp;" of "&amp;J702))</f>
        <v/>
      </c>
      <c r="N702" s="28" t="str">
        <f aca="false">IF(J702="","",Settings!$B$4+R702*7+Q702)</f>
        <v/>
      </c>
      <c r="O702" s="28" t="str">
        <f aca="true">IF(J702="","",N702+MAX(0,ROUNDUP((TODAY()-N702)/(J702*7),0))*J702*7)</f>
        <v/>
      </c>
      <c r="P702" s="27" t="str">
        <f aca="false">IF(J702="","",MOD(K702-1,J702*4))</f>
        <v/>
      </c>
      <c r="Q702" s="27" t="str">
        <f aca="false">IF(J702="","",MOD(P702,4))</f>
        <v/>
      </c>
      <c r="R702" s="27" t="str">
        <f aca="false">IF(J702="","",INT(P702/4))</f>
        <v/>
      </c>
      <c r="S702" s="27" t="str">
        <f aca="false">IF(J702="","",IF(AND('Daily Count Sheet'!$H$3=Q702,MOD('Daily Count Sheet'!$I$3,J702)=R702),1,""))</f>
        <v/>
      </c>
      <c r="T702" s="27" t="str">
        <f aca="false">IF(S702=1,COUNTIF($S$2:S702,1),"")</f>
        <v/>
      </c>
    </row>
    <row r="703" customFormat="false" ht="15" hidden="false" customHeight="false" outlineLevel="0" collapsed="false">
      <c r="H703" s="26"/>
      <c r="I703" s="27" t="str">
        <f aca="false">IF(A703="","",IF(H703&lt;&gt;"",UPPER(TRIM(H703)),IFERROR(CHOOSE(VALUE(E703)+1,"A","B","C","D"),IF(OR(LEFT(UPPER(TRIM(E703)),1)="F",UPPER(TRIM(E703))="A"),"A",IF(OR(LEFT(UPPER(TRIM(E703)),1)="M",UPPER(TRIM(E703))="B"),"B",IF(OR(LEFT(UPPER(TRIM(E703)),2)="SL",UPPER(TRIM(E703))="C"),"C",IF(OR(LEFT(UPPER(TRIM(E703)),1)="D",UPPER(TRIM(E703))="D"),"D","")))))))</f>
        <v/>
      </c>
      <c r="J703" s="27" t="str">
        <f aca="false">IF(I703="","",IF(AND(I703="D",Settings!$B$6&lt;&gt;"Yes"),"",IFERROR(INDEX(Settings!$C$9:$C$12,MATCH(I703,Settings!$A$9:$A$12,0)),"")))</f>
        <v/>
      </c>
      <c r="K703" s="27" t="str">
        <f aca="false">IF(J703="","",COUNTIF($I$2:I703,I703))</f>
        <v/>
      </c>
      <c r="L703" s="27" t="str">
        <f aca="false">IF(J703="","",CHOOSE(Q703+1,"Tue","Wed","Thu","Fri"))</f>
        <v/>
      </c>
      <c r="M703" s="27" t="str">
        <f aca="false">IF(J703="","",IF(J703=1,"Every week",R703+1&amp;" of "&amp;J703))</f>
        <v/>
      </c>
      <c r="N703" s="28" t="str">
        <f aca="false">IF(J703="","",Settings!$B$4+R703*7+Q703)</f>
        <v/>
      </c>
      <c r="O703" s="28" t="str">
        <f aca="true">IF(J703="","",N703+MAX(0,ROUNDUP((TODAY()-N703)/(J703*7),0))*J703*7)</f>
        <v/>
      </c>
      <c r="P703" s="27" t="str">
        <f aca="false">IF(J703="","",MOD(K703-1,J703*4))</f>
        <v/>
      </c>
      <c r="Q703" s="27" t="str">
        <f aca="false">IF(J703="","",MOD(P703,4))</f>
        <v/>
      </c>
      <c r="R703" s="27" t="str">
        <f aca="false">IF(J703="","",INT(P703/4))</f>
        <v/>
      </c>
      <c r="S703" s="27" t="str">
        <f aca="false">IF(J703="","",IF(AND('Daily Count Sheet'!$H$3=Q703,MOD('Daily Count Sheet'!$I$3,J703)=R703),1,""))</f>
        <v/>
      </c>
      <c r="T703" s="27" t="str">
        <f aca="false">IF(S703=1,COUNTIF($S$2:S703,1),"")</f>
        <v/>
      </c>
    </row>
    <row r="704" customFormat="false" ht="15" hidden="false" customHeight="false" outlineLevel="0" collapsed="false">
      <c r="H704" s="26"/>
      <c r="I704" s="27" t="str">
        <f aca="false">IF(A704="","",IF(H704&lt;&gt;"",UPPER(TRIM(H704)),IFERROR(CHOOSE(VALUE(E704)+1,"A","B","C","D"),IF(OR(LEFT(UPPER(TRIM(E704)),1)="F",UPPER(TRIM(E704))="A"),"A",IF(OR(LEFT(UPPER(TRIM(E704)),1)="M",UPPER(TRIM(E704))="B"),"B",IF(OR(LEFT(UPPER(TRIM(E704)),2)="SL",UPPER(TRIM(E704))="C"),"C",IF(OR(LEFT(UPPER(TRIM(E704)),1)="D",UPPER(TRIM(E704))="D"),"D","")))))))</f>
        <v/>
      </c>
      <c r="J704" s="27" t="str">
        <f aca="false">IF(I704="","",IF(AND(I704="D",Settings!$B$6&lt;&gt;"Yes"),"",IFERROR(INDEX(Settings!$C$9:$C$12,MATCH(I704,Settings!$A$9:$A$12,0)),"")))</f>
        <v/>
      </c>
      <c r="K704" s="27" t="str">
        <f aca="false">IF(J704="","",COUNTIF($I$2:I704,I704))</f>
        <v/>
      </c>
      <c r="L704" s="27" t="str">
        <f aca="false">IF(J704="","",CHOOSE(Q704+1,"Tue","Wed","Thu","Fri"))</f>
        <v/>
      </c>
      <c r="M704" s="27" t="str">
        <f aca="false">IF(J704="","",IF(J704=1,"Every week",R704+1&amp;" of "&amp;J704))</f>
        <v/>
      </c>
      <c r="N704" s="28" t="str">
        <f aca="false">IF(J704="","",Settings!$B$4+R704*7+Q704)</f>
        <v/>
      </c>
      <c r="O704" s="28" t="str">
        <f aca="true">IF(J704="","",N704+MAX(0,ROUNDUP((TODAY()-N704)/(J704*7),0))*J704*7)</f>
        <v/>
      </c>
      <c r="P704" s="27" t="str">
        <f aca="false">IF(J704="","",MOD(K704-1,J704*4))</f>
        <v/>
      </c>
      <c r="Q704" s="27" t="str">
        <f aca="false">IF(J704="","",MOD(P704,4))</f>
        <v/>
      </c>
      <c r="R704" s="27" t="str">
        <f aca="false">IF(J704="","",INT(P704/4))</f>
        <v/>
      </c>
      <c r="S704" s="27" t="str">
        <f aca="false">IF(J704="","",IF(AND('Daily Count Sheet'!$H$3=Q704,MOD('Daily Count Sheet'!$I$3,J704)=R704),1,""))</f>
        <v/>
      </c>
      <c r="T704" s="27" t="str">
        <f aca="false">IF(S704=1,COUNTIF($S$2:S704,1),"")</f>
        <v/>
      </c>
    </row>
    <row r="705" customFormat="false" ht="15" hidden="false" customHeight="false" outlineLevel="0" collapsed="false">
      <c r="H705" s="26"/>
      <c r="I705" s="27" t="str">
        <f aca="false">IF(A705="","",IF(H705&lt;&gt;"",UPPER(TRIM(H705)),IFERROR(CHOOSE(VALUE(E705)+1,"A","B","C","D"),IF(OR(LEFT(UPPER(TRIM(E705)),1)="F",UPPER(TRIM(E705))="A"),"A",IF(OR(LEFT(UPPER(TRIM(E705)),1)="M",UPPER(TRIM(E705))="B"),"B",IF(OR(LEFT(UPPER(TRIM(E705)),2)="SL",UPPER(TRIM(E705))="C"),"C",IF(OR(LEFT(UPPER(TRIM(E705)),1)="D",UPPER(TRIM(E705))="D"),"D","")))))))</f>
        <v/>
      </c>
      <c r="J705" s="27" t="str">
        <f aca="false">IF(I705="","",IF(AND(I705="D",Settings!$B$6&lt;&gt;"Yes"),"",IFERROR(INDEX(Settings!$C$9:$C$12,MATCH(I705,Settings!$A$9:$A$12,0)),"")))</f>
        <v/>
      </c>
      <c r="K705" s="27" t="str">
        <f aca="false">IF(J705="","",COUNTIF($I$2:I705,I705))</f>
        <v/>
      </c>
      <c r="L705" s="27" t="str">
        <f aca="false">IF(J705="","",CHOOSE(Q705+1,"Tue","Wed","Thu","Fri"))</f>
        <v/>
      </c>
      <c r="M705" s="27" t="str">
        <f aca="false">IF(J705="","",IF(J705=1,"Every week",R705+1&amp;" of "&amp;J705))</f>
        <v/>
      </c>
      <c r="N705" s="28" t="str">
        <f aca="false">IF(J705="","",Settings!$B$4+R705*7+Q705)</f>
        <v/>
      </c>
      <c r="O705" s="28" t="str">
        <f aca="true">IF(J705="","",N705+MAX(0,ROUNDUP((TODAY()-N705)/(J705*7),0))*J705*7)</f>
        <v/>
      </c>
      <c r="P705" s="27" t="str">
        <f aca="false">IF(J705="","",MOD(K705-1,J705*4))</f>
        <v/>
      </c>
      <c r="Q705" s="27" t="str">
        <f aca="false">IF(J705="","",MOD(P705,4))</f>
        <v/>
      </c>
      <c r="R705" s="27" t="str">
        <f aca="false">IF(J705="","",INT(P705/4))</f>
        <v/>
      </c>
      <c r="S705" s="27" t="str">
        <f aca="false">IF(J705="","",IF(AND('Daily Count Sheet'!$H$3=Q705,MOD('Daily Count Sheet'!$I$3,J705)=R705),1,""))</f>
        <v/>
      </c>
      <c r="T705" s="27" t="str">
        <f aca="false">IF(S705=1,COUNTIF($S$2:S705,1),"")</f>
        <v/>
      </c>
    </row>
    <row r="706" customFormat="false" ht="15" hidden="false" customHeight="false" outlineLevel="0" collapsed="false">
      <c r="H706" s="26"/>
      <c r="I706" s="27" t="str">
        <f aca="false">IF(A706="","",IF(H706&lt;&gt;"",UPPER(TRIM(H706)),IFERROR(CHOOSE(VALUE(E706)+1,"A","B","C","D"),IF(OR(LEFT(UPPER(TRIM(E706)),1)="F",UPPER(TRIM(E706))="A"),"A",IF(OR(LEFT(UPPER(TRIM(E706)),1)="M",UPPER(TRIM(E706))="B"),"B",IF(OR(LEFT(UPPER(TRIM(E706)),2)="SL",UPPER(TRIM(E706))="C"),"C",IF(OR(LEFT(UPPER(TRIM(E706)),1)="D",UPPER(TRIM(E706))="D"),"D","")))))))</f>
        <v/>
      </c>
      <c r="J706" s="27" t="str">
        <f aca="false">IF(I706="","",IF(AND(I706="D",Settings!$B$6&lt;&gt;"Yes"),"",IFERROR(INDEX(Settings!$C$9:$C$12,MATCH(I706,Settings!$A$9:$A$12,0)),"")))</f>
        <v/>
      </c>
      <c r="K706" s="27" t="str">
        <f aca="false">IF(J706="","",COUNTIF($I$2:I706,I706))</f>
        <v/>
      </c>
      <c r="L706" s="27" t="str">
        <f aca="false">IF(J706="","",CHOOSE(Q706+1,"Tue","Wed","Thu","Fri"))</f>
        <v/>
      </c>
      <c r="M706" s="27" t="str">
        <f aca="false">IF(J706="","",IF(J706=1,"Every week",R706+1&amp;" of "&amp;J706))</f>
        <v/>
      </c>
      <c r="N706" s="28" t="str">
        <f aca="false">IF(J706="","",Settings!$B$4+R706*7+Q706)</f>
        <v/>
      </c>
      <c r="O706" s="28" t="str">
        <f aca="true">IF(J706="","",N706+MAX(0,ROUNDUP((TODAY()-N706)/(J706*7),0))*J706*7)</f>
        <v/>
      </c>
      <c r="P706" s="27" t="str">
        <f aca="false">IF(J706="","",MOD(K706-1,J706*4))</f>
        <v/>
      </c>
      <c r="Q706" s="27" t="str">
        <f aca="false">IF(J706="","",MOD(P706,4))</f>
        <v/>
      </c>
      <c r="R706" s="27" t="str">
        <f aca="false">IF(J706="","",INT(P706/4))</f>
        <v/>
      </c>
      <c r="S706" s="27" t="str">
        <f aca="false">IF(J706="","",IF(AND('Daily Count Sheet'!$H$3=Q706,MOD('Daily Count Sheet'!$I$3,J706)=R706),1,""))</f>
        <v/>
      </c>
      <c r="T706" s="27" t="str">
        <f aca="false">IF(S706=1,COUNTIF($S$2:S706,1),"")</f>
        <v/>
      </c>
    </row>
    <row r="707" customFormat="false" ht="15" hidden="false" customHeight="false" outlineLevel="0" collapsed="false">
      <c r="H707" s="26"/>
      <c r="I707" s="27" t="str">
        <f aca="false">IF(A707="","",IF(H707&lt;&gt;"",UPPER(TRIM(H707)),IFERROR(CHOOSE(VALUE(E707)+1,"A","B","C","D"),IF(OR(LEFT(UPPER(TRIM(E707)),1)="F",UPPER(TRIM(E707))="A"),"A",IF(OR(LEFT(UPPER(TRIM(E707)),1)="M",UPPER(TRIM(E707))="B"),"B",IF(OR(LEFT(UPPER(TRIM(E707)),2)="SL",UPPER(TRIM(E707))="C"),"C",IF(OR(LEFT(UPPER(TRIM(E707)),1)="D",UPPER(TRIM(E707))="D"),"D","")))))))</f>
        <v/>
      </c>
      <c r="J707" s="27" t="str">
        <f aca="false">IF(I707="","",IF(AND(I707="D",Settings!$B$6&lt;&gt;"Yes"),"",IFERROR(INDEX(Settings!$C$9:$C$12,MATCH(I707,Settings!$A$9:$A$12,0)),"")))</f>
        <v/>
      </c>
      <c r="K707" s="27" t="str">
        <f aca="false">IF(J707="","",COUNTIF($I$2:I707,I707))</f>
        <v/>
      </c>
      <c r="L707" s="27" t="str">
        <f aca="false">IF(J707="","",CHOOSE(Q707+1,"Tue","Wed","Thu","Fri"))</f>
        <v/>
      </c>
      <c r="M707" s="27" t="str">
        <f aca="false">IF(J707="","",IF(J707=1,"Every week",R707+1&amp;" of "&amp;J707))</f>
        <v/>
      </c>
      <c r="N707" s="28" t="str">
        <f aca="false">IF(J707="","",Settings!$B$4+R707*7+Q707)</f>
        <v/>
      </c>
      <c r="O707" s="28" t="str">
        <f aca="true">IF(J707="","",N707+MAX(0,ROUNDUP((TODAY()-N707)/(J707*7),0))*J707*7)</f>
        <v/>
      </c>
      <c r="P707" s="27" t="str">
        <f aca="false">IF(J707="","",MOD(K707-1,J707*4))</f>
        <v/>
      </c>
      <c r="Q707" s="27" t="str">
        <f aca="false">IF(J707="","",MOD(P707,4))</f>
        <v/>
      </c>
      <c r="R707" s="27" t="str">
        <f aca="false">IF(J707="","",INT(P707/4))</f>
        <v/>
      </c>
      <c r="S707" s="27" t="str">
        <f aca="false">IF(J707="","",IF(AND('Daily Count Sheet'!$H$3=Q707,MOD('Daily Count Sheet'!$I$3,J707)=R707),1,""))</f>
        <v/>
      </c>
      <c r="T707" s="27" t="str">
        <f aca="false">IF(S707=1,COUNTIF($S$2:S707,1),"")</f>
        <v/>
      </c>
    </row>
    <row r="708" customFormat="false" ht="15" hidden="false" customHeight="false" outlineLevel="0" collapsed="false">
      <c r="H708" s="26"/>
      <c r="I708" s="27" t="str">
        <f aca="false">IF(A708="","",IF(H708&lt;&gt;"",UPPER(TRIM(H708)),IFERROR(CHOOSE(VALUE(E708)+1,"A","B","C","D"),IF(OR(LEFT(UPPER(TRIM(E708)),1)="F",UPPER(TRIM(E708))="A"),"A",IF(OR(LEFT(UPPER(TRIM(E708)),1)="M",UPPER(TRIM(E708))="B"),"B",IF(OR(LEFT(UPPER(TRIM(E708)),2)="SL",UPPER(TRIM(E708))="C"),"C",IF(OR(LEFT(UPPER(TRIM(E708)),1)="D",UPPER(TRIM(E708))="D"),"D","")))))))</f>
        <v/>
      </c>
      <c r="J708" s="27" t="str">
        <f aca="false">IF(I708="","",IF(AND(I708="D",Settings!$B$6&lt;&gt;"Yes"),"",IFERROR(INDEX(Settings!$C$9:$C$12,MATCH(I708,Settings!$A$9:$A$12,0)),"")))</f>
        <v/>
      </c>
      <c r="K708" s="27" t="str">
        <f aca="false">IF(J708="","",COUNTIF($I$2:I708,I708))</f>
        <v/>
      </c>
      <c r="L708" s="27" t="str">
        <f aca="false">IF(J708="","",CHOOSE(Q708+1,"Tue","Wed","Thu","Fri"))</f>
        <v/>
      </c>
      <c r="M708" s="27" t="str">
        <f aca="false">IF(J708="","",IF(J708=1,"Every week",R708+1&amp;" of "&amp;J708))</f>
        <v/>
      </c>
      <c r="N708" s="28" t="str">
        <f aca="false">IF(J708="","",Settings!$B$4+R708*7+Q708)</f>
        <v/>
      </c>
      <c r="O708" s="28" t="str">
        <f aca="true">IF(J708="","",N708+MAX(0,ROUNDUP((TODAY()-N708)/(J708*7),0))*J708*7)</f>
        <v/>
      </c>
      <c r="P708" s="27" t="str">
        <f aca="false">IF(J708="","",MOD(K708-1,J708*4))</f>
        <v/>
      </c>
      <c r="Q708" s="27" t="str">
        <f aca="false">IF(J708="","",MOD(P708,4))</f>
        <v/>
      </c>
      <c r="R708" s="27" t="str">
        <f aca="false">IF(J708="","",INT(P708/4))</f>
        <v/>
      </c>
      <c r="S708" s="27" t="str">
        <f aca="false">IF(J708="","",IF(AND('Daily Count Sheet'!$H$3=Q708,MOD('Daily Count Sheet'!$I$3,J708)=R708),1,""))</f>
        <v/>
      </c>
      <c r="T708" s="27" t="str">
        <f aca="false">IF(S708=1,COUNTIF($S$2:S708,1),"")</f>
        <v/>
      </c>
    </row>
    <row r="709" customFormat="false" ht="15" hidden="false" customHeight="false" outlineLevel="0" collapsed="false">
      <c r="H709" s="26"/>
      <c r="I709" s="27" t="str">
        <f aca="false">IF(A709="","",IF(H709&lt;&gt;"",UPPER(TRIM(H709)),IFERROR(CHOOSE(VALUE(E709)+1,"A","B","C","D"),IF(OR(LEFT(UPPER(TRIM(E709)),1)="F",UPPER(TRIM(E709))="A"),"A",IF(OR(LEFT(UPPER(TRIM(E709)),1)="M",UPPER(TRIM(E709))="B"),"B",IF(OR(LEFT(UPPER(TRIM(E709)),2)="SL",UPPER(TRIM(E709))="C"),"C",IF(OR(LEFT(UPPER(TRIM(E709)),1)="D",UPPER(TRIM(E709))="D"),"D","")))))))</f>
        <v/>
      </c>
      <c r="J709" s="27" t="str">
        <f aca="false">IF(I709="","",IF(AND(I709="D",Settings!$B$6&lt;&gt;"Yes"),"",IFERROR(INDEX(Settings!$C$9:$C$12,MATCH(I709,Settings!$A$9:$A$12,0)),"")))</f>
        <v/>
      </c>
      <c r="K709" s="27" t="str">
        <f aca="false">IF(J709="","",COUNTIF($I$2:I709,I709))</f>
        <v/>
      </c>
      <c r="L709" s="27" t="str">
        <f aca="false">IF(J709="","",CHOOSE(Q709+1,"Tue","Wed","Thu","Fri"))</f>
        <v/>
      </c>
      <c r="M709" s="27" t="str">
        <f aca="false">IF(J709="","",IF(J709=1,"Every week",R709+1&amp;" of "&amp;J709))</f>
        <v/>
      </c>
      <c r="N709" s="28" t="str">
        <f aca="false">IF(J709="","",Settings!$B$4+R709*7+Q709)</f>
        <v/>
      </c>
      <c r="O709" s="28" t="str">
        <f aca="true">IF(J709="","",N709+MAX(0,ROUNDUP((TODAY()-N709)/(J709*7),0))*J709*7)</f>
        <v/>
      </c>
      <c r="P709" s="27" t="str">
        <f aca="false">IF(J709="","",MOD(K709-1,J709*4))</f>
        <v/>
      </c>
      <c r="Q709" s="27" t="str">
        <f aca="false">IF(J709="","",MOD(P709,4))</f>
        <v/>
      </c>
      <c r="R709" s="27" t="str">
        <f aca="false">IF(J709="","",INT(P709/4))</f>
        <v/>
      </c>
      <c r="S709" s="27" t="str">
        <f aca="false">IF(J709="","",IF(AND('Daily Count Sheet'!$H$3=Q709,MOD('Daily Count Sheet'!$I$3,J709)=R709),1,""))</f>
        <v/>
      </c>
      <c r="T709" s="27" t="str">
        <f aca="false">IF(S709=1,COUNTIF($S$2:S709,1),"")</f>
        <v/>
      </c>
    </row>
    <row r="710" customFormat="false" ht="15" hidden="false" customHeight="false" outlineLevel="0" collapsed="false">
      <c r="H710" s="26"/>
      <c r="I710" s="27" t="str">
        <f aca="false">IF(A710="","",IF(H710&lt;&gt;"",UPPER(TRIM(H710)),IFERROR(CHOOSE(VALUE(E710)+1,"A","B","C","D"),IF(OR(LEFT(UPPER(TRIM(E710)),1)="F",UPPER(TRIM(E710))="A"),"A",IF(OR(LEFT(UPPER(TRIM(E710)),1)="M",UPPER(TRIM(E710))="B"),"B",IF(OR(LEFT(UPPER(TRIM(E710)),2)="SL",UPPER(TRIM(E710))="C"),"C",IF(OR(LEFT(UPPER(TRIM(E710)),1)="D",UPPER(TRIM(E710))="D"),"D","")))))))</f>
        <v/>
      </c>
      <c r="J710" s="27" t="str">
        <f aca="false">IF(I710="","",IF(AND(I710="D",Settings!$B$6&lt;&gt;"Yes"),"",IFERROR(INDEX(Settings!$C$9:$C$12,MATCH(I710,Settings!$A$9:$A$12,0)),"")))</f>
        <v/>
      </c>
      <c r="K710" s="27" t="str">
        <f aca="false">IF(J710="","",COUNTIF($I$2:I710,I710))</f>
        <v/>
      </c>
      <c r="L710" s="27" t="str">
        <f aca="false">IF(J710="","",CHOOSE(Q710+1,"Tue","Wed","Thu","Fri"))</f>
        <v/>
      </c>
      <c r="M710" s="27" t="str">
        <f aca="false">IF(J710="","",IF(J710=1,"Every week",R710+1&amp;" of "&amp;J710))</f>
        <v/>
      </c>
      <c r="N710" s="28" t="str">
        <f aca="false">IF(J710="","",Settings!$B$4+R710*7+Q710)</f>
        <v/>
      </c>
      <c r="O710" s="28" t="str">
        <f aca="true">IF(J710="","",N710+MAX(0,ROUNDUP((TODAY()-N710)/(J710*7),0))*J710*7)</f>
        <v/>
      </c>
      <c r="P710" s="27" t="str">
        <f aca="false">IF(J710="","",MOD(K710-1,J710*4))</f>
        <v/>
      </c>
      <c r="Q710" s="27" t="str">
        <f aca="false">IF(J710="","",MOD(P710,4))</f>
        <v/>
      </c>
      <c r="R710" s="27" t="str">
        <f aca="false">IF(J710="","",INT(P710/4))</f>
        <v/>
      </c>
      <c r="S710" s="27" t="str">
        <f aca="false">IF(J710="","",IF(AND('Daily Count Sheet'!$H$3=Q710,MOD('Daily Count Sheet'!$I$3,J710)=R710),1,""))</f>
        <v/>
      </c>
      <c r="T710" s="27" t="str">
        <f aca="false">IF(S710=1,COUNTIF($S$2:S710,1),"")</f>
        <v/>
      </c>
    </row>
    <row r="711" customFormat="false" ht="15" hidden="false" customHeight="false" outlineLevel="0" collapsed="false">
      <c r="H711" s="26"/>
      <c r="I711" s="27" t="str">
        <f aca="false">IF(A711="","",IF(H711&lt;&gt;"",UPPER(TRIM(H711)),IFERROR(CHOOSE(VALUE(E711)+1,"A","B","C","D"),IF(OR(LEFT(UPPER(TRIM(E711)),1)="F",UPPER(TRIM(E711))="A"),"A",IF(OR(LEFT(UPPER(TRIM(E711)),1)="M",UPPER(TRIM(E711))="B"),"B",IF(OR(LEFT(UPPER(TRIM(E711)),2)="SL",UPPER(TRIM(E711))="C"),"C",IF(OR(LEFT(UPPER(TRIM(E711)),1)="D",UPPER(TRIM(E711))="D"),"D","")))))))</f>
        <v/>
      </c>
      <c r="J711" s="27" t="str">
        <f aca="false">IF(I711="","",IF(AND(I711="D",Settings!$B$6&lt;&gt;"Yes"),"",IFERROR(INDEX(Settings!$C$9:$C$12,MATCH(I711,Settings!$A$9:$A$12,0)),"")))</f>
        <v/>
      </c>
      <c r="K711" s="27" t="str">
        <f aca="false">IF(J711="","",COUNTIF($I$2:I711,I711))</f>
        <v/>
      </c>
      <c r="L711" s="27" t="str">
        <f aca="false">IF(J711="","",CHOOSE(Q711+1,"Tue","Wed","Thu","Fri"))</f>
        <v/>
      </c>
      <c r="M711" s="27" t="str">
        <f aca="false">IF(J711="","",IF(J711=1,"Every week",R711+1&amp;" of "&amp;J711))</f>
        <v/>
      </c>
      <c r="N711" s="28" t="str">
        <f aca="false">IF(J711="","",Settings!$B$4+R711*7+Q711)</f>
        <v/>
      </c>
      <c r="O711" s="28" t="str">
        <f aca="true">IF(J711="","",N711+MAX(0,ROUNDUP((TODAY()-N711)/(J711*7),0))*J711*7)</f>
        <v/>
      </c>
      <c r="P711" s="27" t="str">
        <f aca="false">IF(J711="","",MOD(K711-1,J711*4))</f>
        <v/>
      </c>
      <c r="Q711" s="27" t="str">
        <f aca="false">IF(J711="","",MOD(P711,4))</f>
        <v/>
      </c>
      <c r="R711" s="27" t="str">
        <f aca="false">IF(J711="","",INT(P711/4))</f>
        <v/>
      </c>
      <c r="S711" s="27" t="str">
        <f aca="false">IF(J711="","",IF(AND('Daily Count Sheet'!$H$3=Q711,MOD('Daily Count Sheet'!$I$3,J711)=R711),1,""))</f>
        <v/>
      </c>
      <c r="T711" s="27" t="str">
        <f aca="false">IF(S711=1,COUNTIF($S$2:S711,1),"")</f>
        <v/>
      </c>
    </row>
    <row r="712" customFormat="false" ht="15" hidden="false" customHeight="false" outlineLevel="0" collapsed="false">
      <c r="H712" s="26"/>
      <c r="I712" s="27" t="str">
        <f aca="false">IF(A712="","",IF(H712&lt;&gt;"",UPPER(TRIM(H712)),IFERROR(CHOOSE(VALUE(E712)+1,"A","B","C","D"),IF(OR(LEFT(UPPER(TRIM(E712)),1)="F",UPPER(TRIM(E712))="A"),"A",IF(OR(LEFT(UPPER(TRIM(E712)),1)="M",UPPER(TRIM(E712))="B"),"B",IF(OR(LEFT(UPPER(TRIM(E712)),2)="SL",UPPER(TRIM(E712))="C"),"C",IF(OR(LEFT(UPPER(TRIM(E712)),1)="D",UPPER(TRIM(E712))="D"),"D","")))))))</f>
        <v/>
      </c>
      <c r="J712" s="27" t="str">
        <f aca="false">IF(I712="","",IF(AND(I712="D",Settings!$B$6&lt;&gt;"Yes"),"",IFERROR(INDEX(Settings!$C$9:$C$12,MATCH(I712,Settings!$A$9:$A$12,0)),"")))</f>
        <v/>
      </c>
      <c r="K712" s="27" t="str">
        <f aca="false">IF(J712="","",COUNTIF($I$2:I712,I712))</f>
        <v/>
      </c>
      <c r="L712" s="27" t="str">
        <f aca="false">IF(J712="","",CHOOSE(Q712+1,"Tue","Wed","Thu","Fri"))</f>
        <v/>
      </c>
      <c r="M712" s="27" t="str">
        <f aca="false">IF(J712="","",IF(J712=1,"Every week",R712+1&amp;" of "&amp;J712))</f>
        <v/>
      </c>
      <c r="N712" s="28" t="str">
        <f aca="false">IF(J712="","",Settings!$B$4+R712*7+Q712)</f>
        <v/>
      </c>
      <c r="O712" s="28" t="str">
        <f aca="true">IF(J712="","",N712+MAX(0,ROUNDUP((TODAY()-N712)/(J712*7),0))*J712*7)</f>
        <v/>
      </c>
      <c r="P712" s="27" t="str">
        <f aca="false">IF(J712="","",MOD(K712-1,J712*4))</f>
        <v/>
      </c>
      <c r="Q712" s="27" t="str">
        <f aca="false">IF(J712="","",MOD(P712,4))</f>
        <v/>
      </c>
      <c r="R712" s="27" t="str">
        <f aca="false">IF(J712="","",INT(P712/4))</f>
        <v/>
      </c>
      <c r="S712" s="27" t="str">
        <f aca="false">IF(J712="","",IF(AND('Daily Count Sheet'!$H$3=Q712,MOD('Daily Count Sheet'!$I$3,J712)=R712),1,""))</f>
        <v/>
      </c>
      <c r="T712" s="27" t="str">
        <f aca="false">IF(S712=1,COUNTIF($S$2:S712,1),"")</f>
        <v/>
      </c>
    </row>
    <row r="713" customFormat="false" ht="15" hidden="false" customHeight="false" outlineLevel="0" collapsed="false">
      <c r="H713" s="26"/>
      <c r="I713" s="27" t="str">
        <f aca="false">IF(A713="","",IF(H713&lt;&gt;"",UPPER(TRIM(H713)),IFERROR(CHOOSE(VALUE(E713)+1,"A","B","C","D"),IF(OR(LEFT(UPPER(TRIM(E713)),1)="F",UPPER(TRIM(E713))="A"),"A",IF(OR(LEFT(UPPER(TRIM(E713)),1)="M",UPPER(TRIM(E713))="B"),"B",IF(OR(LEFT(UPPER(TRIM(E713)),2)="SL",UPPER(TRIM(E713))="C"),"C",IF(OR(LEFT(UPPER(TRIM(E713)),1)="D",UPPER(TRIM(E713))="D"),"D","")))))))</f>
        <v/>
      </c>
      <c r="J713" s="27" t="str">
        <f aca="false">IF(I713="","",IF(AND(I713="D",Settings!$B$6&lt;&gt;"Yes"),"",IFERROR(INDEX(Settings!$C$9:$C$12,MATCH(I713,Settings!$A$9:$A$12,0)),"")))</f>
        <v/>
      </c>
      <c r="K713" s="27" t="str">
        <f aca="false">IF(J713="","",COUNTIF($I$2:I713,I713))</f>
        <v/>
      </c>
      <c r="L713" s="27" t="str">
        <f aca="false">IF(J713="","",CHOOSE(Q713+1,"Tue","Wed","Thu","Fri"))</f>
        <v/>
      </c>
      <c r="M713" s="27" t="str">
        <f aca="false">IF(J713="","",IF(J713=1,"Every week",R713+1&amp;" of "&amp;J713))</f>
        <v/>
      </c>
      <c r="N713" s="28" t="str">
        <f aca="false">IF(J713="","",Settings!$B$4+R713*7+Q713)</f>
        <v/>
      </c>
      <c r="O713" s="28" t="str">
        <f aca="true">IF(J713="","",N713+MAX(0,ROUNDUP((TODAY()-N713)/(J713*7),0))*J713*7)</f>
        <v/>
      </c>
      <c r="P713" s="27" t="str">
        <f aca="false">IF(J713="","",MOD(K713-1,J713*4))</f>
        <v/>
      </c>
      <c r="Q713" s="27" t="str">
        <f aca="false">IF(J713="","",MOD(P713,4))</f>
        <v/>
      </c>
      <c r="R713" s="27" t="str">
        <f aca="false">IF(J713="","",INT(P713/4))</f>
        <v/>
      </c>
      <c r="S713" s="27" t="str">
        <f aca="false">IF(J713="","",IF(AND('Daily Count Sheet'!$H$3=Q713,MOD('Daily Count Sheet'!$I$3,J713)=R713),1,""))</f>
        <v/>
      </c>
      <c r="T713" s="27" t="str">
        <f aca="false">IF(S713=1,COUNTIF($S$2:S713,1),"")</f>
        <v/>
      </c>
    </row>
    <row r="714" customFormat="false" ht="15" hidden="false" customHeight="false" outlineLevel="0" collapsed="false">
      <c r="H714" s="26"/>
      <c r="I714" s="27" t="str">
        <f aca="false">IF(A714="","",IF(H714&lt;&gt;"",UPPER(TRIM(H714)),IFERROR(CHOOSE(VALUE(E714)+1,"A","B","C","D"),IF(OR(LEFT(UPPER(TRIM(E714)),1)="F",UPPER(TRIM(E714))="A"),"A",IF(OR(LEFT(UPPER(TRIM(E714)),1)="M",UPPER(TRIM(E714))="B"),"B",IF(OR(LEFT(UPPER(TRIM(E714)),2)="SL",UPPER(TRIM(E714))="C"),"C",IF(OR(LEFT(UPPER(TRIM(E714)),1)="D",UPPER(TRIM(E714))="D"),"D","")))))))</f>
        <v/>
      </c>
      <c r="J714" s="27" t="str">
        <f aca="false">IF(I714="","",IF(AND(I714="D",Settings!$B$6&lt;&gt;"Yes"),"",IFERROR(INDEX(Settings!$C$9:$C$12,MATCH(I714,Settings!$A$9:$A$12,0)),"")))</f>
        <v/>
      </c>
      <c r="K714" s="27" t="str">
        <f aca="false">IF(J714="","",COUNTIF($I$2:I714,I714))</f>
        <v/>
      </c>
      <c r="L714" s="27" t="str">
        <f aca="false">IF(J714="","",CHOOSE(Q714+1,"Tue","Wed","Thu","Fri"))</f>
        <v/>
      </c>
      <c r="M714" s="27" t="str">
        <f aca="false">IF(J714="","",IF(J714=1,"Every week",R714+1&amp;" of "&amp;J714))</f>
        <v/>
      </c>
      <c r="N714" s="28" t="str">
        <f aca="false">IF(J714="","",Settings!$B$4+R714*7+Q714)</f>
        <v/>
      </c>
      <c r="O714" s="28" t="str">
        <f aca="true">IF(J714="","",N714+MAX(0,ROUNDUP((TODAY()-N714)/(J714*7),0))*J714*7)</f>
        <v/>
      </c>
      <c r="P714" s="27" t="str">
        <f aca="false">IF(J714="","",MOD(K714-1,J714*4))</f>
        <v/>
      </c>
      <c r="Q714" s="27" t="str">
        <f aca="false">IF(J714="","",MOD(P714,4))</f>
        <v/>
      </c>
      <c r="R714" s="27" t="str">
        <f aca="false">IF(J714="","",INT(P714/4))</f>
        <v/>
      </c>
      <c r="S714" s="27" t="str">
        <f aca="false">IF(J714="","",IF(AND('Daily Count Sheet'!$H$3=Q714,MOD('Daily Count Sheet'!$I$3,J714)=R714),1,""))</f>
        <v/>
      </c>
      <c r="T714" s="27" t="str">
        <f aca="false">IF(S714=1,COUNTIF($S$2:S714,1),"")</f>
        <v/>
      </c>
    </row>
    <row r="715" customFormat="false" ht="15" hidden="false" customHeight="false" outlineLevel="0" collapsed="false">
      <c r="H715" s="26"/>
      <c r="I715" s="27" t="str">
        <f aca="false">IF(A715="","",IF(H715&lt;&gt;"",UPPER(TRIM(H715)),IFERROR(CHOOSE(VALUE(E715)+1,"A","B","C","D"),IF(OR(LEFT(UPPER(TRIM(E715)),1)="F",UPPER(TRIM(E715))="A"),"A",IF(OR(LEFT(UPPER(TRIM(E715)),1)="M",UPPER(TRIM(E715))="B"),"B",IF(OR(LEFT(UPPER(TRIM(E715)),2)="SL",UPPER(TRIM(E715))="C"),"C",IF(OR(LEFT(UPPER(TRIM(E715)),1)="D",UPPER(TRIM(E715))="D"),"D","")))))))</f>
        <v/>
      </c>
      <c r="J715" s="27" t="str">
        <f aca="false">IF(I715="","",IF(AND(I715="D",Settings!$B$6&lt;&gt;"Yes"),"",IFERROR(INDEX(Settings!$C$9:$C$12,MATCH(I715,Settings!$A$9:$A$12,0)),"")))</f>
        <v/>
      </c>
      <c r="K715" s="27" t="str">
        <f aca="false">IF(J715="","",COUNTIF($I$2:I715,I715))</f>
        <v/>
      </c>
      <c r="L715" s="27" t="str">
        <f aca="false">IF(J715="","",CHOOSE(Q715+1,"Tue","Wed","Thu","Fri"))</f>
        <v/>
      </c>
      <c r="M715" s="27" t="str">
        <f aca="false">IF(J715="","",IF(J715=1,"Every week",R715+1&amp;" of "&amp;J715))</f>
        <v/>
      </c>
      <c r="N715" s="28" t="str">
        <f aca="false">IF(J715="","",Settings!$B$4+R715*7+Q715)</f>
        <v/>
      </c>
      <c r="O715" s="28" t="str">
        <f aca="true">IF(J715="","",N715+MAX(0,ROUNDUP((TODAY()-N715)/(J715*7),0))*J715*7)</f>
        <v/>
      </c>
      <c r="P715" s="27" t="str">
        <f aca="false">IF(J715="","",MOD(K715-1,J715*4))</f>
        <v/>
      </c>
      <c r="Q715" s="27" t="str">
        <f aca="false">IF(J715="","",MOD(P715,4))</f>
        <v/>
      </c>
      <c r="R715" s="27" t="str">
        <f aca="false">IF(J715="","",INT(P715/4))</f>
        <v/>
      </c>
      <c r="S715" s="27" t="str">
        <f aca="false">IF(J715="","",IF(AND('Daily Count Sheet'!$H$3=Q715,MOD('Daily Count Sheet'!$I$3,J715)=R715),1,""))</f>
        <v/>
      </c>
      <c r="T715" s="27" t="str">
        <f aca="false">IF(S715=1,COUNTIF($S$2:S715,1),"")</f>
        <v/>
      </c>
    </row>
    <row r="716" customFormat="false" ht="15" hidden="false" customHeight="false" outlineLevel="0" collapsed="false">
      <c r="H716" s="26"/>
      <c r="I716" s="27" t="str">
        <f aca="false">IF(A716="","",IF(H716&lt;&gt;"",UPPER(TRIM(H716)),IFERROR(CHOOSE(VALUE(E716)+1,"A","B","C","D"),IF(OR(LEFT(UPPER(TRIM(E716)),1)="F",UPPER(TRIM(E716))="A"),"A",IF(OR(LEFT(UPPER(TRIM(E716)),1)="M",UPPER(TRIM(E716))="B"),"B",IF(OR(LEFT(UPPER(TRIM(E716)),2)="SL",UPPER(TRIM(E716))="C"),"C",IF(OR(LEFT(UPPER(TRIM(E716)),1)="D",UPPER(TRIM(E716))="D"),"D","")))))))</f>
        <v/>
      </c>
      <c r="J716" s="27" t="str">
        <f aca="false">IF(I716="","",IF(AND(I716="D",Settings!$B$6&lt;&gt;"Yes"),"",IFERROR(INDEX(Settings!$C$9:$C$12,MATCH(I716,Settings!$A$9:$A$12,0)),"")))</f>
        <v/>
      </c>
      <c r="K716" s="27" t="str">
        <f aca="false">IF(J716="","",COUNTIF($I$2:I716,I716))</f>
        <v/>
      </c>
      <c r="L716" s="27" t="str">
        <f aca="false">IF(J716="","",CHOOSE(Q716+1,"Tue","Wed","Thu","Fri"))</f>
        <v/>
      </c>
      <c r="M716" s="27" t="str">
        <f aca="false">IF(J716="","",IF(J716=1,"Every week",R716+1&amp;" of "&amp;J716))</f>
        <v/>
      </c>
      <c r="N716" s="28" t="str">
        <f aca="false">IF(J716="","",Settings!$B$4+R716*7+Q716)</f>
        <v/>
      </c>
      <c r="O716" s="28" t="str">
        <f aca="true">IF(J716="","",N716+MAX(0,ROUNDUP((TODAY()-N716)/(J716*7),0))*J716*7)</f>
        <v/>
      </c>
      <c r="P716" s="27" t="str">
        <f aca="false">IF(J716="","",MOD(K716-1,J716*4))</f>
        <v/>
      </c>
      <c r="Q716" s="27" t="str">
        <f aca="false">IF(J716="","",MOD(P716,4))</f>
        <v/>
      </c>
      <c r="R716" s="27" t="str">
        <f aca="false">IF(J716="","",INT(P716/4))</f>
        <v/>
      </c>
      <c r="S716" s="27" t="str">
        <f aca="false">IF(J716="","",IF(AND('Daily Count Sheet'!$H$3=Q716,MOD('Daily Count Sheet'!$I$3,J716)=R716),1,""))</f>
        <v/>
      </c>
      <c r="T716" s="27" t="str">
        <f aca="false">IF(S716=1,COUNTIF($S$2:S716,1),"")</f>
        <v/>
      </c>
    </row>
    <row r="717" customFormat="false" ht="15" hidden="false" customHeight="false" outlineLevel="0" collapsed="false">
      <c r="H717" s="26"/>
      <c r="I717" s="27" t="str">
        <f aca="false">IF(A717="","",IF(H717&lt;&gt;"",UPPER(TRIM(H717)),IFERROR(CHOOSE(VALUE(E717)+1,"A","B","C","D"),IF(OR(LEFT(UPPER(TRIM(E717)),1)="F",UPPER(TRIM(E717))="A"),"A",IF(OR(LEFT(UPPER(TRIM(E717)),1)="M",UPPER(TRIM(E717))="B"),"B",IF(OR(LEFT(UPPER(TRIM(E717)),2)="SL",UPPER(TRIM(E717))="C"),"C",IF(OR(LEFT(UPPER(TRIM(E717)),1)="D",UPPER(TRIM(E717))="D"),"D","")))))))</f>
        <v/>
      </c>
      <c r="J717" s="27" t="str">
        <f aca="false">IF(I717="","",IF(AND(I717="D",Settings!$B$6&lt;&gt;"Yes"),"",IFERROR(INDEX(Settings!$C$9:$C$12,MATCH(I717,Settings!$A$9:$A$12,0)),"")))</f>
        <v/>
      </c>
      <c r="K717" s="27" t="str">
        <f aca="false">IF(J717="","",COUNTIF($I$2:I717,I717))</f>
        <v/>
      </c>
      <c r="L717" s="27" t="str">
        <f aca="false">IF(J717="","",CHOOSE(Q717+1,"Tue","Wed","Thu","Fri"))</f>
        <v/>
      </c>
      <c r="M717" s="27" t="str">
        <f aca="false">IF(J717="","",IF(J717=1,"Every week",R717+1&amp;" of "&amp;J717))</f>
        <v/>
      </c>
      <c r="N717" s="28" t="str">
        <f aca="false">IF(J717="","",Settings!$B$4+R717*7+Q717)</f>
        <v/>
      </c>
      <c r="O717" s="28" t="str">
        <f aca="true">IF(J717="","",N717+MAX(0,ROUNDUP((TODAY()-N717)/(J717*7),0))*J717*7)</f>
        <v/>
      </c>
      <c r="P717" s="27" t="str">
        <f aca="false">IF(J717="","",MOD(K717-1,J717*4))</f>
        <v/>
      </c>
      <c r="Q717" s="27" t="str">
        <f aca="false">IF(J717="","",MOD(P717,4))</f>
        <v/>
      </c>
      <c r="R717" s="27" t="str">
        <f aca="false">IF(J717="","",INT(P717/4))</f>
        <v/>
      </c>
      <c r="S717" s="27" t="str">
        <f aca="false">IF(J717="","",IF(AND('Daily Count Sheet'!$H$3=Q717,MOD('Daily Count Sheet'!$I$3,J717)=R717),1,""))</f>
        <v/>
      </c>
      <c r="T717" s="27" t="str">
        <f aca="false">IF(S717=1,COUNTIF($S$2:S717,1),"")</f>
        <v/>
      </c>
    </row>
    <row r="718" customFormat="false" ht="15" hidden="false" customHeight="false" outlineLevel="0" collapsed="false">
      <c r="H718" s="26"/>
      <c r="I718" s="27" t="str">
        <f aca="false">IF(A718="","",IF(H718&lt;&gt;"",UPPER(TRIM(H718)),IFERROR(CHOOSE(VALUE(E718)+1,"A","B","C","D"),IF(OR(LEFT(UPPER(TRIM(E718)),1)="F",UPPER(TRIM(E718))="A"),"A",IF(OR(LEFT(UPPER(TRIM(E718)),1)="M",UPPER(TRIM(E718))="B"),"B",IF(OR(LEFT(UPPER(TRIM(E718)),2)="SL",UPPER(TRIM(E718))="C"),"C",IF(OR(LEFT(UPPER(TRIM(E718)),1)="D",UPPER(TRIM(E718))="D"),"D","")))))))</f>
        <v/>
      </c>
      <c r="J718" s="27" t="str">
        <f aca="false">IF(I718="","",IF(AND(I718="D",Settings!$B$6&lt;&gt;"Yes"),"",IFERROR(INDEX(Settings!$C$9:$C$12,MATCH(I718,Settings!$A$9:$A$12,0)),"")))</f>
        <v/>
      </c>
      <c r="K718" s="27" t="str">
        <f aca="false">IF(J718="","",COUNTIF($I$2:I718,I718))</f>
        <v/>
      </c>
      <c r="L718" s="27" t="str">
        <f aca="false">IF(J718="","",CHOOSE(Q718+1,"Tue","Wed","Thu","Fri"))</f>
        <v/>
      </c>
      <c r="M718" s="27" t="str">
        <f aca="false">IF(J718="","",IF(J718=1,"Every week",R718+1&amp;" of "&amp;J718))</f>
        <v/>
      </c>
      <c r="N718" s="28" t="str">
        <f aca="false">IF(J718="","",Settings!$B$4+R718*7+Q718)</f>
        <v/>
      </c>
      <c r="O718" s="28" t="str">
        <f aca="true">IF(J718="","",N718+MAX(0,ROUNDUP((TODAY()-N718)/(J718*7),0))*J718*7)</f>
        <v/>
      </c>
      <c r="P718" s="27" t="str">
        <f aca="false">IF(J718="","",MOD(K718-1,J718*4))</f>
        <v/>
      </c>
      <c r="Q718" s="27" t="str">
        <f aca="false">IF(J718="","",MOD(P718,4))</f>
        <v/>
      </c>
      <c r="R718" s="27" t="str">
        <f aca="false">IF(J718="","",INT(P718/4))</f>
        <v/>
      </c>
      <c r="S718" s="27" t="str">
        <f aca="false">IF(J718="","",IF(AND('Daily Count Sheet'!$H$3=Q718,MOD('Daily Count Sheet'!$I$3,J718)=R718),1,""))</f>
        <v/>
      </c>
      <c r="T718" s="27" t="str">
        <f aca="false">IF(S718=1,COUNTIF($S$2:S718,1),"")</f>
        <v/>
      </c>
    </row>
    <row r="719" customFormat="false" ht="15" hidden="false" customHeight="false" outlineLevel="0" collapsed="false">
      <c r="H719" s="26"/>
      <c r="I719" s="27" t="str">
        <f aca="false">IF(A719="","",IF(H719&lt;&gt;"",UPPER(TRIM(H719)),IFERROR(CHOOSE(VALUE(E719)+1,"A","B","C","D"),IF(OR(LEFT(UPPER(TRIM(E719)),1)="F",UPPER(TRIM(E719))="A"),"A",IF(OR(LEFT(UPPER(TRIM(E719)),1)="M",UPPER(TRIM(E719))="B"),"B",IF(OR(LEFT(UPPER(TRIM(E719)),2)="SL",UPPER(TRIM(E719))="C"),"C",IF(OR(LEFT(UPPER(TRIM(E719)),1)="D",UPPER(TRIM(E719))="D"),"D","")))))))</f>
        <v/>
      </c>
      <c r="J719" s="27" t="str">
        <f aca="false">IF(I719="","",IF(AND(I719="D",Settings!$B$6&lt;&gt;"Yes"),"",IFERROR(INDEX(Settings!$C$9:$C$12,MATCH(I719,Settings!$A$9:$A$12,0)),"")))</f>
        <v/>
      </c>
      <c r="K719" s="27" t="str">
        <f aca="false">IF(J719="","",COUNTIF($I$2:I719,I719))</f>
        <v/>
      </c>
      <c r="L719" s="27" t="str">
        <f aca="false">IF(J719="","",CHOOSE(Q719+1,"Tue","Wed","Thu","Fri"))</f>
        <v/>
      </c>
      <c r="M719" s="27" t="str">
        <f aca="false">IF(J719="","",IF(J719=1,"Every week",R719+1&amp;" of "&amp;J719))</f>
        <v/>
      </c>
      <c r="N719" s="28" t="str">
        <f aca="false">IF(J719="","",Settings!$B$4+R719*7+Q719)</f>
        <v/>
      </c>
      <c r="O719" s="28" t="str">
        <f aca="true">IF(J719="","",N719+MAX(0,ROUNDUP((TODAY()-N719)/(J719*7),0))*J719*7)</f>
        <v/>
      </c>
      <c r="P719" s="27" t="str">
        <f aca="false">IF(J719="","",MOD(K719-1,J719*4))</f>
        <v/>
      </c>
      <c r="Q719" s="27" t="str">
        <f aca="false">IF(J719="","",MOD(P719,4))</f>
        <v/>
      </c>
      <c r="R719" s="27" t="str">
        <f aca="false">IF(J719="","",INT(P719/4))</f>
        <v/>
      </c>
      <c r="S719" s="27" t="str">
        <f aca="false">IF(J719="","",IF(AND('Daily Count Sheet'!$H$3=Q719,MOD('Daily Count Sheet'!$I$3,J719)=R719),1,""))</f>
        <v/>
      </c>
      <c r="T719" s="27" t="str">
        <f aca="false">IF(S719=1,COUNTIF($S$2:S719,1),"")</f>
        <v/>
      </c>
    </row>
    <row r="720" customFormat="false" ht="15" hidden="false" customHeight="false" outlineLevel="0" collapsed="false">
      <c r="H720" s="26"/>
      <c r="I720" s="27" t="str">
        <f aca="false">IF(A720="","",IF(H720&lt;&gt;"",UPPER(TRIM(H720)),IFERROR(CHOOSE(VALUE(E720)+1,"A","B","C","D"),IF(OR(LEFT(UPPER(TRIM(E720)),1)="F",UPPER(TRIM(E720))="A"),"A",IF(OR(LEFT(UPPER(TRIM(E720)),1)="M",UPPER(TRIM(E720))="B"),"B",IF(OR(LEFT(UPPER(TRIM(E720)),2)="SL",UPPER(TRIM(E720))="C"),"C",IF(OR(LEFT(UPPER(TRIM(E720)),1)="D",UPPER(TRIM(E720))="D"),"D","")))))))</f>
        <v/>
      </c>
      <c r="J720" s="27" t="str">
        <f aca="false">IF(I720="","",IF(AND(I720="D",Settings!$B$6&lt;&gt;"Yes"),"",IFERROR(INDEX(Settings!$C$9:$C$12,MATCH(I720,Settings!$A$9:$A$12,0)),"")))</f>
        <v/>
      </c>
      <c r="K720" s="27" t="str">
        <f aca="false">IF(J720="","",COUNTIF($I$2:I720,I720))</f>
        <v/>
      </c>
      <c r="L720" s="27" t="str">
        <f aca="false">IF(J720="","",CHOOSE(Q720+1,"Tue","Wed","Thu","Fri"))</f>
        <v/>
      </c>
      <c r="M720" s="27" t="str">
        <f aca="false">IF(J720="","",IF(J720=1,"Every week",R720+1&amp;" of "&amp;J720))</f>
        <v/>
      </c>
      <c r="N720" s="28" t="str">
        <f aca="false">IF(J720="","",Settings!$B$4+R720*7+Q720)</f>
        <v/>
      </c>
      <c r="O720" s="28" t="str">
        <f aca="true">IF(J720="","",N720+MAX(0,ROUNDUP((TODAY()-N720)/(J720*7),0))*J720*7)</f>
        <v/>
      </c>
      <c r="P720" s="27" t="str">
        <f aca="false">IF(J720="","",MOD(K720-1,J720*4))</f>
        <v/>
      </c>
      <c r="Q720" s="27" t="str">
        <f aca="false">IF(J720="","",MOD(P720,4))</f>
        <v/>
      </c>
      <c r="R720" s="27" t="str">
        <f aca="false">IF(J720="","",INT(P720/4))</f>
        <v/>
      </c>
      <c r="S720" s="27" t="str">
        <f aca="false">IF(J720="","",IF(AND('Daily Count Sheet'!$H$3=Q720,MOD('Daily Count Sheet'!$I$3,J720)=R720),1,""))</f>
        <v/>
      </c>
      <c r="T720" s="27" t="str">
        <f aca="false">IF(S720=1,COUNTIF($S$2:S720,1),"")</f>
        <v/>
      </c>
    </row>
    <row r="721" customFormat="false" ht="15" hidden="false" customHeight="false" outlineLevel="0" collapsed="false">
      <c r="H721" s="26"/>
      <c r="I721" s="27" t="str">
        <f aca="false">IF(A721="","",IF(H721&lt;&gt;"",UPPER(TRIM(H721)),IFERROR(CHOOSE(VALUE(E721)+1,"A","B","C","D"),IF(OR(LEFT(UPPER(TRIM(E721)),1)="F",UPPER(TRIM(E721))="A"),"A",IF(OR(LEFT(UPPER(TRIM(E721)),1)="M",UPPER(TRIM(E721))="B"),"B",IF(OR(LEFT(UPPER(TRIM(E721)),2)="SL",UPPER(TRIM(E721))="C"),"C",IF(OR(LEFT(UPPER(TRIM(E721)),1)="D",UPPER(TRIM(E721))="D"),"D","")))))))</f>
        <v/>
      </c>
      <c r="J721" s="27" t="str">
        <f aca="false">IF(I721="","",IF(AND(I721="D",Settings!$B$6&lt;&gt;"Yes"),"",IFERROR(INDEX(Settings!$C$9:$C$12,MATCH(I721,Settings!$A$9:$A$12,0)),"")))</f>
        <v/>
      </c>
      <c r="K721" s="27" t="str">
        <f aca="false">IF(J721="","",COUNTIF($I$2:I721,I721))</f>
        <v/>
      </c>
      <c r="L721" s="27" t="str">
        <f aca="false">IF(J721="","",CHOOSE(Q721+1,"Tue","Wed","Thu","Fri"))</f>
        <v/>
      </c>
      <c r="M721" s="27" t="str">
        <f aca="false">IF(J721="","",IF(J721=1,"Every week",R721+1&amp;" of "&amp;J721))</f>
        <v/>
      </c>
      <c r="N721" s="28" t="str">
        <f aca="false">IF(J721="","",Settings!$B$4+R721*7+Q721)</f>
        <v/>
      </c>
      <c r="O721" s="28" t="str">
        <f aca="true">IF(J721="","",N721+MAX(0,ROUNDUP((TODAY()-N721)/(J721*7),0))*J721*7)</f>
        <v/>
      </c>
      <c r="P721" s="27" t="str">
        <f aca="false">IF(J721="","",MOD(K721-1,J721*4))</f>
        <v/>
      </c>
      <c r="Q721" s="27" t="str">
        <f aca="false">IF(J721="","",MOD(P721,4))</f>
        <v/>
      </c>
      <c r="R721" s="27" t="str">
        <f aca="false">IF(J721="","",INT(P721/4))</f>
        <v/>
      </c>
      <c r="S721" s="27" t="str">
        <f aca="false">IF(J721="","",IF(AND('Daily Count Sheet'!$H$3=Q721,MOD('Daily Count Sheet'!$I$3,J721)=R721),1,""))</f>
        <v/>
      </c>
      <c r="T721" s="27" t="str">
        <f aca="false">IF(S721=1,COUNTIF($S$2:S721,1),"")</f>
        <v/>
      </c>
    </row>
    <row r="722" customFormat="false" ht="15" hidden="false" customHeight="false" outlineLevel="0" collapsed="false">
      <c r="H722" s="26"/>
      <c r="I722" s="27" t="str">
        <f aca="false">IF(A722="","",IF(H722&lt;&gt;"",UPPER(TRIM(H722)),IFERROR(CHOOSE(VALUE(E722)+1,"A","B","C","D"),IF(OR(LEFT(UPPER(TRIM(E722)),1)="F",UPPER(TRIM(E722))="A"),"A",IF(OR(LEFT(UPPER(TRIM(E722)),1)="M",UPPER(TRIM(E722))="B"),"B",IF(OR(LEFT(UPPER(TRIM(E722)),2)="SL",UPPER(TRIM(E722))="C"),"C",IF(OR(LEFT(UPPER(TRIM(E722)),1)="D",UPPER(TRIM(E722))="D"),"D","")))))))</f>
        <v/>
      </c>
      <c r="J722" s="27" t="str">
        <f aca="false">IF(I722="","",IF(AND(I722="D",Settings!$B$6&lt;&gt;"Yes"),"",IFERROR(INDEX(Settings!$C$9:$C$12,MATCH(I722,Settings!$A$9:$A$12,0)),"")))</f>
        <v/>
      </c>
      <c r="K722" s="27" t="str">
        <f aca="false">IF(J722="","",COUNTIF($I$2:I722,I722))</f>
        <v/>
      </c>
      <c r="L722" s="27" t="str">
        <f aca="false">IF(J722="","",CHOOSE(Q722+1,"Tue","Wed","Thu","Fri"))</f>
        <v/>
      </c>
      <c r="M722" s="27" t="str">
        <f aca="false">IF(J722="","",IF(J722=1,"Every week",R722+1&amp;" of "&amp;J722))</f>
        <v/>
      </c>
      <c r="N722" s="28" t="str">
        <f aca="false">IF(J722="","",Settings!$B$4+R722*7+Q722)</f>
        <v/>
      </c>
      <c r="O722" s="28" t="str">
        <f aca="true">IF(J722="","",N722+MAX(0,ROUNDUP((TODAY()-N722)/(J722*7),0))*J722*7)</f>
        <v/>
      </c>
      <c r="P722" s="27" t="str">
        <f aca="false">IF(J722="","",MOD(K722-1,J722*4))</f>
        <v/>
      </c>
      <c r="Q722" s="27" t="str">
        <f aca="false">IF(J722="","",MOD(P722,4))</f>
        <v/>
      </c>
      <c r="R722" s="27" t="str">
        <f aca="false">IF(J722="","",INT(P722/4))</f>
        <v/>
      </c>
      <c r="S722" s="27" t="str">
        <f aca="false">IF(J722="","",IF(AND('Daily Count Sheet'!$H$3=Q722,MOD('Daily Count Sheet'!$I$3,J722)=R722),1,""))</f>
        <v/>
      </c>
      <c r="T722" s="27" t="str">
        <f aca="false">IF(S722=1,COUNTIF($S$2:S722,1),"")</f>
        <v/>
      </c>
    </row>
    <row r="723" customFormat="false" ht="15" hidden="false" customHeight="false" outlineLevel="0" collapsed="false">
      <c r="H723" s="26"/>
      <c r="I723" s="27" t="str">
        <f aca="false">IF(A723="","",IF(H723&lt;&gt;"",UPPER(TRIM(H723)),IFERROR(CHOOSE(VALUE(E723)+1,"A","B","C","D"),IF(OR(LEFT(UPPER(TRIM(E723)),1)="F",UPPER(TRIM(E723))="A"),"A",IF(OR(LEFT(UPPER(TRIM(E723)),1)="M",UPPER(TRIM(E723))="B"),"B",IF(OR(LEFT(UPPER(TRIM(E723)),2)="SL",UPPER(TRIM(E723))="C"),"C",IF(OR(LEFT(UPPER(TRIM(E723)),1)="D",UPPER(TRIM(E723))="D"),"D","")))))))</f>
        <v/>
      </c>
      <c r="J723" s="27" t="str">
        <f aca="false">IF(I723="","",IF(AND(I723="D",Settings!$B$6&lt;&gt;"Yes"),"",IFERROR(INDEX(Settings!$C$9:$C$12,MATCH(I723,Settings!$A$9:$A$12,0)),"")))</f>
        <v/>
      </c>
      <c r="K723" s="27" t="str">
        <f aca="false">IF(J723="","",COUNTIF($I$2:I723,I723))</f>
        <v/>
      </c>
      <c r="L723" s="27" t="str">
        <f aca="false">IF(J723="","",CHOOSE(Q723+1,"Tue","Wed","Thu","Fri"))</f>
        <v/>
      </c>
      <c r="M723" s="27" t="str">
        <f aca="false">IF(J723="","",IF(J723=1,"Every week",R723+1&amp;" of "&amp;J723))</f>
        <v/>
      </c>
      <c r="N723" s="28" t="str">
        <f aca="false">IF(J723="","",Settings!$B$4+R723*7+Q723)</f>
        <v/>
      </c>
      <c r="O723" s="28" t="str">
        <f aca="true">IF(J723="","",N723+MAX(0,ROUNDUP((TODAY()-N723)/(J723*7),0))*J723*7)</f>
        <v/>
      </c>
      <c r="P723" s="27" t="str">
        <f aca="false">IF(J723="","",MOD(K723-1,J723*4))</f>
        <v/>
      </c>
      <c r="Q723" s="27" t="str">
        <f aca="false">IF(J723="","",MOD(P723,4))</f>
        <v/>
      </c>
      <c r="R723" s="27" t="str">
        <f aca="false">IF(J723="","",INT(P723/4))</f>
        <v/>
      </c>
      <c r="S723" s="27" t="str">
        <f aca="false">IF(J723="","",IF(AND('Daily Count Sheet'!$H$3=Q723,MOD('Daily Count Sheet'!$I$3,J723)=R723),1,""))</f>
        <v/>
      </c>
      <c r="T723" s="27" t="str">
        <f aca="false">IF(S723=1,COUNTIF($S$2:S723,1),"")</f>
        <v/>
      </c>
    </row>
    <row r="724" customFormat="false" ht="15" hidden="false" customHeight="false" outlineLevel="0" collapsed="false">
      <c r="H724" s="26"/>
      <c r="I724" s="27" t="str">
        <f aca="false">IF(A724="","",IF(H724&lt;&gt;"",UPPER(TRIM(H724)),IFERROR(CHOOSE(VALUE(E724)+1,"A","B","C","D"),IF(OR(LEFT(UPPER(TRIM(E724)),1)="F",UPPER(TRIM(E724))="A"),"A",IF(OR(LEFT(UPPER(TRIM(E724)),1)="M",UPPER(TRIM(E724))="B"),"B",IF(OR(LEFT(UPPER(TRIM(E724)),2)="SL",UPPER(TRIM(E724))="C"),"C",IF(OR(LEFT(UPPER(TRIM(E724)),1)="D",UPPER(TRIM(E724))="D"),"D","")))))))</f>
        <v/>
      </c>
      <c r="J724" s="27" t="str">
        <f aca="false">IF(I724="","",IF(AND(I724="D",Settings!$B$6&lt;&gt;"Yes"),"",IFERROR(INDEX(Settings!$C$9:$C$12,MATCH(I724,Settings!$A$9:$A$12,0)),"")))</f>
        <v/>
      </c>
      <c r="K724" s="27" t="str">
        <f aca="false">IF(J724="","",COUNTIF($I$2:I724,I724))</f>
        <v/>
      </c>
      <c r="L724" s="27" t="str">
        <f aca="false">IF(J724="","",CHOOSE(Q724+1,"Tue","Wed","Thu","Fri"))</f>
        <v/>
      </c>
      <c r="M724" s="27" t="str">
        <f aca="false">IF(J724="","",IF(J724=1,"Every week",R724+1&amp;" of "&amp;J724))</f>
        <v/>
      </c>
      <c r="N724" s="28" t="str">
        <f aca="false">IF(J724="","",Settings!$B$4+R724*7+Q724)</f>
        <v/>
      </c>
      <c r="O724" s="28" t="str">
        <f aca="true">IF(J724="","",N724+MAX(0,ROUNDUP((TODAY()-N724)/(J724*7),0))*J724*7)</f>
        <v/>
      </c>
      <c r="P724" s="27" t="str">
        <f aca="false">IF(J724="","",MOD(K724-1,J724*4))</f>
        <v/>
      </c>
      <c r="Q724" s="27" t="str">
        <f aca="false">IF(J724="","",MOD(P724,4))</f>
        <v/>
      </c>
      <c r="R724" s="27" t="str">
        <f aca="false">IF(J724="","",INT(P724/4))</f>
        <v/>
      </c>
      <c r="S724" s="27" t="str">
        <f aca="false">IF(J724="","",IF(AND('Daily Count Sheet'!$H$3=Q724,MOD('Daily Count Sheet'!$I$3,J724)=R724),1,""))</f>
        <v/>
      </c>
      <c r="T724" s="27" t="str">
        <f aca="false">IF(S724=1,COUNTIF($S$2:S724,1),"")</f>
        <v/>
      </c>
    </row>
    <row r="725" customFormat="false" ht="15" hidden="false" customHeight="false" outlineLevel="0" collapsed="false">
      <c r="H725" s="26"/>
      <c r="I725" s="27" t="str">
        <f aca="false">IF(A725="","",IF(H725&lt;&gt;"",UPPER(TRIM(H725)),IFERROR(CHOOSE(VALUE(E725)+1,"A","B","C","D"),IF(OR(LEFT(UPPER(TRIM(E725)),1)="F",UPPER(TRIM(E725))="A"),"A",IF(OR(LEFT(UPPER(TRIM(E725)),1)="M",UPPER(TRIM(E725))="B"),"B",IF(OR(LEFT(UPPER(TRIM(E725)),2)="SL",UPPER(TRIM(E725))="C"),"C",IF(OR(LEFT(UPPER(TRIM(E725)),1)="D",UPPER(TRIM(E725))="D"),"D","")))))))</f>
        <v/>
      </c>
      <c r="J725" s="27" t="str">
        <f aca="false">IF(I725="","",IF(AND(I725="D",Settings!$B$6&lt;&gt;"Yes"),"",IFERROR(INDEX(Settings!$C$9:$C$12,MATCH(I725,Settings!$A$9:$A$12,0)),"")))</f>
        <v/>
      </c>
      <c r="K725" s="27" t="str">
        <f aca="false">IF(J725="","",COUNTIF($I$2:I725,I725))</f>
        <v/>
      </c>
      <c r="L725" s="27" t="str">
        <f aca="false">IF(J725="","",CHOOSE(Q725+1,"Tue","Wed","Thu","Fri"))</f>
        <v/>
      </c>
      <c r="M725" s="27" t="str">
        <f aca="false">IF(J725="","",IF(J725=1,"Every week",R725+1&amp;" of "&amp;J725))</f>
        <v/>
      </c>
      <c r="N725" s="28" t="str">
        <f aca="false">IF(J725="","",Settings!$B$4+R725*7+Q725)</f>
        <v/>
      </c>
      <c r="O725" s="28" t="str">
        <f aca="true">IF(J725="","",N725+MAX(0,ROUNDUP((TODAY()-N725)/(J725*7),0))*J725*7)</f>
        <v/>
      </c>
      <c r="P725" s="27" t="str">
        <f aca="false">IF(J725="","",MOD(K725-1,J725*4))</f>
        <v/>
      </c>
      <c r="Q725" s="27" t="str">
        <f aca="false">IF(J725="","",MOD(P725,4))</f>
        <v/>
      </c>
      <c r="R725" s="27" t="str">
        <f aca="false">IF(J725="","",INT(P725/4))</f>
        <v/>
      </c>
      <c r="S725" s="27" t="str">
        <f aca="false">IF(J725="","",IF(AND('Daily Count Sheet'!$H$3=Q725,MOD('Daily Count Sheet'!$I$3,J725)=R725),1,""))</f>
        <v/>
      </c>
      <c r="T725" s="27" t="str">
        <f aca="false">IF(S725=1,COUNTIF($S$2:S725,1),"")</f>
        <v/>
      </c>
    </row>
    <row r="726" customFormat="false" ht="15" hidden="false" customHeight="false" outlineLevel="0" collapsed="false">
      <c r="H726" s="26"/>
      <c r="I726" s="27" t="str">
        <f aca="false">IF(A726="","",IF(H726&lt;&gt;"",UPPER(TRIM(H726)),IFERROR(CHOOSE(VALUE(E726)+1,"A","B","C","D"),IF(OR(LEFT(UPPER(TRIM(E726)),1)="F",UPPER(TRIM(E726))="A"),"A",IF(OR(LEFT(UPPER(TRIM(E726)),1)="M",UPPER(TRIM(E726))="B"),"B",IF(OR(LEFT(UPPER(TRIM(E726)),2)="SL",UPPER(TRIM(E726))="C"),"C",IF(OR(LEFT(UPPER(TRIM(E726)),1)="D",UPPER(TRIM(E726))="D"),"D","")))))))</f>
        <v/>
      </c>
      <c r="J726" s="27" t="str">
        <f aca="false">IF(I726="","",IF(AND(I726="D",Settings!$B$6&lt;&gt;"Yes"),"",IFERROR(INDEX(Settings!$C$9:$C$12,MATCH(I726,Settings!$A$9:$A$12,0)),"")))</f>
        <v/>
      </c>
      <c r="K726" s="27" t="str">
        <f aca="false">IF(J726="","",COUNTIF($I$2:I726,I726))</f>
        <v/>
      </c>
      <c r="L726" s="27" t="str">
        <f aca="false">IF(J726="","",CHOOSE(Q726+1,"Tue","Wed","Thu","Fri"))</f>
        <v/>
      </c>
      <c r="M726" s="27" t="str">
        <f aca="false">IF(J726="","",IF(J726=1,"Every week",R726+1&amp;" of "&amp;J726))</f>
        <v/>
      </c>
      <c r="N726" s="28" t="str">
        <f aca="false">IF(J726="","",Settings!$B$4+R726*7+Q726)</f>
        <v/>
      </c>
      <c r="O726" s="28" t="str">
        <f aca="true">IF(J726="","",N726+MAX(0,ROUNDUP((TODAY()-N726)/(J726*7),0))*J726*7)</f>
        <v/>
      </c>
      <c r="P726" s="27" t="str">
        <f aca="false">IF(J726="","",MOD(K726-1,J726*4))</f>
        <v/>
      </c>
      <c r="Q726" s="27" t="str">
        <f aca="false">IF(J726="","",MOD(P726,4))</f>
        <v/>
      </c>
      <c r="R726" s="27" t="str">
        <f aca="false">IF(J726="","",INT(P726/4))</f>
        <v/>
      </c>
      <c r="S726" s="27" t="str">
        <f aca="false">IF(J726="","",IF(AND('Daily Count Sheet'!$H$3=Q726,MOD('Daily Count Sheet'!$I$3,J726)=R726),1,""))</f>
        <v/>
      </c>
      <c r="T726" s="27" t="str">
        <f aca="false">IF(S726=1,COUNTIF($S$2:S726,1),"")</f>
        <v/>
      </c>
    </row>
    <row r="727" customFormat="false" ht="15" hidden="false" customHeight="false" outlineLevel="0" collapsed="false">
      <c r="H727" s="26"/>
      <c r="I727" s="27" t="str">
        <f aca="false">IF(A727="","",IF(H727&lt;&gt;"",UPPER(TRIM(H727)),IFERROR(CHOOSE(VALUE(E727)+1,"A","B","C","D"),IF(OR(LEFT(UPPER(TRIM(E727)),1)="F",UPPER(TRIM(E727))="A"),"A",IF(OR(LEFT(UPPER(TRIM(E727)),1)="M",UPPER(TRIM(E727))="B"),"B",IF(OR(LEFT(UPPER(TRIM(E727)),2)="SL",UPPER(TRIM(E727))="C"),"C",IF(OR(LEFT(UPPER(TRIM(E727)),1)="D",UPPER(TRIM(E727))="D"),"D","")))))))</f>
        <v/>
      </c>
      <c r="J727" s="27" t="str">
        <f aca="false">IF(I727="","",IF(AND(I727="D",Settings!$B$6&lt;&gt;"Yes"),"",IFERROR(INDEX(Settings!$C$9:$C$12,MATCH(I727,Settings!$A$9:$A$12,0)),"")))</f>
        <v/>
      </c>
      <c r="K727" s="27" t="str">
        <f aca="false">IF(J727="","",COUNTIF($I$2:I727,I727))</f>
        <v/>
      </c>
      <c r="L727" s="27" t="str">
        <f aca="false">IF(J727="","",CHOOSE(Q727+1,"Tue","Wed","Thu","Fri"))</f>
        <v/>
      </c>
      <c r="M727" s="27" t="str">
        <f aca="false">IF(J727="","",IF(J727=1,"Every week",R727+1&amp;" of "&amp;J727))</f>
        <v/>
      </c>
      <c r="N727" s="28" t="str">
        <f aca="false">IF(J727="","",Settings!$B$4+R727*7+Q727)</f>
        <v/>
      </c>
      <c r="O727" s="28" t="str">
        <f aca="true">IF(J727="","",N727+MAX(0,ROUNDUP((TODAY()-N727)/(J727*7),0))*J727*7)</f>
        <v/>
      </c>
      <c r="P727" s="27" t="str">
        <f aca="false">IF(J727="","",MOD(K727-1,J727*4))</f>
        <v/>
      </c>
      <c r="Q727" s="27" t="str">
        <f aca="false">IF(J727="","",MOD(P727,4))</f>
        <v/>
      </c>
      <c r="R727" s="27" t="str">
        <f aca="false">IF(J727="","",INT(P727/4))</f>
        <v/>
      </c>
      <c r="S727" s="27" t="str">
        <f aca="false">IF(J727="","",IF(AND('Daily Count Sheet'!$H$3=Q727,MOD('Daily Count Sheet'!$I$3,J727)=R727),1,""))</f>
        <v/>
      </c>
      <c r="T727" s="27" t="str">
        <f aca="false">IF(S727=1,COUNTIF($S$2:S727,1),"")</f>
        <v/>
      </c>
    </row>
    <row r="728" customFormat="false" ht="15" hidden="false" customHeight="false" outlineLevel="0" collapsed="false">
      <c r="H728" s="26"/>
      <c r="I728" s="27" t="str">
        <f aca="false">IF(A728="","",IF(H728&lt;&gt;"",UPPER(TRIM(H728)),IFERROR(CHOOSE(VALUE(E728)+1,"A","B","C","D"),IF(OR(LEFT(UPPER(TRIM(E728)),1)="F",UPPER(TRIM(E728))="A"),"A",IF(OR(LEFT(UPPER(TRIM(E728)),1)="M",UPPER(TRIM(E728))="B"),"B",IF(OR(LEFT(UPPER(TRIM(E728)),2)="SL",UPPER(TRIM(E728))="C"),"C",IF(OR(LEFT(UPPER(TRIM(E728)),1)="D",UPPER(TRIM(E728))="D"),"D","")))))))</f>
        <v/>
      </c>
      <c r="J728" s="27" t="str">
        <f aca="false">IF(I728="","",IF(AND(I728="D",Settings!$B$6&lt;&gt;"Yes"),"",IFERROR(INDEX(Settings!$C$9:$C$12,MATCH(I728,Settings!$A$9:$A$12,0)),"")))</f>
        <v/>
      </c>
      <c r="K728" s="27" t="str">
        <f aca="false">IF(J728="","",COUNTIF($I$2:I728,I728))</f>
        <v/>
      </c>
      <c r="L728" s="27" t="str">
        <f aca="false">IF(J728="","",CHOOSE(Q728+1,"Tue","Wed","Thu","Fri"))</f>
        <v/>
      </c>
      <c r="M728" s="27" t="str">
        <f aca="false">IF(J728="","",IF(J728=1,"Every week",R728+1&amp;" of "&amp;J728))</f>
        <v/>
      </c>
      <c r="N728" s="28" t="str">
        <f aca="false">IF(J728="","",Settings!$B$4+R728*7+Q728)</f>
        <v/>
      </c>
      <c r="O728" s="28" t="str">
        <f aca="true">IF(J728="","",N728+MAX(0,ROUNDUP((TODAY()-N728)/(J728*7),0))*J728*7)</f>
        <v/>
      </c>
      <c r="P728" s="27" t="str">
        <f aca="false">IF(J728="","",MOD(K728-1,J728*4))</f>
        <v/>
      </c>
      <c r="Q728" s="27" t="str">
        <f aca="false">IF(J728="","",MOD(P728,4))</f>
        <v/>
      </c>
      <c r="R728" s="27" t="str">
        <f aca="false">IF(J728="","",INT(P728/4))</f>
        <v/>
      </c>
      <c r="S728" s="27" t="str">
        <f aca="false">IF(J728="","",IF(AND('Daily Count Sheet'!$H$3=Q728,MOD('Daily Count Sheet'!$I$3,J728)=R728),1,""))</f>
        <v/>
      </c>
      <c r="T728" s="27" t="str">
        <f aca="false">IF(S728=1,COUNTIF($S$2:S728,1),"")</f>
        <v/>
      </c>
    </row>
    <row r="729" customFormat="false" ht="15" hidden="false" customHeight="false" outlineLevel="0" collapsed="false">
      <c r="H729" s="26"/>
      <c r="I729" s="27" t="str">
        <f aca="false">IF(A729="","",IF(H729&lt;&gt;"",UPPER(TRIM(H729)),IFERROR(CHOOSE(VALUE(E729)+1,"A","B","C","D"),IF(OR(LEFT(UPPER(TRIM(E729)),1)="F",UPPER(TRIM(E729))="A"),"A",IF(OR(LEFT(UPPER(TRIM(E729)),1)="M",UPPER(TRIM(E729))="B"),"B",IF(OR(LEFT(UPPER(TRIM(E729)),2)="SL",UPPER(TRIM(E729))="C"),"C",IF(OR(LEFT(UPPER(TRIM(E729)),1)="D",UPPER(TRIM(E729))="D"),"D","")))))))</f>
        <v/>
      </c>
      <c r="J729" s="27" t="str">
        <f aca="false">IF(I729="","",IF(AND(I729="D",Settings!$B$6&lt;&gt;"Yes"),"",IFERROR(INDEX(Settings!$C$9:$C$12,MATCH(I729,Settings!$A$9:$A$12,0)),"")))</f>
        <v/>
      </c>
      <c r="K729" s="27" t="str">
        <f aca="false">IF(J729="","",COUNTIF($I$2:I729,I729))</f>
        <v/>
      </c>
      <c r="L729" s="27" t="str">
        <f aca="false">IF(J729="","",CHOOSE(Q729+1,"Tue","Wed","Thu","Fri"))</f>
        <v/>
      </c>
      <c r="M729" s="27" t="str">
        <f aca="false">IF(J729="","",IF(J729=1,"Every week",R729+1&amp;" of "&amp;J729))</f>
        <v/>
      </c>
      <c r="N729" s="28" t="str">
        <f aca="false">IF(J729="","",Settings!$B$4+R729*7+Q729)</f>
        <v/>
      </c>
      <c r="O729" s="28" t="str">
        <f aca="true">IF(J729="","",N729+MAX(0,ROUNDUP((TODAY()-N729)/(J729*7),0))*J729*7)</f>
        <v/>
      </c>
      <c r="P729" s="27" t="str">
        <f aca="false">IF(J729="","",MOD(K729-1,J729*4))</f>
        <v/>
      </c>
      <c r="Q729" s="27" t="str">
        <f aca="false">IF(J729="","",MOD(P729,4))</f>
        <v/>
      </c>
      <c r="R729" s="27" t="str">
        <f aca="false">IF(J729="","",INT(P729/4))</f>
        <v/>
      </c>
      <c r="S729" s="27" t="str">
        <f aca="false">IF(J729="","",IF(AND('Daily Count Sheet'!$H$3=Q729,MOD('Daily Count Sheet'!$I$3,J729)=R729),1,""))</f>
        <v/>
      </c>
      <c r="T729" s="27" t="str">
        <f aca="false">IF(S729=1,COUNTIF($S$2:S729,1),"")</f>
        <v/>
      </c>
    </row>
    <row r="730" customFormat="false" ht="15" hidden="false" customHeight="false" outlineLevel="0" collapsed="false">
      <c r="H730" s="26"/>
      <c r="I730" s="27" t="str">
        <f aca="false">IF(A730="","",IF(H730&lt;&gt;"",UPPER(TRIM(H730)),IFERROR(CHOOSE(VALUE(E730)+1,"A","B","C","D"),IF(OR(LEFT(UPPER(TRIM(E730)),1)="F",UPPER(TRIM(E730))="A"),"A",IF(OR(LEFT(UPPER(TRIM(E730)),1)="M",UPPER(TRIM(E730))="B"),"B",IF(OR(LEFT(UPPER(TRIM(E730)),2)="SL",UPPER(TRIM(E730))="C"),"C",IF(OR(LEFT(UPPER(TRIM(E730)),1)="D",UPPER(TRIM(E730))="D"),"D","")))))))</f>
        <v/>
      </c>
      <c r="J730" s="27" t="str">
        <f aca="false">IF(I730="","",IF(AND(I730="D",Settings!$B$6&lt;&gt;"Yes"),"",IFERROR(INDEX(Settings!$C$9:$C$12,MATCH(I730,Settings!$A$9:$A$12,0)),"")))</f>
        <v/>
      </c>
      <c r="K730" s="27" t="str">
        <f aca="false">IF(J730="","",COUNTIF($I$2:I730,I730))</f>
        <v/>
      </c>
      <c r="L730" s="27" t="str">
        <f aca="false">IF(J730="","",CHOOSE(Q730+1,"Tue","Wed","Thu","Fri"))</f>
        <v/>
      </c>
      <c r="M730" s="27" t="str">
        <f aca="false">IF(J730="","",IF(J730=1,"Every week",R730+1&amp;" of "&amp;J730))</f>
        <v/>
      </c>
      <c r="N730" s="28" t="str">
        <f aca="false">IF(J730="","",Settings!$B$4+R730*7+Q730)</f>
        <v/>
      </c>
      <c r="O730" s="28" t="str">
        <f aca="true">IF(J730="","",N730+MAX(0,ROUNDUP((TODAY()-N730)/(J730*7),0))*J730*7)</f>
        <v/>
      </c>
      <c r="P730" s="27" t="str">
        <f aca="false">IF(J730="","",MOD(K730-1,J730*4))</f>
        <v/>
      </c>
      <c r="Q730" s="27" t="str">
        <f aca="false">IF(J730="","",MOD(P730,4))</f>
        <v/>
      </c>
      <c r="R730" s="27" t="str">
        <f aca="false">IF(J730="","",INT(P730/4))</f>
        <v/>
      </c>
      <c r="S730" s="27" t="str">
        <f aca="false">IF(J730="","",IF(AND('Daily Count Sheet'!$H$3=Q730,MOD('Daily Count Sheet'!$I$3,J730)=R730),1,""))</f>
        <v/>
      </c>
      <c r="T730" s="27" t="str">
        <f aca="false">IF(S730=1,COUNTIF($S$2:S730,1),"")</f>
        <v/>
      </c>
    </row>
    <row r="731" customFormat="false" ht="15" hidden="false" customHeight="false" outlineLevel="0" collapsed="false">
      <c r="H731" s="26"/>
      <c r="I731" s="27" t="str">
        <f aca="false">IF(A731="","",IF(H731&lt;&gt;"",UPPER(TRIM(H731)),IFERROR(CHOOSE(VALUE(E731)+1,"A","B","C","D"),IF(OR(LEFT(UPPER(TRIM(E731)),1)="F",UPPER(TRIM(E731))="A"),"A",IF(OR(LEFT(UPPER(TRIM(E731)),1)="M",UPPER(TRIM(E731))="B"),"B",IF(OR(LEFT(UPPER(TRIM(E731)),2)="SL",UPPER(TRIM(E731))="C"),"C",IF(OR(LEFT(UPPER(TRIM(E731)),1)="D",UPPER(TRIM(E731))="D"),"D","")))))))</f>
        <v/>
      </c>
      <c r="J731" s="27" t="str">
        <f aca="false">IF(I731="","",IF(AND(I731="D",Settings!$B$6&lt;&gt;"Yes"),"",IFERROR(INDEX(Settings!$C$9:$C$12,MATCH(I731,Settings!$A$9:$A$12,0)),"")))</f>
        <v/>
      </c>
      <c r="K731" s="27" t="str">
        <f aca="false">IF(J731="","",COUNTIF($I$2:I731,I731))</f>
        <v/>
      </c>
      <c r="L731" s="27" t="str">
        <f aca="false">IF(J731="","",CHOOSE(Q731+1,"Tue","Wed","Thu","Fri"))</f>
        <v/>
      </c>
      <c r="M731" s="27" t="str">
        <f aca="false">IF(J731="","",IF(J731=1,"Every week",R731+1&amp;" of "&amp;J731))</f>
        <v/>
      </c>
      <c r="N731" s="28" t="str">
        <f aca="false">IF(J731="","",Settings!$B$4+R731*7+Q731)</f>
        <v/>
      </c>
      <c r="O731" s="28" t="str">
        <f aca="true">IF(J731="","",N731+MAX(0,ROUNDUP((TODAY()-N731)/(J731*7),0))*J731*7)</f>
        <v/>
      </c>
      <c r="P731" s="27" t="str">
        <f aca="false">IF(J731="","",MOD(K731-1,J731*4))</f>
        <v/>
      </c>
      <c r="Q731" s="27" t="str">
        <f aca="false">IF(J731="","",MOD(P731,4))</f>
        <v/>
      </c>
      <c r="R731" s="27" t="str">
        <f aca="false">IF(J731="","",INT(P731/4))</f>
        <v/>
      </c>
      <c r="S731" s="27" t="str">
        <f aca="false">IF(J731="","",IF(AND('Daily Count Sheet'!$H$3=Q731,MOD('Daily Count Sheet'!$I$3,J731)=R731),1,""))</f>
        <v/>
      </c>
      <c r="T731" s="27" t="str">
        <f aca="false">IF(S731=1,COUNTIF($S$2:S731,1),"")</f>
        <v/>
      </c>
    </row>
    <row r="732" customFormat="false" ht="15" hidden="false" customHeight="false" outlineLevel="0" collapsed="false">
      <c r="H732" s="26"/>
      <c r="I732" s="27" t="str">
        <f aca="false">IF(A732="","",IF(H732&lt;&gt;"",UPPER(TRIM(H732)),IFERROR(CHOOSE(VALUE(E732)+1,"A","B","C","D"),IF(OR(LEFT(UPPER(TRIM(E732)),1)="F",UPPER(TRIM(E732))="A"),"A",IF(OR(LEFT(UPPER(TRIM(E732)),1)="M",UPPER(TRIM(E732))="B"),"B",IF(OR(LEFT(UPPER(TRIM(E732)),2)="SL",UPPER(TRIM(E732))="C"),"C",IF(OR(LEFT(UPPER(TRIM(E732)),1)="D",UPPER(TRIM(E732))="D"),"D","")))))))</f>
        <v/>
      </c>
      <c r="J732" s="27" t="str">
        <f aca="false">IF(I732="","",IF(AND(I732="D",Settings!$B$6&lt;&gt;"Yes"),"",IFERROR(INDEX(Settings!$C$9:$C$12,MATCH(I732,Settings!$A$9:$A$12,0)),"")))</f>
        <v/>
      </c>
      <c r="K732" s="27" t="str">
        <f aca="false">IF(J732="","",COUNTIF($I$2:I732,I732))</f>
        <v/>
      </c>
      <c r="L732" s="27" t="str">
        <f aca="false">IF(J732="","",CHOOSE(Q732+1,"Tue","Wed","Thu","Fri"))</f>
        <v/>
      </c>
      <c r="M732" s="27" t="str">
        <f aca="false">IF(J732="","",IF(J732=1,"Every week",R732+1&amp;" of "&amp;J732))</f>
        <v/>
      </c>
      <c r="N732" s="28" t="str">
        <f aca="false">IF(J732="","",Settings!$B$4+R732*7+Q732)</f>
        <v/>
      </c>
      <c r="O732" s="28" t="str">
        <f aca="true">IF(J732="","",N732+MAX(0,ROUNDUP((TODAY()-N732)/(J732*7),0))*J732*7)</f>
        <v/>
      </c>
      <c r="P732" s="27" t="str">
        <f aca="false">IF(J732="","",MOD(K732-1,J732*4))</f>
        <v/>
      </c>
      <c r="Q732" s="27" t="str">
        <f aca="false">IF(J732="","",MOD(P732,4))</f>
        <v/>
      </c>
      <c r="R732" s="27" t="str">
        <f aca="false">IF(J732="","",INT(P732/4))</f>
        <v/>
      </c>
      <c r="S732" s="27" t="str">
        <f aca="false">IF(J732="","",IF(AND('Daily Count Sheet'!$H$3=Q732,MOD('Daily Count Sheet'!$I$3,J732)=R732),1,""))</f>
        <v/>
      </c>
      <c r="T732" s="27" t="str">
        <f aca="false">IF(S732=1,COUNTIF($S$2:S732,1),"")</f>
        <v/>
      </c>
    </row>
    <row r="733" customFormat="false" ht="15" hidden="false" customHeight="false" outlineLevel="0" collapsed="false">
      <c r="H733" s="26"/>
      <c r="I733" s="27" t="str">
        <f aca="false">IF(A733="","",IF(H733&lt;&gt;"",UPPER(TRIM(H733)),IFERROR(CHOOSE(VALUE(E733)+1,"A","B","C","D"),IF(OR(LEFT(UPPER(TRIM(E733)),1)="F",UPPER(TRIM(E733))="A"),"A",IF(OR(LEFT(UPPER(TRIM(E733)),1)="M",UPPER(TRIM(E733))="B"),"B",IF(OR(LEFT(UPPER(TRIM(E733)),2)="SL",UPPER(TRIM(E733))="C"),"C",IF(OR(LEFT(UPPER(TRIM(E733)),1)="D",UPPER(TRIM(E733))="D"),"D","")))))))</f>
        <v/>
      </c>
      <c r="J733" s="27" t="str">
        <f aca="false">IF(I733="","",IF(AND(I733="D",Settings!$B$6&lt;&gt;"Yes"),"",IFERROR(INDEX(Settings!$C$9:$C$12,MATCH(I733,Settings!$A$9:$A$12,0)),"")))</f>
        <v/>
      </c>
      <c r="K733" s="27" t="str">
        <f aca="false">IF(J733="","",COUNTIF($I$2:I733,I733))</f>
        <v/>
      </c>
      <c r="L733" s="27" t="str">
        <f aca="false">IF(J733="","",CHOOSE(Q733+1,"Tue","Wed","Thu","Fri"))</f>
        <v/>
      </c>
      <c r="M733" s="27" t="str">
        <f aca="false">IF(J733="","",IF(J733=1,"Every week",R733+1&amp;" of "&amp;J733))</f>
        <v/>
      </c>
      <c r="N733" s="28" t="str">
        <f aca="false">IF(J733="","",Settings!$B$4+R733*7+Q733)</f>
        <v/>
      </c>
      <c r="O733" s="28" t="str">
        <f aca="true">IF(J733="","",N733+MAX(0,ROUNDUP((TODAY()-N733)/(J733*7),0))*J733*7)</f>
        <v/>
      </c>
      <c r="P733" s="27" t="str">
        <f aca="false">IF(J733="","",MOD(K733-1,J733*4))</f>
        <v/>
      </c>
      <c r="Q733" s="27" t="str">
        <f aca="false">IF(J733="","",MOD(P733,4))</f>
        <v/>
      </c>
      <c r="R733" s="27" t="str">
        <f aca="false">IF(J733="","",INT(P733/4))</f>
        <v/>
      </c>
      <c r="S733" s="27" t="str">
        <f aca="false">IF(J733="","",IF(AND('Daily Count Sheet'!$H$3=Q733,MOD('Daily Count Sheet'!$I$3,J733)=R733),1,""))</f>
        <v/>
      </c>
      <c r="T733" s="27" t="str">
        <f aca="false">IF(S733=1,COUNTIF($S$2:S733,1),"")</f>
        <v/>
      </c>
    </row>
    <row r="734" customFormat="false" ht="15" hidden="false" customHeight="false" outlineLevel="0" collapsed="false">
      <c r="H734" s="26"/>
      <c r="I734" s="27" t="str">
        <f aca="false">IF(A734="","",IF(H734&lt;&gt;"",UPPER(TRIM(H734)),IFERROR(CHOOSE(VALUE(E734)+1,"A","B","C","D"),IF(OR(LEFT(UPPER(TRIM(E734)),1)="F",UPPER(TRIM(E734))="A"),"A",IF(OR(LEFT(UPPER(TRIM(E734)),1)="M",UPPER(TRIM(E734))="B"),"B",IF(OR(LEFT(UPPER(TRIM(E734)),2)="SL",UPPER(TRIM(E734))="C"),"C",IF(OR(LEFT(UPPER(TRIM(E734)),1)="D",UPPER(TRIM(E734))="D"),"D","")))))))</f>
        <v/>
      </c>
      <c r="J734" s="27" t="str">
        <f aca="false">IF(I734="","",IF(AND(I734="D",Settings!$B$6&lt;&gt;"Yes"),"",IFERROR(INDEX(Settings!$C$9:$C$12,MATCH(I734,Settings!$A$9:$A$12,0)),"")))</f>
        <v/>
      </c>
      <c r="K734" s="27" t="str">
        <f aca="false">IF(J734="","",COUNTIF($I$2:I734,I734))</f>
        <v/>
      </c>
      <c r="L734" s="27" t="str">
        <f aca="false">IF(J734="","",CHOOSE(Q734+1,"Tue","Wed","Thu","Fri"))</f>
        <v/>
      </c>
      <c r="M734" s="27" t="str">
        <f aca="false">IF(J734="","",IF(J734=1,"Every week",R734+1&amp;" of "&amp;J734))</f>
        <v/>
      </c>
      <c r="N734" s="28" t="str">
        <f aca="false">IF(J734="","",Settings!$B$4+R734*7+Q734)</f>
        <v/>
      </c>
      <c r="O734" s="28" t="str">
        <f aca="true">IF(J734="","",N734+MAX(0,ROUNDUP((TODAY()-N734)/(J734*7),0))*J734*7)</f>
        <v/>
      </c>
      <c r="P734" s="27" t="str">
        <f aca="false">IF(J734="","",MOD(K734-1,J734*4))</f>
        <v/>
      </c>
      <c r="Q734" s="27" t="str">
        <f aca="false">IF(J734="","",MOD(P734,4))</f>
        <v/>
      </c>
      <c r="R734" s="27" t="str">
        <f aca="false">IF(J734="","",INT(P734/4))</f>
        <v/>
      </c>
      <c r="S734" s="27" t="str">
        <f aca="false">IF(J734="","",IF(AND('Daily Count Sheet'!$H$3=Q734,MOD('Daily Count Sheet'!$I$3,J734)=R734),1,""))</f>
        <v/>
      </c>
      <c r="T734" s="27" t="str">
        <f aca="false">IF(S734=1,COUNTIF($S$2:S734,1),"")</f>
        <v/>
      </c>
    </row>
    <row r="735" customFormat="false" ht="15" hidden="false" customHeight="false" outlineLevel="0" collapsed="false">
      <c r="H735" s="26"/>
      <c r="I735" s="27" t="str">
        <f aca="false">IF(A735="","",IF(H735&lt;&gt;"",UPPER(TRIM(H735)),IFERROR(CHOOSE(VALUE(E735)+1,"A","B","C","D"),IF(OR(LEFT(UPPER(TRIM(E735)),1)="F",UPPER(TRIM(E735))="A"),"A",IF(OR(LEFT(UPPER(TRIM(E735)),1)="M",UPPER(TRIM(E735))="B"),"B",IF(OR(LEFT(UPPER(TRIM(E735)),2)="SL",UPPER(TRIM(E735))="C"),"C",IF(OR(LEFT(UPPER(TRIM(E735)),1)="D",UPPER(TRIM(E735))="D"),"D","")))))))</f>
        <v/>
      </c>
      <c r="J735" s="27" t="str">
        <f aca="false">IF(I735="","",IF(AND(I735="D",Settings!$B$6&lt;&gt;"Yes"),"",IFERROR(INDEX(Settings!$C$9:$C$12,MATCH(I735,Settings!$A$9:$A$12,0)),"")))</f>
        <v/>
      </c>
      <c r="K735" s="27" t="str">
        <f aca="false">IF(J735="","",COUNTIF($I$2:I735,I735))</f>
        <v/>
      </c>
      <c r="L735" s="27" t="str">
        <f aca="false">IF(J735="","",CHOOSE(Q735+1,"Tue","Wed","Thu","Fri"))</f>
        <v/>
      </c>
      <c r="M735" s="27" t="str">
        <f aca="false">IF(J735="","",IF(J735=1,"Every week",R735+1&amp;" of "&amp;J735))</f>
        <v/>
      </c>
      <c r="N735" s="28" t="str">
        <f aca="false">IF(J735="","",Settings!$B$4+R735*7+Q735)</f>
        <v/>
      </c>
      <c r="O735" s="28" t="str">
        <f aca="true">IF(J735="","",N735+MAX(0,ROUNDUP((TODAY()-N735)/(J735*7),0))*J735*7)</f>
        <v/>
      </c>
      <c r="P735" s="27" t="str">
        <f aca="false">IF(J735="","",MOD(K735-1,J735*4))</f>
        <v/>
      </c>
      <c r="Q735" s="27" t="str">
        <f aca="false">IF(J735="","",MOD(P735,4))</f>
        <v/>
      </c>
      <c r="R735" s="27" t="str">
        <f aca="false">IF(J735="","",INT(P735/4))</f>
        <v/>
      </c>
      <c r="S735" s="27" t="str">
        <f aca="false">IF(J735="","",IF(AND('Daily Count Sheet'!$H$3=Q735,MOD('Daily Count Sheet'!$I$3,J735)=R735),1,""))</f>
        <v/>
      </c>
      <c r="T735" s="27" t="str">
        <f aca="false">IF(S735=1,COUNTIF($S$2:S735,1),"")</f>
        <v/>
      </c>
    </row>
    <row r="736" customFormat="false" ht="15" hidden="false" customHeight="false" outlineLevel="0" collapsed="false">
      <c r="H736" s="26"/>
      <c r="I736" s="27" t="str">
        <f aca="false">IF(A736="","",IF(H736&lt;&gt;"",UPPER(TRIM(H736)),IFERROR(CHOOSE(VALUE(E736)+1,"A","B","C","D"),IF(OR(LEFT(UPPER(TRIM(E736)),1)="F",UPPER(TRIM(E736))="A"),"A",IF(OR(LEFT(UPPER(TRIM(E736)),1)="M",UPPER(TRIM(E736))="B"),"B",IF(OR(LEFT(UPPER(TRIM(E736)),2)="SL",UPPER(TRIM(E736))="C"),"C",IF(OR(LEFT(UPPER(TRIM(E736)),1)="D",UPPER(TRIM(E736))="D"),"D","")))))))</f>
        <v/>
      </c>
      <c r="J736" s="27" t="str">
        <f aca="false">IF(I736="","",IF(AND(I736="D",Settings!$B$6&lt;&gt;"Yes"),"",IFERROR(INDEX(Settings!$C$9:$C$12,MATCH(I736,Settings!$A$9:$A$12,0)),"")))</f>
        <v/>
      </c>
      <c r="K736" s="27" t="str">
        <f aca="false">IF(J736="","",COUNTIF($I$2:I736,I736))</f>
        <v/>
      </c>
      <c r="L736" s="27" t="str">
        <f aca="false">IF(J736="","",CHOOSE(Q736+1,"Tue","Wed","Thu","Fri"))</f>
        <v/>
      </c>
      <c r="M736" s="27" t="str">
        <f aca="false">IF(J736="","",IF(J736=1,"Every week",R736+1&amp;" of "&amp;J736))</f>
        <v/>
      </c>
      <c r="N736" s="28" t="str">
        <f aca="false">IF(J736="","",Settings!$B$4+R736*7+Q736)</f>
        <v/>
      </c>
      <c r="O736" s="28" t="str">
        <f aca="true">IF(J736="","",N736+MAX(0,ROUNDUP((TODAY()-N736)/(J736*7),0))*J736*7)</f>
        <v/>
      </c>
      <c r="P736" s="27" t="str">
        <f aca="false">IF(J736="","",MOD(K736-1,J736*4))</f>
        <v/>
      </c>
      <c r="Q736" s="27" t="str">
        <f aca="false">IF(J736="","",MOD(P736,4))</f>
        <v/>
      </c>
      <c r="R736" s="27" t="str">
        <f aca="false">IF(J736="","",INT(P736/4))</f>
        <v/>
      </c>
      <c r="S736" s="27" t="str">
        <f aca="false">IF(J736="","",IF(AND('Daily Count Sheet'!$H$3=Q736,MOD('Daily Count Sheet'!$I$3,J736)=R736),1,""))</f>
        <v/>
      </c>
      <c r="T736" s="27" t="str">
        <f aca="false">IF(S736=1,COUNTIF($S$2:S736,1),"")</f>
        <v/>
      </c>
    </row>
    <row r="737" customFormat="false" ht="15" hidden="false" customHeight="false" outlineLevel="0" collapsed="false">
      <c r="H737" s="26"/>
      <c r="I737" s="27" t="str">
        <f aca="false">IF(A737="","",IF(H737&lt;&gt;"",UPPER(TRIM(H737)),IFERROR(CHOOSE(VALUE(E737)+1,"A","B","C","D"),IF(OR(LEFT(UPPER(TRIM(E737)),1)="F",UPPER(TRIM(E737))="A"),"A",IF(OR(LEFT(UPPER(TRIM(E737)),1)="M",UPPER(TRIM(E737))="B"),"B",IF(OR(LEFT(UPPER(TRIM(E737)),2)="SL",UPPER(TRIM(E737))="C"),"C",IF(OR(LEFT(UPPER(TRIM(E737)),1)="D",UPPER(TRIM(E737))="D"),"D","")))))))</f>
        <v/>
      </c>
      <c r="J737" s="27" t="str">
        <f aca="false">IF(I737="","",IF(AND(I737="D",Settings!$B$6&lt;&gt;"Yes"),"",IFERROR(INDEX(Settings!$C$9:$C$12,MATCH(I737,Settings!$A$9:$A$12,0)),"")))</f>
        <v/>
      </c>
      <c r="K737" s="27" t="str">
        <f aca="false">IF(J737="","",COUNTIF($I$2:I737,I737))</f>
        <v/>
      </c>
      <c r="L737" s="27" t="str">
        <f aca="false">IF(J737="","",CHOOSE(Q737+1,"Tue","Wed","Thu","Fri"))</f>
        <v/>
      </c>
      <c r="M737" s="27" t="str">
        <f aca="false">IF(J737="","",IF(J737=1,"Every week",R737+1&amp;" of "&amp;J737))</f>
        <v/>
      </c>
      <c r="N737" s="28" t="str">
        <f aca="false">IF(J737="","",Settings!$B$4+R737*7+Q737)</f>
        <v/>
      </c>
      <c r="O737" s="28" t="str">
        <f aca="true">IF(J737="","",N737+MAX(0,ROUNDUP((TODAY()-N737)/(J737*7),0))*J737*7)</f>
        <v/>
      </c>
      <c r="P737" s="27" t="str">
        <f aca="false">IF(J737="","",MOD(K737-1,J737*4))</f>
        <v/>
      </c>
      <c r="Q737" s="27" t="str">
        <f aca="false">IF(J737="","",MOD(P737,4))</f>
        <v/>
      </c>
      <c r="R737" s="27" t="str">
        <f aca="false">IF(J737="","",INT(P737/4))</f>
        <v/>
      </c>
      <c r="S737" s="27" t="str">
        <f aca="false">IF(J737="","",IF(AND('Daily Count Sheet'!$H$3=Q737,MOD('Daily Count Sheet'!$I$3,J737)=R737),1,""))</f>
        <v/>
      </c>
      <c r="T737" s="27" t="str">
        <f aca="false">IF(S737=1,COUNTIF($S$2:S737,1),"")</f>
        <v/>
      </c>
    </row>
    <row r="738" customFormat="false" ht="15" hidden="false" customHeight="false" outlineLevel="0" collapsed="false">
      <c r="H738" s="26"/>
      <c r="I738" s="27" t="str">
        <f aca="false">IF(A738="","",IF(H738&lt;&gt;"",UPPER(TRIM(H738)),IFERROR(CHOOSE(VALUE(E738)+1,"A","B","C","D"),IF(OR(LEFT(UPPER(TRIM(E738)),1)="F",UPPER(TRIM(E738))="A"),"A",IF(OR(LEFT(UPPER(TRIM(E738)),1)="M",UPPER(TRIM(E738))="B"),"B",IF(OR(LEFT(UPPER(TRIM(E738)),2)="SL",UPPER(TRIM(E738))="C"),"C",IF(OR(LEFT(UPPER(TRIM(E738)),1)="D",UPPER(TRIM(E738))="D"),"D","")))))))</f>
        <v/>
      </c>
      <c r="J738" s="27" t="str">
        <f aca="false">IF(I738="","",IF(AND(I738="D",Settings!$B$6&lt;&gt;"Yes"),"",IFERROR(INDEX(Settings!$C$9:$C$12,MATCH(I738,Settings!$A$9:$A$12,0)),"")))</f>
        <v/>
      </c>
      <c r="K738" s="27" t="str">
        <f aca="false">IF(J738="","",COUNTIF($I$2:I738,I738))</f>
        <v/>
      </c>
      <c r="L738" s="27" t="str">
        <f aca="false">IF(J738="","",CHOOSE(Q738+1,"Tue","Wed","Thu","Fri"))</f>
        <v/>
      </c>
      <c r="M738" s="27" t="str">
        <f aca="false">IF(J738="","",IF(J738=1,"Every week",R738+1&amp;" of "&amp;J738))</f>
        <v/>
      </c>
      <c r="N738" s="28" t="str">
        <f aca="false">IF(J738="","",Settings!$B$4+R738*7+Q738)</f>
        <v/>
      </c>
      <c r="O738" s="28" t="str">
        <f aca="true">IF(J738="","",N738+MAX(0,ROUNDUP((TODAY()-N738)/(J738*7),0))*J738*7)</f>
        <v/>
      </c>
      <c r="P738" s="27" t="str">
        <f aca="false">IF(J738="","",MOD(K738-1,J738*4))</f>
        <v/>
      </c>
      <c r="Q738" s="27" t="str">
        <f aca="false">IF(J738="","",MOD(P738,4))</f>
        <v/>
      </c>
      <c r="R738" s="27" t="str">
        <f aca="false">IF(J738="","",INT(P738/4))</f>
        <v/>
      </c>
      <c r="S738" s="27" t="str">
        <f aca="false">IF(J738="","",IF(AND('Daily Count Sheet'!$H$3=Q738,MOD('Daily Count Sheet'!$I$3,J738)=R738),1,""))</f>
        <v/>
      </c>
      <c r="T738" s="27" t="str">
        <f aca="false">IF(S738=1,COUNTIF($S$2:S738,1),"")</f>
        <v/>
      </c>
    </row>
    <row r="739" customFormat="false" ht="15" hidden="false" customHeight="false" outlineLevel="0" collapsed="false">
      <c r="H739" s="26"/>
      <c r="I739" s="27" t="str">
        <f aca="false">IF(A739="","",IF(H739&lt;&gt;"",UPPER(TRIM(H739)),IFERROR(CHOOSE(VALUE(E739)+1,"A","B","C","D"),IF(OR(LEFT(UPPER(TRIM(E739)),1)="F",UPPER(TRIM(E739))="A"),"A",IF(OR(LEFT(UPPER(TRIM(E739)),1)="M",UPPER(TRIM(E739))="B"),"B",IF(OR(LEFT(UPPER(TRIM(E739)),2)="SL",UPPER(TRIM(E739))="C"),"C",IF(OR(LEFT(UPPER(TRIM(E739)),1)="D",UPPER(TRIM(E739))="D"),"D","")))))))</f>
        <v/>
      </c>
      <c r="J739" s="27" t="str">
        <f aca="false">IF(I739="","",IF(AND(I739="D",Settings!$B$6&lt;&gt;"Yes"),"",IFERROR(INDEX(Settings!$C$9:$C$12,MATCH(I739,Settings!$A$9:$A$12,0)),"")))</f>
        <v/>
      </c>
      <c r="K739" s="27" t="str">
        <f aca="false">IF(J739="","",COUNTIF($I$2:I739,I739))</f>
        <v/>
      </c>
      <c r="L739" s="27" t="str">
        <f aca="false">IF(J739="","",CHOOSE(Q739+1,"Tue","Wed","Thu","Fri"))</f>
        <v/>
      </c>
      <c r="M739" s="27" t="str">
        <f aca="false">IF(J739="","",IF(J739=1,"Every week",R739+1&amp;" of "&amp;J739))</f>
        <v/>
      </c>
      <c r="N739" s="28" t="str">
        <f aca="false">IF(J739="","",Settings!$B$4+R739*7+Q739)</f>
        <v/>
      </c>
      <c r="O739" s="28" t="str">
        <f aca="true">IF(J739="","",N739+MAX(0,ROUNDUP((TODAY()-N739)/(J739*7),0))*J739*7)</f>
        <v/>
      </c>
      <c r="P739" s="27" t="str">
        <f aca="false">IF(J739="","",MOD(K739-1,J739*4))</f>
        <v/>
      </c>
      <c r="Q739" s="27" t="str">
        <f aca="false">IF(J739="","",MOD(P739,4))</f>
        <v/>
      </c>
      <c r="R739" s="27" t="str">
        <f aca="false">IF(J739="","",INT(P739/4))</f>
        <v/>
      </c>
      <c r="S739" s="27" t="str">
        <f aca="false">IF(J739="","",IF(AND('Daily Count Sheet'!$H$3=Q739,MOD('Daily Count Sheet'!$I$3,J739)=R739),1,""))</f>
        <v/>
      </c>
      <c r="T739" s="27" t="str">
        <f aca="false">IF(S739=1,COUNTIF($S$2:S739,1),"")</f>
        <v/>
      </c>
    </row>
    <row r="740" customFormat="false" ht="15" hidden="false" customHeight="false" outlineLevel="0" collapsed="false">
      <c r="H740" s="26"/>
      <c r="I740" s="27" t="str">
        <f aca="false">IF(A740="","",IF(H740&lt;&gt;"",UPPER(TRIM(H740)),IFERROR(CHOOSE(VALUE(E740)+1,"A","B","C","D"),IF(OR(LEFT(UPPER(TRIM(E740)),1)="F",UPPER(TRIM(E740))="A"),"A",IF(OR(LEFT(UPPER(TRIM(E740)),1)="M",UPPER(TRIM(E740))="B"),"B",IF(OR(LEFT(UPPER(TRIM(E740)),2)="SL",UPPER(TRIM(E740))="C"),"C",IF(OR(LEFT(UPPER(TRIM(E740)),1)="D",UPPER(TRIM(E740))="D"),"D","")))))))</f>
        <v/>
      </c>
      <c r="J740" s="27" t="str">
        <f aca="false">IF(I740="","",IF(AND(I740="D",Settings!$B$6&lt;&gt;"Yes"),"",IFERROR(INDEX(Settings!$C$9:$C$12,MATCH(I740,Settings!$A$9:$A$12,0)),"")))</f>
        <v/>
      </c>
      <c r="K740" s="27" t="str">
        <f aca="false">IF(J740="","",COUNTIF($I$2:I740,I740))</f>
        <v/>
      </c>
      <c r="L740" s="27" t="str">
        <f aca="false">IF(J740="","",CHOOSE(Q740+1,"Tue","Wed","Thu","Fri"))</f>
        <v/>
      </c>
      <c r="M740" s="27" t="str">
        <f aca="false">IF(J740="","",IF(J740=1,"Every week",R740+1&amp;" of "&amp;J740))</f>
        <v/>
      </c>
      <c r="N740" s="28" t="str">
        <f aca="false">IF(J740="","",Settings!$B$4+R740*7+Q740)</f>
        <v/>
      </c>
      <c r="O740" s="28" t="str">
        <f aca="true">IF(J740="","",N740+MAX(0,ROUNDUP((TODAY()-N740)/(J740*7),0))*J740*7)</f>
        <v/>
      </c>
      <c r="P740" s="27" t="str">
        <f aca="false">IF(J740="","",MOD(K740-1,J740*4))</f>
        <v/>
      </c>
      <c r="Q740" s="27" t="str">
        <f aca="false">IF(J740="","",MOD(P740,4))</f>
        <v/>
      </c>
      <c r="R740" s="27" t="str">
        <f aca="false">IF(J740="","",INT(P740/4))</f>
        <v/>
      </c>
      <c r="S740" s="27" t="str">
        <f aca="false">IF(J740="","",IF(AND('Daily Count Sheet'!$H$3=Q740,MOD('Daily Count Sheet'!$I$3,J740)=R740),1,""))</f>
        <v/>
      </c>
      <c r="T740" s="27" t="str">
        <f aca="false">IF(S740=1,COUNTIF($S$2:S740,1),"")</f>
        <v/>
      </c>
    </row>
    <row r="741" customFormat="false" ht="15" hidden="false" customHeight="false" outlineLevel="0" collapsed="false">
      <c r="H741" s="26"/>
      <c r="I741" s="27" t="str">
        <f aca="false">IF(A741="","",IF(H741&lt;&gt;"",UPPER(TRIM(H741)),IFERROR(CHOOSE(VALUE(E741)+1,"A","B","C","D"),IF(OR(LEFT(UPPER(TRIM(E741)),1)="F",UPPER(TRIM(E741))="A"),"A",IF(OR(LEFT(UPPER(TRIM(E741)),1)="M",UPPER(TRIM(E741))="B"),"B",IF(OR(LEFT(UPPER(TRIM(E741)),2)="SL",UPPER(TRIM(E741))="C"),"C",IF(OR(LEFT(UPPER(TRIM(E741)),1)="D",UPPER(TRIM(E741))="D"),"D","")))))))</f>
        <v/>
      </c>
      <c r="J741" s="27" t="str">
        <f aca="false">IF(I741="","",IF(AND(I741="D",Settings!$B$6&lt;&gt;"Yes"),"",IFERROR(INDEX(Settings!$C$9:$C$12,MATCH(I741,Settings!$A$9:$A$12,0)),"")))</f>
        <v/>
      </c>
      <c r="K741" s="27" t="str">
        <f aca="false">IF(J741="","",COUNTIF($I$2:I741,I741))</f>
        <v/>
      </c>
      <c r="L741" s="27" t="str">
        <f aca="false">IF(J741="","",CHOOSE(Q741+1,"Tue","Wed","Thu","Fri"))</f>
        <v/>
      </c>
      <c r="M741" s="27" t="str">
        <f aca="false">IF(J741="","",IF(J741=1,"Every week",R741+1&amp;" of "&amp;J741))</f>
        <v/>
      </c>
      <c r="N741" s="28" t="str">
        <f aca="false">IF(J741="","",Settings!$B$4+R741*7+Q741)</f>
        <v/>
      </c>
      <c r="O741" s="28" t="str">
        <f aca="true">IF(J741="","",N741+MAX(0,ROUNDUP((TODAY()-N741)/(J741*7),0))*J741*7)</f>
        <v/>
      </c>
      <c r="P741" s="27" t="str">
        <f aca="false">IF(J741="","",MOD(K741-1,J741*4))</f>
        <v/>
      </c>
      <c r="Q741" s="27" t="str">
        <f aca="false">IF(J741="","",MOD(P741,4))</f>
        <v/>
      </c>
      <c r="R741" s="27" t="str">
        <f aca="false">IF(J741="","",INT(P741/4))</f>
        <v/>
      </c>
      <c r="S741" s="27" t="str">
        <f aca="false">IF(J741="","",IF(AND('Daily Count Sheet'!$H$3=Q741,MOD('Daily Count Sheet'!$I$3,J741)=R741),1,""))</f>
        <v/>
      </c>
      <c r="T741" s="27" t="str">
        <f aca="false">IF(S741=1,COUNTIF($S$2:S741,1),"")</f>
        <v/>
      </c>
    </row>
    <row r="742" customFormat="false" ht="15" hidden="false" customHeight="false" outlineLevel="0" collapsed="false">
      <c r="H742" s="26"/>
      <c r="I742" s="27" t="str">
        <f aca="false">IF(A742="","",IF(H742&lt;&gt;"",UPPER(TRIM(H742)),IFERROR(CHOOSE(VALUE(E742)+1,"A","B","C","D"),IF(OR(LEFT(UPPER(TRIM(E742)),1)="F",UPPER(TRIM(E742))="A"),"A",IF(OR(LEFT(UPPER(TRIM(E742)),1)="M",UPPER(TRIM(E742))="B"),"B",IF(OR(LEFT(UPPER(TRIM(E742)),2)="SL",UPPER(TRIM(E742))="C"),"C",IF(OR(LEFT(UPPER(TRIM(E742)),1)="D",UPPER(TRIM(E742))="D"),"D","")))))))</f>
        <v/>
      </c>
      <c r="J742" s="27" t="str">
        <f aca="false">IF(I742="","",IF(AND(I742="D",Settings!$B$6&lt;&gt;"Yes"),"",IFERROR(INDEX(Settings!$C$9:$C$12,MATCH(I742,Settings!$A$9:$A$12,0)),"")))</f>
        <v/>
      </c>
      <c r="K742" s="27" t="str">
        <f aca="false">IF(J742="","",COUNTIF($I$2:I742,I742))</f>
        <v/>
      </c>
      <c r="L742" s="27" t="str">
        <f aca="false">IF(J742="","",CHOOSE(Q742+1,"Tue","Wed","Thu","Fri"))</f>
        <v/>
      </c>
      <c r="M742" s="27" t="str">
        <f aca="false">IF(J742="","",IF(J742=1,"Every week",R742+1&amp;" of "&amp;J742))</f>
        <v/>
      </c>
      <c r="N742" s="28" t="str">
        <f aca="false">IF(J742="","",Settings!$B$4+R742*7+Q742)</f>
        <v/>
      </c>
      <c r="O742" s="28" t="str">
        <f aca="true">IF(J742="","",N742+MAX(0,ROUNDUP((TODAY()-N742)/(J742*7),0))*J742*7)</f>
        <v/>
      </c>
      <c r="P742" s="27" t="str">
        <f aca="false">IF(J742="","",MOD(K742-1,J742*4))</f>
        <v/>
      </c>
      <c r="Q742" s="27" t="str">
        <f aca="false">IF(J742="","",MOD(P742,4))</f>
        <v/>
      </c>
      <c r="R742" s="27" t="str">
        <f aca="false">IF(J742="","",INT(P742/4))</f>
        <v/>
      </c>
      <c r="S742" s="27" t="str">
        <f aca="false">IF(J742="","",IF(AND('Daily Count Sheet'!$H$3=Q742,MOD('Daily Count Sheet'!$I$3,J742)=R742),1,""))</f>
        <v/>
      </c>
      <c r="T742" s="27" t="str">
        <f aca="false">IF(S742=1,COUNTIF($S$2:S742,1),"")</f>
        <v/>
      </c>
    </row>
    <row r="743" customFormat="false" ht="15" hidden="false" customHeight="false" outlineLevel="0" collapsed="false">
      <c r="H743" s="26"/>
      <c r="I743" s="27" t="str">
        <f aca="false">IF(A743="","",IF(H743&lt;&gt;"",UPPER(TRIM(H743)),IFERROR(CHOOSE(VALUE(E743)+1,"A","B","C","D"),IF(OR(LEFT(UPPER(TRIM(E743)),1)="F",UPPER(TRIM(E743))="A"),"A",IF(OR(LEFT(UPPER(TRIM(E743)),1)="M",UPPER(TRIM(E743))="B"),"B",IF(OR(LEFT(UPPER(TRIM(E743)),2)="SL",UPPER(TRIM(E743))="C"),"C",IF(OR(LEFT(UPPER(TRIM(E743)),1)="D",UPPER(TRIM(E743))="D"),"D","")))))))</f>
        <v/>
      </c>
      <c r="J743" s="27" t="str">
        <f aca="false">IF(I743="","",IF(AND(I743="D",Settings!$B$6&lt;&gt;"Yes"),"",IFERROR(INDEX(Settings!$C$9:$C$12,MATCH(I743,Settings!$A$9:$A$12,0)),"")))</f>
        <v/>
      </c>
      <c r="K743" s="27" t="str">
        <f aca="false">IF(J743="","",COUNTIF($I$2:I743,I743))</f>
        <v/>
      </c>
      <c r="L743" s="27" t="str">
        <f aca="false">IF(J743="","",CHOOSE(Q743+1,"Tue","Wed","Thu","Fri"))</f>
        <v/>
      </c>
      <c r="M743" s="27" t="str">
        <f aca="false">IF(J743="","",IF(J743=1,"Every week",R743+1&amp;" of "&amp;J743))</f>
        <v/>
      </c>
      <c r="N743" s="28" t="str">
        <f aca="false">IF(J743="","",Settings!$B$4+R743*7+Q743)</f>
        <v/>
      </c>
      <c r="O743" s="28" t="str">
        <f aca="true">IF(J743="","",N743+MAX(0,ROUNDUP((TODAY()-N743)/(J743*7),0))*J743*7)</f>
        <v/>
      </c>
      <c r="P743" s="27" t="str">
        <f aca="false">IF(J743="","",MOD(K743-1,J743*4))</f>
        <v/>
      </c>
      <c r="Q743" s="27" t="str">
        <f aca="false">IF(J743="","",MOD(P743,4))</f>
        <v/>
      </c>
      <c r="R743" s="27" t="str">
        <f aca="false">IF(J743="","",INT(P743/4))</f>
        <v/>
      </c>
      <c r="S743" s="27" t="str">
        <f aca="false">IF(J743="","",IF(AND('Daily Count Sheet'!$H$3=Q743,MOD('Daily Count Sheet'!$I$3,J743)=R743),1,""))</f>
        <v/>
      </c>
      <c r="T743" s="27" t="str">
        <f aca="false">IF(S743=1,COUNTIF($S$2:S743,1),"")</f>
        <v/>
      </c>
    </row>
    <row r="744" customFormat="false" ht="15" hidden="false" customHeight="false" outlineLevel="0" collapsed="false">
      <c r="H744" s="26"/>
      <c r="I744" s="27" t="str">
        <f aca="false">IF(A744="","",IF(H744&lt;&gt;"",UPPER(TRIM(H744)),IFERROR(CHOOSE(VALUE(E744)+1,"A","B","C","D"),IF(OR(LEFT(UPPER(TRIM(E744)),1)="F",UPPER(TRIM(E744))="A"),"A",IF(OR(LEFT(UPPER(TRIM(E744)),1)="M",UPPER(TRIM(E744))="B"),"B",IF(OR(LEFT(UPPER(TRIM(E744)),2)="SL",UPPER(TRIM(E744))="C"),"C",IF(OR(LEFT(UPPER(TRIM(E744)),1)="D",UPPER(TRIM(E744))="D"),"D","")))))))</f>
        <v/>
      </c>
      <c r="J744" s="27" t="str">
        <f aca="false">IF(I744="","",IF(AND(I744="D",Settings!$B$6&lt;&gt;"Yes"),"",IFERROR(INDEX(Settings!$C$9:$C$12,MATCH(I744,Settings!$A$9:$A$12,0)),"")))</f>
        <v/>
      </c>
      <c r="K744" s="27" t="str">
        <f aca="false">IF(J744="","",COUNTIF($I$2:I744,I744))</f>
        <v/>
      </c>
      <c r="L744" s="27" t="str">
        <f aca="false">IF(J744="","",CHOOSE(Q744+1,"Tue","Wed","Thu","Fri"))</f>
        <v/>
      </c>
      <c r="M744" s="27" t="str">
        <f aca="false">IF(J744="","",IF(J744=1,"Every week",R744+1&amp;" of "&amp;J744))</f>
        <v/>
      </c>
      <c r="N744" s="28" t="str">
        <f aca="false">IF(J744="","",Settings!$B$4+R744*7+Q744)</f>
        <v/>
      </c>
      <c r="O744" s="28" t="str">
        <f aca="true">IF(J744="","",N744+MAX(0,ROUNDUP((TODAY()-N744)/(J744*7),0))*J744*7)</f>
        <v/>
      </c>
      <c r="P744" s="27" t="str">
        <f aca="false">IF(J744="","",MOD(K744-1,J744*4))</f>
        <v/>
      </c>
      <c r="Q744" s="27" t="str">
        <f aca="false">IF(J744="","",MOD(P744,4))</f>
        <v/>
      </c>
      <c r="R744" s="27" t="str">
        <f aca="false">IF(J744="","",INT(P744/4))</f>
        <v/>
      </c>
      <c r="S744" s="27" t="str">
        <f aca="false">IF(J744="","",IF(AND('Daily Count Sheet'!$H$3=Q744,MOD('Daily Count Sheet'!$I$3,J744)=R744),1,""))</f>
        <v/>
      </c>
      <c r="T744" s="27" t="str">
        <f aca="false">IF(S744=1,COUNTIF($S$2:S744,1),"")</f>
        <v/>
      </c>
    </row>
    <row r="745" customFormat="false" ht="15" hidden="false" customHeight="false" outlineLevel="0" collapsed="false">
      <c r="H745" s="26"/>
      <c r="I745" s="27" t="str">
        <f aca="false">IF(A745="","",IF(H745&lt;&gt;"",UPPER(TRIM(H745)),IFERROR(CHOOSE(VALUE(E745)+1,"A","B","C","D"),IF(OR(LEFT(UPPER(TRIM(E745)),1)="F",UPPER(TRIM(E745))="A"),"A",IF(OR(LEFT(UPPER(TRIM(E745)),1)="M",UPPER(TRIM(E745))="B"),"B",IF(OR(LEFT(UPPER(TRIM(E745)),2)="SL",UPPER(TRIM(E745))="C"),"C",IF(OR(LEFT(UPPER(TRIM(E745)),1)="D",UPPER(TRIM(E745))="D"),"D","")))))))</f>
        <v/>
      </c>
      <c r="J745" s="27" t="str">
        <f aca="false">IF(I745="","",IF(AND(I745="D",Settings!$B$6&lt;&gt;"Yes"),"",IFERROR(INDEX(Settings!$C$9:$C$12,MATCH(I745,Settings!$A$9:$A$12,0)),"")))</f>
        <v/>
      </c>
      <c r="K745" s="27" t="str">
        <f aca="false">IF(J745="","",COUNTIF($I$2:I745,I745))</f>
        <v/>
      </c>
      <c r="L745" s="27" t="str">
        <f aca="false">IF(J745="","",CHOOSE(Q745+1,"Tue","Wed","Thu","Fri"))</f>
        <v/>
      </c>
      <c r="M745" s="27" t="str">
        <f aca="false">IF(J745="","",IF(J745=1,"Every week",R745+1&amp;" of "&amp;J745))</f>
        <v/>
      </c>
      <c r="N745" s="28" t="str">
        <f aca="false">IF(J745="","",Settings!$B$4+R745*7+Q745)</f>
        <v/>
      </c>
      <c r="O745" s="28" t="str">
        <f aca="true">IF(J745="","",N745+MAX(0,ROUNDUP((TODAY()-N745)/(J745*7),0))*J745*7)</f>
        <v/>
      </c>
      <c r="P745" s="27" t="str">
        <f aca="false">IF(J745="","",MOD(K745-1,J745*4))</f>
        <v/>
      </c>
      <c r="Q745" s="27" t="str">
        <f aca="false">IF(J745="","",MOD(P745,4))</f>
        <v/>
      </c>
      <c r="R745" s="27" t="str">
        <f aca="false">IF(J745="","",INT(P745/4))</f>
        <v/>
      </c>
      <c r="S745" s="27" t="str">
        <f aca="false">IF(J745="","",IF(AND('Daily Count Sheet'!$H$3=Q745,MOD('Daily Count Sheet'!$I$3,J745)=R745),1,""))</f>
        <v/>
      </c>
      <c r="T745" s="27" t="str">
        <f aca="false">IF(S745=1,COUNTIF($S$2:S745,1),"")</f>
        <v/>
      </c>
    </row>
    <row r="746" customFormat="false" ht="15" hidden="false" customHeight="false" outlineLevel="0" collapsed="false">
      <c r="H746" s="26"/>
      <c r="I746" s="27" t="str">
        <f aca="false">IF(A746="","",IF(H746&lt;&gt;"",UPPER(TRIM(H746)),IFERROR(CHOOSE(VALUE(E746)+1,"A","B","C","D"),IF(OR(LEFT(UPPER(TRIM(E746)),1)="F",UPPER(TRIM(E746))="A"),"A",IF(OR(LEFT(UPPER(TRIM(E746)),1)="M",UPPER(TRIM(E746))="B"),"B",IF(OR(LEFT(UPPER(TRIM(E746)),2)="SL",UPPER(TRIM(E746))="C"),"C",IF(OR(LEFT(UPPER(TRIM(E746)),1)="D",UPPER(TRIM(E746))="D"),"D","")))))))</f>
        <v/>
      </c>
      <c r="J746" s="27" t="str">
        <f aca="false">IF(I746="","",IF(AND(I746="D",Settings!$B$6&lt;&gt;"Yes"),"",IFERROR(INDEX(Settings!$C$9:$C$12,MATCH(I746,Settings!$A$9:$A$12,0)),"")))</f>
        <v/>
      </c>
      <c r="K746" s="27" t="str">
        <f aca="false">IF(J746="","",COUNTIF($I$2:I746,I746))</f>
        <v/>
      </c>
      <c r="L746" s="27" t="str">
        <f aca="false">IF(J746="","",CHOOSE(Q746+1,"Tue","Wed","Thu","Fri"))</f>
        <v/>
      </c>
      <c r="M746" s="27" t="str">
        <f aca="false">IF(J746="","",IF(J746=1,"Every week",R746+1&amp;" of "&amp;J746))</f>
        <v/>
      </c>
      <c r="N746" s="28" t="str">
        <f aca="false">IF(J746="","",Settings!$B$4+R746*7+Q746)</f>
        <v/>
      </c>
      <c r="O746" s="28" t="str">
        <f aca="true">IF(J746="","",N746+MAX(0,ROUNDUP((TODAY()-N746)/(J746*7),0))*J746*7)</f>
        <v/>
      </c>
      <c r="P746" s="27" t="str">
        <f aca="false">IF(J746="","",MOD(K746-1,J746*4))</f>
        <v/>
      </c>
      <c r="Q746" s="27" t="str">
        <f aca="false">IF(J746="","",MOD(P746,4))</f>
        <v/>
      </c>
      <c r="R746" s="27" t="str">
        <f aca="false">IF(J746="","",INT(P746/4))</f>
        <v/>
      </c>
      <c r="S746" s="27" t="str">
        <f aca="false">IF(J746="","",IF(AND('Daily Count Sheet'!$H$3=Q746,MOD('Daily Count Sheet'!$I$3,J746)=R746),1,""))</f>
        <v/>
      </c>
      <c r="T746" s="27" t="str">
        <f aca="false">IF(S746=1,COUNTIF($S$2:S746,1),"")</f>
        <v/>
      </c>
    </row>
    <row r="747" customFormat="false" ht="15" hidden="false" customHeight="false" outlineLevel="0" collapsed="false">
      <c r="H747" s="26"/>
      <c r="I747" s="27" t="str">
        <f aca="false">IF(A747="","",IF(H747&lt;&gt;"",UPPER(TRIM(H747)),IFERROR(CHOOSE(VALUE(E747)+1,"A","B","C","D"),IF(OR(LEFT(UPPER(TRIM(E747)),1)="F",UPPER(TRIM(E747))="A"),"A",IF(OR(LEFT(UPPER(TRIM(E747)),1)="M",UPPER(TRIM(E747))="B"),"B",IF(OR(LEFT(UPPER(TRIM(E747)),2)="SL",UPPER(TRIM(E747))="C"),"C",IF(OR(LEFT(UPPER(TRIM(E747)),1)="D",UPPER(TRIM(E747))="D"),"D","")))))))</f>
        <v/>
      </c>
      <c r="J747" s="27" t="str">
        <f aca="false">IF(I747="","",IF(AND(I747="D",Settings!$B$6&lt;&gt;"Yes"),"",IFERROR(INDEX(Settings!$C$9:$C$12,MATCH(I747,Settings!$A$9:$A$12,0)),"")))</f>
        <v/>
      </c>
      <c r="K747" s="27" t="str">
        <f aca="false">IF(J747="","",COUNTIF($I$2:I747,I747))</f>
        <v/>
      </c>
      <c r="L747" s="27" t="str">
        <f aca="false">IF(J747="","",CHOOSE(Q747+1,"Tue","Wed","Thu","Fri"))</f>
        <v/>
      </c>
      <c r="M747" s="27" t="str">
        <f aca="false">IF(J747="","",IF(J747=1,"Every week",R747+1&amp;" of "&amp;J747))</f>
        <v/>
      </c>
      <c r="N747" s="28" t="str">
        <f aca="false">IF(J747="","",Settings!$B$4+R747*7+Q747)</f>
        <v/>
      </c>
      <c r="O747" s="28" t="str">
        <f aca="true">IF(J747="","",N747+MAX(0,ROUNDUP((TODAY()-N747)/(J747*7),0))*J747*7)</f>
        <v/>
      </c>
      <c r="P747" s="27" t="str">
        <f aca="false">IF(J747="","",MOD(K747-1,J747*4))</f>
        <v/>
      </c>
      <c r="Q747" s="27" t="str">
        <f aca="false">IF(J747="","",MOD(P747,4))</f>
        <v/>
      </c>
      <c r="R747" s="27" t="str">
        <f aca="false">IF(J747="","",INT(P747/4))</f>
        <v/>
      </c>
      <c r="S747" s="27" t="str">
        <f aca="false">IF(J747="","",IF(AND('Daily Count Sheet'!$H$3=Q747,MOD('Daily Count Sheet'!$I$3,J747)=R747),1,""))</f>
        <v/>
      </c>
      <c r="T747" s="27" t="str">
        <f aca="false">IF(S747=1,COUNTIF($S$2:S747,1),"")</f>
        <v/>
      </c>
    </row>
    <row r="748" customFormat="false" ht="15" hidden="false" customHeight="false" outlineLevel="0" collapsed="false">
      <c r="H748" s="26"/>
      <c r="I748" s="27" t="str">
        <f aca="false">IF(A748="","",IF(H748&lt;&gt;"",UPPER(TRIM(H748)),IFERROR(CHOOSE(VALUE(E748)+1,"A","B","C","D"),IF(OR(LEFT(UPPER(TRIM(E748)),1)="F",UPPER(TRIM(E748))="A"),"A",IF(OR(LEFT(UPPER(TRIM(E748)),1)="M",UPPER(TRIM(E748))="B"),"B",IF(OR(LEFT(UPPER(TRIM(E748)),2)="SL",UPPER(TRIM(E748))="C"),"C",IF(OR(LEFT(UPPER(TRIM(E748)),1)="D",UPPER(TRIM(E748))="D"),"D","")))))))</f>
        <v/>
      </c>
      <c r="J748" s="27" t="str">
        <f aca="false">IF(I748="","",IF(AND(I748="D",Settings!$B$6&lt;&gt;"Yes"),"",IFERROR(INDEX(Settings!$C$9:$C$12,MATCH(I748,Settings!$A$9:$A$12,0)),"")))</f>
        <v/>
      </c>
      <c r="K748" s="27" t="str">
        <f aca="false">IF(J748="","",COUNTIF($I$2:I748,I748))</f>
        <v/>
      </c>
      <c r="L748" s="27" t="str">
        <f aca="false">IF(J748="","",CHOOSE(Q748+1,"Tue","Wed","Thu","Fri"))</f>
        <v/>
      </c>
      <c r="M748" s="27" t="str">
        <f aca="false">IF(J748="","",IF(J748=1,"Every week",R748+1&amp;" of "&amp;J748))</f>
        <v/>
      </c>
      <c r="N748" s="28" t="str">
        <f aca="false">IF(J748="","",Settings!$B$4+R748*7+Q748)</f>
        <v/>
      </c>
      <c r="O748" s="28" t="str">
        <f aca="true">IF(J748="","",N748+MAX(0,ROUNDUP((TODAY()-N748)/(J748*7),0))*J748*7)</f>
        <v/>
      </c>
      <c r="P748" s="27" t="str">
        <f aca="false">IF(J748="","",MOD(K748-1,J748*4))</f>
        <v/>
      </c>
      <c r="Q748" s="27" t="str">
        <f aca="false">IF(J748="","",MOD(P748,4))</f>
        <v/>
      </c>
      <c r="R748" s="27" t="str">
        <f aca="false">IF(J748="","",INT(P748/4))</f>
        <v/>
      </c>
      <c r="S748" s="27" t="str">
        <f aca="false">IF(J748="","",IF(AND('Daily Count Sheet'!$H$3=Q748,MOD('Daily Count Sheet'!$I$3,J748)=R748),1,""))</f>
        <v/>
      </c>
      <c r="T748" s="27" t="str">
        <f aca="false">IF(S748=1,COUNTIF($S$2:S748,1),"")</f>
        <v/>
      </c>
    </row>
    <row r="749" customFormat="false" ht="15" hidden="false" customHeight="false" outlineLevel="0" collapsed="false">
      <c r="H749" s="26"/>
      <c r="I749" s="27" t="str">
        <f aca="false">IF(A749="","",IF(H749&lt;&gt;"",UPPER(TRIM(H749)),IFERROR(CHOOSE(VALUE(E749)+1,"A","B","C","D"),IF(OR(LEFT(UPPER(TRIM(E749)),1)="F",UPPER(TRIM(E749))="A"),"A",IF(OR(LEFT(UPPER(TRIM(E749)),1)="M",UPPER(TRIM(E749))="B"),"B",IF(OR(LEFT(UPPER(TRIM(E749)),2)="SL",UPPER(TRIM(E749))="C"),"C",IF(OR(LEFT(UPPER(TRIM(E749)),1)="D",UPPER(TRIM(E749))="D"),"D","")))))))</f>
        <v/>
      </c>
      <c r="J749" s="27" t="str">
        <f aca="false">IF(I749="","",IF(AND(I749="D",Settings!$B$6&lt;&gt;"Yes"),"",IFERROR(INDEX(Settings!$C$9:$C$12,MATCH(I749,Settings!$A$9:$A$12,0)),"")))</f>
        <v/>
      </c>
      <c r="K749" s="27" t="str">
        <f aca="false">IF(J749="","",COUNTIF($I$2:I749,I749))</f>
        <v/>
      </c>
      <c r="L749" s="27" t="str">
        <f aca="false">IF(J749="","",CHOOSE(Q749+1,"Tue","Wed","Thu","Fri"))</f>
        <v/>
      </c>
      <c r="M749" s="27" t="str">
        <f aca="false">IF(J749="","",IF(J749=1,"Every week",R749+1&amp;" of "&amp;J749))</f>
        <v/>
      </c>
      <c r="N749" s="28" t="str">
        <f aca="false">IF(J749="","",Settings!$B$4+R749*7+Q749)</f>
        <v/>
      </c>
      <c r="O749" s="28" t="str">
        <f aca="true">IF(J749="","",N749+MAX(0,ROUNDUP((TODAY()-N749)/(J749*7),0))*J749*7)</f>
        <v/>
      </c>
      <c r="P749" s="27" t="str">
        <f aca="false">IF(J749="","",MOD(K749-1,J749*4))</f>
        <v/>
      </c>
      <c r="Q749" s="27" t="str">
        <f aca="false">IF(J749="","",MOD(P749,4))</f>
        <v/>
      </c>
      <c r="R749" s="27" t="str">
        <f aca="false">IF(J749="","",INT(P749/4))</f>
        <v/>
      </c>
      <c r="S749" s="27" t="str">
        <f aca="false">IF(J749="","",IF(AND('Daily Count Sheet'!$H$3=Q749,MOD('Daily Count Sheet'!$I$3,J749)=R749),1,""))</f>
        <v/>
      </c>
      <c r="T749" s="27" t="str">
        <f aca="false">IF(S749=1,COUNTIF($S$2:S749,1),"")</f>
        <v/>
      </c>
    </row>
    <row r="750" customFormat="false" ht="15" hidden="false" customHeight="false" outlineLevel="0" collapsed="false">
      <c r="H750" s="26"/>
      <c r="I750" s="27" t="str">
        <f aca="false">IF(A750="","",IF(H750&lt;&gt;"",UPPER(TRIM(H750)),IFERROR(CHOOSE(VALUE(E750)+1,"A","B","C","D"),IF(OR(LEFT(UPPER(TRIM(E750)),1)="F",UPPER(TRIM(E750))="A"),"A",IF(OR(LEFT(UPPER(TRIM(E750)),1)="M",UPPER(TRIM(E750))="B"),"B",IF(OR(LEFT(UPPER(TRIM(E750)),2)="SL",UPPER(TRIM(E750))="C"),"C",IF(OR(LEFT(UPPER(TRIM(E750)),1)="D",UPPER(TRIM(E750))="D"),"D","")))))))</f>
        <v/>
      </c>
      <c r="J750" s="27" t="str">
        <f aca="false">IF(I750="","",IF(AND(I750="D",Settings!$B$6&lt;&gt;"Yes"),"",IFERROR(INDEX(Settings!$C$9:$C$12,MATCH(I750,Settings!$A$9:$A$12,0)),"")))</f>
        <v/>
      </c>
      <c r="K750" s="27" t="str">
        <f aca="false">IF(J750="","",COUNTIF($I$2:I750,I750))</f>
        <v/>
      </c>
      <c r="L750" s="27" t="str">
        <f aca="false">IF(J750="","",CHOOSE(Q750+1,"Tue","Wed","Thu","Fri"))</f>
        <v/>
      </c>
      <c r="M750" s="27" t="str">
        <f aca="false">IF(J750="","",IF(J750=1,"Every week",R750+1&amp;" of "&amp;J750))</f>
        <v/>
      </c>
      <c r="N750" s="28" t="str">
        <f aca="false">IF(J750="","",Settings!$B$4+R750*7+Q750)</f>
        <v/>
      </c>
      <c r="O750" s="28" t="str">
        <f aca="true">IF(J750="","",N750+MAX(0,ROUNDUP((TODAY()-N750)/(J750*7),0))*J750*7)</f>
        <v/>
      </c>
      <c r="P750" s="27" t="str">
        <f aca="false">IF(J750="","",MOD(K750-1,J750*4))</f>
        <v/>
      </c>
      <c r="Q750" s="27" t="str">
        <f aca="false">IF(J750="","",MOD(P750,4))</f>
        <v/>
      </c>
      <c r="R750" s="27" t="str">
        <f aca="false">IF(J750="","",INT(P750/4))</f>
        <v/>
      </c>
      <c r="S750" s="27" t="str">
        <f aca="false">IF(J750="","",IF(AND('Daily Count Sheet'!$H$3=Q750,MOD('Daily Count Sheet'!$I$3,J750)=R750),1,""))</f>
        <v/>
      </c>
      <c r="T750" s="27" t="str">
        <f aca="false">IF(S750=1,COUNTIF($S$2:S750,1),"")</f>
        <v/>
      </c>
    </row>
    <row r="751" customFormat="false" ht="15" hidden="false" customHeight="false" outlineLevel="0" collapsed="false">
      <c r="H751" s="26"/>
      <c r="I751" s="27" t="str">
        <f aca="false">IF(A751="","",IF(H751&lt;&gt;"",UPPER(TRIM(H751)),IFERROR(CHOOSE(VALUE(E751)+1,"A","B","C","D"),IF(OR(LEFT(UPPER(TRIM(E751)),1)="F",UPPER(TRIM(E751))="A"),"A",IF(OR(LEFT(UPPER(TRIM(E751)),1)="M",UPPER(TRIM(E751))="B"),"B",IF(OR(LEFT(UPPER(TRIM(E751)),2)="SL",UPPER(TRIM(E751))="C"),"C",IF(OR(LEFT(UPPER(TRIM(E751)),1)="D",UPPER(TRIM(E751))="D"),"D","")))))))</f>
        <v/>
      </c>
      <c r="J751" s="27" t="str">
        <f aca="false">IF(I751="","",IF(AND(I751="D",Settings!$B$6&lt;&gt;"Yes"),"",IFERROR(INDEX(Settings!$C$9:$C$12,MATCH(I751,Settings!$A$9:$A$12,0)),"")))</f>
        <v/>
      </c>
      <c r="K751" s="27" t="str">
        <f aca="false">IF(J751="","",COUNTIF($I$2:I751,I751))</f>
        <v/>
      </c>
      <c r="L751" s="27" t="str">
        <f aca="false">IF(J751="","",CHOOSE(Q751+1,"Tue","Wed","Thu","Fri"))</f>
        <v/>
      </c>
      <c r="M751" s="27" t="str">
        <f aca="false">IF(J751="","",IF(J751=1,"Every week",R751+1&amp;" of "&amp;J751))</f>
        <v/>
      </c>
      <c r="N751" s="28" t="str">
        <f aca="false">IF(J751="","",Settings!$B$4+R751*7+Q751)</f>
        <v/>
      </c>
      <c r="O751" s="28" t="str">
        <f aca="true">IF(J751="","",N751+MAX(0,ROUNDUP((TODAY()-N751)/(J751*7),0))*J751*7)</f>
        <v/>
      </c>
      <c r="P751" s="27" t="str">
        <f aca="false">IF(J751="","",MOD(K751-1,J751*4))</f>
        <v/>
      </c>
      <c r="Q751" s="27" t="str">
        <f aca="false">IF(J751="","",MOD(P751,4))</f>
        <v/>
      </c>
      <c r="R751" s="27" t="str">
        <f aca="false">IF(J751="","",INT(P751/4))</f>
        <v/>
      </c>
      <c r="S751" s="27" t="str">
        <f aca="false">IF(J751="","",IF(AND('Daily Count Sheet'!$H$3=Q751,MOD('Daily Count Sheet'!$I$3,J751)=R751),1,""))</f>
        <v/>
      </c>
      <c r="T751" s="27" t="str">
        <f aca="false">IF(S751=1,COUNTIF($S$2:S751,1),"")</f>
        <v/>
      </c>
    </row>
    <row r="752" customFormat="false" ht="15" hidden="false" customHeight="false" outlineLevel="0" collapsed="false">
      <c r="H752" s="26"/>
      <c r="I752" s="27" t="str">
        <f aca="false">IF(A752="","",IF(H752&lt;&gt;"",UPPER(TRIM(H752)),IFERROR(CHOOSE(VALUE(E752)+1,"A","B","C","D"),IF(OR(LEFT(UPPER(TRIM(E752)),1)="F",UPPER(TRIM(E752))="A"),"A",IF(OR(LEFT(UPPER(TRIM(E752)),1)="M",UPPER(TRIM(E752))="B"),"B",IF(OR(LEFT(UPPER(TRIM(E752)),2)="SL",UPPER(TRIM(E752))="C"),"C",IF(OR(LEFT(UPPER(TRIM(E752)),1)="D",UPPER(TRIM(E752))="D"),"D","")))))))</f>
        <v/>
      </c>
      <c r="J752" s="27" t="str">
        <f aca="false">IF(I752="","",IF(AND(I752="D",Settings!$B$6&lt;&gt;"Yes"),"",IFERROR(INDEX(Settings!$C$9:$C$12,MATCH(I752,Settings!$A$9:$A$12,0)),"")))</f>
        <v/>
      </c>
      <c r="K752" s="27" t="str">
        <f aca="false">IF(J752="","",COUNTIF($I$2:I752,I752))</f>
        <v/>
      </c>
      <c r="L752" s="27" t="str">
        <f aca="false">IF(J752="","",CHOOSE(Q752+1,"Tue","Wed","Thu","Fri"))</f>
        <v/>
      </c>
      <c r="M752" s="27" t="str">
        <f aca="false">IF(J752="","",IF(J752=1,"Every week",R752+1&amp;" of "&amp;J752))</f>
        <v/>
      </c>
      <c r="N752" s="28" t="str">
        <f aca="false">IF(J752="","",Settings!$B$4+R752*7+Q752)</f>
        <v/>
      </c>
      <c r="O752" s="28" t="str">
        <f aca="true">IF(J752="","",N752+MAX(0,ROUNDUP((TODAY()-N752)/(J752*7),0))*J752*7)</f>
        <v/>
      </c>
      <c r="P752" s="27" t="str">
        <f aca="false">IF(J752="","",MOD(K752-1,J752*4))</f>
        <v/>
      </c>
      <c r="Q752" s="27" t="str">
        <f aca="false">IF(J752="","",MOD(P752,4))</f>
        <v/>
      </c>
      <c r="R752" s="27" t="str">
        <f aca="false">IF(J752="","",INT(P752/4))</f>
        <v/>
      </c>
      <c r="S752" s="27" t="str">
        <f aca="false">IF(J752="","",IF(AND('Daily Count Sheet'!$H$3=Q752,MOD('Daily Count Sheet'!$I$3,J752)=R752),1,""))</f>
        <v/>
      </c>
      <c r="T752" s="27" t="str">
        <f aca="false">IF(S752=1,COUNTIF($S$2:S752,1),"")</f>
        <v/>
      </c>
    </row>
    <row r="753" customFormat="false" ht="15" hidden="false" customHeight="false" outlineLevel="0" collapsed="false">
      <c r="H753" s="26"/>
      <c r="I753" s="27" t="str">
        <f aca="false">IF(A753="","",IF(H753&lt;&gt;"",UPPER(TRIM(H753)),IFERROR(CHOOSE(VALUE(E753)+1,"A","B","C","D"),IF(OR(LEFT(UPPER(TRIM(E753)),1)="F",UPPER(TRIM(E753))="A"),"A",IF(OR(LEFT(UPPER(TRIM(E753)),1)="M",UPPER(TRIM(E753))="B"),"B",IF(OR(LEFT(UPPER(TRIM(E753)),2)="SL",UPPER(TRIM(E753))="C"),"C",IF(OR(LEFT(UPPER(TRIM(E753)),1)="D",UPPER(TRIM(E753))="D"),"D","")))))))</f>
        <v/>
      </c>
      <c r="J753" s="27" t="str">
        <f aca="false">IF(I753="","",IF(AND(I753="D",Settings!$B$6&lt;&gt;"Yes"),"",IFERROR(INDEX(Settings!$C$9:$C$12,MATCH(I753,Settings!$A$9:$A$12,0)),"")))</f>
        <v/>
      </c>
      <c r="K753" s="27" t="str">
        <f aca="false">IF(J753="","",COUNTIF($I$2:I753,I753))</f>
        <v/>
      </c>
      <c r="L753" s="27" t="str">
        <f aca="false">IF(J753="","",CHOOSE(Q753+1,"Tue","Wed","Thu","Fri"))</f>
        <v/>
      </c>
      <c r="M753" s="27" t="str">
        <f aca="false">IF(J753="","",IF(J753=1,"Every week",R753+1&amp;" of "&amp;J753))</f>
        <v/>
      </c>
      <c r="N753" s="28" t="str">
        <f aca="false">IF(J753="","",Settings!$B$4+R753*7+Q753)</f>
        <v/>
      </c>
      <c r="O753" s="28" t="str">
        <f aca="true">IF(J753="","",N753+MAX(0,ROUNDUP((TODAY()-N753)/(J753*7),0))*J753*7)</f>
        <v/>
      </c>
      <c r="P753" s="27" t="str">
        <f aca="false">IF(J753="","",MOD(K753-1,J753*4))</f>
        <v/>
      </c>
      <c r="Q753" s="27" t="str">
        <f aca="false">IF(J753="","",MOD(P753,4))</f>
        <v/>
      </c>
      <c r="R753" s="27" t="str">
        <f aca="false">IF(J753="","",INT(P753/4))</f>
        <v/>
      </c>
      <c r="S753" s="27" t="str">
        <f aca="false">IF(J753="","",IF(AND('Daily Count Sheet'!$H$3=Q753,MOD('Daily Count Sheet'!$I$3,J753)=R753),1,""))</f>
        <v/>
      </c>
      <c r="T753" s="27" t="str">
        <f aca="false">IF(S753=1,COUNTIF($S$2:S753,1),"")</f>
        <v/>
      </c>
    </row>
    <row r="754" customFormat="false" ht="15" hidden="false" customHeight="false" outlineLevel="0" collapsed="false">
      <c r="H754" s="26"/>
      <c r="I754" s="27" t="str">
        <f aca="false">IF(A754="","",IF(H754&lt;&gt;"",UPPER(TRIM(H754)),IFERROR(CHOOSE(VALUE(E754)+1,"A","B","C","D"),IF(OR(LEFT(UPPER(TRIM(E754)),1)="F",UPPER(TRIM(E754))="A"),"A",IF(OR(LEFT(UPPER(TRIM(E754)),1)="M",UPPER(TRIM(E754))="B"),"B",IF(OR(LEFT(UPPER(TRIM(E754)),2)="SL",UPPER(TRIM(E754))="C"),"C",IF(OR(LEFT(UPPER(TRIM(E754)),1)="D",UPPER(TRIM(E754))="D"),"D","")))))))</f>
        <v/>
      </c>
      <c r="J754" s="27" t="str">
        <f aca="false">IF(I754="","",IF(AND(I754="D",Settings!$B$6&lt;&gt;"Yes"),"",IFERROR(INDEX(Settings!$C$9:$C$12,MATCH(I754,Settings!$A$9:$A$12,0)),"")))</f>
        <v/>
      </c>
      <c r="K754" s="27" t="str">
        <f aca="false">IF(J754="","",COUNTIF($I$2:I754,I754))</f>
        <v/>
      </c>
      <c r="L754" s="27" t="str">
        <f aca="false">IF(J754="","",CHOOSE(Q754+1,"Tue","Wed","Thu","Fri"))</f>
        <v/>
      </c>
      <c r="M754" s="27" t="str">
        <f aca="false">IF(J754="","",IF(J754=1,"Every week",R754+1&amp;" of "&amp;J754))</f>
        <v/>
      </c>
      <c r="N754" s="28" t="str">
        <f aca="false">IF(J754="","",Settings!$B$4+R754*7+Q754)</f>
        <v/>
      </c>
      <c r="O754" s="28" t="str">
        <f aca="true">IF(J754="","",N754+MAX(0,ROUNDUP((TODAY()-N754)/(J754*7),0))*J754*7)</f>
        <v/>
      </c>
      <c r="P754" s="27" t="str">
        <f aca="false">IF(J754="","",MOD(K754-1,J754*4))</f>
        <v/>
      </c>
      <c r="Q754" s="27" t="str">
        <f aca="false">IF(J754="","",MOD(P754,4))</f>
        <v/>
      </c>
      <c r="R754" s="27" t="str">
        <f aca="false">IF(J754="","",INT(P754/4))</f>
        <v/>
      </c>
      <c r="S754" s="27" t="str">
        <f aca="false">IF(J754="","",IF(AND('Daily Count Sheet'!$H$3=Q754,MOD('Daily Count Sheet'!$I$3,J754)=R754),1,""))</f>
        <v/>
      </c>
      <c r="T754" s="27" t="str">
        <f aca="false">IF(S754=1,COUNTIF($S$2:S754,1),"")</f>
        <v/>
      </c>
    </row>
    <row r="755" customFormat="false" ht="15" hidden="false" customHeight="false" outlineLevel="0" collapsed="false">
      <c r="H755" s="26"/>
      <c r="I755" s="27" t="str">
        <f aca="false">IF(A755="","",IF(H755&lt;&gt;"",UPPER(TRIM(H755)),IFERROR(CHOOSE(VALUE(E755)+1,"A","B","C","D"),IF(OR(LEFT(UPPER(TRIM(E755)),1)="F",UPPER(TRIM(E755))="A"),"A",IF(OR(LEFT(UPPER(TRIM(E755)),1)="M",UPPER(TRIM(E755))="B"),"B",IF(OR(LEFT(UPPER(TRIM(E755)),2)="SL",UPPER(TRIM(E755))="C"),"C",IF(OR(LEFT(UPPER(TRIM(E755)),1)="D",UPPER(TRIM(E755))="D"),"D","")))))))</f>
        <v/>
      </c>
      <c r="J755" s="27" t="str">
        <f aca="false">IF(I755="","",IF(AND(I755="D",Settings!$B$6&lt;&gt;"Yes"),"",IFERROR(INDEX(Settings!$C$9:$C$12,MATCH(I755,Settings!$A$9:$A$12,0)),"")))</f>
        <v/>
      </c>
      <c r="K755" s="27" t="str">
        <f aca="false">IF(J755="","",COUNTIF($I$2:I755,I755))</f>
        <v/>
      </c>
      <c r="L755" s="27" t="str">
        <f aca="false">IF(J755="","",CHOOSE(Q755+1,"Tue","Wed","Thu","Fri"))</f>
        <v/>
      </c>
      <c r="M755" s="27" t="str">
        <f aca="false">IF(J755="","",IF(J755=1,"Every week",R755+1&amp;" of "&amp;J755))</f>
        <v/>
      </c>
      <c r="N755" s="28" t="str">
        <f aca="false">IF(J755="","",Settings!$B$4+R755*7+Q755)</f>
        <v/>
      </c>
      <c r="O755" s="28" t="str">
        <f aca="true">IF(J755="","",N755+MAX(0,ROUNDUP((TODAY()-N755)/(J755*7),0))*J755*7)</f>
        <v/>
      </c>
      <c r="P755" s="27" t="str">
        <f aca="false">IF(J755="","",MOD(K755-1,J755*4))</f>
        <v/>
      </c>
      <c r="Q755" s="27" t="str">
        <f aca="false">IF(J755="","",MOD(P755,4))</f>
        <v/>
      </c>
      <c r="R755" s="27" t="str">
        <f aca="false">IF(J755="","",INT(P755/4))</f>
        <v/>
      </c>
      <c r="S755" s="27" t="str">
        <f aca="false">IF(J755="","",IF(AND('Daily Count Sheet'!$H$3=Q755,MOD('Daily Count Sheet'!$I$3,J755)=R755),1,""))</f>
        <v/>
      </c>
      <c r="T755" s="27" t="str">
        <f aca="false">IF(S755=1,COUNTIF($S$2:S755,1),"")</f>
        <v/>
      </c>
    </row>
    <row r="756" customFormat="false" ht="15" hidden="false" customHeight="false" outlineLevel="0" collapsed="false">
      <c r="H756" s="26"/>
      <c r="I756" s="27" t="str">
        <f aca="false">IF(A756="","",IF(H756&lt;&gt;"",UPPER(TRIM(H756)),IFERROR(CHOOSE(VALUE(E756)+1,"A","B","C","D"),IF(OR(LEFT(UPPER(TRIM(E756)),1)="F",UPPER(TRIM(E756))="A"),"A",IF(OR(LEFT(UPPER(TRIM(E756)),1)="M",UPPER(TRIM(E756))="B"),"B",IF(OR(LEFT(UPPER(TRIM(E756)),2)="SL",UPPER(TRIM(E756))="C"),"C",IF(OR(LEFT(UPPER(TRIM(E756)),1)="D",UPPER(TRIM(E756))="D"),"D","")))))))</f>
        <v/>
      </c>
      <c r="J756" s="27" t="str">
        <f aca="false">IF(I756="","",IF(AND(I756="D",Settings!$B$6&lt;&gt;"Yes"),"",IFERROR(INDEX(Settings!$C$9:$C$12,MATCH(I756,Settings!$A$9:$A$12,0)),"")))</f>
        <v/>
      </c>
      <c r="K756" s="27" t="str">
        <f aca="false">IF(J756="","",COUNTIF($I$2:I756,I756))</f>
        <v/>
      </c>
      <c r="L756" s="27" t="str">
        <f aca="false">IF(J756="","",CHOOSE(Q756+1,"Tue","Wed","Thu","Fri"))</f>
        <v/>
      </c>
      <c r="M756" s="27" t="str">
        <f aca="false">IF(J756="","",IF(J756=1,"Every week",R756+1&amp;" of "&amp;J756))</f>
        <v/>
      </c>
      <c r="N756" s="28" t="str">
        <f aca="false">IF(J756="","",Settings!$B$4+R756*7+Q756)</f>
        <v/>
      </c>
      <c r="O756" s="28" t="str">
        <f aca="true">IF(J756="","",N756+MAX(0,ROUNDUP((TODAY()-N756)/(J756*7),0))*J756*7)</f>
        <v/>
      </c>
      <c r="P756" s="27" t="str">
        <f aca="false">IF(J756="","",MOD(K756-1,J756*4))</f>
        <v/>
      </c>
      <c r="Q756" s="27" t="str">
        <f aca="false">IF(J756="","",MOD(P756,4))</f>
        <v/>
      </c>
      <c r="R756" s="27" t="str">
        <f aca="false">IF(J756="","",INT(P756/4))</f>
        <v/>
      </c>
      <c r="S756" s="27" t="str">
        <f aca="false">IF(J756="","",IF(AND('Daily Count Sheet'!$H$3=Q756,MOD('Daily Count Sheet'!$I$3,J756)=R756),1,""))</f>
        <v/>
      </c>
      <c r="T756" s="27" t="str">
        <f aca="false">IF(S756=1,COUNTIF($S$2:S756,1),"")</f>
        <v/>
      </c>
    </row>
    <row r="757" customFormat="false" ht="15" hidden="false" customHeight="false" outlineLevel="0" collapsed="false">
      <c r="H757" s="26"/>
      <c r="I757" s="27" t="str">
        <f aca="false">IF(A757="","",IF(H757&lt;&gt;"",UPPER(TRIM(H757)),IFERROR(CHOOSE(VALUE(E757)+1,"A","B","C","D"),IF(OR(LEFT(UPPER(TRIM(E757)),1)="F",UPPER(TRIM(E757))="A"),"A",IF(OR(LEFT(UPPER(TRIM(E757)),1)="M",UPPER(TRIM(E757))="B"),"B",IF(OR(LEFT(UPPER(TRIM(E757)),2)="SL",UPPER(TRIM(E757))="C"),"C",IF(OR(LEFT(UPPER(TRIM(E757)),1)="D",UPPER(TRIM(E757))="D"),"D","")))))))</f>
        <v/>
      </c>
      <c r="J757" s="27" t="str">
        <f aca="false">IF(I757="","",IF(AND(I757="D",Settings!$B$6&lt;&gt;"Yes"),"",IFERROR(INDEX(Settings!$C$9:$C$12,MATCH(I757,Settings!$A$9:$A$12,0)),"")))</f>
        <v/>
      </c>
      <c r="K757" s="27" t="str">
        <f aca="false">IF(J757="","",COUNTIF($I$2:I757,I757))</f>
        <v/>
      </c>
      <c r="L757" s="27" t="str">
        <f aca="false">IF(J757="","",CHOOSE(Q757+1,"Tue","Wed","Thu","Fri"))</f>
        <v/>
      </c>
      <c r="M757" s="27" t="str">
        <f aca="false">IF(J757="","",IF(J757=1,"Every week",R757+1&amp;" of "&amp;J757))</f>
        <v/>
      </c>
      <c r="N757" s="28" t="str">
        <f aca="false">IF(J757="","",Settings!$B$4+R757*7+Q757)</f>
        <v/>
      </c>
      <c r="O757" s="28" t="str">
        <f aca="true">IF(J757="","",N757+MAX(0,ROUNDUP((TODAY()-N757)/(J757*7),0))*J757*7)</f>
        <v/>
      </c>
      <c r="P757" s="27" t="str">
        <f aca="false">IF(J757="","",MOD(K757-1,J757*4))</f>
        <v/>
      </c>
      <c r="Q757" s="27" t="str">
        <f aca="false">IF(J757="","",MOD(P757,4))</f>
        <v/>
      </c>
      <c r="R757" s="27" t="str">
        <f aca="false">IF(J757="","",INT(P757/4))</f>
        <v/>
      </c>
      <c r="S757" s="27" t="str">
        <f aca="false">IF(J757="","",IF(AND('Daily Count Sheet'!$H$3=Q757,MOD('Daily Count Sheet'!$I$3,J757)=R757),1,""))</f>
        <v/>
      </c>
      <c r="T757" s="27" t="str">
        <f aca="false">IF(S757=1,COUNTIF($S$2:S757,1),"")</f>
        <v/>
      </c>
    </row>
    <row r="758" customFormat="false" ht="15" hidden="false" customHeight="false" outlineLevel="0" collapsed="false">
      <c r="H758" s="26"/>
      <c r="I758" s="27" t="str">
        <f aca="false">IF(A758="","",IF(H758&lt;&gt;"",UPPER(TRIM(H758)),IFERROR(CHOOSE(VALUE(E758)+1,"A","B","C","D"),IF(OR(LEFT(UPPER(TRIM(E758)),1)="F",UPPER(TRIM(E758))="A"),"A",IF(OR(LEFT(UPPER(TRIM(E758)),1)="M",UPPER(TRIM(E758))="B"),"B",IF(OR(LEFT(UPPER(TRIM(E758)),2)="SL",UPPER(TRIM(E758))="C"),"C",IF(OR(LEFT(UPPER(TRIM(E758)),1)="D",UPPER(TRIM(E758))="D"),"D","")))))))</f>
        <v/>
      </c>
      <c r="J758" s="27" t="str">
        <f aca="false">IF(I758="","",IF(AND(I758="D",Settings!$B$6&lt;&gt;"Yes"),"",IFERROR(INDEX(Settings!$C$9:$C$12,MATCH(I758,Settings!$A$9:$A$12,0)),"")))</f>
        <v/>
      </c>
      <c r="K758" s="27" t="str">
        <f aca="false">IF(J758="","",COUNTIF($I$2:I758,I758))</f>
        <v/>
      </c>
      <c r="L758" s="27" t="str">
        <f aca="false">IF(J758="","",CHOOSE(Q758+1,"Tue","Wed","Thu","Fri"))</f>
        <v/>
      </c>
      <c r="M758" s="27" t="str">
        <f aca="false">IF(J758="","",IF(J758=1,"Every week",R758+1&amp;" of "&amp;J758))</f>
        <v/>
      </c>
      <c r="N758" s="28" t="str">
        <f aca="false">IF(J758="","",Settings!$B$4+R758*7+Q758)</f>
        <v/>
      </c>
      <c r="O758" s="28" t="str">
        <f aca="true">IF(J758="","",N758+MAX(0,ROUNDUP((TODAY()-N758)/(J758*7),0))*J758*7)</f>
        <v/>
      </c>
      <c r="P758" s="27" t="str">
        <f aca="false">IF(J758="","",MOD(K758-1,J758*4))</f>
        <v/>
      </c>
      <c r="Q758" s="27" t="str">
        <f aca="false">IF(J758="","",MOD(P758,4))</f>
        <v/>
      </c>
      <c r="R758" s="27" t="str">
        <f aca="false">IF(J758="","",INT(P758/4))</f>
        <v/>
      </c>
      <c r="S758" s="27" t="str">
        <f aca="false">IF(J758="","",IF(AND('Daily Count Sheet'!$H$3=Q758,MOD('Daily Count Sheet'!$I$3,J758)=R758),1,""))</f>
        <v/>
      </c>
      <c r="T758" s="27" t="str">
        <f aca="false">IF(S758=1,COUNTIF($S$2:S758,1),"")</f>
        <v/>
      </c>
    </row>
    <row r="759" customFormat="false" ht="15" hidden="false" customHeight="false" outlineLevel="0" collapsed="false">
      <c r="H759" s="26"/>
      <c r="I759" s="27" t="str">
        <f aca="false">IF(A759="","",IF(H759&lt;&gt;"",UPPER(TRIM(H759)),IFERROR(CHOOSE(VALUE(E759)+1,"A","B","C","D"),IF(OR(LEFT(UPPER(TRIM(E759)),1)="F",UPPER(TRIM(E759))="A"),"A",IF(OR(LEFT(UPPER(TRIM(E759)),1)="M",UPPER(TRIM(E759))="B"),"B",IF(OR(LEFT(UPPER(TRIM(E759)),2)="SL",UPPER(TRIM(E759))="C"),"C",IF(OR(LEFT(UPPER(TRIM(E759)),1)="D",UPPER(TRIM(E759))="D"),"D","")))))))</f>
        <v/>
      </c>
      <c r="J759" s="27" t="str">
        <f aca="false">IF(I759="","",IF(AND(I759="D",Settings!$B$6&lt;&gt;"Yes"),"",IFERROR(INDEX(Settings!$C$9:$C$12,MATCH(I759,Settings!$A$9:$A$12,0)),"")))</f>
        <v/>
      </c>
      <c r="K759" s="27" t="str">
        <f aca="false">IF(J759="","",COUNTIF($I$2:I759,I759))</f>
        <v/>
      </c>
      <c r="L759" s="27" t="str">
        <f aca="false">IF(J759="","",CHOOSE(Q759+1,"Tue","Wed","Thu","Fri"))</f>
        <v/>
      </c>
      <c r="M759" s="27" t="str">
        <f aca="false">IF(J759="","",IF(J759=1,"Every week",R759+1&amp;" of "&amp;J759))</f>
        <v/>
      </c>
      <c r="N759" s="28" t="str">
        <f aca="false">IF(J759="","",Settings!$B$4+R759*7+Q759)</f>
        <v/>
      </c>
      <c r="O759" s="28" t="str">
        <f aca="true">IF(J759="","",N759+MAX(0,ROUNDUP((TODAY()-N759)/(J759*7),0))*J759*7)</f>
        <v/>
      </c>
      <c r="P759" s="27" t="str">
        <f aca="false">IF(J759="","",MOD(K759-1,J759*4))</f>
        <v/>
      </c>
      <c r="Q759" s="27" t="str">
        <f aca="false">IF(J759="","",MOD(P759,4))</f>
        <v/>
      </c>
      <c r="R759" s="27" t="str">
        <f aca="false">IF(J759="","",INT(P759/4))</f>
        <v/>
      </c>
      <c r="S759" s="27" t="str">
        <f aca="false">IF(J759="","",IF(AND('Daily Count Sheet'!$H$3=Q759,MOD('Daily Count Sheet'!$I$3,J759)=R759),1,""))</f>
        <v/>
      </c>
      <c r="T759" s="27" t="str">
        <f aca="false">IF(S759=1,COUNTIF($S$2:S759,1),"")</f>
        <v/>
      </c>
    </row>
    <row r="760" customFormat="false" ht="15" hidden="false" customHeight="false" outlineLevel="0" collapsed="false">
      <c r="H760" s="26"/>
      <c r="I760" s="27" t="str">
        <f aca="false">IF(A760="","",IF(H760&lt;&gt;"",UPPER(TRIM(H760)),IFERROR(CHOOSE(VALUE(E760)+1,"A","B","C","D"),IF(OR(LEFT(UPPER(TRIM(E760)),1)="F",UPPER(TRIM(E760))="A"),"A",IF(OR(LEFT(UPPER(TRIM(E760)),1)="M",UPPER(TRIM(E760))="B"),"B",IF(OR(LEFT(UPPER(TRIM(E760)),2)="SL",UPPER(TRIM(E760))="C"),"C",IF(OR(LEFT(UPPER(TRIM(E760)),1)="D",UPPER(TRIM(E760))="D"),"D","")))))))</f>
        <v/>
      </c>
      <c r="J760" s="27" t="str">
        <f aca="false">IF(I760="","",IF(AND(I760="D",Settings!$B$6&lt;&gt;"Yes"),"",IFERROR(INDEX(Settings!$C$9:$C$12,MATCH(I760,Settings!$A$9:$A$12,0)),"")))</f>
        <v/>
      </c>
      <c r="K760" s="27" t="str">
        <f aca="false">IF(J760="","",COUNTIF($I$2:I760,I760))</f>
        <v/>
      </c>
      <c r="L760" s="27" t="str">
        <f aca="false">IF(J760="","",CHOOSE(Q760+1,"Tue","Wed","Thu","Fri"))</f>
        <v/>
      </c>
      <c r="M760" s="27" t="str">
        <f aca="false">IF(J760="","",IF(J760=1,"Every week",R760+1&amp;" of "&amp;J760))</f>
        <v/>
      </c>
      <c r="N760" s="28" t="str">
        <f aca="false">IF(J760="","",Settings!$B$4+R760*7+Q760)</f>
        <v/>
      </c>
      <c r="O760" s="28" t="str">
        <f aca="true">IF(J760="","",N760+MAX(0,ROUNDUP((TODAY()-N760)/(J760*7),0))*J760*7)</f>
        <v/>
      </c>
      <c r="P760" s="27" t="str">
        <f aca="false">IF(J760="","",MOD(K760-1,J760*4))</f>
        <v/>
      </c>
      <c r="Q760" s="27" t="str">
        <f aca="false">IF(J760="","",MOD(P760,4))</f>
        <v/>
      </c>
      <c r="R760" s="27" t="str">
        <f aca="false">IF(J760="","",INT(P760/4))</f>
        <v/>
      </c>
      <c r="S760" s="27" t="str">
        <f aca="false">IF(J760="","",IF(AND('Daily Count Sheet'!$H$3=Q760,MOD('Daily Count Sheet'!$I$3,J760)=R760),1,""))</f>
        <v/>
      </c>
      <c r="T760" s="27" t="str">
        <f aca="false">IF(S760=1,COUNTIF($S$2:S760,1),"")</f>
        <v/>
      </c>
    </row>
    <row r="761" customFormat="false" ht="15" hidden="false" customHeight="false" outlineLevel="0" collapsed="false">
      <c r="H761" s="26"/>
      <c r="I761" s="27" t="str">
        <f aca="false">IF(A761="","",IF(H761&lt;&gt;"",UPPER(TRIM(H761)),IFERROR(CHOOSE(VALUE(E761)+1,"A","B","C","D"),IF(OR(LEFT(UPPER(TRIM(E761)),1)="F",UPPER(TRIM(E761))="A"),"A",IF(OR(LEFT(UPPER(TRIM(E761)),1)="M",UPPER(TRIM(E761))="B"),"B",IF(OR(LEFT(UPPER(TRIM(E761)),2)="SL",UPPER(TRIM(E761))="C"),"C",IF(OR(LEFT(UPPER(TRIM(E761)),1)="D",UPPER(TRIM(E761))="D"),"D","")))))))</f>
        <v/>
      </c>
      <c r="J761" s="27" t="str">
        <f aca="false">IF(I761="","",IF(AND(I761="D",Settings!$B$6&lt;&gt;"Yes"),"",IFERROR(INDEX(Settings!$C$9:$C$12,MATCH(I761,Settings!$A$9:$A$12,0)),"")))</f>
        <v/>
      </c>
      <c r="K761" s="27" t="str">
        <f aca="false">IF(J761="","",COUNTIF($I$2:I761,I761))</f>
        <v/>
      </c>
      <c r="L761" s="27" t="str">
        <f aca="false">IF(J761="","",CHOOSE(Q761+1,"Tue","Wed","Thu","Fri"))</f>
        <v/>
      </c>
      <c r="M761" s="27" t="str">
        <f aca="false">IF(J761="","",IF(J761=1,"Every week",R761+1&amp;" of "&amp;J761))</f>
        <v/>
      </c>
      <c r="N761" s="28" t="str">
        <f aca="false">IF(J761="","",Settings!$B$4+R761*7+Q761)</f>
        <v/>
      </c>
      <c r="O761" s="28" t="str">
        <f aca="true">IF(J761="","",N761+MAX(0,ROUNDUP((TODAY()-N761)/(J761*7),0))*J761*7)</f>
        <v/>
      </c>
      <c r="P761" s="27" t="str">
        <f aca="false">IF(J761="","",MOD(K761-1,J761*4))</f>
        <v/>
      </c>
      <c r="Q761" s="27" t="str">
        <f aca="false">IF(J761="","",MOD(P761,4))</f>
        <v/>
      </c>
      <c r="R761" s="27" t="str">
        <f aca="false">IF(J761="","",INT(P761/4))</f>
        <v/>
      </c>
      <c r="S761" s="27" t="str">
        <f aca="false">IF(J761="","",IF(AND('Daily Count Sheet'!$H$3=Q761,MOD('Daily Count Sheet'!$I$3,J761)=R761),1,""))</f>
        <v/>
      </c>
      <c r="T761" s="27" t="str">
        <f aca="false">IF(S761=1,COUNTIF($S$2:S761,1),"")</f>
        <v/>
      </c>
    </row>
    <row r="762" customFormat="false" ht="15" hidden="false" customHeight="false" outlineLevel="0" collapsed="false">
      <c r="H762" s="26"/>
      <c r="I762" s="27" t="str">
        <f aca="false">IF(A762="","",IF(H762&lt;&gt;"",UPPER(TRIM(H762)),IFERROR(CHOOSE(VALUE(E762)+1,"A","B","C","D"),IF(OR(LEFT(UPPER(TRIM(E762)),1)="F",UPPER(TRIM(E762))="A"),"A",IF(OR(LEFT(UPPER(TRIM(E762)),1)="M",UPPER(TRIM(E762))="B"),"B",IF(OR(LEFT(UPPER(TRIM(E762)),2)="SL",UPPER(TRIM(E762))="C"),"C",IF(OR(LEFT(UPPER(TRIM(E762)),1)="D",UPPER(TRIM(E762))="D"),"D","")))))))</f>
        <v/>
      </c>
      <c r="J762" s="27" t="str">
        <f aca="false">IF(I762="","",IF(AND(I762="D",Settings!$B$6&lt;&gt;"Yes"),"",IFERROR(INDEX(Settings!$C$9:$C$12,MATCH(I762,Settings!$A$9:$A$12,0)),"")))</f>
        <v/>
      </c>
      <c r="K762" s="27" t="str">
        <f aca="false">IF(J762="","",COUNTIF($I$2:I762,I762))</f>
        <v/>
      </c>
      <c r="L762" s="27" t="str">
        <f aca="false">IF(J762="","",CHOOSE(Q762+1,"Tue","Wed","Thu","Fri"))</f>
        <v/>
      </c>
      <c r="M762" s="27" t="str">
        <f aca="false">IF(J762="","",IF(J762=1,"Every week",R762+1&amp;" of "&amp;J762))</f>
        <v/>
      </c>
      <c r="N762" s="28" t="str">
        <f aca="false">IF(J762="","",Settings!$B$4+R762*7+Q762)</f>
        <v/>
      </c>
      <c r="O762" s="28" t="str">
        <f aca="true">IF(J762="","",N762+MAX(0,ROUNDUP((TODAY()-N762)/(J762*7),0))*J762*7)</f>
        <v/>
      </c>
      <c r="P762" s="27" t="str">
        <f aca="false">IF(J762="","",MOD(K762-1,J762*4))</f>
        <v/>
      </c>
      <c r="Q762" s="27" t="str">
        <f aca="false">IF(J762="","",MOD(P762,4))</f>
        <v/>
      </c>
      <c r="R762" s="27" t="str">
        <f aca="false">IF(J762="","",INT(P762/4))</f>
        <v/>
      </c>
      <c r="S762" s="27" t="str">
        <f aca="false">IF(J762="","",IF(AND('Daily Count Sheet'!$H$3=Q762,MOD('Daily Count Sheet'!$I$3,J762)=R762),1,""))</f>
        <v/>
      </c>
      <c r="T762" s="27" t="str">
        <f aca="false">IF(S762=1,COUNTIF($S$2:S762,1),"")</f>
        <v/>
      </c>
    </row>
    <row r="763" customFormat="false" ht="15" hidden="false" customHeight="false" outlineLevel="0" collapsed="false">
      <c r="H763" s="26"/>
      <c r="I763" s="27" t="str">
        <f aca="false">IF(A763="","",IF(H763&lt;&gt;"",UPPER(TRIM(H763)),IFERROR(CHOOSE(VALUE(E763)+1,"A","B","C","D"),IF(OR(LEFT(UPPER(TRIM(E763)),1)="F",UPPER(TRIM(E763))="A"),"A",IF(OR(LEFT(UPPER(TRIM(E763)),1)="M",UPPER(TRIM(E763))="B"),"B",IF(OR(LEFT(UPPER(TRIM(E763)),2)="SL",UPPER(TRIM(E763))="C"),"C",IF(OR(LEFT(UPPER(TRIM(E763)),1)="D",UPPER(TRIM(E763))="D"),"D","")))))))</f>
        <v/>
      </c>
      <c r="J763" s="27" t="str">
        <f aca="false">IF(I763="","",IF(AND(I763="D",Settings!$B$6&lt;&gt;"Yes"),"",IFERROR(INDEX(Settings!$C$9:$C$12,MATCH(I763,Settings!$A$9:$A$12,0)),"")))</f>
        <v/>
      </c>
      <c r="K763" s="27" t="str">
        <f aca="false">IF(J763="","",COUNTIF($I$2:I763,I763))</f>
        <v/>
      </c>
      <c r="L763" s="27" t="str">
        <f aca="false">IF(J763="","",CHOOSE(Q763+1,"Tue","Wed","Thu","Fri"))</f>
        <v/>
      </c>
      <c r="M763" s="27" t="str">
        <f aca="false">IF(J763="","",IF(J763=1,"Every week",R763+1&amp;" of "&amp;J763))</f>
        <v/>
      </c>
      <c r="N763" s="28" t="str">
        <f aca="false">IF(J763="","",Settings!$B$4+R763*7+Q763)</f>
        <v/>
      </c>
      <c r="O763" s="28" t="str">
        <f aca="true">IF(J763="","",N763+MAX(0,ROUNDUP((TODAY()-N763)/(J763*7),0))*J763*7)</f>
        <v/>
      </c>
      <c r="P763" s="27" t="str">
        <f aca="false">IF(J763="","",MOD(K763-1,J763*4))</f>
        <v/>
      </c>
      <c r="Q763" s="27" t="str">
        <f aca="false">IF(J763="","",MOD(P763,4))</f>
        <v/>
      </c>
      <c r="R763" s="27" t="str">
        <f aca="false">IF(J763="","",INT(P763/4))</f>
        <v/>
      </c>
      <c r="S763" s="27" t="str">
        <f aca="false">IF(J763="","",IF(AND('Daily Count Sheet'!$H$3=Q763,MOD('Daily Count Sheet'!$I$3,J763)=R763),1,""))</f>
        <v/>
      </c>
      <c r="T763" s="27" t="str">
        <f aca="false">IF(S763=1,COUNTIF($S$2:S763,1),"")</f>
        <v/>
      </c>
    </row>
    <row r="764" customFormat="false" ht="15" hidden="false" customHeight="false" outlineLevel="0" collapsed="false">
      <c r="H764" s="26"/>
      <c r="I764" s="27" t="str">
        <f aca="false">IF(A764="","",IF(H764&lt;&gt;"",UPPER(TRIM(H764)),IFERROR(CHOOSE(VALUE(E764)+1,"A","B","C","D"),IF(OR(LEFT(UPPER(TRIM(E764)),1)="F",UPPER(TRIM(E764))="A"),"A",IF(OR(LEFT(UPPER(TRIM(E764)),1)="M",UPPER(TRIM(E764))="B"),"B",IF(OR(LEFT(UPPER(TRIM(E764)),2)="SL",UPPER(TRIM(E764))="C"),"C",IF(OR(LEFT(UPPER(TRIM(E764)),1)="D",UPPER(TRIM(E764))="D"),"D","")))))))</f>
        <v/>
      </c>
      <c r="J764" s="27" t="str">
        <f aca="false">IF(I764="","",IF(AND(I764="D",Settings!$B$6&lt;&gt;"Yes"),"",IFERROR(INDEX(Settings!$C$9:$C$12,MATCH(I764,Settings!$A$9:$A$12,0)),"")))</f>
        <v/>
      </c>
      <c r="K764" s="27" t="str">
        <f aca="false">IF(J764="","",COUNTIF($I$2:I764,I764))</f>
        <v/>
      </c>
      <c r="L764" s="27" t="str">
        <f aca="false">IF(J764="","",CHOOSE(Q764+1,"Tue","Wed","Thu","Fri"))</f>
        <v/>
      </c>
      <c r="M764" s="27" t="str">
        <f aca="false">IF(J764="","",IF(J764=1,"Every week",R764+1&amp;" of "&amp;J764))</f>
        <v/>
      </c>
      <c r="N764" s="28" t="str">
        <f aca="false">IF(J764="","",Settings!$B$4+R764*7+Q764)</f>
        <v/>
      </c>
      <c r="O764" s="28" t="str">
        <f aca="true">IF(J764="","",N764+MAX(0,ROUNDUP((TODAY()-N764)/(J764*7),0))*J764*7)</f>
        <v/>
      </c>
      <c r="P764" s="27" t="str">
        <f aca="false">IF(J764="","",MOD(K764-1,J764*4))</f>
        <v/>
      </c>
      <c r="Q764" s="27" t="str">
        <f aca="false">IF(J764="","",MOD(P764,4))</f>
        <v/>
      </c>
      <c r="R764" s="27" t="str">
        <f aca="false">IF(J764="","",INT(P764/4))</f>
        <v/>
      </c>
      <c r="S764" s="27" t="str">
        <f aca="false">IF(J764="","",IF(AND('Daily Count Sheet'!$H$3=Q764,MOD('Daily Count Sheet'!$I$3,J764)=R764),1,""))</f>
        <v/>
      </c>
      <c r="T764" s="27" t="str">
        <f aca="false">IF(S764=1,COUNTIF($S$2:S764,1),"")</f>
        <v/>
      </c>
    </row>
    <row r="765" customFormat="false" ht="15" hidden="false" customHeight="false" outlineLevel="0" collapsed="false">
      <c r="H765" s="26"/>
      <c r="I765" s="27" t="str">
        <f aca="false">IF(A765="","",IF(H765&lt;&gt;"",UPPER(TRIM(H765)),IFERROR(CHOOSE(VALUE(E765)+1,"A","B","C","D"),IF(OR(LEFT(UPPER(TRIM(E765)),1)="F",UPPER(TRIM(E765))="A"),"A",IF(OR(LEFT(UPPER(TRIM(E765)),1)="M",UPPER(TRIM(E765))="B"),"B",IF(OR(LEFT(UPPER(TRIM(E765)),2)="SL",UPPER(TRIM(E765))="C"),"C",IF(OR(LEFT(UPPER(TRIM(E765)),1)="D",UPPER(TRIM(E765))="D"),"D","")))))))</f>
        <v/>
      </c>
      <c r="J765" s="27" t="str">
        <f aca="false">IF(I765="","",IF(AND(I765="D",Settings!$B$6&lt;&gt;"Yes"),"",IFERROR(INDEX(Settings!$C$9:$C$12,MATCH(I765,Settings!$A$9:$A$12,0)),"")))</f>
        <v/>
      </c>
      <c r="K765" s="27" t="str">
        <f aca="false">IF(J765="","",COUNTIF($I$2:I765,I765))</f>
        <v/>
      </c>
      <c r="L765" s="27" t="str">
        <f aca="false">IF(J765="","",CHOOSE(Q765+1,"Tue","Wed","Thu","Fri"))</f>
        <v/>
      </c>
      <c r="M765" s="27" t="str">
        <f aca="false">IF(J765="","",IF(J765=1,"Every week",R765+1&amp;" of "&amp;J765))</f>
        <v/>
      </c>
      <c r="N765" s="28" t="str">
        <f aca="false">IF(J765="","",Settings!$B$4+R765*7+Q765)</f>
        <v/>
      </c>
      <c r="O765" s="28" t="str">
        <f aca="true">IF(J765="","",N765+MAX(0,ROUNDUP((TODAY()-N765)/(J765*7),0))*J765*7)</f>
        <v/>
      </c>
      <c r="P765" s="27" t="str">
        <f aca="false">IF(J765="","",MOD(K765-1,J765*4))</f>
        <v/>
      </c>
      <c r="Q765" s="27" t="str">
        <f aca="false">IF(J765="","",MOD(P765,4))</f>
        <v/>
      </c>
      <c r="R765" s="27" t="str">
        <f aca="false">IF(J765="","",INT(P765/4))</f>
        <v/>
      </c>
      <c r="S765" s="27" t="str">
        <f aca="false">IF(J765="","",IF(AND('Daily Count Sheet'!$H$3=Q765,MOD('Daily Count Sheet'!$I$3,J765)=R765),1,""))</f>
        <v/>
      </c>
      <c r="T765" s="27" t="str">
        <f aca="false">IF(S765=1,COUNTIF($S$2:S765,1),"")</f>
        <v/>
      </c>
    </row>
    <row r="766" customFormat="false" ht="15" hidden="false" customHeight="false" outlineLevel="0" collapsed="false">
      <c r="H766" s="26"/>
      <c r="I766" s="27" t="str">
        <f aca="false">IF(A766="","",IF(H766&lt;&gt;"",UPPER(TRIM(H766)),IFERROR(CHOOSE(VALUE(E766)+1,"A","B","C","D"),IF(OR(LEFT(UPPER(TRIM(E766)),1)="F",UPPER(TRIM(E766))="A"),"A",IF(OR(LEFT(UPPER(TRIM(E766)),1)="M",UPPER(TRIM(E766))="B"),"B",IF(OR(LEFT(UPPER(TRIM(E766)),2)="SL",UPPER(TRIM(E766))="C"),"C",IF(OR(LEFT(UPPER(TRIM(E766)),1)="D",UPPER(TRIM(E766))="D"),"D","")))))))</f>
        <v/>
      </c>
      <c r="J766" s="27" t="str">
        <f aca="false">IF(I766="","",IF(AND(I766="D",Settings!$B$6&lt;&gt;"Yes"),"",IFERROR(INDEX(Settings!$C$9:$C$12,MATCH(I766,Settings!$A$9:$A$12,0)),"")))</f>
        <v/>
      </c>
      <c r="K766" s="27" t="str">
        <f aca="false">IF(J766="","",COUNTIF($I$2:I766,I766))</f>
        <v/>
      </c>
      <c r="L766" s="27" t="str">
        <f aca="false">IF(J766="","",CHOOSE(Q766+1,"Tue","Wed","Thu","Fri"))</f>
        <v/>
      </c>
      <c r="M766" s="27" t="str">
        <f aca="false">IF(J766="","",IF(J766=1,"Every week",R766+1&amp;" of "&amp;J766))</f>
        <v/>
      </c>
      <c r="N766" s="28" t="str">
        <f aca="false">IF(J766="","",Settings!$B$4+R766*7+Q766)</f>
        <v/>
      </c>
      <c r="O766" s="28" t="str">
        <f aca="true">IF(J766="","",N766+MAX(0,ROUNDUP((TODAY()-N766)/(J766*7),0))*J766*7)</f>
        <v/>
      </c>
      <c r="P766" s="27" t="str">
        <f aca="false">IF(J766="","",MOD(K766-1,J766*4))</f>
        <v/>
      </c>
      <c r="Q766" s="27" t="str">
        <f aca="false">IF(J766="","",MOD(P766,4))</f>
        <v/>
      </c>
      <c r="R766" s="27" t="str">
        <f aca="false">IF(J766="","",INT(P766/4))</f>
        <v/>
      </c>
      <c r="S766" s="27" t="str">
        <f aca="false">IF(J766="","",IF(AND('Daily Count Sheet'!$H$3=Q766,MOD('Daily Count Sheet'!$I$3,J766)=R766),1,""))</f>
        <v/>
      </c>
      <c r="T766" s="27" t="str">
        <f aca="false">IF(S766=1,COUNTIF($S$2:S766,1),"")</f>
        <v/>
      </c>
    </row>
    <row r="767" customFormat="false" ht="15" hidden="false" customHeight="false" outlineLevel="0" collapsed="false">
      <c r="H767" s="26"/>
      <c r="I767" s="27" t="str">
        <f aca="false">IF(A767="","",IF(H767&lt;&gt;"",UPPER(TRIM(H767)),IFERROR(CHOOSE(VALUE(E767)+1,"A","B","C","D"),IF(OR(LEFT(UPPER(TRIM(E767)),1)="F",UPPER(TRIM(E767))="A"),"A",IF(OR(LEFT(UPPER(TRIM(E767)),1)="M",UPPER(TRIM(E767))="B"),"B",IF(OR(LEFT(UPPER(TRIM(E767)),2)="SL",UPPER(TRIM(E767))="C"),"C",IF(OR(LEFT(UPPER(TRIM(E767)),1)="D",UPPER(TRIM(E767))="D"),"D","")))))))</f>
        <v/>
      </c>
      <c r="J767" s="27" t="str">
        <f aca="false">IF(I767="","",IF(AND(I767="D",Settings!$B$6&lt;&gt;"Yes"),"",IFERROR(INDEX(Settings!$C$9:$C$12,MATCH(I767,Settings!$A$9:$A$12,0)),"")))</f>
        <v/>
      </c>
      <c r="K767" s="27" t="str">
        <f aca="false">IF(J767="","",COUNTIF($I$2:I767,I767))</f>
        <v/>
      </c>
      <c r="L767" s="27" t="str">
        <f aca="false">IF(J767="","",CHOOSE(Q767+1,"Tue","Wed","Thu","Fri"))</f>
        <v/>
      </c>
      <c r="M767" s="27" t="str">
        <f aca="false">IF(J767="","",IF(J767=1,"Every week",R767+1&amp;" of "&amp;J767))</f>
        <v/>
      </c>
      <c r="N767" s="28" t="str">
        <f aca="false">IF(J767="","",Settings!$B$4+R767*7+Q767)</f>
        <v/>
      </c>
      <c r="O767" s="28" t="str">
        <f aca="true">IF(J767="","",N767+MAX(0,ROUNDUP((TODAY()-N767)/(J767*7),0))*J767*7)</f>
        <v/>
      </c>
      <c r="P767" s="27" t="str">
        <f aca="false">IF(J767="","",MOD(K767-1,J767*4))</f>
        <v/>
      </c>
      <c r="Q767" s="27" t="str">
        <f aca="false">IF(J767="","",MOD(P767,4))</f>
        <v/>
      </c>
      <c r="R767" s="27" t="str">
        <f aca="false">IF(J767="","",INT(P767/4))</f>
        <v/>
      </c>
      <c r="S767" s="27" t="str">
        <f aca="false">IF(J767="","",IF(AND('Daily Count Sheet'!$H$3=Q767,MOD('Daily Count Sheet'!$I$3,J767)=R767),1,""))</f>
        <v/>
      </c>
      <c r="T767" s="27" t="str">
        <f aca="false">IF(S767=1,COUNTIF($S$2:S767,1),"")</f>
        <v/>
      </c>
    </row>
    <row r="768" customFormat="false" ht="15" hidden="false" customHeight="false" outlineLevel="0" collapsed="false">
      <c r="H768" s="26"/>
      <c r="I768" s="27" t="str">
        <f aca="false">IF(A768="","",IF(H768&lt;&gt;"",UPPER(TRIM(H768)),IFERROR(CHOOSE(VALUE(E768)+1,"A","B","C","D"),IF(OR(LEFT(UPPER(TRIM(E768)),1)="F",UPPER(TRIM(E768))="A"),"A",IF(OR(LEFT(UPPER(TRIM(E768)),1)="M",UPPER(TRIM(E768))="B"),"B",IF(OR(LEFT(UPPER(TRIM(E768)),2)="SL",UPPER(TRIM(E768))="C"),"C",IF(OR(LEFT(UPPER(TRIM(E768)),1)="D",UPPER(TRIM(E768))="D"),"D","")))))))</f>
        <v/>
      </c>
      <c r="J768" s="27" t="str">
        <f aca="false">IF(I768="","",IF(AND(I768="D",Settings!$B$6&lt;&gt;"Yes"),"",IFERROR(INDEX(Settings!$C$9:$C$12,MATCH(I768,Settings!$A$9:$A$12,0)),"")))</f>
        <v/>
      </c>
      <c r="K768" s="27" t="str">
        <f aca="false">IF(J768="","",COUNTIF($I$2:I768,I768))</f>
        <v/>
      </c>
      <c r="L768" s="27" t="str">
        <f aca="false">IF(J768="","",CHOOSE(Q768+1,"Tue","Wed","Thu","Fri"))</f>
        <v/>
      </c>
      <c r="M768" s="27" t="str">
        <f aca="false">IF(J768="","",IF(J768=1,"Every week",R768+1&amp;" of "&amp;J768))</f>
        <v/>
      </c>
      <c r="N768" s="28" t="str">
        <f aca="false">IF(J768="","",Settings!$B$4+R768*7+Q768)</f>
        <v/>
      </c>
      <c r="O768" s="28" t="str">
        <f aca="true">IF(J768="","",N768+MAX(0,ROUNDUP((TODAY()-N768)/(J768*7),0))*J768*7)</f>
        <v/>
      </c>
      <c r="P768" s="27" t="str">
        <f aca="false">IF(J768="","",MOD(K768-1,J768*4))</f>
        <v/>
      </c>
      <c r="Q768" s="27" t="str">
        <f aca="false">IF(J768="","",MOD(P768,4))</f>
        <v/>
      </c>
      <c r="R768" s="27" t="str">
        <f aca="false">IF(J768="","",INT(P768/4))</f>
        <v/>
      </c>
      <c r="S768" s="27" t="str">
        <f aca="false">IF(J768="","",IF(AND('Daily Count Sheet'!$H$3=Q768,MOD('Daily Count Sheet'!$I$3,J768)=R768),1,""))</f>
        <v/>
      </c>
      <c r="T768" s="27" t="str">
        <f aca="false">IF(S768=1,COUNTIF($S$2:S768,1),"")</f>
        <v/>
      </c>
    </row>
    <row r="769" customFormat="false" ht="15" hidden="false" customHeight="false" outlineLevel="0" collapsed="false">
      <c r="H769" s="26"/>
      <c r="I769" s="27" t="str">
        <f aca="false">IF(A769="","",IF(H769&lt;&gt;"",UPPER(TRIM(H769)),IFERROR(CHOOSE(VALUE(E769)+1,"A","B","C","D"),IF(OR(LEFT(UPPER(TRIM(E769)),1)="F",UPPER(TRIM(E769))="A"),"A",IF(OR(LEFT(UPPER(TRIM(E769)),1)="M",UPPER(TRIM(E769))="B"),"B",IF(OR(LEFT(UPPER(TRIM(E769)),2)="SL",UPPER(TRIM(E769))="C"),"C",IF(OR(LEFT(UPPER(TRIM(E769)),1)="D",UPPER(TRIM(E769))="D"),"D","")))))))</f>
        <v/>
      </c>
      <c r="J769" s="27" t="str">
        <f aca="false">IF(I769="","",IF(AND(I769="D",Settings!$B$6&lt;&gt;"Yes"),"",IFERROR(INDEX(Settings!$C$9:$C$12,MATCH(I769,Settings!$A$9:$A$12,0)),"")))</f>
        <v/>
      </c>
      <c r="K769" s="27" t="str">
        <f aca="false">IF(J769="","",COUNTIF($I$2:I769,I769))</f>
        <v/>
      </c>
      <c r="L769" s="27" t="str">
        <f aca="false">IF(J769="","",CHOOSE(Q769+1,"Tue","Wed","Thu","Fri"))</f>
        <v/>
      </c>
      <c r="M769" s="27" t="str">
        <f aca="false">IF(J769="","",IF(J769=1,"Every week",R769+1&amp;" of "&amp;J769))</f>
        <v/>
      </c>
      <c r="N769" s="28" t="str">
        <f aca="false">IF(J769="","",Settings!$B$4+R769*7+Q769)</f>
        <v/>
      </c>
      <c r="O769" s="28" t="str">
        <f aca="true">IF(J769="","",N769+MAX(0,ROUNDUP((TODAY()-N769)/(J769*7),0))*J769*7)</f>
        <v/>
      </c>
      <c r="P769" s="27" t="str">
        <f aca="false">IF(J769="","",MOD(K769-1,J769*4))</f>
        <v/>
      </c>
      <c r="Q769" s="27" t="str">
        <f aca="false">IF(J769="","",MOD(P769,4))</f>
        <v/>
      </c>
      <c r="R769" s="27" t="str">
        <f aca="false">IF(J769="","",INT(P769/4))</f>
        <v/>
      </c>
      <c r="S769" s="27" t="str">
        <f aca="false">IF(J769="","",IF(AND('Daily Count Sheet'!$H$3=Q769,MOD('Daily Count Sheet'!$I$3,J769)=R769),1,""))</f>
        <v/>
      </c>
      <c r="T769" s="27" t="str">
        <f aca="false">IF(S769=1,COUNTIF($S$2:S769,1),"")</f>
        <v/>
      </c>
    </row>
    <row r="770" customFormat="false" ht="15" hidden="false" customHeight="false" outlineLevel="0" collapsed="false">
      <c r="H770" s="26"/>
      <c r="I770" s="27" t="str">
        <f aca="false">IF(A770="","",IF(H770&lt;&gt;"",UPPER(TRIM(H770)),IFERROR(CHOOSE(VALUE(E770)+1,"A","B","C","D"),IF(OR(LEFT(UPPER(TRIM(E770)),1)="F",UPPER(TRIM(E770))="A"),"A",IF(OR(LEFT(UPPER(TRIM(E770)),1)="M",UPPER(TRIM(E770))="B"),"B",IF(OR(LEFT(UPPER(TRIM(E770)),2)="SL",UPPER(TRIM(E770))="C"),"C",IF(OR(LEFT(UPPER(TRIM(E770)),1)="D",UPPER(TRIM(E770))="D"),"D","")))))))</f>
        <v/>
      </c>
      <c r="J770" s="27" t="str">
        <f aca="false">IF(I770="","",IF(AND(I770="D",Settings!$B$6&lt;&gt;"Yes"),"",IFERROR(INDEX(Settings!$C$9:$C$12,MATCH(I770,Settings!$A$9:$A$12,0)),"")))</f>
        <v/>
      </c>
      <c r="K770" s="27" t="str">
        <f aca="false">IF(J770="","",COUNTIF($I$2:I770,I770))</f>
        <v/>
      </c>
      <c r="L770" s="27" t="str">
        <f aca="false">IF(J770="","",CHOOSE(Q770+1,"Tue","Wed","Thu","Fri"))</f>
        <v/>
      </c>
      <c r="M770" s="27" t="str">
        <f aca="false">IF(J770="","",IF(J770=1,"Every week",R770+1&amp;" of "&amp;J770))</f>
        <v/>
      </c>
      <c r="N770" s="28" t="str">
        <f aca="false">IF(J770="","",Settings!$B$4+R770*7+Q770)</f>
        <v/>
      </c>
      <c r="O770" s="28" t="str">
        <f aca="true">IF(J770="","",N770+MAX(0,ROUNDUP((TODAY()-N770)/(J770*7),0))*J770*7)</f>
        <v/>
      </c>
      <c r="P770" s="27" t="str">
        <f aca="false">IF(J770="","",MOD(K770-1,J770*4))</f>
        <v/>
      </c>
      <c r="Q770" s="27" t="str">
        <f aca="false">IF(J770="","",MOD(P770,4))</f>
        <v/>
      </c>
      <c r="R770" s="27" t="str">
        <f aca="false">IF(J770="","",INT(P770/4))</f>
        <v/>
      </c>
      <c r="S770" s="27" t="str">
        <f aca="false">IF(J770="","",IF(AND('Daily Count Sheet'!$H$3=Q770,MOD('Daily Count Sheet'!$I$3,J770)=R770),1,""))</f>
        <v/>
      </c>
      <c r="T770" s="27" t="str">
        <f aca="false">IF(S770=1,COUNTIF($S$2:S770,1),"")</f>
        <v/>
      </c>
    </row>
    <row r="771" customFormat="false" ht="15" hidden="false" customHeight="false" outlineLevel="0" collapsed="false">
      <c r="H771" s="26"/>
      <c r="I771" s="27" t="str">
        <f aca="false">IF(A771="","",IF(H771&lt;&gt;"",UPPER(TRIM(H771)),IFERROR(CHOOSE(VALUE(E771)+1,"A","B","C","D"),IF(OR(LEFT(UPPER(TRIM(E771)),1)="F",UPPER(TRIM(E771))="A"),"A",IF(OR(LEFT(UPPER(TRIM(E771)),1)="M",UPPER(TRIM(E771))="B"),"B",IF(OR(LEFT(UPPER(TRIM(E771)),2)="SL",UPPER(TRIM(E771))="C"),"C",IF(OR(LEFT(UPPER(TRIM(E771)),1)="D",UPPER(TRIM(E771))="D"),"D","")))))))</f>
        <v/>
      </c>
      <c r="J771" s="27" t="str">
        <f aca="false">IF(I771="","",IF(AND(I771="D",Settings!$B$6&lt;&gt;"Yes"),"",IFERROR(INDEX(Settings!$C$9:$C$12,MATCH(I771,Settings!$A$9:$A$12,0)),"")))</f>
        <v/>
      </c>
      <c r="K771" s="27" t="str">
        <f aca="false">IF(J771="","",COUNTIF($I$2:I771,I771))</f>
        <v/>
      </c>
      <c r="L771" s="27" t="str">
        <f aca="false">IF(J771="","",CHOOSE(Q771+1,"Tue","Wed","Thu","Fri"))</f>
        <v/>
      </c>
      <c r="M771" s="27" t="str">
        <f aca="false">IF(J771="","",IF(J771=1,"Every week",R771+1&amp;" of "&amp;J771))</f>
        <v/>
      </c>
      <c r="N771" s="28" t="str">
        <f aca="false">IF(J771="","",Settings!$B$4+R771*7+Q771)</f>
        <v/>
      </c>
      <c r="O771" s="28" t="str">
        <f aca="true">IF(J771="","",N771+MAX(0,ROUNDUP((TODAY()-N771)/(J771*7),0))*J771*7)</f>
        <v/>
      </c>
      <c r="P771" s="27" t="str">
        <f aca="false">IF(J771="","",MOD(K771-1,J771*4))</f>
        <v/>
      </c>
      <c r="Q771" s="27" t="str">
        <f aca="false">IF(J771="","",MOD(P771,4))</f>
        <v/>
      </c>
      <c r="R771" s="27" t="str">
        <f aca="false">IF(J771="","",INT(P771/4))</f>
        <v/>
      </c>
      <c r="S771" s="27" t="str">
        <f aca="false">IF(J771="","",IF(AND('Daily Count Sheet'!$H$3=Q771,MOD('Daily Count Sheet'!$I$3,J771)=R771),1,""))</f>
        <v/>
      </c>
      <c r="T771" s="27" t="str">
        <f aca="false">IF(S771=1,COUNTIF($S$2:S771,1),"")</f>
        <v/>
      </c>
    </row>
    <row r="772" customFormat="false" ht="15" hidden="false" customHeight="false" outlineLevel="0" collapsed="false">
      <c r="H772" s="26"/>
      <c r="I772" s="27" t="str">
        <f aca="false">IF(A772="","",IF(H772&lt;&gt;"",UPPER(TRIM(H772)),IFERROR(CHOOSE(VALUE(E772)+1,"A","B","C","D"),IF(OR(LEFT(UPPER(TRIM(E772)),1)="F",UPPER(TRIM(E772))="A"),"A",IF(OR(LEFT(UPPER(TRIM(E772)),1)="M",UPPER(TRIM(E772))="B"),"B",IF(OR(LEFT(UPPER(TRIM(E772)),2)="SL",UPPER(TRIM(E772))="C"),"C",IF(OR(LEFT(UPPER(TRIM(E772)),1)="D",UPPER(TRIM(E772))="D"),"D","")))))))</f>
        <v/>
      </c>
      <c r="J772" s="27" t="str">
        <f aca="false">IF(I772="","",IF(AND(I772="D",Settings!$B$6&lt;&gt;"Yes"),"",IFERROR(INDEX(Settings!$C$9:$C$12,MATCH(I772,Settings!$A$9:$A$12,0)),"")))</f>
        <v/>
      </c>
      <c r="K772" s="27" t="str">
        <f aca="false">IF(J772="","",COUNTIF($I$2:I772,I772))</f>
        <v/>
      </c>
      <c r="L772" s="27" t="str">
        <f aca="false">IF(J772="","",CHOOSE(Q772+1,"Tue","Wed","Thu","Fri"))</f>
        <v/>
      </c>
      <c r="M772" s="27" t="str">
        <f aca="false">IF(J772="","",IF(J772=1,"Every week",R772+1&amp;" of "&amp;J772))</f>
        <v/>
      </c>
      <c r="N772" s="28" t="str">
        <f aca="false">IF(J772="","",Settings!$B$4+R772*7+Q772)</f>
        <v/>
      </c>
      <c r="O772" s="28" t="str">
        <f aca="true">IF(J772="","",N772+MAX(0,ROUNDUP((TODAY()-N772)/(J772*7),0))*J772*7)</f>
        <v/>
      </c>
      <c r="P772" s="27" t="str">
        <f aca="false">IF(J772="","",MOD(K772-1,J772*4))</f>
        <v/>
      </c>
      <c r="Q772" s="27" t="str">
        <f aca="false">IF(J772="","",MOD(P772,4))</f>
        <v/>
      </c>
      <c r="R772" s="27" t="str">
        <f aca="false">IF(J772="","",INT(P772/4))</f>
        <v/>
      </c>
      <c r="S772" s="27" t="str">
        <f aca="false">IF(J772="","",IF(AND('Daily Count Sheet'!$H$3=Q772,MOD('Daily Count Sheet'!$I$3,J772)=R772),1,""))</f>
        <v/>
      </c>
      <c r="T772" s="27" t="str">
        <f aca="false">IF(S772=1,COUNTIF($S$2:S772,1),"")</f>
        <v/>
      </c>
    </row>
    <row r="773" customFormat="false" ht="15" hidden="false" customHeight="false" outlineLevel="0" collapsed="false">
      <c r="H773" s="26"/>
      <c r="I773" s="27" t="str">
        <f aca="false">IF(A773="","",IF(H773&lt;&gt;"",UPPER(TRIM(H773)),IFERROR(CHOOSE(VALUE(E773)+1,"A","B","C","D"),IF(OR(LEFT(UPPER(TRIM(E773)),1)="F",UPPER(TRIM(E773))="A"),"A",IF(OR(LEFT(UPPER(TRIM(E773)),1)="M",UPPER(TRIM(E773))="B"),"B",IF(OR(LEFT(UPPER(TRIM(E773)),2)="SL",UPPER(TRIM(E773))="C"),"C",IF(OR(LEFT(UPPER(TRIM(E773)),1)="D",UPPER(TRIM(E773))="D"),"D","")))))))</f>
        <v/>
      </c>
      <c r="J773" s="27" t="str">
        <f aca="false">IF(I773="","",IF(AND(I773="D",Settings!$B$6&lt;&gt;"Yes"),"",IFERROR(INDEX(Settings!$C$9:$C$12,MATCH(I773,Settings!$A$9:$A$12,0)),"")))</f>
        <v/>
      </c>
      <c r="K773" s="27" t="str">
        <f aca="false">IF(J773="","",COUNTIF($I$2:I773,I773))</f>
        <v/>
      </c>
      <c r="L773" s="27" t="str">
        <f aca="false">IF(J773="","",CHOOSE(Q773+1,"Tue","Wed","Thu","Fri"))</f>
        <v/>
      </c>
      <c r="M773" s="27" t="str">
        <f aca="false">IF(J773="","",IF(J773=1,"Every week",R773+1&amp;" of "&amp;J773))</f>
        <v/>
      </c>
      <c r="N773" s="28" t="str">
        <f aca="false">IF(J773="","",Settings!$B$4+R773*7+Q773)</f>
        <v/>
      </c>
      <c r="O773" s="28" t="str">
        <f aca="true">IF(J773="","",N773+MAX(0,ROUNDUP((TODAY()-N773)/(J773*7),0))*J773*7)</f>
        <v/>
      </c>
      <c r="P773" s="27" t="str">
        <f aca="false">IF(J773="","",MOD(K773-1,J773*4))</f>
        <v/>
      </c>
      <c r="Q773" s="27" t="str">
        <f aca="false">IF(J773="","",MOD(P773,4))</f>
        <v/>
      </c>
      <c r="R773" s="27" t="str">
        <f aca="false">IF(J773="","",INT(P773/4))</f>
        <v/>
      </c>
      <c r="S773" s="27" t="str">
        <f aca="false">IF(J773="","",IF(AND('Daily Count Sheet'!$H$3=Q773,MOD('Daily Count Sheet'!$I$3,J773)=R773),1,""))</f>
        <v/>
      </c>
      <c r="T773" s="27" t="str">
        <f aca="false">IF(S773=1,COUNTIF($S$2:S773,1),"")</f>
        <v/>
      </c>
    </row>
    <row r="774" customFormat="false" ht="15" hidden="false" customHeight="false" outlineLevel="0" collapsed="false">
      <c r="H774" s="26"/>
      <c r="I774" s="27" t="str">
        <f aca="false">IF(A774="","",IF(H774&lt;&gt;"",UPPER(TRIM(H774)),IFERROR(CHOOSE(VALUE(E774)+1,"A","B","C","D"),IF(OR(LEFT(UPPER(TRIM(E774)),1)="F",UPPER(TRIM(E774))="A"),"A",IF(OR(LEFT(UPPER(TRIM(E774)),1)="M",UPPER(TRIM(E774))="B"),"B",IF(OR(LEFT(UPPER(TRIM(E774)),2)="SL",UPPER(TRIM(E774))="C"),"C",IF(OR(LEFT(UPPER(TRIM(E774)),1)="D",UPPER(TRIM(E774))="D"),"D","")))))))</f>
        <v/>
      </c>
      <c r="J774" s="27" t="str">
        <f aca="false">IF(I774="","",IF(AND(I774="D",Settings!$B$6&lt;&gt;"Yes"),"",IFERROR(INDEX(Settings!$C$9:$C$12,MATCH(I774,Settings!$A$9:$A$12,0)),"")))</f>
        <v/>
      </c>
      <c r="K774" s="27" t="str">
        <f aca="false">IF(J774="","",COUNTIF($I$2:I774,I774))</f>
        <v/>
      </c>
      <c r="L774" s="27" t="str">
        <f aca="false">IF(J774="","",CHOOSE(Q774+1,"Tue","Wed","Thu","Fri"))</f>
        <v/>
      </c>
      <c r="M774" s="27" t="str">
        <f aca="false">IF(J774="","",IF(J774=1,"Every week",R774+1&amp;" of "&amp;J774))</f>
        <v/>
      </c>
      <c r="N774" s="28" t="str">
        <f aca="false">IF(J774="","",Settings!$B$4+R774*7+Q774)</f>
        <v/>
      </c>
      <c r="O774" s="28" t="str">
        <f aca="true">IF(J774="","",N774+MAX(0,ROUNDUP((TODAY()-N774)/(J774*7),0))*J774*7)</f>
        <v/>
      </c>
      <c r="P774" s="27" t="str">
        <f aca="false">IF(J774="","",MOD(K774-1,J774*4))</f>
        <v/>
      </c>
      <c r="Q774" s="27" t="str">
        <f aca="false">IF(J774="","",MOD(P774,4))</f>
        <v/>
      </c>
      <c r="R774" s="27" t="str">
        <f aca="false">IF(J774="","",INT(P774/4))</f>
        <v/>
      </c>
      <c r="S774" s="27" t="str">
        <f aca="false">IF(J774="","",IF(AND('Daily Count Sheet'!$H$3=Q774,MOD('Daily Count Sheet'!$I$3,J774)=R774),1,""))</f>
        <v/>
      </c>
      <c r="T774" s="27" t="str">
        <f aca="false">IF(S774=1,COUNTIF($S$2:S774,1),"")</f>
        <v/>
      </c>
    </row>
    <row r="775" customFormat="false" ht="15" hidden="false" customHeight="false" outlineLevel="0" collapsed="false">
      <c r="H775" s="26"/>
      <c r="I775" s="27" t="str">
        <f aca="false">IF(A775="","",IF(H775&lt;&gt;"",UPPER(TRIM(H775)),IFERROR(CHOOSE(VALUE(E775)+1,"A","B","C","D"),IF(OR(LEFT(UPPER(TRIM(E775)),1)="F",UPPER(TRIM(E775))="A"),"A",IF(OR(LEFT(UPPER(TRIM(E775)),1)="M",UPPER(TRIM(E775))="B"),"B",IF(OR(LEFT(UPPER(TRIM(E775)),2)="SL",UPPER(TRIM(E775))="C"),"C",IF(OR(LEFT(UPPER(TRIM(E775)),1)="D",UPPER(TRIM(E775))="D"),"D","")))))))</f>
        <v/>
      </c>
      <c r="J775" s="27" t="str">
        <f aca="false">IF(I775="","",IF(AND(I775="D",Settings!$B$6&lt;&gt;"Yes"),"",IFERROR(INDEX(Settings!$C$9:$C$12,MATCH(I775,Settings!$A$9:$A$12,0)),"")))</f>
        <v/>
      </c>
      <c r="K775" s="27" t="str">
        <f aca="false">IF(J775="","",COUNTIF($I$2:I775,I775))</f>
        <v/>
      </c>
      <c r="L775" s="27" t="str">
        <f aca="false">IF(J775="","",CHOOSE(Q775+1,"Tue","Wed","Thu","Fri"))</f>
        <v/>
      </c>
      <c r="M775" s="27" t="str">
        <f aca="false">IF(J775="","",IF(J775=1,"Every week",R775+1&amp;" of "&amp;J775))</f>
        <v/>
      </c>
      <c r="N775" s="28" t="str">
        <f aca="false">IF(J775="","",Settings!$B$4+R775*7+Q775)</f>
        <v/>
      </c>
      <c r="O775" s="28" t="str">
        <f aca="true">IF(J775="","",N775+MAX(0,ROUNDUP((TODAY()-N775)/(J775*7),0))*J775*7)</f>
        <v/>
      </c>
      <c r="P775" s="27" t="str">
        <f aca="false">IF(J775="","",MOD(K775-1,J775*4))</f>
        <v/>
      </c>
      <c r="Q775" s="27" t="str">
        <f aca="false">IF(J775="","",MOD(P775,4))</f>
        <v/>
      </c>
      <c r="R775" s="27" t="str">
        <f aca="false">IF(J775="","",INT(P775/4))</f>
        <v/>
      </c>
      <c r="S775" s="27" t="str">
        <f aca="false">IF(J775="","",IF(AND('Daily Count Sheet'!$H$3=Q775,MOD('Daily Count Sheet'!$I$3,J775)=R775),1,""))</f>
        <v/>
      </c>
      <c r="T775" s="27" t="str">
        <f aca="false">IF(S775=1,COUNTIF($S$2:S775,1),"")</f>
        <v/>
      </c>
    </row>
    <row r="776" customFormat="false" ht="15" hidden="false" customHeight="false" outlineLevel="0" collapsed="false">
      <c r="H776" s="26"/>
      <c r="I776" s="27" t="str">
        <f aca="false">IF(A776="","",IF(H776&lt;&gt;"",UPPER(TRIM(H776)),IFERROR(CHOOSE(VALUE(E776)+1,"A","B","C","D"),IF(OR(LEFT(UPPER(TRIM(E776)),1)="F",UPPER(TRIM(E776))="A"),"A",IF(OR(LEFT(UPPER(TRIM(E776)),1)="M",UPPER(TRIM(E776))="B"),"B",IF(OR(LEFT(UPPER(TRIM(E776)),2)="SL",UPPER(TRIM(E776))="C"),"C",IF(OR(LEFT(UPPER(TRIM(E776)),1)="D",UPPER(TRIM(E776))="D"),"D","")))))))</f>
        <v/>
      </c>
      <c r="J776" s="27" t="str">
        <f aca="false">IF(I776="","",IF(AND(I776="D",Settings!$B$6&lt;&gt;"Yes"),"",IFERROR(INDEX(Settings!$C$9:$C$12,MATCH(I776,Settings!$A$9:$A$12,0)),"")))</f>
        <v/>
      </c>
      <c r="K776" s="27" t="str">
        <f aca="false">IF(J776="","",COUNTIF($I$2:I776,I776))</f>
        <v/>
      </c>
      <c r="L776" s="27" t="str">
        <f aca="false">IF(J776="","",CHOOSE(Q776+1,"Tue","Wed","Thu","Fri"))</f>
        <v/>
      </c>
      <c r="M776" s="27" t="str">
        <f aca="false">IF(J776="","",IF(J776=1,"Every week",R776+1&amp;" of "&amp;J776))</f>
        <v/>
      </c>
      <c r="N776" s="28" t="str">
        <f aca="false">IF(J776="","",Settings!$B$4+R776*7+Q776)</f>
        <v/>
      </c>
      <c r="O776" s="28" t="str">
        <f aca="true">IF(J776="","",N776+MAX(0,ROUNDUP((TODAY()-N776)/(J776*7),0))*J776*7)</f>
        <v/>
      </c>
      <c r="P776" s="27" t="str">
        <f aca="false">IF(J776="","",MOD(K776-1,J776*4))</f>
        <v/>
      </c>
      <c r="Q776" s="27" t="str">
        <f aca="false">IF(J776="","",MOD(P776,4))</f>
        <v/>
      </c>
      <c r="R776" s="27" t="str">
        <f aca="false">IF(J776="","",INT(P776/4))</f>
        <v/>
      </c>
      <c r="S776" s="27" t="str">
        <f aca="false">IF(J776="","",IF(AND('Daily Count Sheet'!$H$3=Q776,MOD('Daily Count Sheet'!$I$3,J776)=R776),1,""))</f>
        <v/>
      </c>
      <c r="T776" s="27" t="str">
        <f aca="false">IF(S776=1,COUNTIF($S$2:S776,1),"")</f>
        <v/>
      </c>
    </row>
    <row r="777" customFormat="false" ht="15" hidden="false" customHeight="false" outlineLevel="0" collapsed="false">
      <c r="H777" s="26"/>
      <c r="I777" s="27" t="str">
        <f aca="false">IF(A777="","",IF(H777&lt;&gt;"",UPPER(TRIM(H777)),IFERROR(CHOOSE(VALUE(E777)+1,"A","B","C","D"),IF(OR(LEFT(UPPER(TRIM(E777)),1)="F",UPPER(TRIM(E777))="A"),"A",IF(OR(LEFT(UPPER(TRIM(E777)),1)="M",UPPER(TRIM(E777))="B"),"B",IF(OR(LEFT(UPPER(TRIM(E777)),2)="SL",UPPER(TRIM(E777))="C"),"C",IF(OR(LEFT(UPPER(TRIM(E777)),1)="D",UPPER(TRIM(E777))="D"),"D","")))))))</f>
        <v/>
      </c>
      <c r="J777" s="27" t="str">
        <f aca="false">IF(I777="","",IF(AND(I777="D",Settings!$B$6&lt;&gt;"Yes"),"",IFERROR(INDEX(Settings!$C$9:$C$12,MATCH(I777,Settings!$A$9:$A$12,0)),"")))</f>
        <v/>
      </c>
      <c r="K777" s="27" t="str">
        <f aca="false">IF(J777="","",COUNTIF($I$2:I777,I777))</f>
        <v/>
      </c>
      <c r="L777" s="27" t="str">
        <f aca="false">IF(J777="","",CHOOSE(Q777+1,"Tue","Wed","Thu","Fri"))</f>
        <v/>
      </c>
      <c r="M777" s="27" t="str">
        <f aca="false">IF(J777="","",IF(J777=1,"Every week",R777+1&amp;" of "&amp;J777))</f>
        <v/>
      </c>
      <c r="N777" s="28" t="str">
        <f aca="false">IF(J777="","",Settings!$B$4+R777*7+Q777)</f>
        <v/>
      </c>
      <c r="O777" s="28" t="str">
        <f aca="true">IF(J777="","",N777+MAX(0,ROUNDUP((TODAY()-N777)/(J777*7),0))*J777*7)</f>
        <v/>
      </c>
      <c r="P777" s="27" t="str">
        <f aca="false">IF(J777="","",MOD(K777-1,J777*4))</f>
        <v/>
      </c>
      <c r="Q777" s="27" t="str">
        <f aca="false">IF(J777="","",MOD(P777,4))</f>
        <v/>
      </c>
      <c r="R777" s="27" t="str">
        <f aca="false">IF(J777="","",INT(P777/4))</f>
        <v/>
      </c>
      <c r="S777" s="27" t="str">
        <f aca="false">IF(J777="","",IF(AND('Daily Count Sheet'!$H$3=Q777,MOD('Daily Count Sheet'!$I$3,J777)=R777),1,""))</f>
        <v/>
      </c>
      <c r="T777" s="27" t="str">
        <f aca="false">IF(S777=1,COUNTIF($S$2:S777,1),"")</f>
        <v/>
      </c>
    </row>
    <row r="778" customFormat="false" ht="15" hidden="false" customHeight="false" outlineLevel="0" collapsed="false">
      <c r="H778" s="26"/>
      <c r="I778" s="27" t="str">
        <f aca="false">IF(A778="","",IF(H778&lt;&gt;"",UPPER(TRIM(H778)),IFERROR(CHOOSE(VALUE(E778)+1,"A","B","C","D"),IF(OR(LEFT(UPPER(TRIM(E778)),1)="F",UPPER(TRIM(E778))="A"),"A",IF(OR(LEFT(UPPER(TRIM(E778)),1)="M",UPPER(TRIM(E778))="B"),"B",IF(OR(LEFT(UPPER(TRIM(E778)),2)="SL",UPPER(TRIM(E778))="C"),"C",IF(OR(LEFT(UPPER(TRIM(E778)),1)="D",UPPER(TRIM(E778))="D"),"D","")))))))</f>
        <v/>
      </c>
      <c r="J778" s="27" t="str">
        <f aca="false">IF(I778="","",IF(AND(I778="D",Settings!$B$6&lt;&gt;"Yes"),"",IFERROR(INDEX(Settings!$C$9:$C$12,MATCH(I778,Settings!$A$9:$A$12,0)),"")))</f>
        <v/>
      </c>
      <c r="K778" s="27" t="str">
        <f aca="false">IF(J778="","",COUNTIF($I$2:I778,I778))</f>
        <v/>
      </c>
      <c r="L778" s="27" t="str">
        <f aca="false">IF(J778="","",CHOOSE(Q778+1,"Tue","Wed","Thu","Fri"))</f>
        <v/>
      </c>
      <c r="M778" s="27" t="str">
        <f aca="false">IF(J778="","",IF(J778=1,"Every week",R778+1&amp;" of "&amp;J778))</f>
        <v/>
      </c>
      <c r="N778" s="28" t="str">
        <f aca="false">IF(J778="","",Settings!$B$4+R778*7+Q778)</f>
        <v/>
      </c>
      <c r="O778" s="28" t="str">
        <f aca="true">IF(J778="","",N778+MAX(0,ROUNDUP((TODAY()-N778)/(J778*7),0))*J778*7)</f>
        <v/>
      </c>
      <c r="P778" s="27" t="str">
        <f aca="false">IF(J778="","",MOD(K778-1,J778*4))</f>
        <v/>
      </c>
      <c r="Q778" s="27" t="str">
        <f aca="false">IF(J778="","",MOD(P778,4))</f>
        <v/>
      </c>
      <c r="R778" s="27" t="str">
        <f aca="false">IF(J778="","",INT(P778/4))</f>
        <v/>
      </c>
      <c r="S778" s="27" t="str">
        <f aca="false">IF(J778="","",IF(AND('Daily Count Sheet'!$H$3=Q778,MOD('Daily Count Sheet'!$I$3,J778)=R778),1,""))</f>
        <v/>
      </c>
      <c r="T778" s="27" t="str">
        <f aca="false">IF(S778=1,COUNTIF($S$2:S778,1),"")</f>
        <v/>
      </c>
    </row>
    <row r="779" customFormat="false" ht="15" hidden="false" customHeight="false" outlineLevel="0" collapsed="false">
      <c r="H779" s="26"/>
      <c r="I779" s="27" t="str">
        <f aca="false">IF(A779="","",IF(H779&lt;&gt;"",UPPER(TRIM(H779)),IFERROR(CHOOSE(VALUE(E779)+1,"A","B","C","D"),IF(OR(LEFT(UPPER(TRIM(E779)),1)="F",UPPER(TRIM(E779))="A"),"A",IF(OR(LEFT(UPPER(TRIM(E779)),1)="M",UPPER(TRIM(E779))="B"),"B",IF(OR(LEFT(UPPER(TRIM(E779)),2)="SL",UPPER(TRIM(E779))="C"),"C",IF(OR(LEFT(UPPER(TRIM(E779)),1)="D",UPPER(TRIM(E779))="D"),"D","")))))))</f>
        <v/>
      </c>
      <c r="J779" s="27" t="str">
        <f aca="false">IF(I779="","",IF(AND(I779="D",Settings!$B$6&lt;&gt;"Yes"),"",IFERROR(INDEX(Settings!$C$9:$C$12,MATCH(I779,Settings!$A$9:$A$12,0)),"")))</f>
        <v/>
      </c>
      <c r="K779" s="27" t="str">
        <f aca="false">IF(J779="","",COUNTIF($I$2:I779,I779))</f>
        <v/>
      </c>
      <c r="L779" s="27" t="str">
        <f aca="false">IF(J779="","",CHOOSE(Q779+1,"Tue","Wed","Thu","Fri"))</f>
        <v/>
      </c>
      <c r="M779" s="27" t="str">
        <f aca="false">IF(J779="","",IF(J779=1,"Every week",R779+1&amp;" of "&amp;J779))</f>
        <v/>
      </c>
      <c r="N779" s="28" t="str">
        <f aca="false">IF(J779="","",Settings!$B$4+R779*7+Q779)</f>
        <v/>
      </c>
      <c r="O779" s="28" t="str">
        <f aca="true">IF(J779="","",N779+MAX(0,ROUNDUP((TODAY()-N779)/(J779*7),0))*J779*7)</f>
        <v/>
      </c>
      <c r="P779" s="27" t="str">
        <f aca="false">IF(J779="","",MOD(K779-1,J779*4))</f>
        <v/>
      </c>
      <c r="Q779" s="27" t="str">
        <f aca="false">IF(J779="","",MOD(P779,4))</f>
        <v/>
      </c>
      <c r="R779" s="27" t="str">
        <f aca="false">IF(J779="","",INT(P779/4))</f>
        <v/>
      </c>
      <c r="S779" s="27" t="str">
        <f aca="false">IF(J779="","",IF(AND('Daily Count Sheet'!$H$3=Q779,MOD('Daily Count Sheet'!$I$3,J779)=R779),1,""))</f>
        <v/>
      </c>
      <c r="T779" s="27" t="str">
        <f aca="false">IF(S779=1,COUNTIF($S$2:S779,1),"")</f>
        <v/>
      </c>
    </row>
    <row r="780" customFormat="false" ht="15" hidden="false" customHeight="false" outlineLevel="0" collapsed="false">
      <c r="H780" s="26"/>
      <c r="I780" s="27" t="str">
        <f aca="false">IF(A780="","",IF(H780&lt;&gt;"",UPPER(TRIM(H780)),IFERROR(CHOOSE(VALUE(E780)+1,"A","B","C","D"),IF(OR(LEFT(UPPER(TRIM(E780)),1)="F",UPPER(TRIM(E780))="A"),"A",IF(OR(LEFT(UPPER(TRIM(E780)),1)="M",UPPER(TRIM(E780))="B"),"B",IF(OR(LEFT(UPPER(TRIM(E780)),2)="SL",UPPER(TRIM(E780))="C"),"C",IF(OR(LEFT(UPPER(TRIM(E780)),1)="D",UPPER(TRIM(E780))="D"),"D","")))))))</f>
        <v/>
      </c>
      <c r="J780" s="27" t="str">
        <f aca="false">IF(I780="","",IF(AND(I780="D",Settings!$B$6&lt;&gt;"Yes"),"",IFERROR(INDEX(Settings!$C$9:$C$12,MATCH(I780,Settings!$A$9:$A$12,0)),"")))</f>
        <v/>
      </c>
      <c r="K780" s="27" t="str">
        <f aca="false">IF(J780="","",COUNTIF($I$2:I780,I780))</f>
        <v/>
      </c>
      <c r="L780" s="27" t="str">
        <f aca="false">IF(J780="","",CHOOSE(Q780+1,"Tue","Wed","Thu","Fri"))</f>
        <v/>
      </c>
      <c r="M780" s="27" t="str">
        <f aca="false">IF(J780="","",IF(J780=1,"Every week",R780+1&amp;" of "&amp;J780))</f>
        <v/>
      </c>
      <c r="N780" s="28" t="str">
        <f aca="false">IF(J780="","",Settings!$B$4+R780*7+Q780)</f>
        <v/>
      </c>
      <c r="O780" s="28" t="str">
        <f aca="true">IF(J780="","",N780+MAX(0,ROUNDUP((TODAY()-N780)/(J780*7),0))*J780*7)</f>
        <v/>
      </c>
      <c r="P780" s="27" t="str">
        <f aca="false">IF(J780="","",MOD(K780-1,J780*4))</f>
        <v/>
      </c>
      <c r="Q780" s="27" t="str">
        <f aca="false">IF(J780="","",MOD(P780,4))</f>
        <v/>
      </c>
      <c r="R780" s="27" t="str">
        <f aca="false">IF(J780="","",INT(P780/4))</f>
        <v/>
      </c>
      <c r="S780" s="27" t="str">
        <f aca="false">IF(J780="","",IF(AND('Daily Count Sheet'!$H$3=Q780,MOD('Daily Count Sheet'!$I$3,J780)=R780),1,""))</f>
        <v/>
      </c>
      <c r="T780" s="27" t="str">
        <f aca="false">IF(S780=1,COUNTIF($S$2:S780,1),"")</f>
        <v/>
      </c>
    </row>
    <row r="781" customFormat="false" ht="15" hidden="false" customHeight="false" outlineLevel="0" collapsed="false">
      <c r="H781" s="26"/>
      <c r="I781" s="27" t="str">
        <f aca="false">IF(A781="","",IF(H781&lt;&gt;"",UPPER(TRIM(H781)),IFERROR(CHOOSE(VALUE(E781)+1,"A","B","C","D"),IF(OR(LEFT(UPPER(TRIM(E781)),1)="F",UPPER(TRIM(E781))="A"),"A",IF(OR(LEFT(UPPER(TRIM(E781)),1)="M",UPPER(TRIM(E781))="B"),"B",IF(OR(LEFT(UPPER(TRIM(E781)),2)="SL",UPPER(TRIM(E781))="C"),"C",IF(OR(LEFT(UPPER(TRIM(E781)),1)="D",UPPER(TRIM(E781))="D"),"D","")))))))</f>
        <v/>
      </c>
      <c r="J781" s="27" t="str">
        <f aca="false">IF(I781="","",IF(AND(I781="D",Settings!$B$6&lt;&gt;"Yes"),"",IFERROR(INDEX(Settings!$C$9:$C$12,MATCH(I781,Settings!$A$9:$A$12,0)),"")))</f>
        <v/>
      </c>
      <c r="K781" s="27" t="str">
        <f aca="false">IF(J781="","",COUNTIF($I$2:I781,I781))</f>
        <v/>
      </c>
      <c r="L781" s="27" t="str">
        <f aca="false">IF(J781="","",CHOOSE(Q781+1,"Tue","Wed","Thu","Fri"))</f>
        <v/>
      </c>
      <c r="M781" s="27" t="str">
        <f aca="false">IF(J781="","",IF(J781=1,"Every week",R781+1&amp;" of "&amp;J781))</f>
        <v/>
      </c>
      <c r="N781" s="28" t="str">
        <f aca="false">IF(J781="","",Settings!$B$4+R781*7+Q781)</f>
        <v/>
      </c>
      <c r="O781" s="28" t="str">
        <f aca="true">IF(J781="","",N781+MAX(0,ROUNDUP((TODAY()-N781)/(J781*7),0))*J781*7)</f>
        <v/>
      </c>
      <c r="P781" s="27" t="str">
        <f aca="false">IF(J781="","",MOD(K781-1,J781*4))</f>
        <v/>
      </c>
      <c r="Q781" s="27" t="str">
        <f aca="false">IF(J781="","",MOD(P781,4))</f>
        <v/>
      </c>
      <c r="R781" s="27" t="str">
        <f aca="false">IF(J781="","",INT(P781/4))</f>
        <v/>
      </c>
      <c r="S781" s="27" t="str">
        <f aca="false">IF(J781="","",IF(AND('Daily Count Sheet'!$H$3=Q781,MOD('Daily Count Sheet'!$I$3,J781)=R781),1,""))</f>
        <v/>
      </c>
      <c r="T781" s="27" t="str">
        <f aca="false">IF(S781=1,COUNTIF($S$2:S781,1),"")</f>
        <v/>
      </c>
    </row>
    <row r="782" customFormat="false" ht="15" hidden="false" customHeight="false" outlineLevel="0" collapsed="false">
      <c r="H782" s="26"/>
      <c r="I782" s="27" t="str">
        <f aca="false">IF(A782="","",IF(H782&lt;&gt;"",UPPER(TRIM(H782)),IFERROR(CHOOSE(VALUE(E782)+1,"A","B","C","D"),IF(OR(LEFT(UPPER(TRIM(E782)),1)="F",UPPER(TRIM(E782))="A"),"A",IF(OR(LEFT(UPPER(TRIM(E782)),1)="M",UPPER(TRIM(E782))="B"),"B",IF(OR(LEFT(UPPER(TRIM(E782)),2)="SL",UPPER(TRIM(E782))="C"),"C",IF(OR(LEFT(UPPER(TRIM(E782)),1)="D",UPPER(TRIM(E782))="D"),"D","")))))))</f>
        <v/>
      </c>
      <c r="J782" s="27" t="str">
        <f aca="false">IF(I782="","",IF(AND(I782="D",Settings!$B$6&lt;&gt;"Yes"),"",IFERROR(INDEX(Settings!$C$9:$C$12,MATCH(I782,Settings!$A$9:$A$12,0)),"")))</f>
        <v/>
      </c>
      <c r="K782" s="27" t="str">
        <f aca="false">IF(J782="","",COUNTIF($I$2:I782,I782))</f>
        <v/>
      </c>
      <c r="L782" s="27" t="str">
        <f aca="false">IF(J782="","",CHOOSE(Q782+1,"Tue","Wed","Thu","Fri"))</f>
        <v/>
      </c>
      <c r="M782" s="27" t="str">
        <f aca="false">IF(J782="","",IF(J782=1,"Every week",R782+1&amp;" of "&amp;J782))</f>
        <v/>
      </c>
      <c r="N782" s="28" t="str">
        <f aca="false">IF(J782="","",Settings!$B$4+R782*7+Q782)</f>
        <v/>
      </c>
      <c r="O782" s="28" t="str">
        <f aca="true">IF(J782="","",N782+MAX(0,ROUNDUP((TODAY()-N782)/(J782*7),0))*J782*7)</f>
        <v/>
      </c>
      <c r="P782" s="27" t="str">
        <f aca="false">IF(J782="","",MOD(K782-1,J782*4))</f>
        <v/>
      </c>
      <c r="Q782" s="27" t="str">
        <f aca="false">IF(J782="","",MOD(P782,4))</f>
        <v/>
      </c>
      <c r="R782" s="27" t="str">
        <f aca="false">IF(J782="","",INT(P782/4))</f>
        <v/>
      </c>
      <c r="S782" s="27" t="str">
        <f aca="false">IF(J782="","",IF(AND('Daily Count Sheet'!$H$3=Q782,MOD('Daily Count Sheet'!$I$3,J782)=R782),1,""))</f>
        <v/>
      </c>
      <c r="T782" s="27" t="str">
        <f aca="false">IF(S782=1,COUNTIF($S$2:S782,1),"")</f>
        <v/>
      </c>
    </row>
    <row r="783" customFormat="false" ht="15" hidden="false" customHeight="false" outlineLevel="0" collapsed="false">
      <c r="H783" s="26"/>
      <c r="I783" s="27" t="str">
        <f aca="false">IF(A783="","",IF(H783&lt;&gt;"",UPPER(TRIM(H783)),IFERROR(CHOOSE(VALUE(E783)+1,"A","B","C","D"),IF(OR(LEFT(UPPER(TRIM(E783)),1)="F",UPPER(TRIM(E783))="A"),"A",IF(OR(LEFT(UPPER(TRIM(E783)),1)="M",UPPER(TRIM(E783))="B"),"B",IF(OR(LEFT(UPPER(TRIM(E783)),2)="SL",UPPER(TRIM(E783))="C"),"C",IF(OR(LEFT(UPPER(TRIM(E783)),1)="D",UPPER(TRIM(E783))="D"),"D","")))))))</f>
        <v/>
      </c>
      <c r="J783" s="27" t="str">
        <f aca="false">IF(I783="","",IF(AND(I783="D",Settings!$B$6&lt;&gt;"Yes"),"",IFERROR(INDEX(Settings!$C$9:$C$12,MATCH(I783,Settings!$A$9:$A$12,0)),"")))</f>
        <v/>
      </c>
      <c r="K783" s="27" t="str">
        <f aca="false">IF(J783="","",COUNTIF($I$2:I783,I783))</f>
        <v/>
      </c>
      <c r="L783" s="27" t="str">
        <f aca="false">IF(J783="","",CHOOSE(Q783+1,"Tue","Wed","Thu","Fri"))</f>
        <v/>
      </c>
      <c r="M783" s="27" t="str">
        <f aca="false">IF(J783="","",IF(J783=1,"Every week",R783+1&amp;" of "&amp;J783))</f>
        <v/>
      </c>
      <c r="N783" s="28" t="str">
        <f aca="false">IF(J783="","",Settings!$B$4+R783*7+Q783)</f>
        <v/>
      </c>
      <c r="O783" s="28" t="str">
        <f aca="true">IF(J783="","",N783+MAX(0,ROUNDUP((TODAY()-N783)/(J783*7),0))*J783*7)</f>
        <v/>
      </c>
      <c r="P783" s="27" t="str">
        <f aca="false">IF(J783="","",MOD(K783-1,J783*4))</f>
        <v/>
      </c>
      <c r="Q783" s="27" t="str">
        <f aca="false">IF(J783="","",MOD(P783,4))</f>
        <v/>
      </c>
      <c r="R783" s="27" t="str">
        <f aca="false">IF(J783="","",INT(P783/4))</f>
        <v/>
      </c>
      <c r="S783" s="27" t="str">
        <f aca="false">IF(J783="","",IF(AND('Daily Count Sheet'!$H$3=Q783,MOD('Daily Count Sheet'!$I$3,J783)=R783),1,""))</f>
        <v/>
      </c>
      <c r="T783" s="27" t="str">
        <f aca="false">IF(S783=1,COUNTIF($S$2:S783,1),"")</f>
        <v/>
      </c>
    </row>
    <row r="784" customFormat="false" ht="15" hidden="false" customHeight="false" outlineLevel="0" collapsed="false">
      <c r="H784" s="26"/>
      <c r="I784" s="27" t="str">
        <f aca="false">IF(A784="","",IF(H784&lt;&gt;"",UPPER(TRIM(H784)),IFERROR(CHOOSE(VALUE(E784)+1,"A","B","C","D"),IF(OR(LEFT(UPPER(TRIM(E784)),1)="F",UPPER(TRIM(E784))="A"),"A",IF(OR(LEFT(UPPER(TRIM(E784)),1)="M",UPPER(TRIM(E784))="B"),"B",IF(OR(LEFT(UPPER(TRIM(E784)),2)="SL",UPPER(TRIM(E784))="C"),"C",IF(OR(LEFT(UPPER(TRIM(E784)),1)="D",UPPER(TRIM(E784))="D"),"D","")))))))</f>
        <v/>
      </c>
      <c r="J784" s="27" t="str">
        <f aca="false">IF(I784="","",IF(AND(I784="D",Settings!$B$6&lt;&gt;"Yes"),"",IFERROR(INDEX(Settings!$C$9:$C$12,MATCH(I784,Settings!$A$9:$A$12,0)),"")))</f>
        <v/>
      </c>
      <c r="K784" s="27" t="str">
        <f aca="false">IF(J784="","",COUNTIF($I$2:I784,I784))</f>
        <v/>
      </c>
      <c r="L784" s="27" t="str">
        <f aca="false">IF(J784="","",CHOOSE(Q784+1,"Tue","Wed","Thu","Fri"))</f>
        <v/>
      </c>
      <c r="M784" s="27" t="str">
        <f aca="false">IF(J784="","",IF(J784=1,"Every week",R784+1&amp;" of "&amp;J784))</f>
        <v/>
      </c>
      <c r="N784" s="28" t="str">
        <f aca="false">IF(J784="","",Settings!$B$4+R784*7+Q784)</f>
        <v/>
      </c>
      <c r="O784" s="28" t="str">
        <f aca="true">IF(J784="","",N784+MAX(0,ROUNDUP((TODAY()-N784)/(J784*7),0))*J784*7)</f>
        <v/>
      </c>
      <c r="P784" s="27" t="str">
        <f aca="false">IF(J784="","",MOD(K784-1,J784*4))</f>
        <v/>
      </c>
      <c r="Q784" s="27" t="str">
        <f aca="false">IF(J784="","",MOD(P784,4))</f>
        <v/>
      </c>
      <c r="R784" s="27" t="str">
        <f aca="false">IF(J784="","",INT(P784/4))</f>
        <v/>
      </c>
      <c r="S784" s="27" t="str">
        <f aca="false">IF(J784="","",IF(AND('Daily Count Sheet'!$H$3=Q784,MOD('Daily Count Sheet'!$I$3,J784)=R784),1,""))</f>
        <v/>
      </c>
      <c r="T784" s="27" t="str">
        <f aca="false">IF(S784=1,COUNTIF($S$2:S784,1),"")</f>
        <v/>
      </c>
    </row>
    <row r="785" customFormat="false" ht="15" hidden="false" customHeight="false" outlineLevel="0" collapsed="false">
      <c r="H785" s="26"/>
      <c r="I785" s="27" t="str">
        <f aca="false">IF(A785="","",IF(H785&lt;&gt;"",UPPER(TRIM(H785)),IFERROR(CHOOSE(VALUE(E785)+1,"A","B","C","D"),IF(OR(LEFT(UPPER(TRIM(E785)),1)="F",UPPER(TRIM(E785))="A"),"A",IF(OR(LEFT(UPPER(TRIM(E785)),1)="M",UPPER(TRIM(E785))="B"),"B",IF(OR(LEFT(UPPER(TRIM(E785)),2)="SL",UPPER(TRIM(E785))="C"),"C",IF(OR(LEFT(UPPER(TRIM(E785)),1)="D",UPPER(TRIM(E785))="D"),"D","")))))))</f>
        <v/>
      </c>
      <c r="J785" s="27" t="str">
        <f aca="false">IF(I785="","",IF(AND(I785="D",Settings!$B$6&lt;&gt;"Yes"),"",IFERROR(INDEX(Settings!$C$9:$C$12,MATCH(I785,Settings!$A$9:$A$12,0)),"")))</f>
        <v/>
      </c>
      <c r="K785" s="27" t="str">
        <f aca="false">IF(J785="","",COUNTIF($I$2:I785,I785))</f>
        <v/>
      </c>
      <c r="L785" s="27" t="str">
        <f aca="false">IF(J785="","",CHOOSE(Q785+1,"Tue","Wed","Thu","Fri"))</f>
        <v/>
      </c>
      <c r="M785" s="27" t="str">
        <f aca="false">IF(J785="","",IF(J785=1,"Every week",R785+1&amp;" of "&amp;J785))</f>
        <v/>
      </c>
      <c r="N785" s="28" t="str">
        <f aca="false">IF(J785="","",Settings!$B$4+R785*7+Q785)</f>
        <v/>
      </c>
      <c r="O785" s="28" t="str">
        <f aca="true">IF(J785="","",N785+MAX(0,ROUNDUP((TODAY()-N785)/(J785*7),0))*J785*7)</f>
        <v/>
      </c>
      <c r="P785" s="27" t="str">
        <f aca="false">IF(J785="","",MOD(K785-1,J785*4))</f>
        <v/>
      </c>
      <c r="Q785" s="27" t="str">
        <f aca="false">IF(J785="","",MOD(P785,4))</f>
        <v/>
      </c>
      <c r="R785" s="27" t="str">
        <f aca="false">IF(J785="","",INT(P785/4))</f>
        <v/>
      </c>
      <c r="S785" s="27" t="str">
        <f aca="false">IF(J785="","",IF(AND('Daily Count Sheet'!$H$3=Q785,MOD('Daily Count Sheet'!$I$3,J785)=R785),1,""))</f>
        <v/>
      </c>
      <c r="T785" s="27" t="str">
        <f aca="false">IF(S785=1,COUNTIF($S$2:S785,1),"")</f>
        <v/>
      </c>
    </row>
    <row r="786" customFormat="false" ht="15" hidden="false" customHeight="false" outlineLevel="0" collapsed="false">
      <c r="H786" s="26"/>
      <c r="I786" s="27" t="str">
        <f aca="false">IF(A786="","",IF(H786&lt;&gt;"",UPPER(TRIM(H786)),IFERROR(CHOOSE(VALUE(E786)+1,"A","B","C","D"),IF(OR(LEFT(UPPER(TRIM(E786)),1)="F",UPPER(TRIM(E786))="A"),"A",IF(OR(LEFT(UPPER(TRIM(E786)),1)="M",UPPER(TRIM(E786))="B"),"B",IF(OR(LEFT(UPPER(TRIM(E786)),2)="SL",UPPER(TRIM(E786))="C"),"C",IF(OR(LEFT(UPPER(TRIM(E786)),1)="D",UPPER(TRIM(E786))="D"),"D","")))))))</f>
        <v/>
      </c>
      <c r="J786" s="27" t="str">
        <f aca="false">IF(I786="","",IF(AND(I786="D",Settings!$B$6&lt;&gt;"Yes"),"",IFERROR(INDEX(Settings!$C$9:$C$12,MATCH(I786,Settings!$A$9:$A$12,0)),"")))</f>
        <v/>
      </c>
      <c r="K786" s="27" t="str">
        <f aca="false">IF(J786="","",COUNTIF($I$2:I786,I786))</f>
        <v/>
      </c>
      <c r="L786" s="27" t="str">
        <f aca="false">IF(J786="","",CHOOSE(Q786+1,"Tue","Wed","Thu","Fri"))</f>
        <v/>
      </c>
      <c r="M786" s="27" t="str">
        <f aca="false">IF(J786="","",IF(J786=1,"Every week",R786+1&amp;" of "&amp;J786))</f>
        <v/>
      </c>
      <c r="N786" s="28" t="str">
        <f aca="false">IF(J786="","",Settings!$B$4+R786*7+Q786)</f>
        <v/>
      </c>
      <c r="O786" s="28" t="str">
        <f aca="true">IF(J786="","",N786+MAX(0,ROUNDUP((TODAY()-N786)/(J786*7),0))*J786*7)</f>
        <v/>
      </c>
      <c r="P786" s="27" t="str">
        <f aca="false">IF(J786="","",MOD(K786-1,J786*4))</f>
        <v/>
      </c>
      <c r="Q786" s="27" t="str">
        <f aca="false">IF(J786="","",MOD(P786,4))</f>
        <v/>
      </c>
      <c r="R786" s="27" t="str">
        <f aca="false">IF(J786="","",INT(P786/4))</f>
        <v/>
      </c>
      <c r="S786" s="27" t="str">
        <f aca="false">IF(J786="","",IF(AND('Daily Count Sheet'!$H$3=Q786,MOD('Daily Count Sheet'!$I$3,J786)=R786),1,""))</f>
        <v/>
      </c>
      <c r="T786" s="27" t="str">
        <f aca="false">IF(S786=1,COUNTIF($S$2:S786,1),"")</f>
        <v/>
      </c>
    </row>
    <row r="787" customFormat="false" ht="15" hidden="false" customHeight="false" outlineLevel="0" collapsed="false">
      <c r="H787" s="26"/>
      <c r="I787" s="27" t="str">
        <f aca="false">IF(A787="","",IF(H787&lt;&gt;"",UPPER(TRIM(H787)),IFERROR(CHOOSE(VALUE(E787)+1,"A","B","C","D"),IF(OR(LEFT(UPPER(TRIM(E787)),1)="F",UPPER(TRIM(E787))="A"),"A",IF(OR(LEFT(UPPER(TRIM(E787)),1)="M",UPPER(TRIM(E787))="B"),"B",IF(OR(LEFT(UPPER(TRIM(E787)),2)="SL",UPPER(TRIM(E787))="C"),"C",IF(OR(LEFT(UPPER(TRIM(E787)),1)="D",UPPER(TRIM(E787))="D"),"D","")))))))</f>
        <v/>
      </c>
      <c r="J787" s="27" t="str">
        <f aca="false">IF(I787="","",IF(AND(I787="D",Settings!$B$6&lt;&gt;"Yes"),"",IFERROR(INDEX(Settings!$C$9:$C$12,MATCH(I787,Settings!$A$9:$A$12,0)),"")))</f>
        <v/>
      </c>
      <c r="K787" s="27" t="str">
        <f aca="false">IF(J787="","",COUNTIF($I$2:I787,I787))</f>
        <v/>
      </c>
      <c r="L787" s="27" t="str">
        <f aca="false">IF(J787="","",CHOOSE(Q787+1,"Tue","Wed","Thu","Fri"))</f>
        <v/>
      </c>
      <c r="M787" s="27" t="str">
        <f aca="false">IF(J787="","",IF(J787=1,"Every week",R787+1&amp;" of "&amp;J787))</f>
        <v/>
      </c>
      <c r="N787" s="28" t="str">
        <f aca="false">IF(J787="","",Settings!$B$4+R787*7+Q787)</f>
        <v/>
      </c>
      <c r="O787" s="28" t="str">
        <f aca="true">IF(J787="","",N787+MAX(0,ROUNDUP((TODAY()-N787)/(J787*7),0))*J787*7)</f>
        <v/>
      </c>
      <c r="P787" s="27" t="str">
        <f aca="false">IF(J787="","",MOD(K787-1,J787*4))</f>
        <v/>
      </c>
      <c r="Q787" s="27" t="str">
        <f aca="false">IF(J787="","",MOD(P787,4))</f>
        <v/>
      </c>
      <c r="R787" s="27" t="str">
        <f aca="false">IF(J787="","",INT(P787/4))</f>
        <v/>
      </c>
      <c r="S787" s="27" t="str">
        <f aca="false">IF(J787="","",IF(AND('Daily Count Sheet'!$H$3=Q787,MOD('Daily Count Sheet'!$I$3,J787)=R787),1,""))</f>
        <v/>
      </c>
      <c r="T787" s="27" t="str">
        <f aca="false">IF(S787=1,COUNTIF($S$2:S787,1),"")</f>
        <v/>
      </c>
    </row>
    <row r="788" customFormat="false" ht="15" hidden="false" customHeight="false" outlineLevel="0" collapsed="false">
      <c r="H788" s="26"/>
      <c r="I788" s="27" t="str">
        <f aca="false">IF(A788="","",IF(H788&lt;&gt;"",UPPER(TRIM(H788)),IFERROR(CHOOSE(VALUE(E788)+1,"A","B","C","D"),IF(OR(LEFT(UPPER(TRIM(E788)),1)="F",UPPER(TRIM(E788))="A"),"A",IF(OR(LEFT(UPPER(TRIM(E788)),1)="M",UPPER(TRIM(E788))="B"),"B",IF(OR(LEFT(UPPER(TRIM(E788)),2)="SL",UPPER(TRIM(E788))="C"),"C",IF(OR(LEFT(UPPER(TRIM(E788)),1)="D",UPPER(TRIM(E788))="D"),"D","")))))))</f>
        <v/>
      </c>
      <c r="J788" s="27" t="str">
        <f aca="false">IF(I788="","",IF(AND(I788="D",Settings!$B$6&lt;&gt;"Yes"),"",IFERROR(INDEX(Settings!$C$9:$C$12,MATCH(I788,Settings!$A$9:$A$12,0)),"")))</f>
        <v/>
      </c>
      <c r="K788" s="27" t="str">
        <f aca="false">IF(J788="","",COUNTIF($I$2:I788,I788))</f>
        <v/>
      </c>
      <c r="L788" s="27" t="str">
        <f aca="false">IF(J788="","",CHOOSE(Q788+1,"Tue","Wed","Thu","Fri"))</f>
        <v/>
      </c>
      <c r="M788" s="27" t="str">
        <f aca="false">IF(J788="","",IF(J788=1,"Every week",R788+1&amp;" of "&amp;J788))</f>
        <v/>
      </c>
      <c r="N788" s="28" t="str">
        <f aca="false">IF(J788="","",Settings!$B$4+R788*7+Q788)</f>
        <v/>
      </c>
      <c r="O788" s="28" t="str">
        <f aca="true">IF(J788="","",N788+MAX(0,ROUNDUP((TODAY()-N788)/(J788*7),0))*J788*7)</f>
        <v/>
      </c>
      <c r="P788" s="27" t="str">
        <f aca="false">IF(J788="","",MOD(K788-1,J788*4))</f>
        <v/>
      </c>
      <c r="Q788" s="27" t="str">
        <f aca="false">IF(J788="","",MOD(P788,4))</f>
        <v/>
      </c>
      <c r="R788" s="27" t="str">
        <f aca="false">IF(J788="","",INT(P788/4))</f>
        <v/>
      </c>
      <c r="S788" s="27" t="str">
        <f aca="false">IF(J788="","",IF(AND('Daily Count Sheet'!$H$3=Q788,MOD('Daily Count Sheet'!$I$3,J788)=R788),1,""))</f>
        <v/>
      </c>
      <c r="T788" s="27" t="str">
        <f aca="false">IF(S788=1,COUNTIF($S$2:S788,1),"")</f>
        <v/>
      </c>
    </row>
    <row r="789" customFormat="false" ht="15" hidden="false" customHeight="false" outlineLevel="0" collapsed="false">
      <c r="H789" s="26"/>
      <c r="I789" s="27" t="str">
        <f aca="false">IF(A789="","",IF(H789&lt;&gt;"",UPPER(TRIM(H789)),IFERROR(CHOOSE(VALUE(E789)+1,"A","B","C","D"),IF(OR(LEFT(UPPER(TRIM(E789)),1)="F",UPPER(TRIM(E789))="A"),"A",IF(OR(LEFT(UPPER(TRIM(E789)),1)="M",UPPER(TRIM(E789))="B"),"B",IF(OR(LEFT(UPPER(TRIM(E789)),2)="SL",UPPER(TRIM(E789))="C"),"C",IF(OR(LEFT(UPPER(TRIM(E789)),1)="D",UPPER(TRIM(E789))="D"),"D","")))))))</f>
        <v/>
      </c>
      <c r="J789" s="27" t="str">
        <f aca="false">IF(I789="","",IF(AND(I789="D",Settings!$B$6&lt;&gt;"Yes"),"",IFERROR(INDEX(Settings!$C$9:$C$12,MATCH(I789,Settings!$A$9:$A$12,0)),"")))</f>
        <v/>
      </c>
      <c r="K789" s="27" t="str">
        <f aca="false">IF(J789="","",COUNTIF($I$2:I789,I789))</f>
        <v/>
      </c>
      <c r="L789" s="27" t="str">
        <f aca="false">IF(J789="","",CHOOSE(Q789+1,"Tue","Wed","Thu","Fri"))</f>
        <v/>
      </c>
      <c r="M789" s="27" t="str">
        <f aca="false">IF(J789="","",IF(J789=1,"Every week",R789+1&amp;" of "&amp;J789))</f>
        <v/>
      </c>
      <c r="N789" s="28" t="str">
        <f aca="false">IF(J789="","",Settings!$B$4+R789*7+Q789)</f>
        <v/>
      </c>
      <c r="O789" s="28" t="str">
        <f aca="true">IF(J789="","",N789+MAX(0,ROUNDUP((TODAY()-N789)/(J789*7),0))*J789*7)</f>
        <v/>
      </c>
      <c r="P789" s="27" t="str">
        <f aca="false">IF(J789="","",MOD(K789-1,J789*4))</f>
        <v/>
      </c>
      <c r="Q789" s="27" t="str">
        <f aca="false">IF(J789="","",MOD(P789,4))</f>
        <v/>
      </c>
      <c r="R789" s="27" t="str">
        <f aca="false">IF(J789="","",INT(P789/4))</f>
        <v/>
      </c>
      <c r="S789" s="27" t="str">
        <f aca="false">IF(J789="","",IF(AND('Daily Count Sheet'!$H$3=Q789,MOD('Daily Count Sheet'!$I$3,J789)=R789),1,""))</f>
        <v/>
      </c>
      <c r="T789" s="27" t="str">
        <f aca="false">IF(S789=1,COUNTIF($S$2:S789,1),"")</f>
        <v/>
      </c>
    </row>
    <row r="790" customFormat="false" ht="15" hidden="false" customHeight="false" outlineLevel="0" collapsed="false">
      <c r="H790" s="26"/>
      <c r="I790" s="27" t="str">
        <f aca="false">IF(A790="","",IF(H790&lt;&gt;"",UPPER(TRIM(H790)),IFERROR(CHOOSE(VALUE(E790)+1,"A","B","C","D"),IF(OR(LEFT(UPPER(TRIM(E790)),1)="F",UPPER(TRIM(E790))="A"),"A",IF(OR(LEFT(UPPER(TRIM(E790)),1)="M",UPPER(TRIM(E790))="B"),"B",IF(OR(LEFT(UPPER(TRIM(E790)),2)="SL",UPPER(TRIM(E790))="C"),"C",IF(OR(LEFT(UPPER(TRIM(E790)),1)="D",UPPER(TRIM(E790))="D"),"D","")))))))</f>
        <v/>
      </c>
      <c r="J790" s="27" t="str">
        <f aca="false">IF(I790="","",IF(AND(I790="D",Settings!$B$6&lt;&gt;"Yes"),"",IFERROR(INDEX(Settings!$C$9:$C$12,MATCH(I790,Settings!$A$9:$A$12,0)),"")))</f>
        <v/>
      </c>
      <c r="K790" s="27" t="str">
        <f aca="false">IF(J790="","",COUNTIF($I$2:I790,I790))</f>
        <v/>
      </c>
      <c r="L790" s="27" t="str">
        <f aca="false">IF(J790="","",CHOOSE(Q790+1,"Tue","Wed","Thu","Fri"))</f>
        <v/>
      </c>
      <c r="M790" s="27" t="str">
        <f aca="false">IF(J790="","",IF(J790=1,"Every week",R790+1&amp;" of "&amp;J790))</f>
        <v/>
      </c>
      <c r="N790" s="28" t="str">
        <f aca="false">IF(J790="","",Settings!$B$4+R790*7+Q790)</f>
        <v/>
      </c>
      <c r="O790" s="28" t="str">
        <f aca="true">IF(J790="","",N790+MAX(0,ROUNDUP((TODAY()-N790)/(J790*7),0))*J790*7)</f>
        <v/>
      </c>
      <c r="P790" s="27" t="str">
        <f aca="false">IF(J790="","",MOD(K790-1,J790*4))</f>
        <v/>
      </c>
      <c r="Q790" s="27" t="str">
        <f aca="false">IF(J790="","",MOD(P790,4))</f>
        <v/>
      </c>
      <c r="R790" s="27" t="str">
        <f aca="false">IF(J790="","",INT(P790/4))</f>
        <v/>
      </c>
      <c r="S790" s="27" t="str">
        <f aca="false">IF(J790="","",IF(AND('Daily Count Sheet'!$H$3=Q790,MOD('Daily Count Sheet'!$I$3,J790)=R790),1,""))</f>
        <v/>
      </c>
      <c r="T790" s="27" t="str">
        <f aca="false">IF(S790=1,COUNTIF($S$2:S790,1),"")</f>
        <v/>
      </c>
    </row>
    <row r="791" customFormat="false" ht="15" hidden="false" customHeight="false" outlineLevel="0" collapsed="false">
      <c r="H791" s="26"/>
      <c r="I791" s="27" t="str">
        <f aca="false">IF(A791="","",IF(H791&lt;&gt;"",UPPER(TRIM(H791)),IFERROR(CHOOSE(VALUE(E791)+1,"A","B","C","D"),IF(OR(LEFT(UPPER(TRIM(E791)),1)="F",UPPER(TRIM(E791))="A"),"A",IF(OR(LEFT(UPPER(TRIM(E791)),1)="M",UPPER(TRIM(E791))="B"),"B",IF(OR(LEFT(UPPER(TRIM(E791)),2)="SL",UPPER(TRIM(E791))="C"),"C",IF(OR(LEFT(UPPER(TRIM(E791)),1)="D",UPPER(TRIM(E791))="D"),"D","")))))))</f>
        <v/>
      </c>
      <c r="J791" s="27" t="str">
        <f aca="false">IF(I791="","",IF(AND(I791="D",Settings!$B$6&lt;&gt;"Yes"),"",IFERROR(INDEX(Settings!$C$9:$C$12,MATCH(I791,Settings!$A$9:$A$12,0)),"")))</f>
        <v/>
      </c>
      <c r="K791" s="27" t="str">
        <f aca="false">IF(J791="","",COUNTIF($I$2:I791,I791))</f>
        <v/>
      </c>
      <c r="L791" s="27" t="str">
        <f aca="false">IF(J791="","",CHOOSE(Q791+1,"Tue","Wed","Thu","Fri"))</f>
        <v/>
      </c>
      <c r="M791" s="27" t="str">
        <f aca="false">IF(J791="","",IF(J791=1,"Every week",R791+1&amp;" of "&amp;J791))</f>
        <v/>
      </c>
      <c r="N791" s="28" t="str">
        <f aca="false">IF(J791="","",Settings!$B$4+R791*7+Q791)</f>
        <v/>
      </c>
      <c r="O791" s="28" t="str">
        <f aca="true">IF(J791="","",N791+MAX(0,ROUNDUP((TODAY()-N791)/(J791*7),0))*J791*7)</f>
        <v/>
      </c>
      <c r="P791" s="27" t="str">
        <f aca="false">IF(J791="","",MOD(K791-1,J791*4))</f>
        <v/>
      </c>
      <c r="Q791" s="27" t="str">
        <f aca="false">IF(J791="","",MOD(P791,4))</f>
        <v/>
      </c>
      <c r="R791" s="27" t="str">
        <f aca="false">IF(J791="","",INT(P791/4))</f>
        <v/>
      </c>
      <c r="S791" s="27" t="str">
        <f aca="false">IF(J791="","",IF(AND('Daily Count Sheet'!$H$3=Q791,MOD('Daily Count Sheet'!$I$3,J791)=R791),1,""))</f>
        <v/>
      </c>
      <c r="T791" s="27" t="str">
        <f aca="false">IF(S791=1,COUNTIF($S$2:S791,1),"")</f>
        <v/>
      </c>
    </row>
    <row r="792" customFormat="false" ht="15" hidden="false" customHeight="false" outlineLevel="0" collapsed="false">
      <c r="H792" s="26"/>
      <c r="I792" s="27" t="str">
        <f aca="false">IF(A792="","",IF(H792&lt;&gt;"",UPPER(TRIM(H792)),IFERROR(CHOOSE(VALUE(E792)+1,"A","B","C","D"),IF(OR(LEFT(UPPER(TRIM(E792)),1)="F",UPPER(TRIM(E792))="A"),"A",IF(OR(LEFT(UPPER(TRIM(E792)),1)="M",UPPER(TRIM(E792))="B"),"B",IF(OR(LEFT(UPPER(TRIM(E792)),2)="SL",UPPER(TRIM(E792))="C"),"C",IF(OR(LEFT(UPPER(TRIM(E792)),1)="D",UPPER(TRIM(E792))="D"),"D","")))))))</f>
        <v/>
      </c>
      <c r="J792" s="27" t="str">
        <f aca="false">IF(I792="","",IF(AND(I792="D",Settings!$B$6&lt;&gt;"Yes"),"",IFERROR(INDEX(Settings!$C$9:$C$12,MATCH(I792,Settings!$A$9:$A$12,0)),"")))</f>
        <v/>
      </c>
      <c r="K792" s="27" t="str">
        <f aca="false">IF(J792="","",COUNTIF($I$2:I792,I792))</f>
        <v/>
      </c>
      <c r="L792" s="27" t="str">
        <f aca="false">IF(J792="","",CHOOSE(Q792+1,"Tue","Wed","Thu","Fri"))</f>
        <v/>
      </c>
      <c r="M792" s="27" t="str">
        <f aca="false">IF(J792="","",IF(J792=1,"Every week",R792+1&amp;" of "&amp;J792))</f>
        <v/>
      </c>
      <c r="N792" s="28" t="str">
        <f aca="false">IF(J792="","",Settings!$B$4+R792*7+Q792)</f>
        <v/>
      </c>
      <c r="O792" s="28" t="str">
        <f aca="true">IF(J792="","",N792+MAX(0,ROUNDUP((TODAY()-N792)/(J792*7),0))*J792*7)</f>
        <v/>
      </c>
      <c r="P792" s="27" t="str">
        <f aca="false">IF(J792="","",MOD(K792-1,J792*4))</f>
        <v/>
      </c>
      <c r="Q792" s="27" t="str">
        <f aca="false">IF(J792="","",MOD(P792,4))</f>
        <v/>
      </c>
      <c r="R792" s="27" t="str">
        <f aca="false">IF(J792="","",INT(P792/4))</f>
        <v/>
      </c>
      <c r="S792" s="27" t="str">
        <f aca="false">IF(J792="","",IF(AND('Daily Count Sheet'!$H$3=Q792,MOD('Daily Count Sheet'!$I$3,J792)=R792),1,""))</f>
        <v/>
      </c>
      <c r="T792" s="27" t="str">
        <f aca="false">IF(S792=1,COUNTIF($S$2:S792,1),"")</f>
        <v/>
      </c>
    </row>
    <row r="793" customFormat="false" ht="15" hidden="false" customHeight="false" outlineLevel="0" collapsed="false">
      <c r="H793" s="26"/>
      <c r="I793" s="27" t="str">
        <f aca="false">IF(A793="","",IF(H793&lt;&gt;"",UPPER(TRIM(H793)),IFERROR(CHOOSE(VALUE(E793)+1,"A","B","C","D"),IF(OR(LEFT(UPPER(TRIM(E793)),1)="F",UPPER(TRIM(E793))="A"),"A",IF(OR(LEFT(UPPER(TRIM(E793)),1)="M",UPPER(TRIM(E793))="B"),"B",IF(OR(LEFT(UPPER(TRIM(E793)),2)="SL",UPPER(TRIM(E793))="C"),"C",IF(OR(LEFT(UPPER(TRIM(E793)),1)="D",UPPER(TRIM(E793))="D"),"D","")))))))</f>
        <v/>
      </c>
      <c r="J793" s="27" t="str">
        <f aca="false">IF(I793="","",IF(AND(I793="D",Settings!$B$6&lt;&gt;"Yes"),"",IFERROR(INDEX(Settings!$C$9:$C$12,MATCH(I793,Settings!$A$9:$A$12,0)),"")))</f>
        <v/>
      </c>
      <c r="K793" s="27" t="str">
        <f aca="false">IF(J793="","",COUNTIF($I$2:I793,I793))</f>
        <v/>
      </c>
      <c r="L793" s="27" t="str">
        <f aca="false">IF(J793="","",CHOOSE(Q793+1,"Tue","Wed","Thu","Fri"))</f>
        <v/>
      </c>
      <c r="M793" s="27" t="str">
        <f aca="false">IF(J793="","",IF(J793=1,"Every week",R793+1&amp;" of "&amp;J793))</f>
        <v/>
      </c>
      <c r="N793" s="28" t="str">
        <f aca="false">IF(J793="","",Settings!$B$4+R793*7+Q793)</f>
        <v/>
      </c>
      <c r="O793" s="28" t="str">
        <f aca="true">IF(J793="","",N793+MAX(0,ROUNDUP((TODAY()-N793)/(J793*7),0))*J793*7)</f>
        <v/>
      </c>
      <c r="P793" s="27" t="str">
        <f aca="false">IF(J793="","",MOD(K793-1,J793*4))</f>
        <v/>
      </c>
      <c r="Q793" s="27" t="str">
        <f aca="false">IF(J793="","",MOD(P793,4))</f>
        <v/>
      </c>
      <c r="R793" s="27" t="str">
        <f aca="false">IF(J793="","",INT(P793/4))</f>
        <v/>
      </c>
      <c r="S793" s="27" t="str">
        <f aca="false">IF(J793="","",IF(AND('Daily Count Sheet'!$H$3=Q793,MOD('Daily Count Sheet'!$I$3,J793)=R793),1,""))</f>
        <v/>
      </c>
      <c r="T793" s="27" t="str">
        <f aca="false">IF(S793=1,COUNTIF($S$2:S793,1),"")</f>
        <v/>
      </c>
    </row>
    <row r="794" customFormat="false" ht="15" hidden="false" customHeight="false" outlineLevel="0" collapsed="false">
      <c r="H794" s="26"/>
      <c r="I794" s="27" t="str">
        <f aca="false">IF(A794="","",IF(H794&lt;&gt;"",UPPER(TRIM(H794)),IFERROR(CHOOSE(VALUE(E794)+1,"A","B","C","D"),IF(OR(LEFT(UPPER(TRIM(E794)),1)="F",UPPER(TRIM(E794))="A"),"A",IF(OR(LEFT(UPPER(TRIM(E794)),1)="M",UPPER(TRIM(E794))="B"),"B",IF(OR(LEFT(UPPER(TRIM(E794)),2)="SL",UPPER(TRIM(E794))="C"),"C",IF(OR(LEFT(UPPER(TRIM(E794)),1)="D",UPPER(TRIM(E794))="D"),"D","")))))))</f>
        <v/>
      </c>
      <c r="J794" s="27" t="str">
        <f aca="false">IF(I794="","",IF(AND(I794="D",Settings!$B$6&lt;&gt;"Yes"),"",IFERROR(INDEX(Settings!$C$9:$C$12,MATCH(I794,Settings!$A$9:$A$12,0)),"")))</f>
        <v/>
      </c>
      <c r="K794" s="27" t="str">
        <f aca="false">IF(J794="","",COUNTIF($I$2:I794,I794))</f>
        <v/>
      </c>
      <c r="L794" s="27" t="str">
        <f aca="false">IF(J794="","",CHOOSE(Q794+1,"Tue","Wed","Thu","Fri"))</f>
        <v/>
      </c>
      <c r="M794" s="27" t="str">
        <f aca="false">IF(J794="","",IF(J794=1,"Every week",R794+1&amp;" of "&amp;J794))</f>
        <v/>
      </c>
      <c r="N794" s="28" t="str">
        <f aca="false">IF(J794="","",Settings!$B$4+R794*7+Q794)</f>
        <v/>
      </c>
      <c r="O794" s="28" t="str">
        <f aca="true">IF(J794="","",N794+MAX(0,ROUNDUP((TODAY()-N794)/(J794*7),0))*J794*7)</f>
        <v/>
      </c>
      <c r="P794" s="27" t="str">
        <f aca="false">IF(J794="","",MOD(K794-1,J794*4))</f>
        <v/>
      </c>
      <c r="Q794" s="27" t="str">
        <f aca="false">IF(J794="","",MOD(P794,4))</f>
        <v/>
      </c>
      <c r="R794" s="27" t="str">
        <f aca="false">IF(J794="","",INT(P794/4))</f>
        <v/>
      </c>
      <c r="S794" s="27" t="str">
        <f aca="false">IF(J794="","",IF(AND('Daily Count Sheet'!$H$3=Q794,MOD('Daily Count Sheet'!$I$3,J794)=R794),1,""))</f>
        <v/>
      </c>
      <c r="T794" s="27" t="str">
        <f aca="false">IF(S794=1,COUNTIF($S$2:S794,1),"")</f>
        <v/>
      </c>
    </row>
    <row r="795" customFormat="false" ht="15" hidden="false" customHeight="false" outlineLevel="0" collapsed="false">
      <c r="H795" s="26"/>
      <c r="I795" s="27" t="str">
        <f aca="false">IF(A795="","",IF(H795&lt;&gt;"",UPPER(TRIM(H795)),IFERROR(CHOOSE(VALUE(E795)+1,"A","B","C","D"),IF(OR(LEFT(UPPER(TRIM(E795)),1)="F",UPPER(TRIM(E795))="A"),"A",IF(OR(LEFT(UPPER(TRIM(E795)),1)="M",UPPER(TRIM(E795))="B"),"B",IF(OR(LEFT(UPPER(TRIM(E795)),2)="SL",UPPER(TRIM(E795))="C"),"C",IF(OR(LEFT(UPPER(TRIM(E795)),1)="D",UPPER(TRIM(E795))="D"),"D","")))))))</f>
        <v/>
      </c>
      <c r="J795" s="27" t="str">
        <f aca="false">IF(I795="","",IF(AND(I795="D",Settings!$B$6&lt;&gt;"Yes"),"",IFERROR(INDEX(Settings!$C$9:$C$12,MATCH(I795,Settings!$A$9:$A$12,0)),"")))</f>
        <v/>
      </c>
      <c r="K795" s="27" t="str">
        <f aca="false">IF(J795="","",COUNTIF($I$2:I795,I795))</f>
        <v/>
      </c>
      <c r="L795" s="27" t="str">
        <f aca="false">IF(J795="","",CHOOSE(Q795+1,"Tue","Wed","Thu","Fri"))</f>
        <v/>
      </c>
      <c r="M795" s="27" t="str">
        <f aca="false">IF(J795="","",IF(J795=1,"Every week",R795+1&amp;" of "&amp;J795))</f>
        <v/>
      </c>
      <c r="N795" s="28" t="str">
        <f aca="false">IF(J795="","",Settings!$B$4+R795*7+Q795)</f>
        <v/>
      </c>
      <c r="O795" s="28" t="str">
        <f aca="true">IF(J795="","",N795+MAX(0,ROUNDUP((TODAY()-N795)/(J795*7),0))*J795*7)</f>
        <v/>
      </c>
      <c r="P795" s="27" t="str">
        <f aca="false">IF(J795="","",MOD(K795-1,J795*4))</f>
        <v/>
      </c>
      <c r="Q795" s="27" t="str">
        <f aca="false">IF(J795="","",MOD(P795,4))</f>
        <v/>
      </c>
      <c r="R795" s="27" t="str">
        <f aca="false">IF(J795="","",INT(P795/4))</f>
        <v/>
      </c>
      <c r="S795" s="27" t="str">
        <f aca="false">IF(J795="","",IF(AND('Daily Count Sheet'!$H$3=Q795,MOD('Daily Count Sheet'!$I$3,J795)=R795),1,""))</f>
        <v/>
      </c>
      <c r="T795" s="27" t="str">
        <f aca="false">IF(S795=1,COUNTIF($S$2:S795,1),"")</f>
        <v/>
      </c>
    </row>
    <row r="796" customFormat="false" ht="15" hidden="false" customHeight="false" outlineLevel="0" collapsed="false">
      <c r="H796" s="26"/>
      <c r="I796" s="27" t="str">
        <f aca="false">IF(A796="","",IF(H796&lt;&gt;"",UPPER(TRIM(H796)),IFERROR(CHOOSE(VALUE(E796)+1,"A","B","C","D"),IF(OR(LEFT(UPPER(TRIM(E796)),1)="F",UPPER(TRIM(E796))="A"),"A",IF(OR(LEFT(UPPER(TRIM(E796)),1)="M",UPPER(TRIM(E796))="B"),"B",IF(OR(LEFT(UPPER(TRIM(E796)),2)="SL",UPPER(TRIM(E796))="C"),"C",IF(OR(LEFT(UPPER(TRIM(E796)),1)="D",UPPER(TRIM(E796))="D"),"D","")))))))</f>
        <v/>
      </c>
      <c r="J796" s="27" t="str">
        <f aca="false">IF(I796="","",IF(AND(I796="D",Settings!$B$6&lt;&gt;"Yes"),"",IFERROR(INDEX(Settings!$C$9:$C$12,MATCH(I796,Settings!$A$9:$A$12,0)),"")))</f>
        <v/>
      </c>
      <c r="K796" s="27" t="str">
        <f aca="false">IF(J796="","",COUNTIF($I$2:I796,I796))</f>
        <v/>
      </c>
      <c r="L796" s="27" t="str">
        <f aca="false">IF(J796="","",CHOOSE(Q796+1,"Tue","Wed","Thu","Fri"))</f>
        <v/>
      </c>
      <c r="M796" s="27" t="str">
        <f aca="false">IF(J796="","",IF(J796=1,"Every week",R796+1&amp;" of "&amp;J796))</f>
        <v/>
      </c>
      <c r="N796" s="28" t="str">
        <f aca="false">IF(J796="","",Settings!$B$4+R796*7+Q796)</f>
        <v/>
      </c>
      <c r="O796" s="28" t="str">
        <f aca="true">IF(J796="","",N796+MAX(0,ROUNDUP((TODAY()-N796)/(J796*7),0))*J796*7)</f>
        <v/>
      </c>
      <c r="P796" s="27" t="str">
        <f aca="false">IF(J796="","",MOD(K796-1,J796*4))</f>
        <v/>
      </c>
      <c r="Q796" s="27" t="str">
        <f aca="false">IF(J796="","",MOD(P796,4))</f>
        <v/>
      </c>
      <c r="R796" s="27" t="str">
        <f aca="false">IF(J796="","",INT(P796/4))</f>
        <v/>
      </c>
      <c r="S796" s="27" t="str">
        <f aca="false">IF(J796="","",IF(AND('Daily Count Sheet'!$H$3=Q796,MOD('Daily Count Sheet'!$I$3,J796)=R796),1,""))</f>
        <v/>
      </c>
      <c r="T796" s="27" t="str">
        <f aca="false">IF(S796=1,COUNTIF($S$2:S796,1),"")</f>
        <v/>
      </c>
    </row>
    <row r="797" customFormat="false" ht="15" hidden="false" customHeight="false" outlineLevel="0" collapsed="false">
      <c r="H797" s="26"/>
      <c r="I797" s="27" t="str">
        <f aca="false">IF(A797="","",IF(H797&lt;&gt;"",UPPER(TRIM(H797)),IFERROR(CHOOSE(VALUE(E797)+1,"A","B","C","D"),IF(OR(LEFT(UPPER(TRIM(E797)),1)="F",UPPER(TRIM(E797))="A"),"A",IF(OR(LEFT(UPPER(TRIM(E797)),1)="M",UPPER(TRIM(E797))="B"),"B",IF(OR(LEFT(UPPER(TRIM(E797)),2)="SL",UPPER(TRIM(E797))="C"),"C",IF(OR(LEFT(UPPER(TRIM(E797)),1)="D",UPPER(TRIM(E797))="D"),"D","")))))))</f>
        <v/>
      </c>
      <c r="J797" s="27" t="str">
        <f aca="false">IF(I797="","",IF(AND(I797="D",Settings!$B$6&lt;&gt;"Yes"),"",IFERROR(INDEX(Settings!$C$9:$C$12,MATCH(I797,Settings!$A$9:$A$12,0)),"")))</f>
        <v/>
      </c>
      <c r="K797" s="27" t="str">
        <f aca="false">IF(J797="","",COUNTIF($I$2:I797,I797))</f>
        <v/>
      </c>
      <c r="L797" s="27" t="str">
        <f aca="false">IF(J797="","",CHOOSE(Q797+1,"Tue","Wed","Thu","Fri"))</f>
        <v/>
      </c>
      <c r="M797" s="27" t="str">
        <f aca="false">IF(J797="","",IF(J797=1,"Every week",R797+1&amp;" of "&amp;J797))</f>
        <v/>
      </c>
      <c r="N797" s="28" t="str">
        <f aca="false">IF(J797="","",Settings!$B$4+R797*7+Q797)</f>
        <v/>
      </c>
      <c r="O797" s="28" t="str">
        <f aca="true">IF(J797="","",N797+MAX(0,ROUNDUP((TODAY()-N797)/(J797*7),0))*J797*7)</f>
        <v/>
      </c>
      <c r="P797" s="27" t="str">
        <f aca="false">IF(J797="","",MOD(K797-1,J797*4))</f>
        <v/>
      </c>
      <c r="Q797" s="27" t="str">
        <f aca="false">IF(J797="","",MOD(P797,4))</f>
        <v/>
      </c>
      <c r="R797" s="27" t="str">
        <f aca="false">IF(J797="","",INT(P797/4))</f>
        <v/>
      </c>
      <c r="S797" s="27" t="str">
        <f aca="false">IF(J797="","",IF(AND('Daily Count Sheet'!$H$3=Q797,MOD('Daily Count Sheet'!$I$3,J797)=R797),1,""))</f>
        <v/>
      </c>
      <c r="T797" s="27" t="str">
        <f aca="false">IF(S797=1,COUNTIF($S$2:S797,1),"")</f>
        <v/>
      </c>
    </row>
    <row r="798" customFormat="false" ht="15" hidden="false" customHeight="false" outlineLevel="0" collapsed="false">
      <c r="H798" s="26"/>
      <c r="I798" s="27" t="str">
        <f aca="false">IF(A798="","",IF(H798&lt;&gt;"",UPPER(TRIM(H798)),IFERROR(CHOOSE(VALUE(E798)+1,"A","B","C","D"),IF(OR(LEFT(UPPER(TRIM(E798)),1)="F",UPPER(TRIM(E798))="A"),"A",IF(OR(LEFT(UPPER(TRIM(E798)),1)="M",UPPER(TRIM(E798))="B"),"B",IF(OR(LEFT(UPPER(TRIM(E798)),2)="SL",UPPER(TRIM(E798))="C"),"C",IF(OR(LEFT(UPPER(TRIM(E798)),1)="D",UPPER(TRIM(E798))="D"),"D","")))))))</f>
        <v/>
      </c>
      <c r="J798" s="27" t="str">
        <f aca="false">IF(I798="","",IF(AND(I798="D",Settings!$B$6&lt;&gt;"Yes"),"",IFERROR(INDEX(Settings!$C$9:$C$12,MATCH(I798,Settings!$A$9:$A$12,0)),"")))</f>
        <v/>
      </c>
      <c r="K798" s="27" t="str">
        <f aca="false">IF(J798="","",COUNTIF($I$2:I798,I798))</f>
        <v/>
      </c>
      <c r="L798" s="27" t="str">
        <f aca="false">IF(J798="","",CHOOSE(Q798+1,"Tue","Wed","Thu","Fri"))</f>
        <v/>
      </c>
      <c r="M798" s="27" t="str">
        <f aca="false">IF(J798="","",IF(J798=1,"Every week",R798+1&amp;" of "&amp;J798))</f>
        <v/>
      </c>
      <c r="N798" s="28" t="str">
        <f aca="false">IF(J798="","",Settings!$B$4+R798*7+Q798)</f>
        <v/>
      </c>
      <c r="O798" s="28" t="str">
        <f aca="true">IF(J798="","",N798+MAX(0,ROUNDUP((TODAY()-N798)/(J798*7),0))*J798*7)</f>
        <v/>
      </c>
      <c r="P798" s="27" t="str">
        <f aca="false">IF(J798="","",MOD(K798-1,J798*4))</f>
        <v/>
      </c>
      <c r="Q798" s="27" t="str">
        <f aca="false">IF(J798="","",MOD(P798,4))</f>
        <v/>
      </c>
      <c r="R798" s="27" t="str">
        <f aca="false">IF(J798="","",INT(P798/4))</f>
        <v/>
      </c>
      <c r="S798" s="27" t="str">
        <f aca="false">IF(J798="","",IF(AND('Daily Count Sheet'!$H$3=Q798,MOD('Daily Count Sheet'!$I$3,J798)=R798),1,""))</f>
        <v/>
      </c>
      <c r="T798" s="27" t="str">
        <f aca="false">IF(S798=1,COUNTIF($S$2:S798,1),"")</f>
        <v/>
      </c>
    </row>
    <row r="799" customFormat="false" ht="15" hidden="false" customHeight="false" outlineLevel="0" collapsed="false">
      <c r="H799" s="26"/>
      <c r="I799" s="27" t="str">
        <f aca="false">IF(A799="","",IF(H799&lt;&gt;"",UPPER(TRIM(H799)),IFERROR(CHOOSE(VALUE(E799)+1,"A","B","C","D"),IF(OR(LEFT(UPPER(TRIM(E799)),1)="F",UPPER(TRIM(E799))="A"),"A",IF(OR(LEFT(UPPER(TRIM(E799)),1)="M",UPPER(TRIM(E799))="B"),"B",IF(OR(LEFT(UPPER(TRIM(E799)),2)="SL",UPPER(TRIM(E799))="C"),"C",IF(OR(LEFT(UPPER(TRIM(E799)),1)="D",UPPER(TRIM(E799))="D"),"D","")))))))</f>
        <v/>
      </c>
      <c r="J799" s="27" t="str">
        <f aca="false">IF(I799="","",IF(AND(I799="D",Settings!$B$6&lt;&gt;"Yes"),"",IFERROR(INDEX(Settings!$C$9:$C$12,MATCH(I799,Settings!$A$9:$A$12,0)),"")))</f>
        <v/>
      </c>
      <c r="K799" s="27" t="str">
        <f aca="false">IF(J799="","",COUNTIF($I$2:I799,I799))</f>
        <v/>
      </c>
      <c r="L799" s="27" t="str">
        <f aca="false">IF(J799="","",CHOOSE(Q799+1,"Tue","Wed","Thu","Fri"))</f>
        <v/>
      </c>
      <c r="M799" s="27" t="str">
        <f aca="false">IF(J799="","",IF(J799=1,"Every week",R799+1&amp;" of "&amp;J799))</f>
        <v/>
      </c>
      <c r="N799" s="28" t="str">
        <f aca="false">IF(J799="","",Settings!$B$4+R799*7+Q799)</f>
        <v/>
      </c>
      <c r="O799" s="28" t="str">
        <f aca="true">IF(J799="","",N799+MAX(0,ROUNDUP((TODAY()-N799)/(J799*7),0))*J799*7)</f>
        <v/>
      </c>
      <c r="P799" s="27" t="str">
        <f aca="false">IF(J799="","",MOD(K799-1,J799*4))</f>
        <v/>
      </c>
      <c r="Q799" s="27" t="str">
        <f aca="false">IF(J799="","",MOD(P799,4))</f>
        <v/>
      </c>
      <c r="R799" s="27" t="str">
        <f aca="false">IF(J799="","",INT(P799/4))</f>
        <v/>
      </c>
      <c r="S799" s="27" t="str">
        <f aca="false">IF(J799="","",IF(AND('Daily Count Sheet'!$H$3=Q799,MOD('Daily Count Sheet'!$I$3,J799)=R799),1,""))</f>
        <v/>
      </c>
      <c r="T799" s="27" t="str">
        <f aca="false">IF(S799=1,COUNTIF($S$2:S799,1),"")</f>
        <v/>
      </c>
    </row>
    <row r="800" customFormat="false" ht="15" hidden="false" customHeight="false" outlineLevel="0" collapsed="false">
      <c r="H800" s="26"/>
      <c r="I800" s="27" t="str">
        <f aca="false">IF(A800="","",IF(H800&lt;&gt;"",UPPER(TRIM(H800)),IFERROR(CHOOSE(VALUE(E800)+1,"A","B","C","D"),IF(OR(LEFT(UPPER(TRIM(E800)),1)="F",UPPER(TRIM(E800))="A"),"A",IF(OR(LEFT(UPPER(TRIM(E800)),1)="M",UPPER(TRIM(E800))="B"),"B",IF(OR(LEFT(UPPER(TRIM(E800)),2)="SL",UPPER(TRIM(E800))="C"),"C",IF(OR(LEFT(UPPER(TRIM(E800)),1)="D",UPPER(TRIM(E800))="D"),"D","")))))))</f>
        <v/>
      </c>
      <c r="J800" s="27" t="str">
        <f aca="false">IF(I800="","",IF(AND(I800="D",Settings!$B$6&lt;&gt;"Yes"),"",IFERROR(INDEX(Settings!$C$9:$C$12,MATCH(I800,Settings!$A$9:$A$12,0)),"")))</f>
        <v/>
      </c>
      <c r="K800" s="27" t="str">
        <f aca="false">IF(J800="","",COUNTIF($I$2:I800,I800))</f>
        <v/>
      </c>
      <c r="L800" s="27" t="str">
        <f aca="false">IF(J800="","",CHOOSE(Q800+1,"Tue","Wed","Thu","Fri"))</f>
        <v/>
      </c>
      <c r="M800" s="27" t="str">
        <f aca="false">IF(J800="","",IF(J800=1,"Every week",R800+1&amp;" of "&amp;J800))</f>
        <v/>
      </c>
      <c r="N800" s="28" t="str">
        <f aca="false">IF(J800="","",Settings!$B$4+R800*7+Q800)</f>
        <v/>
      </c>
      <c r="O800" s="28" t="str">
        <f aca="true">IF(J800="","",N800+MAX(0,ROUNDUP((TODAY()-N800)/(J800*7),0))*J800*7)</f>
        <v/>
      </c>
      <c r="P800" s="27" t="str">
        <f aca="false">IF(J800="","",MOD(K800-1,J800*4))</f>
        <v/>
      </c>
      <c r="Q800" s="27" t="str">
        <f aca="false">IF(J800="","",MOD(P800,4))</f>
        <v/>
      </c>
      <c r="R800" s="27" t="str">
        <f aca="false">IF(J800="","",INT(P800/4))</f>
        <v/>
      </c>
      <c r="S800" s="27" t="str">
        <f aca="false">IF(J800="","",IF(AND('Daily Count Sheet'!$H$3=Q800,MOD('Daily Count Sheet'!$I$3,J800)=R800),1,""))</f>
        <v/>
      </c>
      <c r="T800" s="27" t="str">
        <f aca="false">IF(S800=1,COUNTIF($S$2:S800,1),"")</f>
        <v/>
      </c>
    </row>
    <row r="801" customFormat="false" ht="15" hidden="false" customHeight="false" outlineLevel="0" collapsed="false">
      <c r="H801" s="26"/>
      <c r="I801" s="27" t="str">
        <f aca="false">IF(A801="","",IF(H801&lt;&gt;"",UPPER(TRIM(H801)),IFERROR(CHOOSE(VALUE(E801)+1,"A","B","C","D"),IF(OR(LEFT(UPPER(TRIM(E801)),1)="F",UPPER(TRIM(E801))="A"),"A",IF(OR(LEFT(UPPER(TRIM(E801)),1)="M",UPPER(TRIM(E801))="B"),"B",IF(OR(LEFT(UPPER(TRIM(E801)),2)="SL",UPPER(TRIM(E801))="C"),"C",IF(OR(LEFT(UPPER(TRIM(E801)),1)="D",UPPER(TRIM(E801))="D"),"D","")))))))</f>
        <v/>
      </c>
      <c r="J801" s="27" t="str">
        <f aca="false">IF(I801="","",IF(AND(I801="D",Settings!$B$6&lt;&gt;"Yes"),"",IFERROR(INDEX(Settings!$C$9:$C$12,MATCH(I801,Settings!$A$9:$A$12,0)),"")))</f>
        <v/>
      </c>
      <c r="K801" s="27" t="str">
        <f aca="false">IF(J801="","",COUNTIF($I$2:I801,I801))</f>
        <v/>
      </c>
      <c r="L801" s="27" t="str">
        <f aca="false">IF(J801="","",CHOOSE(Q801+1,"Tue","Wed","Thu","Fri"))</f>
        <v/>
      </c>
      <c r="M801" s="27" t="str">
        <f aca="false">IF(J801="","",IF(J801=1,"Every week",R801+1&amp;" of "&amp;J801))</f>
        <v/>
      </c>
      <c r="N801" s="28" t="str">
        <f aca="false">IF(J801="","",Settings!$B$4+R801*7+Q801)</f>
        <v/>
      </c>
      <c r="O801" s="28" t="str">
        <f aca="true">IF(J801="","",N801+MAX(0,ROUNDUP((TODAY()-N801)/(J801*7),0))*J801*7)</f>
        <v/>
      </c>
      <c r="P801" s="27" t="str">
        <f aca="false">IF(J801="","",MOD(K801-1,J801*4))</f>
        <v/>
      </c>
      <c r="Q801" s="27" t="str">
        <f aca="false">IF(J801="","",MOD(P801,4))</f>
        <v/>
      </c>
      <c r="R801" s="27" t="str">
        <f aca="false">IF(J801="","",INT(P801/4))</f>
        <v/>
      </c>
      <c r="S801" s="27" t="str">
        <f aca="false">IF(J801="","",IF(AND('Daily Count Sheet'!$H$3=Q801,MOD('Daily Count Sheet'!$I$3,J801)=R801),1,""))</f>
        <v/>
      </c>
      <c r="T801" s="27" t="str">
        <f aca="false">IF(S801=1,COUNTIF($S$2:S801,1),"")</f>
        <v/>
      </c>
    </row>
    <row r="802" customFormat="false" ht="15" hidden="false" customHeight="false" outlineLevel="0" collapsed="false">
      <c r="H802" s="26"/>
      <c r="I802" s="27" t="str">
        <f aca="false">IF(A802="","",IF(H802&lt;&gt;"",UPPER(TRIM(H802)),IFERROR(CHOOSE(VALUE(E802)+1,"A","B","C","D"),IF(OR(LEFT(UPPER(TRIM(E802)),1)="F",UPPER(TRIM(E802))="A"),"A",IF(OR(LEFT(UPPER(TRIM(E802)),1)="M",UPPER(TRIM(E802))="B"),"B",IF(OR(LEFT(UPPER(TRIM(E802)),2)="SL",UPPER(TRIM(E802))="C"),"C",IF(OR(LEFT(UPPER(TRIM(E802)),1)="D",UPPER(TRIM(E802))="D"),"D","")))))))</f>
        <v/>
      </c>
      <c r="J802" s="27" t="str">
        <f aca="false">IF(I802="","",IF(AND(I802="D",Settings!$B$6&lt;&gt;"Yes"),"",IFERROR(INDEX(Settings!$C$9:$C$12,MATCH(I802,Settings!$A$9:$A$12,0)),"")))</f>
        <v/>
      </c>
      <c r="K802" s="27" t="str">
        <f aca="false">IF(J802="","",COUNTIF($I$2:I802,I802))</f>
        <v/>
      </c>
      <c r="L802" s="27" t="str">
        <f aca="false">IF(J802="","",CHOOSE(Q802+1,"Tue","Wed","Thu","Fri"))</f>
        <v/>
      </c>
      <c r="M802" s="27" t="str">
        <f aca="false">IF(J802="","",IF(J802=1,"Every week",R802+1&amp;" of "&amp;J802))</f>
        <v/>
      </c>
      <c r="N802" s="28" t="str">
        <f aca="false">IF(J802="","",Settings!$B$4+R802*7+Q802)</f>
        <v/>
      </c>
      <c r="O802" s="28" t="str">
        <f aca="true">IF(J802="","",N802+MAX(0,ROUNDUP((TODAY()-N802)/(J802*7),0))*J802*7)</f>
        <v/>
      </c>
      <c r="P802" s="27" t="str">
        <f aca="false">IF(J802="","",MOD(K802-1,J802*4))</f>
        <v/>
      </c>
      <c r="Q802" s="27" t="str">
        <f aca="false">IF(J802="","",MOD(P802,4))</f>
        <v/>
      </c>
      <c r="R802" s="27" t="str">
        <f aca="false">IF(J802="","",INT(P802/4))</f>
        <v/>
      </c>
      <c r="S802" s="27" t="str">
        <f aca="false">IF(J802="","",IF(AND('Daily Count Sheet'!$H$3=Q802,MOD('Daily Count Sheet'!$I$3,J802)=R802),1,""))</f>
        <v/>
      </c>
      <c r="T802" s="27" t="str">
        <f aca="false">IF(S802=1,COUNTIF($S$2:S802,1),"")</f>
        <v/>
      </c>
    </row>
    <row r="803" customFormat="false" ht="15" hidden="false" customHeight="false" outlineLevel="0" collapsed="false">
      <c r="H803" s="26"/>
      <c r="I803" s="27" t="str">
        <f aca="false">IF(A803="","",IF(H803&lt;&gt;"",UPPER(TRIM(H803)),IFERROR(CHOOSE(VALUE(E803)+1,"A","B","C","D"),IF(OR(LEFT(UPPER(TRIM(E803)),1)="F",UPPER(TRIM(E803))="A"),"A",IF(OR(LEFT(UPPER(TRIM(E803)),1)="M",UPPER(TRIM(E803))="B"),"B",IF(OR(LEFT(UPPER(TRIM(E803)),2)="SL",UPPER(TRIM(E803))="C"),"C",IF(OR(LEFT(UPPER(TRIM(E803)),1)="D",UPPER(TRIM(E803))="D"),"D","")))))))</f>
        <v/>
      </c>
      <c r="J803" s="27" t="str">
        <f aca="false">IF(I803="","",IF(AND(I803="D",Settings!$B$6&lt;&gt;"Yes"),"",IFERROR(INDEX(Settings!$C$9:$C$12,MATCH(I803,Settings!$A$9:$A$12,0)),"")))</f>
        <v/>
      </c>
      <c r="K803" s="27" t="str">
        <f aca="false">IF(J803="","",COUNTIF($I$2:I803,I803))</f>
        <v/>
      </c>
      <c r="L803" s="27" t="str">
        <f aca="false">IF(J803="","",CHOOSE(Q803+1,"Tue","Wed","Thu","Fri"))</f>
        <v/>
      </c>
      <c r="M803" s="27" t="str">
        <f aca="false">IF(J803="","",IF(J803=1,"Every week",R803+1&amp;" of "&amp;J803))</f>
        <v/>
      </c>
      <c r="N803" s="28" t="str">
        <f aca="false">IF(J803="","",Settings!$B$4+R803*7+Q803)</f>
        <v/>
      </c>
      <c r="O803" s="28" t="str">
        <f aca="true">IF(J803="","",N803+MAX(0,ROUNDUP((TODAY()-N803)/(J803*7),0))*J803*7)</f>
        <v/>
      </c>
      <c r="P803" s="27" t="str">
        <f aca="false">IF(J803="","",MOD(K803-1,J803*4))</f>
        <v/>
      </c>
      <c r="Q803" s="27" t="str">
        <f aca="false">IF(J803="","",MOD(P803,4))</f>
        <v/>
      </c>
      <c r="R803" s="27" t="str">
        <f aca="false">IF(J803="","",INT(P803/4))</f>
        <v/>
      </c>
      <c r="S803" s="27" t="str">
        <f aca="false">IF(J803="","",IF(AND('Daily Count Sheet'!$H$3=Q803,MOD('Daily Count Sheet'!$I$3,J803)=R803),1,""))</f>
        <v/>
      </c>
      <c r="T803" s="27" t="str">
        <f aca="false">IF(S803=1,COUNTIF($S$2:S803,1),"")</f>
        <v/>
      </c>
    </row>
    <row r="804" customFormat="false" ht="15" hidden="false" customHeight="false" outlineLevel="0" collapsed="false">
      <c r="H804" s="26"/>
      <c r="I804" s="27" t="str">
        <f aca="false">IF(A804="","",IF(H804&lt;&gt;"",UPPER(TRIM(H804)),IFERROR(CHOOSE(VALUE(E804)+1,"A","B","C","D"),IF(OR(LEFT(UPPER(TRIM(E804)),1)="F",UPPER(TRIM(E804))="A"),"A",IF(OR(LEFT(UPPER(TRIM(E804)),1)="M",UPPER(TRIM(E804))="B"),"B",IF(OR(LEFT(UPPER(TRIM(E804)),2)="SL",UPPER(TRIM(E804))="C"),"C",IF(OR(LEFT(UPPER(TRIM(E804)),1)="D",UPPER(TRIM(E804))="D"),"D","")))))))</f>
        <v/>
      </c>
      <c r="J804" s="27" t="str">
        <f aca="false">IF(I804="","",IF(AND(I804="D",Settings!$B$6&lt;&gt;"Yes"),"",IFERROR(INDEX(Settings!$C$9:$C$12,MATCH(I804,Settings!$A$9:$A$12,0)),"")))</f>
        <v/>
      </c>
      <c r="K804" s="27" t="str">
        <f aca="false">IF(J804="","",COUNTIF($I$2:I804,I804))</f>
        <v/>
      </c>
      <c r="L804" s="27" t="str">
        <f aca="false">IF(J804="","",CHOOSE(Q804+1,"Tue","Wed","Thu","Fri"))</f>
        <v/>
      </c>
      <c r="M804" s="27" t="str">
        <f aca="false">IF(J804="","",IF(J804=1,"Every week",R804+1&amp;" of "&amp;J804))</f>
        <v/>
      </c>
      <c r="N804" s="28" t="str">
        <f aca="false">IF(J804="","",Settings!$B$4+R804*7+Q804)</f>
        <v/>
      </c>
      <c r="O804" s="28" t="str">
        <f aca="true">IF(J804="","",N804+MAX(0,ROUNDUP((TODAY()-N804)/(J804*7),0))*J804*7)</f>
        <v/>
      </c>
      <c r="P804" s="27" t="str">
        <f aca="false">IF(J804="","",MOD(K804-1,J804*4))</f>
        <v/>
      </c>
      <c r="Q804" s="27" t="str">
        <f aca="false">IF(J804="","",MOD(P804,4))</f>
        <v/>
      </c>
      <c r="R804" s="27" t="str">
        <f aca="false">IF(J804="","",INT(P804/4))</f>
        <v/>
      </c>
      <c r="S804" s="27" t="str">
        <f aca="false">IF(J804="","",IF(AND('Daily Count Sheet'!$H$3=Q804,MOD('Daily Count Sheet'!$I$3,J804)=R804),1,""))</f>
        <v/>
      </c>
      <c r="T804" s="27" t="str">
        <f aca="false">IF(S804=1,COUNTIF($S$2:S804,1),"")</f>
        <v/>
      </c>
    </row>
    <row r="805" customFormat="false" ht="15" hidden="false" customHeight="false" outlineLevel="0" collapsed="false">
      <c r="H805" s="26"/>
      <c r="I805" s="27" t="str">
        <f aca="false">IF(A805="","",IF(H805&lt;&gt;"",UPPER(TRIM(H805)),IFERROR(CHOOSE(VALUE(E805)+1,"A","B","C","D"),IF(OR(LEFT(UPPER(TRIM(E805)),1)="F",UPPER(TRIM(E805))="A"),"A",IF(OR(LEFT(UPPER(TRIM(E805)),1)="M",UPPER(TRIM(E805))="B"),"B",IF(OR(LEFT(UPPER(TRIM(E805)),2)="SL",UPPER(TRIM(E805))="C"),"C",IF(OR(LEFT(UPPER(TRIM(E805)),1)="D",UPPER(TRIM(E805))="D"),"D","")))))))</f>
        <v/>
      </c>
      <c r="J805" s="27" t="str">
        <f aca="false">IF(I805="","",IF(AND(I805="D",Settings!$B$6&lt;&gt;"Yes"),"",IFERROR(INDEX(Settings!$C$9:$C$12,MATCH(I805,Settings!$A$9:$A$12,0)),"")))</f>
        <v/>
      </c>
      <c r="K805" s="27" t="str">
        <f aca="false">IF(J805="","",COUNTIF($I$2:I805,I805))</f>
        <v/>
      </c>
      <c r="L805" s="27" t="str">
        <f aca="false">IF(J805="","",CHOOSE(Q805+1,"Tue","Wed","Thu","Fri"))</f>
        <v/>
      </c>
      <c r="M805" s="27" t="str">
        <f aca="false">IF(J805="","",IF(J805=1,"Every week",R805+1&amp;" of "&amp;J805))</f>
        <v/>
      </c>
      <c r="N805" s="28" t="str">
        <f aca="false">IF(J805="","",Settings!$B$4+R805*7+Q805)</f>
        <v/>
      </c>
      <c r="O805" s="28" t="str">
        <f aca="true">IF(J805="","",N805+MAX(0,ROUNDUP((TODAY()-N805)/(J805*7),0))*J805*7)</f>
        <v/>
      </c>
      <c r="P805" s="27" t="str">
        <f aca="false">IF(J805="","",MOD(K805-1,J805*4))</f>
        <v/>
      </c>
      <c r="Q805" s="27" t="str">
        <f aca="false">IF(J805="","",MOD(P805,4))</f>
        <v/>
      </c>
      <c r="R805" s="27" t="str">
        <f aca="false">IF(J805="","",INT(P805/4))</f>
        <v/>
      </c>
      <c r="S805" s="27" t="str">
        <f aca="false">IF(J805="","",IF(AND('Daily Count Sheet'!$H$3=Q805,MOD('Daily Count Sheet'!$I$3,J805)=R805),1,""))</f>
        <v/>
      </c>
      <c r="T805" s="27" t="str">
        <f aca="false">IF(S805=1,COUNTIF($S$2:S805,1),"")</f>
        <v/>
      </c>
    </row>
    <row r="806" customFormat="false" ht="15" hidden="false" customHeight="false" outlineLevel="0" collapsed="false">
      <c r="H806" s="26"/>
      <c r="I806" s="27" t="str">
        <f aca="false">IF(A806="","",IF(H806&lt;&gt;"",UPPER(TRIM(H806)),IFERROR(CHOOSE(VALUE(E806)+1,"A","B","C","D"),IF(OR(LEFT(UPPER(TRIM(E806)),1)="F",UPPER(TRIM(E806))="A"),"A",IF(OR(LEFT(UPPER(TRIM(E806)),1)="M",UPPER(TRIM(E806))="B"),"B",IF(OR(LEFT(UPPER(TRIM(E806)),2)="SL",UPPER(TRIM(E806))="C"),"C",IF(OR(LEFT(UPPER(TRIM(E806)),1)="D",UPPER(TRIM(E806))="D"),"D","")))))))</f>
        <v/>
      </c>
      <c r="J806" s="27" t="str">
        <f aca="false">IF(I806="","",IF(AND(I806="D",Settings!$B$6&lt;&gt;"Yes"),"",IFERROR(INDEX(Settings!$C$9:$C$12,MATCH(I806,Settings!$A$9:$A$12,0)),"")))</f>
        <v/>
      </c>
      <c r="K806" s="27" t="str">
        <f aca="false">IF(J806="","",COUNTIF($I$2:I806,I806))</f>
        <v/>
      </c>
      <c r="L806" s="27" t="str">
        <f aca="false">IF(J806="","",CHOOSE(Q806+1,"Tue","Wed","Thu","Fri"))</f>
        <v/>
      </c>
      <c r="M806" s="27" t="str">
        <f aca="false">IF(J806="","",IF(J806=1,"Every week",R806+1&amp;" of "&amp;J806))</f>
        <v/>
      </c>
      <c r="N806" s="28" t="str">
        <f aca="false">IF(J806="","",Settings!$B$4+R806*7+Q806)</f>
        <v/>
      </c>
      <c r="O806" s="28" t="str">
        <f aca="true">IF(J806="","",N806+MAX(0,ROUNDUP((TODAY()-N806)/(J806*7),0))*J806*7)</f>
        <v/>
      </c>
      <c r="P806" s="27" t="str">
        <f aca="false">IF(J806="","",MOD(K806-1,J806*4))</f>
        <v/>
      </c>
      <c r="Q806" s="27" t="str">
        <f aca="false">IF(J806="","",MOD(P806,4))</f>
        <v/>
      </c>
      <c r="R806" s="27" t="str">
        <f aca="false">IF(J806="","",INT(P806/4))</f>
        <v/>
      </c>
      <c r="S806" s="27" t="str">
        <f aca="false">IF(J806="","",IF(AND('Daily Count Sheet'!$H$3=Q806,MOD('Daily Count Sheet'!$I$3,J806)=R806),1,""))</f>
        <v/>
      </c>
      <c r="T806" s="27" t="str">
        <f aca="false">IF(S806=1,COUNTIF($S$2:S806,1),"")</f>
        <v/>
      </c>
    </row>
    <row r="807" customFormat="false" ht="15" hidden="false" customHeight="false" outlineLevel="0" collapsed="false">
      <c r="H807" s="26"/>
      <c r="I807" s="27" t="str">
        <f aca="false">IF(A807="","",IF(H807&lt;&gt;"",UPPER(TRIM(H807)),IFERROR(CHOOSE(VALUE(E807)+1,"A","B","C","D"),IF(OR(LEFT(UPPER(TRIM(E807)),1)="F",UPPER(TRIM(E807))="A"),"A",IF(OR(LEFT(UPPER(TRIM(E807)),1)="M",UPPER(TRIM(E807))="B"),"B",IF(OR(LEFT(UPPER(TRIM(E807)),2)="SL",UPPER(TRIM(E807))="C"),"C",IF(OR(LEFT(UPPER(TRIM(E807)),1)="D",UPPER(TRIM(E807))="D"),"D","")))))))</f>
        <v/>
      </c>
      <c r="J807" s="27" t="str">
        <f aca="false">IF(I807="","",IF(AND(I807="D",Settings!$B$6&lt;&gt;"Yes"),"",IFERROR(INDEX(Settings!$C$9:$C$12,MATCH(I807,Settings!$A$9:$A$12,0)),"")))</f>
        <v/>
      </c>
      <c r="K807" s="27" t="str">
        <f aca="false">IF(J807="","",COUNTIF($I$2:I807,I807))</f>
        <v/>
      </c>
      <c r="L807" s="27" t="str">
        <f aca="false">IF(J807="","",CHOOSE(Q807+1,"Tue","Wed","Thu","Fri"))</f>
        <v/>
      </c>
      <c r="M807" s="27" t="str">
        <f aca="false">IF(J807="","",IF(J807=1,"Every week",R807+1&amp;" of "&amp;J807))</f>
        <v/>
      </c>
      <c r="N807" s="28" t="str">
        <f aca="false">IF(J807="","",Settings!$B$4+R807*7+Q807)</f>
        <v/>
      </c>
      <c r="O807" s="28" t="str">
        <f aca="true">IF(J807="","",N807+MAX(0,ROUNDUP((TODAY()-N807)/(J807*7),0))*J807*7)</f>
        <v/>
      </c>
      <c r="P807" s="27" t="str">
        <f aca="false">IF(J807="","",MOD(K807-1,J807*4))</f>
        <v/>
      </c>
      <c r="Q807" s="27" t="str">
        <f aca="false">IF(J807="","",MOD(P807,4))</f>
        <v/>
      </c>
      <c r="R807" s="27" t="str">
        <f aca="false">IF(J807="","",INT(P807/4))</f>
        <v/>
      </c>
      <c r="S807" s="27" t="str">
        <f aca="false">IF(J807="","",IF(AND('Daily Count Sheet'!$H$3=Q807,MOD('Daily Count Sheet'!$I$3,J807)=R807),1,""))</f>
        <v/>
      </c>
      <c r="T807" s="27" t="str">
        <f aca="false">IF(S807=1,COUNTIF($S$2:S807,1),"")</f>
        <v/>
      </c>
    </row>
    <row r="808" customFormat="false" ht="15" hidden="false" customHeight="false" outlineLevel="0" collapsed="false">
      <c r="H808" s="26"/>
      <c r="I808" s="27" t="str">
        <f aca="false">IF(A808="","",IF(H808&lt;&gt;"",UPPER(TRIM(H808)),IFERROR(CHOOSE(VALUE(E808)+1,"A","B","C","D"),IF(OR(LEFT(UPPER(TRIM(E808)),1)="F",UPPER(TRIM(E808))="A"),"A",IF(OR(LEFT(UPPER(TRIM(E808)),1)="M",UPPER(TRIM(E808))="B"),"B",IF(OR(LEFT(UPPER(TRIM(E808)),2)="SL",UPPER(TRIM(E808))="C"),"C",IF(OR(LEFT(UPPER(TRIM(E808)),1)="D",UPPER(TRIM(E808))="D"),"D","")))))))</f>
        <v/>
      </c>
      <c r="J808" s="27" t="str">
        <f aca="false">IF(I808="","",IF(AND(I808="D",Settings!$B$6&lt;&gt;"Yes"),"",IFERROR(INDEX(Settings!$C$9:$C$12,MATCH(I808,Settings!$A$9:$A$12,0)),"")))</f>
        <v/>
      </c>
      <c r="K808" s="27" t="str">
        <f aca="false">IF(J808="","",COUNTIF($I$2:I808,I808))</f>
        <v/>
      </c>
      <c r="L808" s="27" t="str">
        <f aca="false">IF(J808="","",CHOOSE(Q808+1,"Tue","Wed","Thu","Fri"))</f>
        <v/>
      </c>
      <c r="M808" s="27" t="str">
        <f aca="false">IF(J808="","",IF(J808=1,"Every week",R808+1&amp;" of "&amp;J808))</f>
        <v/>
      </c>
      <c r="N808" s="28" t="str">
        <f aca="false">IF(J808="","",Settings!$B$4+R808*7+Q808)</f>
        <v/>
      </c>
      <c r="O808" s="28" t="str">
        <f aca="true">IF(J808="","",N808+MAX(0,ROUNDUP((TODAY()-N808)/(J808*7),0))*J808*7)</f>
        <v/>
      </c>
      <c r="P808" s="27" t="str">
        <f aca="false">IF(J808="","",MOD(K808-1,J808*4))</f>
        <v/>
      </c>
      <c r="Q808" s="27" t="str">
        <f aca="false">IF(J808="","",MOD(P808,4))</f>
        <v/>
      </c>
      <c r="R808" s="27" t="str">
        <f aca="false">IF(J808="","",INT(P808/4))</f>
        <v/>
      </c>
      <c r="S808" s="27" t="str">
        <f aca="false">IF(J808="","",IF(AND('Daily Count Sheet'!$H$3=Q808,MOD('Daily Count Sheet'!$I$3,J808)=R808),1,""))</f>
        <v/>
      </c>
      <c r="T808" s="27" t="str">
        <f aca="false">IF(S808=1,COUNTIF($S$2:S808,1),"")</f>
        <v/>
      </c>
    </row>
    <row r="809" customFormat="false" ht="15" hidden="false" customHeight="false" outlineLevel="0" collapsed="false">
      <c r="H809" s="26"/>
      <c r="I809" s="27" t="str">
        <f aca="false">IF(A809="","",IF(H809&lt;&gt;"",UPPER(TRIM(H809)),IFERROR(CHOOSE(VALUE(E809)+1,"A","B","C","D"),IF(OR(LEFT(UPPER(TRIM(E809)),1)="F",UPPER(TRIM(E809))="A"),"A",IF(OR(LEFT(UPPER(TRIM(E809)),1)="M",UPPER(TRIM(E809))="B"),"B",IF(OR(LEFT(UPPER(TRIM(E809)),2)="SL",UPPER(TRIM(E809))="C"),"C",IF(OR(LEFT(UPPER(TRIM(E809)),1)="D",UPPER(TRIM(E809))="D"),"D","")))))))</f>
        <v/>
      </c>
      <c r="J809" s="27" t="str">
        <f aca="false">IF(I809="","",IF(AND(I809="D",Settings!$B$6&lt;&gt;"Yes"),"",IFERROR(INDEX(Settings!$C$9:$C$12,MATCH(I809,Settings!$A$9:$A$12,0)),"")))</f>
        <v/>
      </c>
      <c r="K809" s="27" t="str">
        <f aca="false">IF(J809="","",COUNTIF($I$2:I809,I809))</f>
        <v/>
      </c>
      <c r="L809" s="27" t="str">
        <f aca="false">IF(J809="","",CHOOSE(Q809+1,"Tue","Wed","Thu","Fri"))</f>
        <v/>
      </c>
      <c r="M809" s="27" t="str">
        <f aca="false">IF(J809="","",IF(J809=1,"Every week",R809+1&amp;" of "&amp;J809))</f>
        <v/>
      </c>
      <c r="N809" s="28" t="str">
        <f aca="false">IF(J809="","",Settings!$B$4+R809*7+Q809)</f>
        <v/>
      </c>
      <c r="O809" s="28" t="str">
        <f aca="true">IF(J809="","",N809+MAX(0,ROUNDUP((TODAY()-N809)/(J809*7),0))*J809*7)</f>
        <v/>
      </c>
      <c r="P809" s="27" t="str">
        <f aca="false">IF(J809="","",MOD(K809-1,J809*4))</f>
        <v/>
      </c>
      <c r="Q809" s="27" t="str">
        <f aca="false">IF(J809="","",MOD(P809,4))</f>
        <v/>
      </c>
      <c r="R809" s="27" t="str">
        <f aca="false">IF(J809="","",INT(P809/4))</f>
        <v/>
      </c>
      <c r="S809" s="27" t="str">
        <f aca="false">IF(J809="","",IF(AND('Daily Count Sheet'!$H$3=Q809,MOD('Daily Count Sheet'!$I$3,J809)=R809),1,""))</f>
        <v/>
      </c>
      <c r="T809" s="27" t="str">
        <f aca="false">IF(S809=1,COUNTIF($S$2:S809,1),"")</f>
        <v/>
      </c>
    </row>
    <row r="810" customFormat="false" ht="15" hidden="false" customHeight="false" outlineLevel="0" collapsed="false">
      <c r="H810" s="26"/>
      <c r="I810" s="27" t="str">
        <f aca="false">IF(A810="","",IF(H810&lt;&gt;"",UPPER(TRIM(H810)),IFERROR(CHOOSE(VALUE(E810)+1,"A","B","C","D"),IF(OR(LEFT(UPPER(TRIM(E810)),1)="F",UPPER(TRIM(E810))="A"),"A",IF(OR(LEFT(UPPER(TRIM(E810)),1)="M",UPPER(TRIM(E810))="B"),"B",IF(OR(LEFT(UPPER(TRIM(E810)),2)="SL",UPPER(TRIM(E810))="C"),"C",IF(OR(LEFT(UPPER(TRIM(E810)),1)="D",UPPER(TRIM(E810))="D"),"D","")))))))</f>
        <v/>
      </c>
      <c r="J810" s="27" t="str">
        <f aca="false">IF(I810="","",IF(AND(I810="D",Settings!$B$6&lt;&gt;"Yes"),"",IFERROR(INDEX(Settings!$C$9:$C$12,MATCH(I810,Settings!$A$9:$A$12,0)),"")))</f>
        <v/>
      </c>
      <c r="K810" s="27" t="str">
        <f aca="false">IF(J810="","",COUNTIF($I$2:I810,I810))</f>
        <v/>
      </c>
      <c r="L810" s="27" t="str">
        <f aca="false">IF(J810="","",CHOOSE(Q810+1,"Tue","Wed","Thu","Fri"))</f>
        <v/>
      </c>
      <c r="M810" s="27" t="str">
        <f aca="false">IF(J810="","",IF(J810=1,"Every week",R810+1&amp;" of "&amp;J810))</f>
        <v/>
      </c>
      <c r="N810" s="28" t="str">
        <f aca="false">IF(J810="","",Settings!$B$4+R810*7+Q810)</f>
        <v/>
      </c>
      <c r="O810" s="28" t="str">
        <f aca="true">IF(J810="","",N810+MAX(0,ROUNDUP((TODAY()-N810)/(J810*7),0))*J810*7)</f>
        <v/>
      </c>
      <c r="P810" s="27" t="str">
        <f aca="false">IF(J810="","",MOD(K810-1,J810*4))</f>
        <v/>
      </c>
      <c r="Q810" s="27" t="str">
        <f aca="false">IF(J810="","",MOD(P810,4))</f>
        <v/>
      </c>
      <c r="R810" s="27" t="str">
        <f aca="false">IF(J810="","",INT(P810/4))</f>
        <v/>
      </c>
      <c r="S810" s="27" t="str">
        <f aca="false">IF(J810="","",IF(AND('Daily Count Sheet'!$H$3=Q810,MOD('Daily Count Sheet'!$I$3,J810)=R810),1,""))</f>
        <v/>
      </c>
      <c r="T810" s="27" t="str">
        <f aca="false">IF(S810=1,COUNTIF($S$2:S810,1),"")</f>
        <v/>
      </c>
    </row>
    <row r="811" customFormat="false" ht="15" hidden="false" customHeight="false" outlineLevel="0" collapsed="false">
      <c r="H811" s="26"/>
      <c r="I811" s="27" t="str">
        <f aca="false">IF(A811="","",IF(H811&lt;&gt;"",UPPER(TRIM(H811)),IFERROR(CHOOSE(VALUE(E811)+1,"A","B","C","D"),IF(OR(LEFT(UPPER(TRIM(E811)),1)="F",UPPER(TRIM(E811))="A"),"A",IF(OR(LEFT(UPPER(TRIM(E811)),1)="M",UPPER(TRIM(E811))="B"),"B",IF(OR(LEFT(UPPER(TRIM(E811)),2)="SL",UPPER(TRIM(E811))="C"),"C",IF(OR(LEFT(UPPER(TRIM(E811)),1)="D",UPPER(TRIM(E811))="D"),"D","")))))))</f>
        <v/>
      </c>
      <c r="J811" s="27" t="str">
        <f aca="false">IF(I811="","",IF(AND(I811="D",Settings!$B$6&lt;&gt;"Yes"),"",IFERROR(INDEX(Settings!$C$9:$C$12,MATCH(I811,Settings!$A$9:$A$12,0)),"")))</f>
        <v/>
      </c>
      <c r="K811" s="27" t="str">
        <f aca="false">IF(J811="","",COUNTIF($I$2:I811,I811))</f>
        <v/>
      </c>
      <c r="L811" s="27" t="str">
        <f aca="false">IF(J811="","",CHOOSE(Q811+1,"Tue","Wed","Thu","Fri"))</f>
        <v/>
      </c>
      <c r="M811" s="27" t="str">
        <f aca="false">IF(J811="","",IF(J811=1,"Every week",R811+1&amp;" of "&amp;J811))</f>
        <v/>
      </c>
      <c r="N811" s="28" t="str">
        <f aca="false">IF(J811="","",Settings!$B$4+R811*7+Q811)</f>
        <v/>
      </c>
      <c r="O811" s="28" t="str">
        <f aca="true">IF(J811="","",N811+MAX(0,ROUNDUP((TODAY()-N811)/(J811*7),0))*J811*7)</f>
        <v/>
      </c>
      <c r="P811" s="27" t="str">
        <f aca="false">IF(J811="","",MOD(K811-1,J811*4))</f>
        <v/>
      </c>
      <c r="Q811" s="27" t="str">
        <f aca="false">IF(J811="","",MOD(P811,4))</f>
        <v/>
      </c>
      <c r="R811" s="27" t="str">
        <f aca="false">IF(J811="","",INT(P811/4))</f>
        <v/>
      </c>
      <c r="S811" s="27" t="str">
        <f aca="false">IF(J811="","",IF(AND('Daily Count Sheet'!$H$3=Q811,MOD('Daily Count Sheet'!$I$3,J811)=R811),1,""))</f>
        <v/>
      </c>
      <c r="T811" s="27" t="str">
        <f aca="false">IF(S811=1,COUNTIF($S$2:S811,1),"")</f>
        <v/>
      </c>
    </row>
    <row r="812" customFormat="false" ht="15" hidden="false" customHeight="false" outlineLevel="0" collapsed="false">
      <c r="H812" s="26"/>
      <c r="I812" s="27" t="str">
        <f aca="false">IF(A812="","",IF(H812&lt;&gt;"",UPPER(TRIM(H812)),IFERROR(CHOOSE(VALUE(E812)+1,"A","B","C","D"),IF(OR(LEFT(UPPER(TRIM(E812)),1)="F",UPPER(TRIM(E812))="A"),"A",IF(OR(LEFT(UPPER(TRIM(E812)),1)="M",UPPER(TRIM(E812))="B"),"B",IF(OR(LEFT(UPPER(TRIM(E812)),2)="SL",UPPER(TRIM(E812))="C"),"C",IF(OR(LEFT(UPPER(TRIM(E812)),1)="D",UPPER(TRIM(E812))="D"),"D","")))))))</f>
        <v/>
      </c>
      <c r="J812" s="27" t="str">
        <f aca="false">IF(I812="","",IF(AND(I812="D",Settings!$B$6&lt;&gt;"Yes"),"",IFERROR(INDEX(Settings!$C$9:$C$12,MATCH(I812,Settings!$A$9:$A$12,0)),"")))</f>
        <v/>
      </c>
      <c r="K812" s="27" t="str">
        <f aca="false">IF(J812="","",COUNTIF($I$2:I812,I812))</f>
        <v/>
      </c>
      <c r="L812" s="27" t="str">
        <f aca="false">IF(J812="","",CHOOSE(Q812+1,"Tue","Wed","Thu","Fri"))</f>
        <v/>
      </c>
      <c r="M812" s="27" t="str">
        <f aca="false">IF(J812="","",IF(J812=1,"Every week",R812+1&amp;" of "&amp;J812))</f>
        <v/>
      </c>
      <c r="N812" s="28" t="str">
        <f aca="false">IF(J812="","",Settings!$B$4+R812*7+Q812)</f>
        <v/>
      </c>
      <c r="O812" s="28" t="str">
        <f aca="true">IF(J812="","",N812+MAX(0,ROUNDUP((TODAY()-N812)/(J812*7),0))*J812*7)</f>
        <v/>
      </c>
      <c r="P812" s="27" t="str">
        <f aca="false">IF(J812="","",MOD(K812-1,J812*4))</f>
        <v/>
      </c>
      <c r="Q812" s="27" t="str">
        <f aca="false">IF(J812="","",MOD(P812,4))</f>
        <v/>
      </c>
      <c r="R812" s="27" t="str">
        <f aca="false">IF(J812="","",INT(P812/4))</f>
        <v/>
      </c>
      <c r="S812" s="27" t="str">
        <f aca="false">IF(J812="","",IF(AND('Daily Count Sheet'!$H$3=Q812,MOD('Daily Count Sheet'!$I$3,J812)=R812),1,""))</f>
        <v/>
      </c>
      <c r="T812" s="27" t="str">
        <f aca="false">IF(S812=1,COUNTIF($S$2:S812,1),"")</f>
        <v/>
      </c>
    </row>
    <row r="813" customFormat="false" ht="15" hidden="false" customHeight="false" outlineLevel="0" collapsed="false">
      <c r="H813" s="26"/>
      <c r="I813" s="27" t="str">
        <f aca="false">IF(A813="","",IF(H813&lt;&gt;"",UPPER(TRIM(H813)),IFERROR(CHOOSE(VALUE(E813)+1,"A","B","C","D"),IF(OR(LEFT(UPPER(TRIM(E813)),1)="F",UPPER(TRIM(E813))="A"),"A",IF(OR(LEFT(UPPER(TRIM(E813)),1)="M",UPPER(TRIM(E813))="B"),"B",IF(OR(LEFT(UPPER(TRIM(E813)),2)="SL",UPPER(TRIM(E813))="C"),"C",IF(OR(LEFT(UPPER(TRIM(E813)),1)="D",UPPER(TRIM(E813))="D"),"D","")))))))</f>
        <v/>
      </c>
      <c r="J813" s="27" t="str">
        <f aca="false">IF(I813="","",IF(AND(I813="D",Settings!$B$6&lt;&gt;"Yes"),"",IFERROR(INDEX(Settings!$C$9:$C$12,MATCH(I813,Settings!$A$9:$A$12,0)),"")))</f>
        <v/>
      </c>
      <c r="K813" s="27" t="str">
        <f aca="false">IF(J813="","",COUNTIF($I$2:I813,I813))</f>
        <v/>
      </c>
      <c r="L813" s="27" t="str">
        <f aca="false">IF(J813="","",CHOOSE(Q813+1,"Tue","Wed","Thu","Fri"))</f>
        <v/>
      </c>
      <c r="M813" s="27" t="str">
        <f aca="false">IF(J813="","",IF(J813=1,"Every week",R813+1&amp;" of "&amp;J813))</f>
        <v/>
      </c>
      <c r="N813" s="28" t="str">
        <f aca="false">IF(J813="","",Settings!$B$4+R813*7+Q813)</f>
        <v/>
      </c>
      <c r="O813" s="28" t="str">
        <f aca="true">IF(J813="","",N813+MAX(0,ROUNDUP((TODAY()-N813)/(J813*7),0))*J813*7)</f>
        <v/>
      </c>
      <c r="P813" s="27" t="str">
        <f aca="false">IF(J813="","",MOD(K813-1,J813*4))</f>
        <v/>
      </c>
      <c r="Q813" s="27" t="str">
        <f aca="false">IF(J813="","",MOD(P813,4))</f>
        <v/>
      </c>
      <c r="R813" s="27" t="str">
        <f aca="false">IF(J813="","",INT(P813/4))</f>
        <v/>
      </c>
      <c r="S813" s="27" t="str">
        <f aca="false">IF(J813="","",IF(AND('Daily Count Sheet'!$H$3=Q813,MOD('Daily Count Sheet'!$I$3,J813)=R813),1,""))</f>
        <v/>
      </c>
      <c r="T813" s="27" t="str">
        <f aca="false">IF(S813=1,COUNTIF($S$2:S813,1),"")</f>
        <v/>
      </c>
    </row>
    <row r="814" customFormat="false" ht="15" hidden="false" customHeight="false" outlineLevel="0" collapsed="false">
      <c r="H814" s="26"/>
      <c r="I814" s="27" t="str">
        <f aca="false">IF(A814="","",IF(H814&lt;&gt;"",UPPER(TRIM(H814)),IFERROR(CHOOSE(VALUE(E814)+1,"A","B","C","D"),IF(OR(LEFT(UPPER(TRIM(E814)),1)="F",UPPER(TRIM(E814))="A"),"A",IF(OR(LEFT(UPPER(TRIM(E814)),1)="M",UPPER(TRIM(E814))="B"),"B",IF(OR(LEFT(UPPER(TRIM(E814)),2)="SL",UPPER(TRIM(E814))="C"),"C",IF(OR(LEFT(UPPER(TRIM(E814)),1)="D",UPPER(TRIM(E814))="D"),"D","")))))))</f>
        <v/>
      </c>
      <c r="J814" s="27" t="str">
        <f aca="false">IF(I814="","",IF(AND(I814="D",Settings!$B$6&lt;&gt;"Yes"),"",IFERROR(INDEX(Settings!$C$9:$C$12,MATCH(I814,Settings!$A$9:$A$12,0)),"")))</f>
        <v/>
      </c>
      <c r="K814" s="27" t="str">
        <f aca="false">IF(J814="","",COUNTIF($I$2:I814,I814))</f>
        <v/>
      </c>
      <c r="L814" s="27" t="str">
        <f aca="false">IF(J814="","",CHOOSE(Q814+1,"Tue","Wed","Thu","Fri"))</f>
        <v/>
      </c>
      <c r="M814" s="27" t="str">
        <f aca="false">IF(J814="","",IF(J814=1,"Every week",R814+1&amp;" of "&amp;J814))</f>
        <v/>
      </c>
      <c r="N814" s="28" t="str">
        <f aca="false">IF(J814="","",Settings!$B$4+R814*7+Q814)</f>
        <v/>
      </c>
      <c r="O814" s="28" t="str">
        <f aca="true">IF(J814="","",N814+MAX(0,ROUNDUP((TODAY()-N814)/(J814*7),0))*J814*7)</f>
        <v/>
      </c>
      <c r="P814" s="27" t="str">
        <f aca="false">IF(J814="","",MOD(K814-1,J814*4))</f>
        <v/>
      </c>
      <c r="Q814" s="27" t="str">
        <f aca="false">IF(J814="","",MOD(P814,4))</f>
        <v/>
      </c>
      <c r="R814" s="27" t="str">
        <f aca="false">IF(J814="","",INT(P814/4))</f>
        <v/>
      </c>
      <c r="S814" s="27" t="str">
        <f aca="false">IF(J814="","",IF(AND('Daily Count Sheet'!$H$3=Q814,MOD('Daily Count Sheet'!$I$3,J814)=R814),1,""))</f>
        <v/>
      </c>
      <c r="T814" s="27" t="str">
        <f aca="false">IF(S814=1,COUNTIF($S$2:S814,1),"")</f>
        <v/>
      </c>
    </row>
    <row r="815" customFormat="false" ht="15" hidden="false" customHeight="false" outlineLevel="0" collapsed="false">
      <c r="H815" s="26"/>
      <c r="I815" s="27" t="str">
        <f aca="false">IF(A815="","",IF(H815&lt;&gt;"",UPPER(TRIM(H815)),IFERROR(CHOOSE(VALUE(E815)+1,"A","B","C","D"),IF(OR(LEFT(UPPER(TRIM(E815)),1)="F",UPPER(TRIM(E815))="A"),"A",IF(OR(LEFT(UPPER(TRIM(E815)),1)="M",UPPER(TRIM(E815))="B"),"B",IF(OR(LEFT(UPPER(TRIM(E815)),2)="SL",UPPER(TRIM(E815))="C"),"C",IF(OR(LEFT(UPPER(TRIM(E815)),1)="D",UPPER(TRIM(E815))="D"),"D","")))))))</f>
        <v/>
      </c>
      <c r="J815" s="27" t="str">
        <f aca="false">IF(I815="","",IF(AND(I815="D",Settings!$B$6&lt;&gt;"Yes"),"",IFERROR(INDEX(Settings!$C$9:$C$12,MATCH(I815,Settings!$A$9:$A$12,0)),"")))</f>
        <v/>
      </c>
      <c r="K815" s="27" t="str">
        <f aca="false">IF(J815="","",COUNTIF($I$2:I815,I815))</f>
        <v/>
      </c>
      <c r="L815" s="27" t="str">
        <f aca="false">IF(J815="","",CHOOSE(Q815+1,"Tue","Wed","Thu","Fri"))</f>
        <v/>
      </c>
      <c r="M815" s="27" t="str">
        <f aca="false">IF(J815="","",IF(J815=1,"Every week",R815+1&amp;" of "&amp;J815))</f>
        <v/>
      </c>
      <c r="N815" s="28" t="str">
        <f aca="false">IF(J815="","",Settings!$B$4+R815*7+Q815)</f>
        <v/>
      </c>
      <c r="O815" s="28" t="str">
        <f aca="true">IF(J815="","",N815+MAX(0,ROUNDUP((TODAY()-N815)/(J815*7),0))*J815*7)</f>
        <v/>
      </c>
      <c r="P815" s="27" t="str">
        <f aca="false">IF(J815="","",MOD(K815-1,J815*4))</f>
        <v/>
      </c>
      <c r="Q815" s="27" t="str">
        <f aca="false">IF(J815="","",MOD(P815,4))</f>
        <v/>
      </c>
      <c r="R815" s="27" t="str">
        <f aca="false">IF(J815="","",INT(P815/4))</f>
        <v/>
      </c>
      <c r="S815" s="27" t="str">
        <f aca="false">IF(J815="","",IF(AND('Daily Count Sheet'!$H$3=Q815,MOD('Daily Count Sheet'!$I$3,J815)=R815),1,""))</f>
        <v/>
      </c>
      <c r="T815" s="27" t="str">
        <f aca="false">IF(S815=1,COUNTIF($S$2:S815,1),"")</f>
        <v/>
      </c>
    </row>
    <row r="816" customFormat="false" ht="15" hidden="false" customHeight="false" outlineLevel="0" collapsed="false">
      <c r="H816" s="26"/>
      <c r="I816" s="27" t="str">
        <f aca="false">IF(A816="","",IF(H816&lt;&gt;"",UPPER(TRIM(H816)),IFERROR(CHOOSE(VALUE(E816)+1,"A","B","C","D"),IF(OR(LEFT(UPPER(TRIM(E816)),1)="F",UPPER(TRIM(E816))="A"),"A",IF(OR(LEFT(UPPER(TRIM(E816)),1)="M",UPPER(TRIM(E816))="B"),"B",IF(OR(LEFT(UPPER(TRIM(E816)),2)="SL",UPPER(TRIM(E816))="C"),"C",IF(OR(LEFT(UPPER(TRIM(E816)),1)="D",UPPER(TRIM(E816))="D"),"D","")))))))</f>
        <v/>
      </c>
      <c r="J816" s="27" t="str">
        <f aca="false">IF(I816="","",IF(AND(I816="D",Settings!$B$6&lt;&gt;"Yes"),"",IFERROR(INDEX(Settings!$C$9:$C$12,MATCH(I816,Settings!$A$9:$A$12,0)),"")))</f>
        <v/>
      </c>
      <c r="K816" s="27" t="str">
        <f aca="false">IF(J816="","",COUNTIF($I$2:I816,I816))</f>
        <v/>
      </c>
      <c r="L816" s="27" t="str">
        <f aca="false">IF(J816="","",CHOOSE(Q816+1,"Tue","Wed","Thu","Fri"))</f>
        <v/>
      </c>
      <c r="M816" s="27" t="str">
        <f aca="false">IF(J816="","",IF(J816=1,"Every week",R816+1&amp;" of "&amp;J816))</f>
        <v/>
      </c>
      <c r="N816" s="28" t="str">
        <f aca="false">IF(J816="","",Settings!$B$4+R816*7+Q816)</f>
        <v/>
      </c>
      <c r="O816" s="28" t="str">
        <f aca="true">IF(J816="","",N816+MAX(0,ROUNDUP((TODAY()-N816)/(J816*7),0))*J816*7)</f>
        <v/>
      </c>
      <c r="P816" s="27" t="str">
        <f aca="false">IF(J816="","",MOD(K816-1,J816*4))</f>
        <v/>
      </c>
      <c r="Q816" s="27" t="str">
        <f aca="false">IF(J816="","",MOD(P816,4))</f>
        <v/>
      </c>
      <c r="R816" s="27" t="str">
        <f aca="false">IF(J816="","",INT(P816/4))</f>
        <v/>
      </c>
      <c r="S816" s="27" t="str">
        <f aca="false">IF(J816="","",IF(AND('Daily Count Sheet'!$H$3=Q816,MOD('Daily Count Sheet'!$I$3,J816)=R816),1,""))</f>
        <v/>
      </c>
      <c r="T816" s="27" t="str">
        <f aca="false">IF(S816=1,COUNTIF($S$2:S816,1),"")</f>
        <v/>
      </c>
    </row>
    <row r="817" customFormat="false" ht="15" hidden="false" customHeight="false" outlineLevel="0" collapsed="false">
      <c r="H817" s="26"/>
      <c r="I817" s="27" t="str">
        <f aca="false">IF(A817="","",IF(H817&lt;&gt;"",UPPER(TRIM(H817)),IFERROR(CHOOSE(VALUE(E817)+1,"A","B","C","D"),IF(OR(LEFT(UPPER(TRIM(E817)),1)="F",UPPER(TRIM(E817))="A"),"A",IF(OR(LEFT(UPPER(TRIM(E817)),1)="M",UPPER(TRIM(E817))="B"),"B",IF(OR(LEFT(UPPER(TRIM(E817)),2)="SL",UPPER(TRIM(E817))="C"),"C",IF(OR(LEFT(UPPER(TRIM(E817)),1)="D",UPPER(TRIM(E817))="D"),"D","")))))))</f>
        <v/>
      </c>
      <c r="J817" s="27" t="str">
        <f aca="false">IF(I817="","",IF(AND(I817="D",Settings!$B$6&lt;&gt;"Yes"),"",IFERROR(INDEX(Settings!$C$9:$C$12,MATCH(I817,Settings!$A$9:$A$12,0)),"")))</f>
        <v/>
      </c>
      <c r="K817" s="27" t="str">
        <f aca="false">IF(J817="","",COUNTIF($I$2:I817,I817))</f>
        <v/>
      </c>
      <c r="L817" s="27" t="str">
        <f aca="false">IF(J817="","",CHOOSE(Q817+1,"Tue","Wed","Thu","Fri"))</f>
        <v/>
      </c>
      <c r="M817" s="27" t="str">
        <f aca="false">IF(J817="","",IF(J817=1,"Every week",R817+1&amp;" of "&amp;J817))</f>
        <v/>
      </c>
      <c r="N817" s="28" t="str">
        <f aca="false">IF(J817="","",Settings!$B$4+R817*7+Q817)</f>
        <v/>
      </c>
      <c r="O817" s="28" t="str">
        <f aca="true">IF(J817="","",N817+MAX(0,ROUNDUP((TODAY()-N817)/(J817*7),0))*J817*7)</f>
        <v/>
      </c>
      <c r="P817" s="27" t="str">
        <f aca="false">IF(J817="","",MOD(K817-1,J817*4))</f>
        <v/>
      </c>
      <c r="Q817" s="27" t="str">
        <f aca="false">IF(J817="","",MOD(P817,4))</f>
        <v/>
      </c>
      <c r="R817" s="27" t="str">
        <f aca="false">IF(J817="","",INT(P817/4))</f>
        <v/>
      </c>
      <c r="S817" s="27" t="str">
        <f aca="false">IF(J817="","",IF(AND('Daily Count Sheet'!$H$3=Q817,MOD('Daily Count Sheet'!$I$3,J817)=R817),1,""))</f>
        <v/>
      </c>
      <c r="T817" s="27" t="str">
        <f aca="false">IF(S817=1,COUNTIF($S$2:S817,1),"")</f>
        <v/>
      </c>
    </row>
    <row r="818" customFormat="false" ht="15" hidden="false" customHeight="false" outlineLevel="0" collapsed="false">
      <c r="H818" s="26"/>
      <c r="I818" s="27" t="str">
        <f aca="false">IF(A818="","",IF(H818&lt;&gt;"",UPPER(TRIM(H818)),IFERROR(CHOOSE(VALUE(E818)+1,"A","B","C","D"),IF(OR(LEFT(UPPER(TRIM(E818)),1)="F",UPPER(TRIM(E818))="A"),"A",IF(OR(LEFT(UPPER(TRIM(E818)),1)="M",UPPER(TRIM(E818))="B"),"B",IF(OR(LEFT(UPPER(TRIM(E818)),2)="SL",UPPER(TRIM(E818))="C"),"C",IF(OR(LEFT(UPPER(TRIM(E818)),1)="D",UPPER(TRIM(E818))="D"),"D","")))))))</f>
        <v/>
      </c>
      <c r="J818" s="27" t="str">
        <f aca="false">IF(I818="","",IF(AND(I818="D",Settings!$B$6&lt;&gt;"Yes"),"",IFERROR(INDEX(Settings!$C$9:$C$12,MATCH(I818,Settings!$A$9:$A$12,0)),"")))</f>
        <v/>
      </c>
      <c r="K818" s="27" t="str">
        <f aca="false">IF(J818="","",COUNTIF($I$2:I818,I818))</f>
        <v/>
      </c>
      <c r="L818" s="27" t="str">
        <f aca="false">IF(J818="","",CHOOSE(Q818+1,"Tue","Wed","Thu","Fri"))</f>
        <v/>
      </c>
      <c r="M818" s="27" t="str">
        <f aca="false">IF(J818="","",IF(J818=1,"Every week",R818+1&amp;" of "&amp;J818))</f>
        <v/>
      </c>
      <c r="N818" s="28" t="str">
        <f aca="false">IF(J818="","",Settings!$B$4+R818*7+Q818)</f>
        <v/>
      </c>
      <c r="O818" s="28" t="str">
        <f aca="true">IF(J818="","",N818+MAX(0,ROUNDUP((TODAY()-N818)/(J818*7),0))*J818*7)</f>
        <v/>
      </c>
      <c r="P818" s="27" t="str">
        <f aca="false">IF(J818="","",MOD(K818-1,J818*4))</f>
        <v/>
      </c>
      <c r="Q818" s="27" t="str">
        <f aca="false">IF(J818="","",MOD(P818,4))</f>
        <v/>
      </c>
      <c r="R818" s="27" t="str">
        <f aca="false">IF(J818="","",INT(P818/4))</f>
        <v/>
      </c>
      <c r="S818" s="27" t="str">
        <f aca="false">IF(J818="","",IF(AND('Daily Count Sheet'!$H$3=Q818,MOD('Daily Count Sheet'!$I$3,J818)=R818),1,""))</f>
        <v/>
      </c>
      <c r="T818" s="27" t="str">
        <f aca="false">IF(S818=1,COUNTIF($S$2:S818,1),"")</f>
        <v/>
      </c>
    </row>
    <row r="819" customFormat="false" ht="15" hidden="false" customHeight="false" outlineLevel="0" collapsed="false">
      <c r="H819" s="26"/>
      <c r="I819" s="27" t="str">
        <f aca="false">IF(A819="","",IF(H819&lt;&gt;"",UPPER(TRIM(H819)),IFERROR(CHOOSE(VALUE(E819)+1,"A","B","C","D"),IF(OR(LEFT(UPPER(TRIM(E819)),1)="F",UPPER(TRIM(E819))="A"),"A",IF(OR(LEFT(UPPER(TRIM(E819)),1)="M",UPPER(TRIM(E819))="B"),"B",IF(OR(LEFT(UPPER(TRIM(E819)),2)="SL",UPPER(TRIM(E819))="C"),"C",IF(OR(LEFT(UPPER(TRIM(E819)),1)="D",UPPER(TRIM(E819))="D"),"D","")))))))</f>
        <v/>
      </c>
      <c r="J819" s="27" t="str">
        <f aca="false">IF(I819="","",IF(AND(I819="D",Settings!$B$6&lt;&gt;"Yes"),"",IFERROR(INDEX(Settings!$C$9:$C$12,MATCH(I819,Settings!$A$9:$A$12,0)),"")))</f>
        <v/>
      </c>
      <c r="K819" s="27" t="str">
        <f aca="false">IF(J819="","",COUNTIF($I$2:I819,I819))</f>
        <v/>
      </c>
      <c r="L819" s="27" t="str">
        <f aca="false">IF(J819="","",CHOOSE(Q819+1,"Tue","Wed","Thu","Fri"))</f>
        <v/>
      </c>
      <c r="M819" s="27" t="str">
        <f aca="false">IF(J819="","",IF(J819=1,"Every week",R819+1&amp;" of "&amp;J819))</f>
        <v/>
      </c>
      <c r="N819" s="28" t="str">
        <f aca="false">IF(J819="","",Settings!$B$4+R819*7+Q819)</f>
        <v/>
      </c>
      <c r="O819" s="28" t="str">
        <f aca="true">IF(J819="","",N819+MAX(0,ROUNDUP((TODAY()-N819)/(J819*7),0))*J819*7)</f>
        <v/>
      </c>
      <c r="P819" s="27" t="str">
        <f aca="false">IF(J819="","",MOD(K819-1,J819*4))</f>
        <v/>
      </c>
      <c r="Q819" s="27" t="str">
        <f aca="false">IF(J819="","",MOD(P819,4))</f>
        <v/>
      </c>
      <c r="R819" s="27" t="str">
        <f aca="false">IF(J819="","",INT(P819/4))</f>
        <v/>
      </c>
      <c r="S819" s="27" t="str">
        <f aca="false">IF(J819="","",IF(AND('Daily Count Sheet'!$H$3=Q819,MOD('Daily Count Sheet'!$I$3,J819)=R819),1,""))</f>
        <v/>
      </c>
      <c r="T819" s="27" t="str">
        <f aca="false">IF(S819=1,COUNTIF($S$2:S819,1),"")</f>
        <v/>
      </c>
    </row>
    <row r="820" customFormat="false" ht="15" hidden="false" customHeight="false" outlineLevel="0" collapsed="false">
      <c r="H820" s="26"/>
      <c r="I820" s="27" t="str">
        <f aca="false">IF(A820="","",IF(H820&lt;&gt;"",UPPER(TRIM(H820)),IFERROR(CHOOSE(VALUE(E820)+1,"A","B","C","D"),IF(OR(LEFT(UPPER(TRIM(E820)),1)="F",UPPER(TRIM(E820))="A"),"A",IF(OR(LEFT(UPPER(TRIM(E820)),1)="M",UPPER(TRIM(E820))="B"),"B",IF(OR(LEFT(UPPER(TRIM(E820)),2)="SL",UPPER(TRIM(E820))="C"),"C",IF(OR(LEFT(UPPER(TRIM(E820)),1)="D",UPPER(TRIM(E820))="D"),"D","")))))))</f>
        <v/>
      </c>
      <c r="J820" s="27" t="str">
        <f aca="false">IF(I820="","",IF(AND(I820="D",Settings!$B$6&lt;&gt;"Yes"),"",IFERROR(INDEX(Settings!$C$9:$C$12,MATCH(I820,Settings!$A$9:$A$12,0)),"")))</f>
        <v/>
      </c>
      <c r="K820" s="27" t="str">
        <f aca="false">IF(J820="","",COUNTIF($I$2:I820,I820))</f>
        <v/>
      </c>
      <c r="L820" s="27" t="str">
        <f aca="false">IF(J820="","",CHOOSE(Q820+1,"Tue","Wed","Thu","Fri"))</f>
        <v/>
      </c>
      <c r="M820" s="27" t="str">
        <f aca="false">IF(J820="","",IF(J820=1,"Every week",R820+1&amp;" of "&amp;J820))</f>
        <v/>
      </c>
      <c r="N820" s="28" t="str">
        <f aca="false">IF(J820="","",Settings!$B$4+R820*7+Q820)</f>
        <v/>
      </c>
      <c r="O820" s="28" t="str">
        <f aca="true">IF(J820="","",N820+MAX(0,ROUNDUP((TODAY()-N820)/(J820*7),0))*J820*7)</f>
        <v/>
      </c>
      <c r="P820" s="27" t="str">
        <f aca="false">IF(J820="","",MOD(K820-1,J820*4))</f>
        <v/>
      </c>
      <c r="Q820" s="27" t="str">
        <f aca="false">IF(J820="","",MOD(P820,4))</f>
        <v/>
      </c>
      <c r="R820" s="27" t="str">
        <f aca="false">IF(J820="","",INT(P820/4))</f>
        <v/>
      </c>
      <c r="S820" s="27" t="str">
        <f aca="false">IF(J820="","",IF(AND('Daily Count Sheet'!$H$3=Q820,MOD('Daily Count Sheet'!$I$3,J820)=R820),1,""))</f>
        <v/>
      </c>
      <c r="T820" s="27" t="str">
        <f aca="false">IF(S820=1,COUNTIF($S$2:S820,1),"")</f>
        <v/>
      </c>
    </row>
    <row r="821" customFormat="false" ht="15" hidden="false" customHeight="false" outlineLevel="0" collapsed="false">
      <c r="H821" s="26"/>
      <c r="I821" s="27" t="str">
        <f aca="false">IF(A821="","",IF(H821&lt;&gt;"",UPPER(TRIM(H821)),IFERROR(CHOOSE(VALUE(E821)+1,"A","B","C","D"),IF(OR(LEFT(UPPER(TRIM(E821)),1)="F",UPPER(TRIM(E821))="A"),"A",IF(OR(LEFT(UPPER(TRIM(E821)),1)="M",UPPER(TRIM(E821))="B"),"B",IF(OR(LEFT(UPPER(TRIM(E821)),2)="SL",UPPER(TRIM(E821))="C"),"C",IF(OR(LEFT(UPPER(TRIM(E821)),1)="D",UPPER(TRIM(E821))="D"),"D","")))))))</f>
        <v/>
      </c>
      <c r="J821" s="27" t="str">
        <f aca="false">IF(I821="","",IF(AND(I821="D",Settings!$B$6&lt;&gt;"Yes"),"",IFERROR(INDEX(Settings!$C$9:$C$12,MATCH(I821,Settings!$A$9:$A$12,0)),"")))</f>
        <v/>
      </c>
      <c r="K821" s="27" t="str">
        <f aca="false">IF(J821="","",COUNTIF($I$2:I821,I821))</f>
        <v/>
      </c>
      <c r="L821" s="27" t="str">
        <f aca="false">IF(J821="","",CHOOSE(Q821+1,"Tue","Wed","Thu","Fri"))</f>
        <v/>
      </c>
      <c r="M821" s="27" t="str">
        <f aca="false">IF(J821="","",IF(J821=1,"Every week",R821+1&amp;" of "&amp;J821))</f>
        <v/>
      </c>
      <c r="N821" s="28" t="str">
        <f aca="false">IF(J821="","",Settings!$B$4+R821*7+Q821)</f>
        <v/>
      </c>
      <c r="O821" s="28" t="str">
        <f aca="true">IF(J821="","",N821+MAX(0,ROUNDUP((TODAY()-N821)/(J821*7),0))*J821*7)</f>
        <v/>
      </c>
      <c r="P821" s="27" t="str">
        <f aca="false">IF(J821="","",MOD(K821-1,J821*4))</f>
        <v/>
      </c>
      <c r="Q821" s="27" t="str">
        <f aca="false">IF(J821="","",MOD(P821,4))</f>
        <v/>
      </c>
      <c r="R821" s="27" t="str">
        <f aca="false">IF(J821="","",INT(P821/4))</f>
        <v/>
      </c>
      <c r="S821" s="27" t="str">
        <f aca="false">IF(J821="","",IF(AND('Daily Count Sheet'!$H$3=Q821,MOD('Daily Count Sheet'!$I$3,J821)=R821),1,""))</f>
        <v/>
      </c>
      <c r="T821" s="27" t="str">
        <f aca="false">IF(S821=1,COUNTIF($S$2:S821,1),"")</f>
        <v/>
      </c>
    </row>
    <row r="822" customFormat="false" ht="15" hidden="false" customHeight="false" outlineLevel="0" collapsed="false">
      <c r="H822" s="26"/>
      <c r="I822" s="27" t="str">
        <f aca="false">IF(A822="","",IF(H822&lt;&gt;"",UPPER(TRIM(H822)),IFERROR(CHOOSE(VALUE(E822)+1,"A","B","C","D"),IF(OR(LEFT(UPPER(TRIM(E822)),1)="F",UPPER(TRIM(E822))="A"),"A",IF(OR(LEFT(UPPER(TRIM(E822)),1)="M",UPPER(TRIM(E822))="B"),"B",IF(OR(LEFT(UPPER(TRIM(E822)),2)="SL",UPPER(TRIM(E822))="C"),"C",IF(OR(LEFT(UPPER(TRIM(E822)),1)="D",UPPER(TRIM(E822))="D"),"D","")))))))</f>
        <v/>
      </c>
      <c r="J822" s="27" t="str">
        <f aca="false">IF(I822="","",IF(AND(I822="D",Settings!$B$6&lt;&gt;"Yes"),"",IFERROR(INDEX(Settings!$C$9:$C$12,MATCH(I822,Settings!$A$9:$A$12,0)),"")))</f>
        <v/>
      </c>
      <c r="K822" s="27" t="str">
        <f aca="false">IF(J822="","",COUNTIF($I$2:I822,I822))</f>
        <v/>
      </c>
      <c r="L822" s="27" t="str">
        <f aca="false">IF(J822="","",CHOOSE(Q822+1,"Tue","Wed","Thu","Fri"))</f>
        <v/>
      </c>
      <c r="M822" s="27" t="str">
        <f aca="false">IF(J822="","",IF(J822=1,"Every week",R822+1&amp;" of "&amp;J822))</f>
        <v/>
      </c>
      <c r="N822" s="28" t="str">
        <f aca="false">IF(J822="","",Settings!$B$4+R822*7+Q822)</f>
        <v/>
      </c>
      <c r="O822" s="28" t="str">
        <f aca="true">IF(J822="","",N822+MAX(0,ROUNDUP((TODAY()-N822)/(J822*7),0))*J822*7)</f>
        <v/>
      </c>
      <c r="P822" s="27" t="str">
        <f aca="false">IF(J822="","",MOD(K822-1,J822*4))</f>
        <v/>
      </c>
      <c r="Q822" s="27" t="str">
        <f aca="false">IF(J822="","",MOD(P822,4))</f>
        <v/>
      </c>
      <c r="R822" s="27" t="str">
        <f aca="false">IF(J822="","",INT(P822/4))</f>
        <v/>
      </c>
      <c r="S822" s="27" t="str">
        <f aca="false">IF(J822="","",IF(AND('Daily Count Sheet'!$H$3=Q822,MOD('Daily Count Sheet'!$I$3,J822)=R822),1,""))</f>
        <v/>
      </c>
      <c r="T822" s="27" t="str">
        <f aca="false">IF(S822=1,COUNTIF($S$2:S822,1),"")</f>
        <v/>
      </c>
    </row>
    <row r="823" customFormat="false" ht="15" hidden="false" customHeight="false" outlineLevel="0" collapsed="false">
      <c r="H823" s="26"/>
      <c r="I823" s="27" t="str">
        <f aca="false">IF(A823="","",IF(H823&lt;&gt;"",UPPER(TRIM(H823)),IFERROR(CHOOSE(VALUE(E823)+1,"A","B","C","D"),IF(OR(LEFT(UPPER(TRIM(E823)),1)="F",UPPER(TRIM(E823))="A"),"A",IF(OR(LEFT(UPPER(TRIM(E823)),1)="M",UPPER(TRIM(E823))="B"),"B",IF(OR(LEFT(UPPER(TRIM(E823)),2)="SL",UPPER(TRIM(E823))="C"),"C",IF(OR(LEFT(UPPER(TRIM(E823)),1)="D",UPPER(TRIM(E823))="D"),"D","")))))))</f>
        <v/>
      </c>
      <c r="J823" s="27" t="str">
        <f aca="false">IF(I823="","",IF(AND(I823="D",Settings!$B$6&lt;&gt;"Yes"),"",IFERROR(INDEX(Settings!$C$9:$C$12,MATCH(I823,Settings!$A$9:$A$12,0)),"")))</f>
        <v/>
      </c>
      <c r="K823" s="27" t="str">
        <f aca="false">IF(J823="","",COUNTIF($I$2:I823,I823))</f>
        <v/>
      </c>
      <c r="L823" s="27" t="str">
        <f aca="false">IF(J823="","",CHOOSE(Q823+1,"Tue","Wed","Thu","Fri"))</f>
        <v/>
      </c>
      <c r="M823" s="27" t="str">
        <f aca="false">IF(J823="","",IF(J823=1,"Every week",R823+1&amp;" of "&amp;J823))</f>
        <v/>
      </c>
      <c r="N823" s="28" t="str">
        <f aca="false">IF(J823="","",Settings!$B$4+R823*7+Q823)</f>
        <v/>
      </c>
      <c r="O823" s="28" t="str">
        <f aca="true">IF(J823="","",N823+MAX(0,ROUNDUP((TODAY()-N823)/(J823*7),0))*J823*7)</f>
        <v/>
      </c>
      <c r="P823" s="27" t="str">
        <f aca="false">IF(J823="","",MOD(K823-1,J823*4))</f>
        <v/>
      </c>
      <c r="Q823" s="27" t="str">
        <f aca="false">IF(J823="","",MOD(P823,4))</f>
        <v/>
      </c>
      <c r="R823" s="27" t="str">
        <f aca="false">IF(J823="","",INT(P823/4))</f>
        <v/>
      </c>
      <c r="S823" s="27" t="str">
        <f aca="false">IF(J823="","",IF(AND('Daily Count Sheet'!$H$3=Q823,MOD('Daily Count Sheet'!$I$3,J823)=R823),1,""))</f>
        <v/>
      </c>
      <c r="T823" s="27" t="str">
        <f aca="false">IF(S823=1,COUNTIF($S$2:S823,1),"")</f>
        <v/>
      </c>
    </row>
    <row r="824" customFormat="false" ht="15" hidden="false" customHeight="false" outlineLevel="0" collapsed="false">
      <c r="H824" s="26"/>
      <c r="I824" s="27" t="str">
        <f aca="false">IF(A824="","",IF(H824&lt;&gt;"",UPPER(TRIM(H824)),IFERROR(CHOOSE(VALUE(E824)+1,"A","B","C","D"),IF(OR(LEFT(UPPER(TRIM(E824)),1)="F",UPPER(TRIM(E824))="A"),"A",IF(OR(LEFT(UPPER(TRIM(E824)),1)="M",UPPER(TRIM(E824))="B"),"B",IF(OR(LEFT(UPPER(TRIM(E824)),2)="SL",UPPER(TRIM(E824))="C"),"C",IF(OR(LEFT(UPPER(TRIM(E824)),1)="D",UPPER(TRIM(E824))="D"),"D","")))))))</f>
        <v/>
      </c>
      <c r="J824" s="27" t="str">
        <f aca="false">IF(I824="","",IF(AND(I824="D",Settings!$B$6&lt;&gt;"Yes"),"",IFERROR(INDEX(Settings!$C$9:$C$12,MATCH(I824,Settings!$A$9:$A$12,0)),"")))</f>
        <v/>
      </c>
      <c r="K824" s="27" t="str">
        <f aca="false">IF(J824="","",COUNTIF($I$2:I824,I824))</f>
        <v/>
      </c>
      <c r="L824" s="27" t="str">
        <f aca="false">IF(J824="","",CHOOSE(Q824+1,"Tue","Wed","Thu","Fri"))</f>
        <v/>
      </c>
      <c r="M824" s="27" t="str">
        <f aca="false">IF(J824="","",IF(J824=1,"Every week",R824+1&amp;" of "&amp;J824))</f>
        <v/>
      </c>
      <c r="N824" s="28" t="str">
        <f aca="false">IF(J824="","",Settings!$B$4+R824*7+Q824)</f>
        <v/>
      </c>
      <c r="O824" s="28" t="str">
        <f aca="true">IF(J824="","",N824+MAX(0,ROUNDUP((TODAY()-N824)/(J824*7),0))*J824*7)</f>
        <v/>
      </c>
      <c r="P824" s="27" t="str">
        <f aca="false">IF(J824="","",MOD(K824-1,J824*4))</f>
        <v/>
      </c>
      <c r="Q824" s="27" t="str">
        <f aca="false">IF(J824="","",MOD(P824,4))</f>
        <v/>
      </c>
      <c r="R824" s="27" t="str">
        <f aca="false">IF(J824="","",INT(P824/4))</f>
        <v/>
      </c>
      <c r="S824" s="27" t="str">
        <f aca="false">IF(J824="","",IF(AND('Daily Count Sheet'!$H$3=Q824,MOD('Daily Count Sheet'!$I$3,J824)=R824),1,""))</f>
        <v/>
      </c>
      <c r="T824" s="27" t="str">
        <f aca="false">IF(S824=1,COUNTIF($S$2:S824,1),"")</f>
        <v/>
      </c>
    </row>
    <row r="825" customFormat="false" ht="15" hidden="false" customHeight="false" outlineLevel="0" collapsed="false">
      <c r="H825" s="26"/>
      <c r="I825" s="27" t="str">
        <f aca="false">IF(A825="","",IF(H825&lt;&gt;"",UPPER(TRIM(H825)),IFERROR(CHOOSE(VALUE(E825)+1,"A","B","C","D"),IF(OR(LEFT(UPPER(TRIM(E825)),1)="F",UPPER(TRIM(E825))="A"),"A",IF(OR(LEFT(UPPER(TRIM(E825)),1)="M",UPPER(TRIM(E825))="B"),"B",IF(OR(LEFT(UPPER(TRIM(E825)),2)="SL",UPPER(TRIM(E825))="C"),"C",IF(OR(LEFT(UPPER(TRIM(E825)),1)="D",UPPER(TRIM(E825))="D"),"D","")))))))</f>
        <v/>
      </c>
      <c r="J825" s="27" t="str">
        <f aca="false">IF(I825="","",IF(AND(I825="D",Settings!$B$6&lt;&gt;"Yes"),"",IFERROR(INDEX(Settings!$C$9:$C$12,MATCH(I825,Settings!$A$9:$A$12,0)),"")))</f>
        <v/>
      </c>
      <c r="K825" s="27" t="str">
        <f aca="false">IF(J825="","",COUNTIF($I$2:I825,I825))</f>
        <v/>
      </c>
      <c r="L825" s="27" t="str">
        <f aca="false">IF(J825="","",CHOOSE(Q825+1,"Tue","Wed","Thu","Fri"))</f>
        <v/>
      </c>
      <c r="M825" s="27" t="str">
        <f aca="false">IF(J825="","",IF(J825=1,"Every week",R825+1&amp;" of "&amp;J825))</f>
        <v/>
      </c>
      <c r="N825" s="28" t="str">
        <f aca="false">IF(J825="","",Settings!$B$4+R825*7+Q825)</f>
        <v/>
      </c>
      <c r="O825" s="28" t="str">
        <f aca="true">IF(J825="","",N825+MAX(0,ROUNDUP((TODAY()-N825)/(J825*7),0))*J825*7)</f>
        <v/>
      </c>
      <c r="P825" s="27" t="str">
        <f aca="false">IF(J825="","",MOD(K825-1,J825*4))</f>
        <v/>
      </c>
      <c r="Q825" s="27" t="str">
        <f aca="false">IF(J825="","",MOD(P825,4))</f>
        <v/>
      </c>
      <c r="R825" s="27" t="str">
        <f aca="false">IF(J825="","",INT(P825/4))</f>
        <v/>
      </c>
      <c r="S825" s="27" t="str">
        <f aca="false">IF(J825="","",IF(AND('Daily Count Sheet'!$H$3=Q825,MOD('Daily Count Sheet'!$I$3,J825)=R825),1,""))</f>
        <v/>
      </c>
      <c r="T825" s="27" t="str">
        <f aca="false">IF(S825=1,COUNTIF($S$2:S825,1),"")</f>
        <v/>
      </c>
    </row>
    <row r="826" customFormat="false" ht="15" hidden="false" customHeight="false" outlineLevel="0" collapsed="false">
      <c r="H826" s="26"/>
      <c r="I826" s="27" t="str">
        <f aca="false">IF(A826="","",IF(H826&lt;&gt;"",UPPER(TRIM(H826)),IFERROR(CHOOSE(VALUE(E826)+1,"A","B","C","D"),IF(OR(LEFT(UPPER(TRIM(E826)),1)="F",UPPER(TRIM(E826))="A"),"A",IF(OR(LEFT(UPPER(TRIM(E826)),1)="M",UPPER(TRIM(E826))="B"),"B",IF(OR(LEFT(UPPER(TRIM(E826)),2)="SL",UPPER(TRIM(E826))="C"),"C",IF(OR(LEFT(UPPER(TRIM(E826)),1)="D",UPPER(TRIM(E826))="D"),"D","")))))))</f>
        <v/>
      </c>
      <c r="J826" s="27" t="str">
        <f aca="false">IF(I826="","",IF(AND(I826="D",Settings!$B$6&lt;&gt;"Yes"),"",IFERROR(INDEX(Settings!$C$9:$C$12,MATCH(I826,Settings!$A$9:$A$12,0)),"")))</f>
        <v/>
      </c>
      <c r="K826" s="27" t="str">
        <f aca="false">IF(J826="","",COUNTIF($I$2:I826,I826))</f>
        <v/>
      </c>
      <c r="L826" s="27" t="str">
        <f aca="false">IF(J826="","",CHOOSE(Q826+1,"Tue","Wed","Thu","Fri"))</f>
        <v/>
      </c>
      <c r="M826" s="27" t="str">
        <f aca="false">IF(J826="","",IF(J826=1,"Every week",R826+1&amp;" of "&amp;J826))</f>
        <v/>
      </c>
      <c r="N826" s="28" t="str">
        <f aca="false">IF(J826="","",Settings!$B$4+R826*7+Q826)</f>
        <v/>
      </c>
      <c r="O826" s="28" t="str">
        <f aca="true">IF(J826="","",N826+MAX(0,ROUNDUP((TODAY()-N826)/(J826*7),0))*J826*7)</f>
        <v/>
      </c>
      <c r="P826" s="27" t="str">
        <f aca="false">IF(J826="","",MOD(K826-1,J826*4))</f>
        <v/>
      </c>
      <c r="Q826" s="27" t="str">
        <f aca="false">IF(J826="","",MOD(P826,4))</f>
        <v/>
      </c>
      <c r="R826" s="27" t="str">
        <f aca="false">IF(J826="","",INT(P826/4))</f>
        <v/>
      </c>
      <c r="S826" s="27" t="str">
        <f aca="false">IF(J826="","",IF(AND('Daily Count Sheet'!$H$3=Q826,MOD('Daily Count Sheet'!$I$3,J826)=R826),1,""))</f>
        <v/>
      </c>
      <c r="T826" s="27" t="str">
        <f aca="false">IF(S826=1,COUNTIF($S$2:S826,1),"")</f>
        <v/>
      </c>
    </row>
    <row r="827" customFormat="false" ht="15" hidden="false" customHeight="false" outlineLevel="0" collapsed="false">
      <c r="H827" s="26"/>
      <c r="I827" s="27" t="str">
        <f aca="false">IF(A827="","",IF(H827&lt;&gt;"",UPPER(TRIM(H827)),IFERROR(CHOOSE(VALUE(E827)+1,"A","B","C","D"),IF(OR(LEFT(UPPER(TRIM(E827)),1)="F",UPPER(TRIM(E827))="A"),"A",IF(OR(LEFT(UPPER(TRIM(E827)),1)="M",UPPER(TRIM(E827))="B"),"B",IF(OR(LEFT(UPPER(TRIM(E827)),2)="SL",UPPER(TRIM(E827))="C"),"C",IF(OR(LEFT(UPPER(TRIM(E827)),1)="D",UPPER(TRIM(E827))="D"),"D","")))))))</f>
        <v/>
      </c>
      <c r="J827" s="27" t="str">
        <f aca="false">IF(I827="","",IF(AND(I827="D",Settings!$B$6&lt;&gt;"Yes"),"",IFERROR(INDEX(Settings!$C$9:$C$12,MATCH(I827,Settings!$A$9:$A$12,0)),"")))</f>
        <v/>
      </c>
      <c r="K827" s="27" t="str">
        <f aca="false">IF(J827="","",COUNTIF($I$2:I827,I827))</f>
        <v/>
      </c>
      <c r="L827" s="27" t="str">
        <f aca="false">IF(J827="","",CHOOSE(Q827+1,"Tue","Wed","Thu","Fri"))</f>
        <v/>
      </c>
      <c r="M827" s="27" t="str">
        <f aca="false">IF(J827="","",IF(J827=1,"Every week",R827+1&amp;" of "&amp;J827))</f>
        <v/>
      </c>
      <c r="N827" s="28" t="str">
        <f aca="false">IF(J827="","",Settings!$B$4+R827*7+Q827)</f>
        <v/>
      </c>
      <c r="O827" s="28" t="str">
        <f aca="true">IF(J827="","",N827+MAX(0,ROUNDUP((TODAY()-N827)/(J827*7),0))*J827*7)</f>
        <v/>
      </c>
      <c r="P827" s="27" t="str">
        <f aca="false">IF(J827="","",MOD(K827-1,J827*4))</f>
        <v/>
      </c>
      <c r="Q827" s="27" t="str">
        <f aca="false">IF(J827="","",MOD(P827,4))</f>
        <v/>
      </c>
      <c r="R827" s="27" t="str">
        <f aca="false">IF(J827="","",INT(P827/4))</f>
        <v/>
      </c>
      <c r="S827" s="27" t="str">
        <f aca="false">IF(J827="","",IF(AND('Daily Count Sheet'!$H$3=Q827,MOD('Daily Count Sheet'!$I$3,J827)=R827),1,""))</f>
        <v/>
      </c>
      <c r="T827" s="27" t="str">
        <f aca="false">IF(S827=1,COUNTIF($S$2:S827,1),"")</f>
        <v/>
      </c>
    </row>
    <row r="828" customFormat="false" ht="15" hidden="false" customHeight="false" outlineLevel="0" collapsed="false">
      <c r="H828" s="26"/>
      <c r="I828" s="27" t="str">
        <f aca="false">IF(A828="","",IF(H828&lt;&gt;"",UPPER(TRIM(H828)),IFERROR(CHOOSE(VALUE(E828)+1,"A","B","C","D"),IF(OR(LEFT(UPPER(TRIM(E828)),1)="F",UPPER(TRIM(E828))="A"),"A",IF(OR(LEFT(UPPER(TRIM(E828)),1)="M",UPPER(TRIM(E828))="B"),"B",IF(OR(LEFT(UPPER(TRIM(E828)),2)="SL",UPPER(TRIM(E828))="C"),"C",IF(OR(LEFT(UPPER(TRIM(E828)),1)="D",UPPER(TRIM(E828))="D"),"D","")))))))</f>
        <v/>
      </c>
      <c r="J828" s="27" t="str">
        <f aca="false">IF(I828="","",IF(AND(I828="D",Settings!$B$6&lt;&gt;"Yes"),"",IFERROR(INDEX(Settings!$C$9:$C$12,MATCH(I828,Settings!$A$9:$A$12,0)),"")))</f>
        <v/>
      </c>
      <c r="K828" s="27" t="str">
        <f aca="false">IF(J828="","",COUNTIF($I$2:I828,I828))</f>
        <v/>
      </c>
      <c r="L828" s="27" t="str">
        <f aca="false">IF(J828="","",CHOOSE(Q828+1,"Tue","Wed","Thu","Fri"))</f>
        <v/>
      </c>
      <c r="M828" s="27" t="str">
        <f aca="false">IF(J828="","",IF(J828=1,"Every week",R828+1&amp;" of "&amp;J828))</f>
        <v/>
      </c>
      <c r="N828" s="28" t="str">
        <f aca="false">IF(J828="","",Settings!$B$4+R828*7+Q828)</f>
        <v/>
      </c>
      <c r="O828" s="28" t="str">
        <f aca="true">IF(J828="","",N828+MAX(0,ROUNDUP((TODAY()-N828)/(J828*7),0))*J828*7)</f>
        <v/>
      </c>
      <c r="P828" s="27" t="str">
        <f aca="false">IF(J828="","",MOD(K828-1,J828*4))</f>
        <v/>
      </c>
      <c r="Q828" s="27" t="str">
        <f aca="false">IF(J828="","",MOD(P828,4))</f>
        <v/>
      </c>
      <c r="R828" s="27" t="str">
        <f aca="false">IF(J828="","",INT(P828/4))</f>
        <v/>
      </c>
      <c r="S828" s="27" t="str">
        <f aca="false">IF(J828="","",IF(AND('Daily Count Sheet'!$H$3=Q828,MOD('Daily Count Sheet'!$I$3,J828)=R828),1,""))</f>
        <v/>
      </c>
      <c r="T828" s="27" t="str">
        <f aca="false">IF(S828=1,COUNTIF($S$2:S828,1),"")</f>
        <v/>
      </c>
    </row>
    <row r="829" customFormat="false" ht="15" hidden="false" customHeight="false" outlineLevel="0" collapsed="false">
      <c r="H829" s="26"/>
      <c r="I829" s="27" t="str">
        <f aca="false">IF(A829="","",IF(H829&lt;&gt;"",UPPER(TRIM(H829)),IFERROR(CHOOSE(VALUE(E829)+1,"A","B","C","D"),IF(OR(LEFT(UPPER(TRIM(E829)),1)="F",UPPER(TRIM(E829))="A"),"A",IF(OR(LEFT(UPPER(TRIM(E829)),1)="M",UPPER(TRIM(E829))="B"),"B",IF(OR(LEFT(UPPER(TRIM(E829)),2)="SL",UPPER(TRIM(E829))="C"),"C",IF(OR(LEFT(UPPER(TRIM(E829)),1)="D",UPPER(TRIM(E829))="D"),"D","")))))))</f>
        <v/>
      </c>
      <c r="J829" s="27" t="str">
        <f aca="false">IF(I829="","",IF(AND(I829="D",Settings!$B$6&lt;&gt;"Yes"),"",IFERROR(INDEX(Settings!$C$9:$C$12,MATCH(I829,Settings!$A$9:$A$12,0)),"")))</f>
        <v/>
      </c>
      <c r="K829" s="27" t="str">
        <f aca="false">IF(J829="","",COUNTIF($I$2:I829,I829))</f>
        <v/>
      </c>
      <c r="L829" s="27" t="str">
        <f aca="false">IF(J829="","",CHOOSE(Q829+1,"Tue","Wed","Thu","Fri"))</f>
        <v/>
      </c>
      <c r="M829" s="27" t="str">
        <f aca="false">IF(J829="","",IF(J829=1,"Every week",R829+1&amp;" of "&amp;J829))</f>
        <v/>
      </c>
      <c r="N829" s="28" t="str">
        <f aca="false">IF(J829="","",Settings!$B$4+R829*7+Q829)</f>
        <v/>
      </c>
      <c r="O829" s="28" t="str">
        <f aca="true">IF(J829="","",N829+MAX(0,ROUNDUP((TODAY()-N829)/(J829*7),0))*J829*7)</f>
        <v/>
      </c>
      <c r="P829" s="27" t="str">
        <f aca="false">IF(J829="","",MOD(K829-1,J829*4))</f>
        <v/>
      </c>
      <c r="Q829" s="27" t="str">
        <f aca="false">IF(J829="","",MOD(P829,4))</f>
        <v/>
      </c>
      <c r="R829" s="27" t="str">
        <f aca="false">IF(J829="","",INT(P829/4))</f>
        <v/>
      </c>
      <c r="S829" s="27" t="str">
        <f aca="false">IF(J829="","",IF(AND('Daily Count Sheet'!$H$3=Q829,MOD('Daily Count Sheet'!$I$3,J829)=R829),1,""))</f>
        <v/>
      </c>
      <c r="T829" s="27" t="str">
        <f aca="false">IF(S829=1,COUNTIF($S$2:S829,1),"")</f>
        <v/>
      </c>
    </row>
    <row r="830" customFormat="false" ht="15" hidden="false" customHeight="false" outlineLevel="0" collapsed="false">
      <c r="H830" s="26"/>
      <c r="I830" s="27" t="str">
        <f aca="false">IF(A830="","",IF(H830&lt;&gt;"",UPPER(TRIM(H830)),IFERROR(CHOOSE(VALUE(E830)+1,"A","B","C","D"),IF(OR(LEFT(UPPER(TRIM(E830)),1)="F",UPPER(TRIM(E830))="A"),"A",IF(OR(LEFT(UPPER(TRIM(E830)),1)="M",UPPER(TRIM(E830))="B"),"B",IF(OR(LEFT(UPPER(TRIM(E830)),2)="SL",UPPER(TRIM(E830))="C"),"C",IF(OR(LEFT(UPPER(TRIM(E830)),1)="D",UPPER(TRIM(E830))="D"),"D","")))))))</f>
        <v/>
      </c>
      <c r="J830" s="27" t="str">
        <f aca="false">IF(I830="","",IF(AND(I830="D",Settings!$B$6&lt;&gt;"Yes"),"",IFERROR(INDEX(Settings!$C$9:$C$12,MATCH(I830,Settings!$A$9:$A$12,0)),"")))</f>
        <v/>
      </c>
      <c r="K830" s="27" t="str">
        <f aca="false">IF(J830="","",COUNTIF($I$2:I830,I830))</f>
        <v/>
      </c>
      <c r="L830" s="27" t="str">
        <f aca="false">IF(J830="","",CHOOSE(Q830+1,"Tue","Wed","Thu","Fri"))</f>
        <v/>
      </c>
      <c r="M830" s="27" t="str">
        <f aca="false">IF(J830="","",IF(J830=1,"Every week",R830+1&amp;" of "&amp;J830))</f>
        <v/>
      </c>
      <c r="N830" s="28" t="str">
        <f aca="false">IF(J830="","",Settings!$B$4+R830*7+Q830)</f>
        <v/>
      </c>
      <c r="O830" s="28" t="str">
        <f aca="true">IF(J830="","",N830+MAX(0,ROUNDUP((TODAY()-N830)/(J830*7),0))*J830*7)</f>
        <v/>
      </c>
      <c r="P830" s="27" t="str">
        <f aca="false">IF(J830="","",MOD(K830-1,J830*4))</f>
        <v/>
      </c>
      <c r="Q830" s="27" t="str">
        <f aca="false">IF(J830="","",MOD(P830,4))</f>
        <v/>
      </c>
      <c r="R830" s="27" t="str">
        <f aca="false">IF(J830="","",INT(P830/4))</f>
        <v/>
      </c>
      <c r="S830" s="27" t="str">
        <f aca="false">IF(J830="","",IF(AND('Daily Count Sheet'!$H$3=Q830,MOD('Daily Count Sheet'!$I$3,J830)=R830),1,""))</f>
        <v/>
      </c>
      <c r="T830" s="27" t="str">
        <f aca="false">IF(S830=1,COUNTIF($S$2:S830,1),"")</f>
        <v/>
      </c>
    </row>
    <row r="831" customFormat="false" ht="15" hidden="false" customHeight="false" outlineLevel="0" collapsed="false">
      <c r="H831" s="26"/>
      <c r="I831" s="27" t="str">
        <f aca="false">IF(A831="","",IF(H831&lt;&gt;"",UPPER(TRIM(H831)),IFERROR(CHOOSE(VALUE(E831)+1,"A","B","C","D"),IF(OR(LEFT(UPPER(TRIM(E831)),1)="F",UPPER(TRIM(E831))="A"),"A",IF(OR(LEFT(UPPER(TRIM(E831)),1)="M",UPPER(TRIM(E831))="B"),"B",IF(OR(LEFT(UPPER(TRIM(E831)),2)="SL",UPPER(TRIM(E831))="C"),"C",IF(OR(LEFT(UPPER(TRIM(E831)),1)="D",UPPER(TRIM(E831))="D"),"D","")))))))</f>
        <v/>
      </c>
      <c r="J831" s="27" t="str">
        <f aca="false">IF(I831="","",IF(AND(I831="D",Settings!$B$6&lt;&gt;"Yes"),"",IFERROR(INDEX(Settings!$C$9:$C$12,MATCH(I831,Settings!$A$9:$A$12,0)),"")))</f>
        <v/>
      </c>
      <c r="K831" s="27" t="str">
        <f aca="false">IF(J831="","",COUNTIF($I$2:I831,I831))</f>
        <v/>
      </c>
      <c r="L831" s="27" t="str">
        <f aca="false">IF(J831="","",CHOOSE(Q831+1,"Tue","Wed","Thu","Fri"))</f>
        <v/>
      </c>
      <c r="M831" s="27" t="str">
        <f aca="false">IF(J831="","",IF(J831=1,"Every week",R831+1&amp;" of "&amp;J831))</f>
        <v/>
      </c>
      <c r="N831" s="28" t="str">
        <f aca="false">IF(J831="","",Settings!$B$4+R831*7+Q831)</f>
        <v/>
      </c>
      <c r="O831" s="28" t="str">
        <f aca="true">IF(J831="","",N831+MAX(0,ROUNDUP((TODAY()-N831)/(J831*7),0))*J831*7)</f>
        <v/>
      </c>
      <c r="P831" s="27" t="str">
        <f aca="false">IF(J831="","",MOD(K831-1,J831*4))</f>
        <v/>
      </c>
      <c r="Q831" s="27" t="str">
        <f aca="false">IF(J831="","",MOD(P831,4))</f>
        <v/>
      </c>
      <c r="R831" s="27" t="str">
        <f aca="false">IF(J831="","",INT(P831/4))</f>
        <v/>
      </c>
      <c r="S831" s="27" t="str">
        <f aca="false">IF(J831="","",IF(AND('Daily Count Sheet'!$H$3=Q831,MOD('Daily Count Sheet'!$I$3,J831)=R831),1,""))</f>
        <v/>
      </c>
      <c r="T831" s="27" t="str">
        <f aca="false">IF(S831=1,COUNTIF($S$2:S831,1),"")</f>
        <v/>
      </c>
    </row>
    <row r="832" customFormat="false" ht="15" hidden="false" customHeight="false" outlineLevel="0" collapsed="false">
      <c r="H832" s="26"/>
      <c r="I832" s="27" t="str">
        <f aca="false">IF(A832="","",IF(H832&lt;&gt;"",UPPER(TRIM(H832)),IFERROR(CHOOSE(VALUE(E832)+1,"A","B","C","D"),IF(OR(LEFT(UPPER(TRIM(E832)),1)="F",UPPER(TRIM(E832))="A"),"A",IF(OR(LEFT(UPPER(TRIM(E832)),1)="M",UPPER(TRIM(E832))="B"),"B",IF(OR(LEFT(UPPER(TRIM(E832)),2)="SL",UPPER(TRIM(E832))="C"),"C",IF(OR(LEFT(UPPER(TRIM(E832)),1)="D",UPPER(TRIM(E832))="D"),"D","")))))))</f>
        <v/>
      </c>
      <c r="J832" s="27" t="str">
        <f aca="false">IF(I832="","",IF(AND(I832="D",Settings!$B$6&lt;&gt;"Yes"),"",IFERROR(INDEX(Settings!$C$9:$C$12,MATCH(I832,Settings!$A$9:$A$12,0)),"")))</f>
        <v/>
      </c>
      <c r="K832" s="27" t="str">
        <f aca="false">IF(J832="","",COUNTIF($I$2:I832,I832))</f>
        <v/>
      </c>
      <c r="L832" s="27" t="str">
        <f aca="false">IF(J832="","",CHOOSE(Q832+1,"Tue","Wed","Thu","Fri"))</f>
        <v/>
      </c>
      <c r="M832" s="27" t="str">
        <f aca="false">IF(J832="","",IF(J832=1,"Every week",R832+1&amp;" of "&amp;J832))</f>
        <v/>
      </c>
      <c r="N832" s="28" t="str">
        <f aca="false">IF(J832="","",Settings!$B$4+R832*7+Q832)</f>
        <v/>
      </c>
      <c r="O832" s="28" t="str">
        <f aca="true">IF(J832="","",N832+MAX(0,ROUNDUP((TODAY()-N832)/(J832*7),0))*J832*7)</f>
        <v/>
      </c>
      <c r="P832" s="27" t="str">
        <f aca="false">IF(J832="","",MOD(K832-1,J832*4))</f>
        <v/>
      </c>
      <c r="Q832" s="27" t="str">
        <f aca="false">IF(J832="","",MOD(P832,4))</f>
        <v/>
      </c>
      <c r="R832" s="27" t="str">
        <f aca="false">IF(J832="","",INT(P832/4))</f>
        <v/>
      </c>
      <c r="S832" s="27" t="str">
        <f aca="false">IF(J832="","",IF(AND('Daily Count Sheet'!$H$3=Q832,MOD('Daily Count Sheet'!$I$3,J832)=R832),1,""))</f>
        <v/>
      </c>
      <c r="T832" s="27" t="str">
        <f aca="false">IF(S832=1,COUNTIF($S$2:S832,1),"")</f>
        <v/>
      </c>
    </row>
    <row r="833" customFormat="false" ht="15" hidden="false" customHeight="false" outlineLevel="0" collapsed="false">
      <c r="H833" s="26"/>
      <c r="I833" s="27" t="str">
        <f aca="false">IF(A833="","",IF(H833&lt;&gt;"",UPPER(TRIM(H833)),IFERROR(CHOOSE(VALUE(E833)+1,"A","B","C","D"),IF(OR(LEFT(UPPER(TRIM(E833)),1)="F",UPPER(TRIM(E833))="A"),"A",IF(OR(LEFT(UPPER(TRIM(E833)),1)="M",UPPER(TRIM(E833))="B"),"B",IF(OR(LEFT(UPPER(TRIM(E833)),2)="SL",UPPER(TRIM(E833))="C"),"C",IF(OR(LEFT(UPPER(TRIM(E833)),1)="D",UPPER(TRIM(E833))="D"),"D","")))))))</f>
        <v/>
      </c>
      <c r="J833" s="27" t="str">
        <f aca="false">IF(I833="","",IF(AND(I833="D",Settings!$B$6&lt;&gt;"Yes"),"",IFERROR(INDEX(Settings!$C$9:$C$12,MATCH(I833,Settings!$A$9:$A$12,0)),"")))</f>
        <v/>
      </c>
      <c r="K833" s="27" t="str">
        <f aca="false">IF(J833="","",COUNTIF($I$2:I833,I833))</f>
        <v/>
      </c>
      <c r="L833" s="27" t="str">
        <f aca="false">IF(J833="","",CHOOSE(Q833+1,"Tue","Wed","Thu","Fri"))</f>
        <v/>
      </c>
      <c r="M833" s="27" t="str">
        <f aca="false">IF(J833="","",IF(J833=1,"Every week",R833+1&amp;" of "&amp;J833))</f>
        <v/>
      </c>
      <c r="N833" s="28" t="str">
        <f aca="false">IF(J833="","",Settings!$B$4+R833*7+Q833)</f>
        <v/>
      </c>
      <c r="O833" s="28" t="str">
        <f aca="true">IF(J833="","",N833+MAX(0,ROUNDUP((TODAY()-N833)/(J833*7),0))*J833*7)</f>
        <v/>
      </c>
      <c r="P833" s="27" t="str">
        <f aca="false">IF(J833="","",MOD(K833-1,J833*4))</f>
        <v/>
      </c>
      <c r="Q833" s="27" t="str">
        <f aca="false">IF(J833="","",MOD(P833,4))</f>
        <v/>
      </c>
      <c r="R833" s="27" t="str">
        <f aca="false">IF(J833="","",INT(P833/4))</f>
        <v/>
      </c>
      <c r="S833" s="27" t="str">
        <f aca="false">IF(J833="","",IF(AND('Daily Count Sheet'!$H$3=Q833,MOD('Daily Count Sheet'!$I$3,J833)=R833),1,""))</f>
        <v/>
      </c>
      <c r="T833" s="27" t="str">
        <f aca="false">IF(S833=1,COUNTIF($S$2:S833,1),"")</f>
        <v/>
      </c>
    </row>
    <row r="834" customFormat="false" ht="15" hidden="false" customHeight="false" outlineLevel="0" collapsed="false">
      <c r="H834" s="26"/>
      <c r="I834" s="27" t="str">
        <f aca="false">IF(A834="","",IF(H834&lt;&gt;"",UPPER(TRIM(H834)),IFERROR(CHOOSE(VALUE(E834)+1,"A","B","C","D"),IF(OR(LEFT(UPPER(TRIM(E834)),1)="F",UPPER(TRIM(E834))="A"),"A",IF(OR(LEFT(UPPER(TRIM(E834)),1)="M",UPPER(TRIM(E834))="B"),"B",IF(OR(LEFT(UPPER(TRIM(E834)),2)="SL",UPPER(TRIM(E834))="C"),"C",IF(OR(LEFT(UPPER(TRIM(E834)),1)="D",UPPER(TRIM(E834))="D"),"D","")))))))</f>
        <v/>
      </c>
      <c r="J834" s="27" t="str">
        <f aca="false">IF(I834="","",IF(AND(I834="D",Settings!$B$6&lt;&gt;"Yes"),"",IFERROR(INDEX(Settings!$C$9:$C$12,MATCH(I834,Settings!$A$9:$A$12,0)),"")))</f>
        <v/>
      </c>
      <c r="K834" s="27" t="str">
        <f aca="false">IF(J834="","",COUNTIF($I$2:I834,I834))</f>
        <v/>
      </c>
      <c r="L834" s="27" t="str">
        <f aca="false">IF(J834="","",CHOOSE(Q834+1,"Tue","Wed","Thu","Fri"))</f>
        <v/>
      </c>
      <c r="M834" s="27" t="str">
        <f aca="false">IF(J834="","",IF(J834=1,"Every week",R834+1&amp;" of "&amp;J834))</f>
        <v/>
      </c>
      <c r="N834" s="28" t="str">
        <f aca="false">IF(J834="","",Settings!$B$4+R834*7+Q834)</f>
        <v/>
      </c>
      <c r="O834" s="28" t="str">
        <f aca="true">IF(J834="","",N834+MAX(0,ROUNDUP((TODAY()-N834)/(J834*7),0))*J834*7)</f>
        <v/>
      </c>
      <c r="P834" s="27" t="str">
        <f aca="false">IF(J834="","",MOD(K834-1,J834*4))</f>
        <v/>
      </c>
      <c r="Q834" s="27" t="str">
        <f aca="false">IF(J834="","",MOD(P834,4))</f>
        <v/>
      </c>
      <c r="R834" s="27" t="str">
        <f aca="false">IF(J834="","",INT(P834/4))</f>
        <v/>
      </c>
      <c r="S834" s="27" t="str">
        <f aca="false">IF(J834="","",IF(AND('Daily Count Sheet'!$H$3=Q834,MOD('Daily Count Sheet'!$I$3,J834)=R834),1,""))</f>
        <v/>
      </c>
      <c r="T834" s="27" t="str">
        <f aca="false">IF(S834=1,COUNTIF($S$2:S834,1),"")</f>
        <v/>
      </c>
    </row>
    <row r="835" customFormat="false" ht="15" hidden="false" customHeight="false" outlineLevel="0" collapsed="false">
      <c r="H835" s="26"/>
      <c r="I835" s="27" t="str">
        <f aca="false">IF(A835="","",IF(H835&lt;&gt;"",UPPER(TRIM(H835)),IFERROR(CHOOSE(VALUE(E835)+1,"A","B","C","D"),IF(OR(LEFT(UPPER(TRIM(E835)),1)="F",UPPER(TRIM(E835))="A"),"A",IF(OR(LEFT(UPPER(TRIM(E835)),1)="M",UPPER(TRIM(E835))="B"),"B",IF(OR(LEFT(UPPER(TRIM(E835)),2)="SL",UPPER(TRIM(E835))="C"),"C",IF(OR(LEFT(UPPER(TRIM(E835)),1)="D",UPPER(TRIM(E835))="D"),"D","")))))))</f>
        <v/>
      </c>
      <c r="J835" s="27" t="str">
        <f aca="false">IF(I835="","",IF(AND(I835="D",Settings!$B$6&lt;&gt;"Yes"),"",IFERROR(INDEX(Settings!$C$9:$C$12,MATCH(I835,Settings!$A$9:$A$12,0)),"")))</f>
        <v/>
      </c>
      <c r="K835" s="27" t="str">
        <f aca="false">IF(J835="","",COUNTIF($I$2:I835,I835))</f>
        <v/>
      </c>
      <c r="L835" s="27" t="str">
        <f aca="false">IF(J835="","",CHOOSE(Q835+1,"Tue","Wed","Thu","Fri"))</f>
        <v/>
      </c>
      <c r="M835" s="27" t="str">
        <f aca="false">IF(J835="","",IF(J835=1,"Every week",R835+1&amp;" of "&amp;J835))</f>
        <v/>
      </c>
      <c r="N835" s="28" t="str">
        <f aca="false">IF(J835="","",Settings!$B$4+R835*7+Q835)</f>
        <v/>
      </c>
      <c r="O835" s="28" t="str">
        <f aca="true">IF(J835="","",N835+MAX(0,ROUNDUP((TODAY()-N835)/(J835*7),0))*J835*7)</f>
        <v/>
      </c>
      <c r="P835" s="27" t="str">
        <f aca="false">IF(J835="","",MOD(K835-1,J835*4))</f>
        <v/>
      </c>
      <c r="Q835" s="27" t="str">
        <f aca="false">IF(J835="","",MOD(P835,4))</f>
        <v/>
      </c>
      <c r="R835" s="27" t="str">
        <f aca="false">IF(J835="","",INT(P835/4))</f>
        <v/>
      </c>
      <c r="S835" s="27" t="str">
        <f aca="false">IF(J835="","",IF(AND('Daily Count Sheet'!$H$3=Q835,MOD('Daily Count Sheet'!$I$3,J835)=R835),1,""))</f>
        <v/>
      </c>
      <c r="T835" s="27" t="str">
        <f aca="false">IF(S835=1,COUNTIF($S$2:S835,1),"")</f>
        <v/>
      </c>
    </row>
    <row r="836" customFormat="false" ht="15" hidden="false" customHeight="false" outlineLevel="0" collapsed="false">
      <c r="H836" s="26"/>
      <c r="I836" s="27" t="str">
        <f aca="false">IF(A836="","",IF(H836&lt;&gt;"",UPPER(TRIM(H836)),IFERROR(CHOOSE(VALUE(E836)+1,"A","B","C","D"),IF(OR(LEFT(UPPER(TRIM(E836)),1)="F",UPPER(TRIM(E836))="A"),"A",IF(OR(LEFT(UPPER(TRIM(E836)),1)="M",UPPER(TRIM(E836))="B"),"B",IF(OR(LEFT(UPPER(TRIM(E836)),2)="SL",UPPER(TRIM(E836))="C"),"C",IF(OR(LEFT(UPPER(TRIM(E836)),1)="D",UPPER(TRIM(E836))="D"),"D","")))))))</f>
        <v/>
      </c>
      <c r="J836" s="27" t="str">
        <f aca="false">IF(I836="","",IF(AND(I836="D",Settings!$B$6&lt;&gt;"Yes"),"",IFERROR(INDEX(Settings!$C$9:$C$12,MATCH(I836,Settings!$A$9:$A$12,0)),"")))</f>
        <v/>
      </c>
      <c r="K836" s="27" t="str">
        <f aca="false">IF(J836="","",COUNTIF($I$2:I836,I836))</f>
        <v/>
      </c>
      <c r="L836" s="27" t="str">
        <f aca="false">IF(J836="","",CHOOSE(Q836+1,"Tue","Wed","Thu","Fri"))</f>
        <v/>
      </c>
      <c r="M836" s="27" t="str">
        <f aca="false">IF(J836="","",IF(J836=1,"Every week",R836+1&amp;" of "&amp;J836))</f>
        <v/>
      </c>
      <c r="N836" s="28" t="str">
        <f aca="false">IF(J836="","",Settings!$B$4+R836*7+Q836)</f>
        <v/>
      </c>
      <c r="O836" s="28" t="str">
        <f aca="true">IF(J836="","",N836+MAX(0,ROUNDUP((TODAY()-N836)/(J836*7),0))*J836*7)</f>
        <v/>
      </c>
      <c r="P836" s="27" t="str">
        <f aca="false">IF(J836="","",MOD(K836-1,J836*4))</f>
        <v/>
      </c>
      <c r="Q836" s="27" t="str">
        <f aca="false">IF(J836="","",MOD(P836,4))</f>
        <v/>
      </c>
      <c r="R836" s="27" t="str">
        <f aca="false">IF(J836="","",INT(P836/4))</f>
        <v/>
      </c>
      <c r="S836" s="27" t="str">
        <f aca="false">IF(J836="","",IF(AND('Daily Count Sheet'!$H$3=Q836,MOD('Daily Count Sheet'!$I$3,J836)=R836),1,""))</f>
        <v/>
      </c>
      <c r="T836" s="27" t="str">
        <f aca="false">IF(S836=1,COUNTIF($S$2:S836,1),"")</f>
        <v/>
      </c>
    </row>
    <row r="837" customFormat="false" ht="15" hidden="false" customHeight="false" outlineLevel="0" collapsed="false">
      <c r="H837" s="26"/>
      <c r="I837" s="27" t="str">
        <f aca="false">IF(A837="","",IF(H837&lt;&gt;"",UPPER(TRIM(H837)),IFERROR(CHOOSE(VALUE(E837)+1,"A","B","C","D"),IF(OR(LEFT(UPPER(TRIM(E837)),1)="F",UPPER(TRIM(E837))="A"),"A",IF(OR(LEFT(UPPER(TRIM(E837)),1)="M",UPPER(TRIM(E837))="B"),"B",IF(OR(LEFT(UPPER(TRIM(E837)),2)="SL",UPPER(TRIM(E837))="C"),"C",IF(OR(LEFT(UPPER(TRIM(E837)),1)="D",UPPER(TRIM(E837))="D"),"D","")))))))</f>
        <v/>
      </c>
      <c r="J837" s="27" t="str">
        <f aca="false">IF(I837="","",IF(AND(I837="D",Settings!$B$6&lt;&gt;"Yes"),"",IFERROR(INDEX(Settings!$C$9:$C$12,MATCH(I837,Settings!$A$9:$A$12,0)),"")))</f>
        <v/>
      </c>
      <c r="K837" s="27" t="str">
        <f aca="false">IF(J837="","",COUNTIF($I$2:I837,I837))</f>
        <v/>
      </c>
      <c r="L837" s="27" t="str">
        <f aca="false">IF(J837="","",CHOOSE(Q837+1,"Tue","Wed","Thu","Fri"))</f>
        <v/>
      </c>
      <c r="M837" s="27" t="str">
        <f aca="false">IF(J837="","",IF(J837=1,"Every week",R837+1&amp;" of "&amp;J837))</f>
        <v/>
      </c>
      <c r="N837" s="28" t="str">
        <f aca="false">IF(J837="","",Settings!$B$4+R837*7+Q837)</f>
        <v/>
      </c>
      <c r="O837" s="28" t="str">
        <f aca="true">IF(J837="","",N837+MAX(0,ROUNDUP((TODAY()-N837)/(J837*7),0))*J837*7)</f>
        <v/>
      </c>
      <c r="P837" s="27" t="str">
        <f aca="false">IF(J837="","",MOD(K837-1,J837*4))</f>
        <v/>
      </c>
      <c r="Q837" s="27" t="str">
        <f aca="false">IF(J837="","",MOD(P837,4))</f>
        <v/>
      </c>
      <c r="R837" s="27" t="str">
        <f aca="false">IF(J837="","",INT(P837/4))</f>
        <v/>
      </c>
      <c r="S837" s="27" t="str">
        <f aca="false">IF(J837="","",IF(AND('Daily Count Sheet'!$H$3=Q837,MOD('Daily Count Sheet'!$I$3,J837)=R837),1,""))</f>
        <v/>
      </c>
      <c r="T837" s="27" t="str">
        <f aca="false">IF(S837=1,COUNTIF($S$2:S837,1),"")</f>
        <v/>
      </c>
    </row>
    <row r="838" customFormat="false" ht="15" hidden="false" customHeight="false" outlineLevel="0" collapsed="false">
      <c r="H838" s="26"/>
      <c r="I838" s="27" t="str">
        <f aca="false">IF(A838="","",IF(H838&lt;&gt;"",UPPER(TRIM(H838)),IFERROR(CHOOSE(VALUE(E838)+1,"A","B","C","D"),IF(OR(LEFT(UPPER(TRIM(E838)),1)="F",UPPER(TRIM(E838))="A"),"A",IF(OR(LEFT(UPPER(TRIM(E838)),1)="M",UPPER(TRIM(E838))="B"),"B",IF(OR(LEFT(UPPER(TRIM(E838)),2)="SL",UPPER(TRIM(E838))="C"),"C",IF(OR(LEFT(UPPER(TRIM(E838)),1)="D",UPPER(TRIM(E838))="D"),"D","")))))))</f>
        <v/>
      </c>
      <c r="J838" s="27" t="str">
        <f aca="false">IF(I838="","",IF(AND(I838="D",Settings!$B$6&lt;&gt;"Yes"),"",IFERROR(INDEX(Settings!$C$9:$C$12,MATCH(I838,Settings!$A$9:$A$12,0)),"")))</f>
        <v/>
      </c>
      <c r="K838" s="27" t="str">
        <f aca="false">IF(J838="","",COUNTIF($I$2:I838,I838))</f>
        <v/>
      </c>
      <c r="L838" s="27" t="str">
        <f aca="false">IF(J838="","",CHOOSE(Q838+1,"Tue","Wed","Thu","Fri"))</f>
        <v/>
      </c>
      <c r="M838" s="27" t="str">
        <f aca="false">IF(J838="","",IF(J838=1,"Every week",R838+1&amp;" of "&amp;J838))</f>
        <v/>
      </c>
      <c r="N838" s="28" t="str">
        <f aca="false">IF(J838="","",Settings!$B$4+R838*7+Q838)</f>
        <v/>
      </c>
      <c r="O838" s="28" t="str">
        <f aca="true">IF(J838="","",N838+MAX(0,ROUNDUP((TODAY()-N838)/(J838*7),0))*J838*7)</f>
        <v/>
      </c>
      <c r="P838" s="27" t="str">
        <f aca="false">IF(J838="","",MOD(K838-1,J838*4))</f>
        <v/>
      </c>
      <c r="Q838" s="27" t="str">
        <f aca="false">IF(J838="","",MOD(P838,4))</f>
        <v/>
      </c>
      <c r="R838" s="27" t="str">
        <f aca="false">IF(J838="","",INT(P838/4))</f>
        <v/>
      </c>
      <c r="S838" s="27" t="str">
        <f aca="false">IF(J838="","",IF(AND('Daily Count Sheet'!$H$3=Q838,MOD('Daily Count Sheet'!$I$3,J838)=R838),1,""))</f>
        <v/>
      </c>
      <c r="T838" s="27" t="str">
        <f aca="false">IF(S838=1,COUNTIF($S$2:S838,1),"")</f>
        <v/>
      </c>
    </row>
    <row r="839" customFormat="false" ht="15" hidden="false" customHeight="false" outlineLevel="0" collapsed="false">
      <c r="H839" s="26"/>
      <c r="I839" s="27" t="str">
        <f aca="false">IF(A839="","",IF(H839&lt;&gt;"",UPPER(TRIM(H839)),IFERROR(CHOOSE(VALUE(E839)+1,"A","B","C","D"),IF(OR(LEFT(UPPER(TRIM(E839)),1)="F",UPPER(TRIM(E839))="A"),"A",IF(OR(LEFT(UPPER(TRIM(E839)),1)="M",UPPER(TRIM(E839))="B"),"B",IF(OR(LEFT(UPPER(TRIM(E839)),2)="SL",UPPER(TRIM(E839))="C"),"C",IF(OR(LEFT(UPPER(TRIM(E839)),1)="D",UPPER(TRIM(E839))="D"),"D","")))))))</f>
        <v/>
      </c>
      <c r="J839" s="27" t="str">
        <f aca="false">IF(I839="","",IF(AND(I839="D",Settings!$B$6&lt;&gt;"Yes"),"",IFERROR(INDEX(Settings!$C$9:$C$12,MATCH(I839,Settings!$A$9:$A$12,0)),"")))</f>
        <v/>
      </c>
      <c r="K839" s="27" t="str">
        <f aca="false">IF(J839="","",COUNTIF($I$2:I839,I839))</f>
        <v/>
      </c>
      <c r="L839" s="27" t="str">
        <f aca="false">IF(J839="","",CHOOSE(Q839+1,"Tue","Wed","Thu","Fri"))</f>
        <v/>
      </c>
      <c r="M839" s="27" t="str">
        <f aca="false">IF(J839="","",IF(J839=1,"Every week",R839+1&amp;" of "&amp;J839))</f>
        <v/>
      </c>
      <c r="N839" s="28" t="str">
        <f aca="false">IF(J839="","",Settings!$B$4+R839*7+Q839)</f>
        <v/>
      </c>
      <c r="O839" s="28" t="str">
        <f aca="true">IF(J839="","",N839+MAX(0,ROUNDUP((TODAY()-N839)/(J839*7),0))*J839*7)</f>
        <v/>
      </c>
      <c r="P839" s="27" t="str">
        <f aca="false">IF(J839="","",MOD(K839-1,J839*4))</f>
        <v/>
      </c>
      <c r="Q839" s="27" t="str">
        <f aca="false">IF(J839="","",MOD(P839,4))</f>
        <v/>
      </c>
      <c r="R839" s="27" t="str">
        <f aca="false">IF(J839="","",INT(P839/4))</f>
        <v/>
      </c>
      <c r="S839" s="27" t="str">
        <f aca="false">IF(J839="","",IF(AND('Daily Count Sheet'!$H$3=Q839,MOD('Daily Count Sheet'!$I$3,J839)=R839),1,""))</f>
        <v/>
      </c>
      <c r="T839" s="27" t="str">
        <f aca="false">IF(S839=1,COUNTIF($S$2:S839,1),"")</f>
        <v/>
      </c>
    </row>
    <row r="840" customFormat="false" ht="15" hidden="false" customHeight="false" outlineLevel="0" collapsed="false">
      <c r="H840" s="26"/>
      <c r="I840" s="27" t="str">
        <f aca="false">IF(A840="","",IF(H840&lt;&gt;"",UPPER(TRIM(H840)),IFERROR(CHOOSE(VALUE(E840)+1,"A","B","C","D"),IF(OR(LEFT(UPPER(TRIM(E840)),1)="F",UPPER(TRIM(E840))="A"),"A",IF(OR(LEFT(UPPER(TRIM(E840)),1)="M",UPPER(TRIM(E840))="B"),"B",IF(OR(LEFT(UPPER(TRIM(E840)),2)="SL",UPPER(TRIM(E840))="C"),"C",IF(OR(LEFT(UPPER(TRIM(E840)),1)="D",UPPER(TRIM(E840))="D"),"D","")))))))</f>
        <v/>
      </c>
      <c r="J840" s="27" t="str">
        <f aca="false">IF(I840="","",IF(AND(I840="D",Settings!$B$6&lt;&gt;"Yes"),"",IFERROR(INDEX(Settings!$C$9:$C$12,MATCH(I840,Settings!$A$9:$A$12,0)),"")))</f>
        <v/>
      </c>
      <c r="K840" s="27" t="str">
        <f aca="false">IF(J840="","",COUNTIF($I$2:I840,I840))</f>
        <v/>
      </c>
      <c r="L840" s="27" t="str">
        <f aca="false">IF(J840="","",CHOOSE(Q840+1,"Tue","Wed","Thu","Fri"))</f>
        <v/>
      </c>
      <c r="M840" s="27" t="str">
        <f aca="false">IF(J840="","",IF(J840=1,"Every week",R840+1&amp;" of "&amp;J840))</f>
        <v/>
      </c>
      <c r="N840" s="28" t="str">
        <f aca="false">IF(J840="","",Settings!$B$4+R840*7+Q840)</f>
        <v/>
      </c>
      <c r="O840" s="28" t="str">
        <f aca="true">IF(J840="","",N840+MAX(0,ROUNDUP((TODAY()-N840)/(J840*7),0))*J840*7)</f>
        <v/>
      </c>
      <c r="P840" s="27" t="str">
        <f aca="false">IF(J840="","",MOD(K840-1,J840*4))</f>
        <v/>
      </c>
      <c r="Q840" s="27" t="str">
        <f aca="false">IF(J840="","",MOD(P840,4))</f>
        <v/>
      </c>
      <c r="R840" s="27" t="str">
        <f aca="false">IF(J840="","",INT(P840/4))</f>
        <v/>
      </c>
      <c r="S840" s="27" t="str">
        <f aca="false">IF(J840="","",IF(AND('Daily Count Sheet'!$H$3=Q840,MOD('Daily Count Sheet'!$I$3,J840)=R840),1,""))</f>
        <v/>
      </c>
      <c r="T840" s="27" t="str">
        <f aca="false">IF(S840=1,COUNTIF($S$2:S840,1),"")</f>
        <v/>
      </c>
    </row>
    <row r="841" customFormat="false" ht="15" hidden="false" customHeight="false" outlineLevel="0" collapsed="false">
      <c r="H841" s="26"/>
      <c r="I841" s="27" t="str">
        <f aca="false">IF(A841="","",IF(H841&lt;&gt;"",UPPER(TRIM(H841)),IFERROR(CHOOSE(VALUE(E841)+1,"A","B","C","D"),IF(OR(LEFT(UPPER(TRIM(E841)),1)="F",UPPER(TRIM(E841))="A"),"A",IF(OR(LEFT(UPPER(TRIM(E841)),1)="M",UPPER(TRIM(E841))="B"),"B",IF(OR(LEFT(UPPER(TRIM(E841)),2)="SL",UPPER(TRIM(E841))="C"),"C",IF(OR(LEFT(UPPER(TRIM(E841)),1)="D",UPPER(TRIM(E841))="D"),"D","")))))))</f>
        <v/>
      </c>
      <c r="J841" s="27" t="str">
        <f aca="false">IF(I841="","",IF(AND(I841="D",Settings!$B$6&lt;&gt;"Yes"),"",IFERROR(INDEX(Settings!$C$9:$C$12,MATCH(I841,Settings!$A$9:$A$12,0)),"")))</f>
        <v/>
      </c>
      <c r="K841" s="27" t="str">
        <f aca="false">IF(J841="","",COUNTIF($I$2:I841,I841))</f>
        <v/>
      </c>
      <c r="L841" s="27" t="str">
        <f aca="false">IF(J841="","",CHOOSE(Q841+1,"Tue","Wed","Thu","Fri"))</f>
        <v/>
      </c>
      <c r="M841" s="27" t="str">
        <f aca="false">IF(J841="","",IF(J841=1,"Every week",R841+1&amp;" of "&amp;J841))</f>
        <v/>
      </c>
      <c r="N841" s="28" t="str">
        <f aca="false">IF(J841="","",Settings!$B$4+R841*7+Q841)</f>
        <v/>
      </c>
      <c r="O841" s="28" t="str">
        <f aca="true">IF(J841="","",N841+MAX(0,ROUNDUP((TODAY()-N841)/(J841*7),0))*J841*7)</f>
        <v/>
      </c>
      <c r="P841" s="27" t="str">
        <f aca="false">IF(J841="","",MOD(K841-1,J841*4))</f>
        <v/>
      </c>
      <c r="Q841" s="27" t="str">
        <f aca="false">IF(J841="","",MOD(P841,4))</f>
        <v/>
      </c>
      <c r="R841" s="27" t="str">
        <f aca="false">IF(J841="","",INT(P841/4))</f>
        <v/>
      </c>
      <c r="S841" s="27" t="str">
        <f aca="false">IF(J841="","",IF(AND('Daily Count Sheet'!$H$3=Q841,MOD('Daily Count Sheet'!$I$3,J841)=R841),1,""))</f>
        <v/>
      </c>
      <c r="T841" s="27" t="str">
        <f aca="false">IF(S841=1,COUNTIF($S$2:S841,1),"")</f>
        <v/>
      </c>
    </row>
    <row r="842" customFormat="false" ht="15" hidden="false" customHeight="false" outlineLevel="0" collapsed="false">
      <c r="H842" s="26"/>
      <c r="I842" s="27" t="str">
        <f aca="false">IF(A842="","",IF(H842&lt;&gt;"",UPPER(TRIM(H842)),IFERROR(CHOOSE(VALUE(E842)+1,"A","B","C","D"),IF(OR(LEFT(UPPER(TRIM(E842)),1)="F",UPPER(TRIM(E842))="A"),"A",IF(OR(LEFT(UPPER(TRIM(E842)),1)="M",UPPER(TRIM(E842))="B"),"B",IF(OR(LEFT(UPPER(TRIM(E842)),2)="SL",UPPER(TRIM(E842))="C"),"C",IF(OR(LEFT(UPPER(TRIM(E842)),1)="D",UPPER(TRIM(E842))="D"),"D","")))))))</f>
        <v/>
      </c>
      <c r="J842" s="27" t="str">
        <f aca="false">IF(I842="","",IF(AND(I842="D",Settings!$B$6&lt;&gt;"Yes"),"",IFERROR(INDEX(Settings!$C$9:$C$12,MATCH(I842,Settings!$A$9:$A$12,0)),"")))</f>
        <v/>
      </c>
      <c r="K842" s="27" t="str">
        <f aca="false">IF(J842="","",COUNTIF($I$2:I842,I842))</f>
        <v/>
      </c>
      <c r="L842" s="27" t="str">
        <f aca="false">IF(J842="","",CHOOSE(Q842+1,"Tue","Wed","Thu","Fri"))</f>
        <v/>
      </c>
      <c r="M842" s="27" t="str">
        <f aca="false">IF(J842="","",IF(J842=1,"Every week",R842+1&amp;" of "&amp;J842))</f>
        <v/>
      </c>
      <c r="N842" s="28" t="str">
        <f aca="false">IF(J842="","",Settings!$B$4+R842*7+Q842)</f>
        <v/>
      </c>
      <c r="O842" s="28" t="str">
        <f aca="true">IF(J842="","",N842+MAX(0,ROUNDUP((TODAY()-N842)/(J842*7),0))*J842*7)</f>
        <v/>
      </c>
      <c r="P842" s="27" t="str">
        <f aca="false">IF(J842="","",MOD(K842-1,J842*4))</f>
        <v/>
      </c>
      <c r="Q842" s="27" t="str">
        <f aca="false">IF(J842="","",MOD(P842,4))</f>
        <v/>
      </c>
      <c r="R842" s="27" t="str">
        <f aca="false">IF(J842="","",INT(P842/4))</f>
        <v/>
      </c>
      <c r="S842" s="27" t="str">
        <f aca="false">IF(J842="","",IF(AND('Daily Count Sheet'!$H$3=Q842,MOD('Daily Count Sheet'!$I$3,J842)=R842),1,""))</f>
        <v/>
      </c>
      <c r="T842" s="27" t="str">
        <f aca="false">IF(S842=1,COUNTIF($S$2:S842,1),"")</f>
        <v/>
      </c>
    </row>
    <row r="843" customFormat="false" ht="15" hidden="false" customHeight="false" outlineLevel="0" collapsed="false">
      <c r="H843" s="26"/>
      <c r="I843" s="27" t="str">
        <f aca="false">IF(A843="","",IF(H843&lt;&gt;"",UPPER(TRIM(H843)),IFERROR(CHOOSE(VALUE(E843)+1,"A","B","C","D"),IF(OR(LEFT(UPPER(TRIM(E843)),1)="F",UPPER(TRIM(E843))="A"),"A",IF(OR(LEFT(UPPER(TRIM(E843)),1)="M",UPPER(TRIM(E843))="B"),"B",IF(OR(LEFT(UPPER(TRIM(E843)),2)="SL",UPPER(TRIM(E843))="C"),"C",IF(OR(LEFT(UPPER(TRIM(E843)),1)="D",UPPER(TRIM(E843))="D"),"D","")))))))</f>
        <v/>
      </c>
      <c r="J843" s="27" t="str">
        <f aca="false">IF(I843="","",IF(AND(I843="D",Settings!$B$6&lt;&gt;"Yes"),"",IFERROR(INDEX(Settings!$C$9:$C$12,MATCH(I843,Settings!$A$9:$A$12,0)),"")))</f>
        <v/>
      </c>
      <c r="K843" s="27" t="str">
        <f aca="false">IF(J843="","",COUNTIF($I$2:I843,I843))</f>
        <v/>
      </c>
      <c r="L843" s="27" t="str">
        <f aca="false">IF(J843="","",CHOOSE(Q843+1,"Tue","Wed","Thu","Fri"))</f>
        <v/>
      </c>
      <c r="M843" s="27" t="str">
        <f aca="false">IF(J843="","",IF(J843=1,"Every week",R843+1&amp;" of "&amp;J843))</f>
        <v/>
      </c>
      <c r="N843" s="28" t="str">
        <f aca="false">IF(J843="","",Settings!$B$4+R843*7+Q843)</f>
        <v/>
      </c>
      <c r="O843" s="28" t="str">
        <f aca="true">IF(J843="","",N843+MAX(0,ROUNDUP((TODAY()-N843)/(J843*7),0))*J843*7)</f>
        <v/>
      </c>
      <c r="P843" s="27" t="str">
        <f aca="false">IF(J843="","",MOD(K843-1,J843*4))</f>
        <v/>
      </c>
      <c r="Q843" s="27" t="str">
        <f aca="false">IF(J843="","",MOD(P843,4))</f>
        <v/>
      </c>
      <c r="R843" s="27" t="str">
        <f aca="false">IF(J843="","",INT(P843/4))</f>
        <v/>
      </c>
      <c r="S843" s="27" t="str">
        <f aca="false">IF(J843="","",IF(AND('Daily Count Sheet'!$H$3=Q843,MOD('Daily Count Sheet'!$I$3,J843)=R843),1,""))</f>
        <v/>
      </c>
      <c r="T843" s="27" t="str">
        <f aca="false">IF(S843=1,COUNTIF($S$2:S843,1),"")</f>
        <v/>
      </c>
    </row>
    <row r="844" customFormat="false" ht="15" hidden="false" customHeight="false" outlineLevel="0" collapsed="false">
      <c r="H844" s="26"/>
      <c r="I844" s="27" t="str">
        <f aca="false">IF(A844="","",IF(H844&lt;&gt;"",UPPER(TRIM(H844)),IFERROR(CHOOSE(VALUE(E844)+1,"A","B","C","D"),IF(OR(LEFT(UPPER(TRIM(E844)),1)="F",UPPER(TRIM(E844))="A"),"A",IF(OR(LEFT(UPPER(TRIM(E844)),1)="M",UPPER(TRIM(E844))="B"),"B",IF(OR(LEFT(UPPER(TRIM(E844)),2)="SL",UPPER(TRIM(E844))="C"),"C",IF(OR(LEFT(UPPER(TRIM(E844)),1)="D",UPPER(TRIM(E844))="D"),"D","")))))))</f>
        <v/>
      </c>
      <c r="J844" s="27" t="str">
        <f aca="false">IF(I844="","",IF(AND(I844="D",Settings!$B$6&lt;&gt;"Yes"),"",IFERROR(INDEX(Settings!$C$9:$C$12,MATCH(I844,Settings!$A$9:$A$12,0)),"")))</f>
        <v/>
      </c>
      <c r="K844" s="27" t="str">
        <f aca="false">IF(J844="","",COUNTIF($I$2:I844,I844))</f>
        <v/>
      </c>
      <c r="L844" s="27" t="str">
        <f aca="false">IF(J844="","",CHOOSE(Q844+1,"Tue","Wed","Thu","Fri"))</f>
        <v/>
      </c>
      <c r="M844" s="27" t="str">
        <f aca="false">IF(J844="","",IF(J844=1,"Every week",R844+1&amp;" of "&amp;J844))</f>
        <v/>
      </c>
      <c r="N844" s="28" t="str">
        <f aca="false">IF(J844="","",Settings!$B$4+R844*7+Q844)</f>
        <v/>
      </c>
      <c r="O844" s="28" t="str">
        <f aca="true">IF(J844="","",N844+MAX(0,ROUNDUP((TODAY()-N844)/(J844*7),0))*J844*7)</f>
        <v/>
      </c>
      <c r="P844" s="27" t="str">
        <f aca="false">IF(J844="","",MOD(K844-1,J844*4))</f>
        <v/>
      </c>
      <c r="Q844" s="27" t="str">
        <f aca="false">IF(J844="","",MOD(P844,4))</f>
        <v/>
      </c>
      <c r="R844" s="27" t="str">
        <f aca="false">IF(J844="","",INT(P844/4))</f>
        <v/>
      </c>
      <c r="S844" s="27" t="str">
        <f aca="false">IF(J844="","",IF(AND('Daily Count Sheet'!$H$3=Q844,MOD('Daily Count Sheet'!$I$3,J844)=R844),1,""))</f>
        <v/>
      </c>
      <c r="T844" s="27" t="str">
        <f aca="false">IF(S844=1,COUNTIF($S$2:S844,1),"")</f>
        <v/>
      </c>
    </row>
    <row r="845" customFormat="false" ht="15" hidden="false" customHeight="false" outlineLevel="0" collapsed="false">
      <c r="H845" s="26"/>
      <c r="I845" s="27" t="str">
        <f aca="false">IF(A845="","",IF(H845&lt;&gt;"",UPPER(TRIM(H845)),IFERROR(CHOOSE(VALUE(E845)+1,"A","B","C","D"),IF(OR(LEFT(UPPER(TRIM(E845)),1)="F",UPPER(TRIM(E845))="A"),"A",IF(OR(LEFT(UPPER(TRIM(E845)),1)="M",UPPER(TRIM(E845))="B"),"B",IF(OR(LEFT(UPPER(TRIM(E845)),2)="SL",UPPER(TRIM(E845))="C"),"C",IF(OR(LEFT(UPPER(TRIM(E845)),1)="D",UPPER(TRIM(E845))="D"),"D","")))))))</f>
        <v/>
      </c>
      <c r="J845" s="27" t="str">
        <f aca="false">IF(I845="","",IF(AND(I845="D",Settings!$B$6&lt;&gt;"Yes"),"",IFERROR(INDEX(Settings!$C$9:$C$12,MATCH(I845,Settings!$A$9:$A$12,0)),"")))</f>
        <v/>
      </c>
      <c r="K845" s="27" t="str">
        <f aca="false">IF(J845="","",COUNTIF($I$2:I845,I845))</f>
        <v/>
      </c>
      <c r="L845" s="27" t="str">
        <f aca="false">IF(J845="","",CHOOSE(Q845+1,"Tue","Wed","Thu","Fri"))</f>
        <v/>
      </c>
      <c r="M845" s="27" t="str">
        <f aca="false">IF(J845="","",IF(J845=1,"Every week",R845+1&amp;" of "&amp;J845))</f>
        <v/>
      </c>
      <c r="N845" s="28" t="str">
        <f aca="false">IF(J845="","",Settings!$B$4+R845*7+Q845)</f>
        <v/>
      </c>
      <c r="O845" s="28" t="str">
        <f aca="true">IF(J845="","",N845+MAX(0,ROUNDUP((TODAY()-N845)/(J845*7),0))*J845*7)</f>
        <v/>
      </c>
      <c r="P845" s="27" t="str">
        <f aca="false">IF(J845="","",MOD(K845-1,J845*4))</f>
        <v/>
      </c>
      <c r="Q845" s="27" t="str">
        <f aca="false">IF(J845="","",MOD(P845,4))</f>
        <v/>
      </c>
      <c r="R845" s="27" t="str">
        <f aca="false">IF(J845="","",INT(P845/4))</f>
        <v/>
      </c>
      <c r="S845" s="27" t="str">
        <f aca="false">IF(J845="","",IF(AND('Daily Count Sheet'!$H$3=Q845,MOD('Daily Count Sheet'!$I$3,J845)=R845),1,""))</f>
        <v/>
      </c>
      <c r="T845" s="27" t="str">
        <f aca="false">IF(S845=1,COUNTIF($S$2:S845,1),"")</f>
        <v/>
      </c>
    </row>
    <row r="846" customFormat="false" ht="15" hidden="false" customHeight="false" outlineLevel="0" collapsed="false">
      <c r="H846" s="26"/>
      <c r="I846" s="27" t="str">
        <f aca="false">IF(A846="","",IF(H846&lt;&gt;"",UPPER(TRIM(H846)),IFERROR(CHOOSE(VALUE(E846)+1,"A","B","C","D"),IF(OR(LEFT(UPPER(TRIM(E846)),1)="F",UPPER(TRIM(E846))="A"),"A",IF(OR(LEFT(UPPER(TRIM(E846)),1)="M",UPPER(TRIM(E846))="B"),"B",IF(OR(LEFT(UPPER(TRIM(E846)),2)="SL",UPPER(TRIM(E846))="C"),"C",IF(OR(LEFT(UPPER(TRIM(E846)),1)="D",UPPER(TRIM(E846))="D"),"D","")))))))</f>
        <v/>
      </c>
      <c r="J846" s="27" t="str">
        <f aca="false">IF(I846="","",IF(AND(I846="D",Settings!$B$6&lt;&gt;"Yes"),"",IFERROR(INDEX(Settings!$C$9:$C$12,MATCH(I846,Settings!$A$9:$A$12,0)),"")))</f>
        <v/>
      </c>
      <c r="K846" s="27" t="str">
        <f aca="false">IF(J846="","",COUNTIF($I$2:I846,I846))</f>
        <v/>
      </c>
      <c r="L846" s="27" t="str">
        <f aca="false">IF(J846="","",CHOOSE(Q846+1,"Tue","Wed","Thu","Fri"))</f>
        <v/>
      </c>
      <c r="M846" s="27" t="str">
        <f aca="false">IF(J846="","",IF(J846=1,"Every week",R846+1&amp;" of "&amp;J846))</f>
        <v/>
      </c>
      <c r="N846" s="28" t="str">
        <f aca="false">IF(J846="","",Settings!$B$4+R846*7+Q846)</f>
        <v/>
      </c>
      <c r="O846" s="28" t="str">
        <f aca="true">IF(J846="","",N846+MAX(0,ROUNDUP((TODAY()-N846)/(J846*7),0))*J846*7)</f>
        <v/>
      </c>
      <c r="P846" s="27" t="str">
        <f aca="false">IF(J846="","",MOD(K846-1,J846*4))</f>
        <v/>
      </c>
      <c r="Q846" s="27" t="str">
        <f aca="false">IF(J846="","",MOD(P846,4))</f>
        <v/>
      </c>
      <c r="R846" s="27" t="str">
        <f aca="false">IF(J846="","",INT(P846/4))</f>
        <v/>
      </c>
      <c r="S846" s="27" t="str">
        <f aca="false">IF(J846="","",IF(AND('Daily Count Sheet'!$H$3=Q846,MOD('Daily Count Sheet'!$I$3,J846)=R846),1,""))</f>
        <v/>
      </c>
      <c r="T846" s="27" t="str">
        <f aca="false">IF(S846=1,COUNTIF($S$2:S846,1),"")</f>
        <v/>
      </c>
    </row>
    <row r="847" customFormat="false" ht="15" hidden="false" customHeight="false" outlineLevel="0" collapsed="false">
      <c r="H847" s="26"/>
      <c r="I847" s="27" t="str">
        <f aca="false">IF(A847="","",IF(H847&lt;&gt;"",UPPER(TRIM(H847)),IFERROR(CHOOSE(VALUE(E847)+1,"A","B","C","D"),IF(OR(LEFT(UPPER(TRIM(E847)),1)="F",UPPER(TRIM(E847))="A"),"A",IF(OR(LEFT(UPPER(TRIM(E847)),1)="M",UPPER(TRIM(E847))="B"),"B",IF(OR(LEFT(UPPER(TRIM(E847)),2)="SL",UPPER(TRIM(E847))="C"),"C",IF(OR(LEFT(UPPER(TRIM(E847)),1)="D",UPPER(TRIM(E847))="D"),"D","")))))))</f>
        <v/>
      </c>
      <c r="J847" s="27" t="str">
        <f aca="false">IF(I847="","",IF(AND(I847="D",Settings!$B$6&lt;&gt;"Yes"),"",IFERROR(INDEX(Settings!$C$9:$C$12,MATCH(I847,Settings!$A$9:$A$12,0)),"")))</f>
        <v/>
      </c>
      <c r="K847" s="27" t="str">
        <f aca="false">IF(J847="","",COUNTIF($I$2:I847,I847))</f>
        <v/>
      </c>
      <c r="L847" s="27" t="str">
        <f aca="false">IF(J847="","",CHOOSE(Q847+1,"Tue","Wed","Thu","Fri"))</f>
        <v/>
      </c>
      <c r="M847" s="27" t="str">
        <f aca="false">IF(J847="","",IF(J847=1,"Every week",R847+1&amp;" of "&amp;J847))</f>
        <v/>
      </c>
      <c r="N847" s="28" t="str">
        <f aca="false">IF(J847="","",Settings!$B$4+R847*7+Q847)</f>
        <v/>
      </c>
      <c r="O847" s="28" t="str">
        <f aca="true">IF(J847="","",N847+MAX(0,ROUNDUP((TODAY()-N847)/(J847*7),0))*J847*7)</f>
        <v/>
      </c>
      <c r="P847" s="27" t="str">
        <f aca="false">IF(J847="","",MOD(K847-1,J847*4))</f>
        <v/>
      </c>
      <c r="Q847" s="27" t="str">
        <f aca="false">IF(J847="","",MOD(P847,4))</f>
        <v/>
      </c>
      <c r="R847" s="27" t="str">
        <f aca="false">IF(J847="","",INT(P847/4))</f>
        <v/>
      </c>
      <c r="S847" s="27" t="str">
        <f aca="false">IF(J847="","",IF(AND('Daily Count Sheet'!$H$3=Q847,MOD('Daily Count Sheet'!$I$3,J847)=R847),1,""))</f>
        <v/>
      </c>
      <c r="T847" s="27" t="str">
        <f aca="false">IF(S847=1,COUNTIF($S$2:S847,1),"")</f>
        <v/>
      </c>
    </row>
    <row r="848" customFormat="false" ht="15" hidden="false" customHeight="false" outlineLevel="0" collapsed="false">
      <c r="H848" s="26"/>
      <c r="I848" s="27" t="str">
        <f aca="false">IF(A848="","",IF(H848&lt;&gt;"",UPPER(TRIM(H848)),IFERROR(CHOOSE(VALUE(E848)+1,"A","B","C","D"),IF(OR(LEFT(UPPER(TRIM(E848)),1)="F",UPPER(TRIM(E848))="A"),"A",IF(OR(LEFT(UPPER(TRIM(E848)),1)="M",UPPER(TRIM(E848))="B"),"B",IF(OR(LEFT(UPPER(TRIM(E848)),2)="SL",UPPER(TRIM(E848))="C"),"C",IF(OR(LEFT(UPPER(TRIM(E848)),1)="D",UPPER(TRIM(E848))="D"),"D","")))))))</f>
        <v/>
      </c>
      <c r="J848" s="27" t="str">
        <f aca="false">IF(I848="","",IF(AND(I848="D",Settings!$B$6&lt;&gt;"Yes"),"",IFERROR(INDEX(Settings!$C$9:$C$12,MATCH(I848,Settings!$A$9:$A$12,0)),"")))</f>
        <v/>
      </c>
      <c r="K848" s="27" t="str">
        <f aca="false">IF(J848="","",COUNTIF($I$2:I848,I848))</f>
        <v/>
      </c>
      <c r="L848" s="27" t="str">
        <f aca="false">IF(J848="","",CHOOSE(Q848+1,"Tue","Wed","Thu","Fri"))</f>
        <v/>
      </c>
      <c r="M848" s="27" t="str">
        <f aca="false">IF(J848="","",IF(J848=1,"Every week",R848+1&amp;" of "&amp;J848))</f>
        <v/>
      </c>
      <c r="N848" s="28" t="str">
        <f aca="false">IF(J848="","",Settings!$B$4+R848*7+Q848)</f>
        <v/>
      </c>
      <c r="O848" s="28" t="str">
        <f aca="true">IF(J848="","",N848+MAX(0,ROUNDUP((TODAY()-N848)/(J848*7),0))*J848*7)</f>
        <v/>
      </c>
      <c r="P848" s="27" t="str">
        <f aca="false">IF(J848="","",MOD(K848-1,J848*4))</f>
        <v/>
      </c>
      <c r="Q848" s="27" t="str">
        <f aca="false">IF(J848="","",MOD(P848,4))</f>
        <v/>
      </c>
      <c r="R848" s="27" t="str">
        <f aca="false">IF(J848="","",INT(P848/4))</f>
        <v/>
      </c>
      <c r="S848" s="27" t="str">
        <f aca="false">IF(J848="","",IF(AND('Daily Count Sheet'!$H$3=Q848,MOD('Daily Count Sheet'!$I$3,J848)=R848),1,""))</f>
        <v/>
      </c>
      <c r="T848" s="27" t="str">
        <f aca="false">IF(S848=1,COUNTIF($S$2:S848,1),"")</f>
        <v/>
      </c>
    </row>
    <row r="849" customFormat="false" ht="15" hidden="false" customHeight="false" outlineLevel="0" collapsed="false">
      <c r="H849" s="26"/>
      <c r="I849" s="27" t="str">
        <f aca="false">IF(A849="","",IF(H849&lt;&gt;"",UPPER(TRIM(H849)),IFERROR(CHOOSE(VALUE(E849)+1,"A","B","C","D"),IF(OR(LEFT(UPPER(TRIM(E849)),1)="F",UPPER(TRIM(E849))="A"),"A",IF(OR(LEFT(UPPER(TRIM(E849)),1)="M",UPPER(TRIM(E849))="B"),"B",IF(OR(LEFT(UPPER(TRIM(E849)),2)="SL",UPPER(TRIM(E849))="C"),"C",IF(OR(LEFT(UPPER(TRIM(E849)),1)="D",UPPER(TRIM(E849))="D"),"D","")))))))</f>
        <v/>
      </c>
      <c r="J849" s="27" t="str">
        <f aca="false">IF(I849="","",IF(AND(I849="D",Settings!$B$6&lt;&gt;"Yes"),"",IFERROR(INDEX(Settings!$C$9:$C$12,MATCH(I849,Settings!$A$9:$A$12,0)),"")))</f>
        <v/>
      </c>
      <c r="K849" s="27" t="str">
        <f aca="false">IF(J849="","",COUNTIF($I$2:I849,I849))</f>
        <v/>
      </c>
      <c r="L849" s="27" t="str">
        <f aca="false">IF(J849="","",CHOOSE(Q849+1,"Tue","Wed","Thu","Fri"))</f>
        <v/>
      </c>
      <c r="M849" s="27" t="str">
        <f aca="false">IF(J849="","",IF(J849=1,"Every week",R849+1&amp;" of "&amp;J849))</f>
        <v/>
      </c>
      <c r="N849" s="28" t="str">
        <f aca="false">IF(J849="","",Settings!$B$4+R849*7+Q849)</f>
        <v/>
      </c>
      <c r="O849" s="28" t="str">
        <f aca="true">IF(J849="","",N849+MAX(0,ROUNDUP((TODAY()-N849)/(J849*7),0))*J849*7)</f>
        <v/>
      </c>
      <c r="P849" s="27" t="str">
        <f aca="false">IF(J849="","",MOD(K849-1,J849*4))</f>
        <v/>
      </c>
      <c r="Q849" s="27" t="str">
        <f aca="false">IF(J849="","",MOD(P849,4))</f>
        <v/>
      </c>
      <c r="R849" s="27" t="str">
        <f aca="false">IF(J849="","",INT(P849/4))</f>
        <v/>
      </c>
      <c r="S849" s="27" t="str">
        <f aca="false">IF(J849="","",IF(AND('Daily Count Sheet'!$H$3=Q849,MOD('Daily Count Sheet'!$I$3,J849)=R849),1,""))</f>
        <v/>
      </c>
      <c r="T849" s="27" t="str">
        <f aca="false">IF(S849=1,COUNTIF($S$2:S849,1),"")</f>
        <v/>
      </c>
    </row>
    <row r="850" customFormat="false" ht="15" hidden="false" customHeight="false" outlineLevel="0" collapsed="false">
      <c r="H850" s="26"/>
      <c r="I850" s="27" t="str">
        <f aca="false">IF(A850="","",IF(H850&lt;&gt;"",UPPER(TRIM(H850)),IFERROR(CHOOSE(VALUE(E850)+1,"A","B","C","D"),IF(OR(LEFT(UPPER(TRIM(E850)),1)="F",UPPER(TRIM(E850))="A"),"A",IF(OR(LEFT(UPPER(TRIM(E850)),1)="M",UPPER(TRIM(E850))="B"),"B",IF(OR(LEFT(UPPER(TRIM(E850)),2)="SL",UPPER(TRIM(E850))="C"),"C",IF(OR(LEFT(UPPER(TRIM(E850)),1)="D",UPPER(TRIM(E850))="D"),"D","")))))))</f>
        <v/>
      </c>
      <c r="J850" s="27" t="str">
        <f aca="false">IF(I850="","",IF(AND(I850="D",Settings!$B$6&lt;&gt;"Yes"),"",IFERROR(INDEX(Settings!$C$9:$C$12,MATCH(I850,Settings!$A$9:$A$12,0)),"")))</f>
        <v/>
      </c>
      <c r="K850" s="27" t="str">
        <f aca="false">IF(J850="","",COUNTIF($I$2:I850,I850))</f>
        <v/>
      </c>
      <c r="L850" s="27" t="str">
        <f aca="false">IF(J850="","",CHOOSE(Q850+1,"Tue","Wed","Thu","Fri"))</f>
        <v/>
      </c>
      <c r="M850" s="27" t="str">
        <f aca="false">IF(J850="","",IF(J850=1,"Every week",R850+1&amp;" of "&amp;J850))</f>
        <v/>
      </c>
      <c r="N850" s="28" t="str">
        <f aca="false">IF(J850="","",Settings!$B$4+R850*7+Q850)</f>
        <v/>
      </c>
      <c r="O850" s="28" t="str">
        <f aca="true">IF(J850="","",N850+MAX(0,ROUNDUP((TODAY()-N850)/(J850*7),0))*J850*7)</f>
        <v/>
      </c>
      <c r="P850" s="27" t="str">
        <f aca="false">IF(J850="","",MOD(K850-1,J850*4))</f>
        <v/>
      </c>
      <c r="Q850" s="27" t="str">
        <f aca="false">IF(J850="","",MOD(P850,4))</f>
        <v/>
      </c>
      <c r="R850" s="27" t="str">
        <f aca="false">IF(J850="","",INT(P850/4))</f>
        <v/>
      </c>
      <c r="S850" s="27" t="str">
        <f aca="false">IF(J850="","",IF(AND('Daily Count Sheet'!$H$3=Q850,MOD('Daily Count Sheet'!$I$3,J850)=R850),1,""))</f>
        <v/>
      </c>
      <c r="T850" s="27" t="str">
        <f aca="false">IF(S850=1,COUNTIF($S$2:S850,1),"")</f>
        <v/>
      </c>
    </row>
    <row r="851" customFormat="false" ht="15" hidden="false" customHeight="false" outlineLevel="0" collapsed="false">
      <c r="H851" s="26"/>
      <c r="I851" s="27" t="str">
        <f aca="false">IF(A851="","",IF(H851&lt;&gt;"",UPPER(TRIM(H851)),IFERROR(CHOOSE(VALUE(E851)+1,"A","B","C","D"),IF(OR(LEFT(UPPER(TRIM(E851)),1)="F",UPPER(TRIM(E851))="A"),"A",IF(OR(LEFT(UPPER(TRIM(E851)),1)="M",UPPER(TRIM(E851))="B"),"B",IF(OR(LEFT(UPPER(TRIM(E851)),2)="SL",UPPER(TRIM(E851))="C"),"C",IF(OR(LEFT(UPPER(TRIM(E851)),1)="D",UPPER(TRIM(E851))="D"),"D","")))))))</f>
        <v/>
      </c>
      <c r="J851" s="27" t="str">
        <f aca="false">IF(I851="","",IF(AND(I851="D",Settings!$B$6&lt;&gt;"Yes"),"",IFERROR(INDEX(Settings!$C$9:$C$12,MATCH(I851,Settings!$A$9:$A$12,0)),"")))</f>
        <v/>
      </c>
      <c r="K851" s="27" t="str">
        <f aca="false">IF(J851="","",COUNTIF($I$2:I851,I851))</f>
        <v/>
      </c>
      <c r="L851" s="27" t="str">
        <f aca="false">IF(J851="","",CHOOSE(Q851+1,"Tue","Wed","Thu","Fri"))</f>
        <v/>
      </c>
      <c r="M851" s="27" t="str">
        <f aca="false">IF(J851="","",IF(J851=1,"Every week",R851+1&amp;" of "&amp;J851))</f>
        <v/>
      </c>
      <c r="N851" s="28" t="str">
        <f aca="false">IF(J851="","",Settings!$B$4+R851*7+Q851)</f>
        <v/>
      </c>
      <c r="O851" s="28" t="str">
        <f aca="true">IF(J851="","",N851+MAX(0,ROUNDUP((TODAY()-N851)/(J851*7),0))*J851*7)</f>
        <v/>
      </c>
      <c r="P851" s="27" t="str">
        <f aca="false">IF(J851="","",MOD(K851-1,J851*4))</f>
        <v/>
      </c>
      <c r="Q851" s="27" t="str">
        <f aca="false">IF(J851="","",MOD(P851,4))</f>
        <v/>
      </c>
      <c r="R851" s="27" t="str">
        <f aca="false">IF(J851="","",INT(P851/4))</f>
        <v/>
      </c>
      <c r="S851" s="27" t="str">
        <f aca="false">IF(J851="","",IF(AND('Daily Count Sheet'!$H$3=Q851,MOD('Daily Count Sheet'!$I$3,J851)=R851),1,""))</f>
        <v/>
      </c>
      <c r="T851" s="27" t="str">
        <f aca="false">IF(S851=1,COUNTIF($S$2:S851,1),"")</f>
        <v/>
      </c>
    </row>
    <row r="852" customFormat="false" ht="15" hidden="false" customHeight="false" outlineLevel="0" collapsed="false">
      <c r="H852" s="26"/>
      <c r="I852" s="27" t="str">
        <f aca="false">IF(A852="","",IF(H852&lt;&gt;"",UPPER(TRIM(H852)),IFERROR(CHOOSE(VALUE(E852)+1,"A","B","C","D"),IF(OR(LEFT(UPPER(TRIM(E852)),1)="F",UPPER(TRIM(E852))="A"),"A",IF(OR(LEFT(UPPER(TRIM(E852)),1)="M",UPPER(TRIM(E852))="B"),"B",IF(OR(LEFT(UPPER(TRIM(E852)),2)="SL",UPPER(TRIM(E852))="C"),"C",IF(OR(LEFT(UPPER(TRIM(E852)),1)="D",UPPER(TRIM(E852))="D"),"D","")))))))</f>
        <v/>
      </c>
      <c r="J852" s="27" t="str">
        <f aca="false">IF(I852="","",IF(AND(I852="D",Settings!$B$6&lt;&gt;"Yes"),"",IFERROR(INDEX(Settings!$C$9:$C$12,MATCH(I852,Settings!$A$9:$A$12,0)),"")))</f>
        <v/>
      </c>
      <c r="K852" s="27" t="str">
        <f aca="false">IF(J852="","",COUNTIF($I$2:I852,I852))</f>
        <v/>
      </c>
      <c r="L852" s="27" t="str">
        <f aca="false">IF(J852="","",CHOOSE(Q852+1,"Tue","Wed","Thu","Fri"))</f>
        <v/>
      </c>
      <c r="M852" s="27" t="str">
        <f aca="false">IF(J852="","",IF(J852=1,"Every week",R852+1&amp;" of "&amp;J852))</f>
        <v/>
      </c>
      <c r="N852" s="28" t="str">
        <f aca="false">IF(J852="","",Settings!$B$4+R852*7+Q852)</f>
        <v/>
      </c>
      <c r="O852" s="28" t="str">
        <f aca="true">IF(J852="","",N852+MAX(0,ROUNDUP((TODAY()-N852)/(J852*7),0))*J852*7)</f>
        <v/>
      </c>
      <c r="P852" s="27" t="str">
        <f aca="false">IF(J852="","",MOD(K852-1,J852*4))</f>
        <v/>
      </c>
      <c r="Q852" s="27" t="str">
        <f aca="false">IF(J852="","",MOD(P852,4))</f>
        <v/>
      </c>
      <c r="R852" s="27" t="str">
        <f aca="false">IF(J852="","",INT(P852/4))</f>
        <v/>
      </c>
      <c r="S852" s="27" t="str">
        <f aca="false">IF(J852="","",IF(AND('Daily Count Sheet'!$H$3=Q852,MOD('Daily Count Sheet'!$I$3,J852)=R852),1,""))</f>
        <v/>
      </c>
      <c r="T852" s="27" t="str">
        <f aca="false">IF(S852=1,COUNTIF($S$2:S852,1),"")</f>
        <v/>
      </c>
    </row>
    <row r="853" customFormat="false" ht="15" hidden="false" customHeight="false" outlineLevel="0" collapsed="false">
      <c r="H853" s="26"/>
      <c r="I853" s="27" t="str">
        <f aca="false">IF(A853="","",IF(H853&lt;&gt;"",UPPER(TRIM(H853)),IFERROR(CHOOSE(VALUE(E853)+1,"A","B","C","D"),IF(OR(LEFT(UPPER(TRIM(E853)),1)="F",UPPER(TRIM(E853))="A"),"A",IF(OR(LEFT(UPPER(TRIM(E853)),1)="M",UPPER(TRIM(E853))="B"),"B",IF(OR(LEFT(UPPER(TRIM(E853)),2)="SL",UPPER(TRIM(E853))="C"),"C",IF(OR(LEFT(UPPER(TRIM(E853)),1)="D",UPPER(TRIM(E853))="D"),"D","")))))))</f>
        <v/>
      </c>
      <c r="J853" s="27" t="str">
        <f aca="false">IF(I853="","",IF(AND(I853="D",Settings!$B$6&lt;&gt;"Yes"),"",IFERROR(INDEX(Settings!$C$9:$C$12,MATCH(I853,Settings!$A$9:$A$12,0)),"")))</f>
        <v/>
      </c>
      <c r="K853" s="27" t="str">
        <f aca="false">IF(J853="","",COUNTIF($I$2:I853,I853))</f>
        <v/>
      </c>
      <c r="L853" s="27" t="str">
        <f aca="false">IF(J853="","",CHOOSE(Q853+1,"Tue","Wed","Thu","Fri"))</f>
        <v/>
      </c>
      <c r="M853" s="27" t="str">
        <f aca="false">IF(J853="","",IF(J853=1,"Every week",R853+1&amp;" of "&amp;J853))</f>
        <v/>
      </c>
      <c r="N853" s="28" t="str">
        <f aca="false">IF(J853="","",Settings!$B$4+R853*7+Q853)</f>
        <v/>
      </c>
      <c r="O853" s="28" t="str">
        <f aca="true">IF(J853="","",N853+MAX(0,ROUNDUP((TODAY()-N853)/(J853*7),0))*J853*7)</f>
        <v/>
      </c>
      <c r="P853" s="27" t="str">
        <f aca="false">IF(J853="","",MOD(K853-1,J853*4))</f>
        <v/>
      </c>
      <c r="Q853" s="27" t="str">
        <f aca="false">IF(J853="","",MOD(P853,4))</f>
        <v/>
      </c>
      <c r="R853" s="27" t="str">
        <f aca="false">IF(J853="","",INT(P853/4))</f>
        <v/>
      </c>
      <c r="S853" s="27" t="str">
        <f aca="false">IF(J853="","",IF(AND('Daily Count Sheet'!$H$3=Q853,MOD('Daily Count Sheet'!$I$3,J853)=R853),1,""))</f>
        <v/>
      </c>
      <c r="T853" s="27" t="str">
        <f aca="false">IF(S853=1,COUNTIF($S$2:S853,1),"")</f>
        <v/>
      </c>
    </row>
    <row r="854" customFormat="false" ht="15" hidden="false" customHeight="false" outlineLevel="0" collapsed="false">
      <c r="H854" s="26"/>
      <c r="I854" s="27" t="str">
        <f aca="false">IF(A854="","",IF(H854&lt;&gt;"",UPPER(TRIM(H854)),IFERROR(CHOOSE(VALUE(E854)+1,"A","B","C","D"),IF(OR(LEFT(UPPER(TRIM(E854)),1)="F",UPPER(TRIM(E854))="A"),"A",IF(OR(LEFT(UPPER(TRIM(E854)),1)="M",UPPER(TRIM(E854))="B"),"B",IF(OR(LEFT(UPPER(TRIM(E854)),2)="SL",UPPER(TRIM(E854))="C"),"C",IF(OR(LEFT(UPPER(TRIM(E854)),1)="D",UPPER(TRIM(E854))="D"),"D","")))))))</f>
        <v/>
      </c>
      <c r="J854" s="27" t="str">
        <f aca="false">IF(I854="","",IF(AND(I854="D",Settings!$B$6&lt;&gt;"Yes"),"",IFERROR(INDEX(Settings!$C$9:$C$12,MATCH(I854,Settings!$A$9:$A$12,0)),"")))</f>
        <v/>
      </c>
      <c r="K854" s="27" t="str">
        <f aca="false">IF(J854="","",COUNTIF($I$2:I854,I854))</f>
        <v/>
      </c>
      <c r="L854" s="27" t="str">
        <f aca="false">IF(J854="","",CHOOSE(Q854+1,"Tue","Wed","Thu","Fri"))</f>
        <v/>
      </c>
      <c r="M854" s="27" t="str">
        <f aca="false">IF(J854="","",IF(J854=1,"Every week",R854+1&amp;" of "&amp;J854))</f>
        <v/>
      </c>
      <c r="N854" s="28" t="str">
        <f aca="false">IF(J854="","",Settings!$B$4+R854*7+Q854)</f>
        <v/>
      </c>
      <c r="O854" s="28" t="str">
        <f aca="true">IF(J854="","",N854+MAX(0,ROUNDUP((TODAY()-N854)/(J854*7),0))*J854*7)</f>
        <v/>
      </c>
      <c r="P854" s="27" t="str">
        <f aca="false">IF(J854="","",MOD(K854-1,J854*4))</f>
        <v/>
      </c>
      <c r="Q854" s="27" t="str">
        <f aca="false">IF(J854="","",MOD(P854,4))</f>
        <v/>
      </c>
      <c r="R854" s="27" t="str">
        <f aca="false">IF(J854="","",INT(P854/4))</f>
        <v/>
      </c>
      <c r="S854" s="27" t="str">
        <f aca="false">IF(J854="","",IF(AND('Daily Count Sheet'!$H$3=Q854,MOD('Daily Count Sheet'!$I$3,J854)=R854),1,""))</f>
        <v/>
      </c>
      <c r="T854" s="27" t="str">
        <f aca="false">IF(S854=1,COUNTIF($S$2:S854,1),"")</f>
        <v/>
      </c>
    </row>
    <row r="855" customFormat="false" ht="15" hidden="false" customHeight="false" outlineLevel="0" collapsed="false">
      <c r="H855" s="26"/>
      <c r="I855" s="27" t="str">
        <f aca="false">IF(A855="","",IF(H855&lt;&gt;"",UPPER(TRIM(H855)),IFERROR(CHOOSE(VALUE(E855)+1,"A","B","C","D"),IF(OR(LEFT(UPPER(TRIM(E855)),1)="F",UPPER(TRIM(E855))="A"),"A",IF(OR(LEFT(UPPER(TRIM(E855)),1)="M",UPPER(TRIM(E855))="B"),"B",IF(OR(LEFT(UPPER(TRIM(E855)),2)="SL",UPPER(TRIM(E855))="C"),"C",IF(OR(LEFT(UPPER(TRIM(E855)),1)="D",UPPER(TRIM(E855))="D"),"D","")))))))</f>
        <v/>
      </c>
      <c r="J855" s="27" t="str">
        <f aca="false">IF(I855="","",IF(AND(I855="D",Settings!$B$6&lt;&gt;"Yes"),"",IFERROR(INDEX(Settings!$C$9:$C$12,MATCH(I855,Settings!$A$9:$A$12,0)),"")))</f>
        <v/>
      </c>
      <c r="K855" s="27" t="str">
        <f aca="false">IF(J855="","",COUNTIF($I$2:I855,I855))</f>
        <v/>
      </c>
      <c r="L855" s="27" t="str">
        <f aca="false">IF(J855="","",CHOOSE(Q855+1,"Tue","Wed","Thu","Fri"))</f>
        <v/>
      </c>
      <c r="M855" s="27" t="str">
        <f aca="false">IF(J855="","",IF(J855=1,"Every week",R855+1&amp;" of "&amp;J855))</f>
        <v/>
      </c>
      <c r="N855" s="28" t="str">
        <f aca="false">IF(J855="","",Settings!$B$4+R855*7+Q855)</f>
        <v/>
      </c>
      <c r="O855" s="28" t="str">
        <f aca="true">IF(J855="","",N855+MAX(0,ROUNDUP((TODAY()-N855)/(J855*7),0))*J855*7)</f>
        <v/>
      </c>
      <c r="P855" s="27" t="str">
        <f aca="false">IF(J855="","",MOD(K855-1,J855*4))</f>
        <v/>
      </c>
      <c r="Q855" s="27" t="str">
        <f aca="false">IF(J855="","",MOD(P855,4))</f>
        <v/>
      </c>
      <c r="R855" s="27" t="str">
        <f aca="false">IF(J855="","",INT(P855/4))</f>
        <v/>
      </c>
      <c r="S855" s="27" t="str">
        <f aca="false">IF(J855="","",IF(AND('Daily Count Sheet'!$H$3=Q855,MOD('Daily Count Sheet'!$I$3,J855)=R855),1,""))</f>
        <v/>
      </c>
      <c r="T855" s="27" t="str">
        <f aca="false">IF(S855=1,COUNTIF($S$2:S855,1),"")</f>
        <v/>
      </c>
    </row>
    <row r="856" customFormat="false" ht="15" hidden="false" customHeight="false" outlineLevel="0" collapsed="false">
      <c r="H856" s="26"/>
      <c r="I856" s="27" t="str">
        <f aca="false">IF(A856="","",IF(H856&lt;&gt;"",UPPER(TRIM(H856)),IFERROR(CHOOSE(VALUE(E856)+1,"A","B","C","D"),IF(OR(LEFT(UPPER(TRIM(E856)),1)="F",UPPER(TRIM(E856))="A"),"A",IF(OR(LEFT(UPPER(TRIM(E856)),1)="M",UPPER(TRIM(E856))="B"),"B",IF(OR(LEFT(UPPER(TRIM(E856)),2)="SL",UPPER(TRIM(E856))="C"),"C",IF(OR(LEFT(UPPER(TRIM(E856)),1)="D",UPPER(TRIM(E856))="D"),"D","")))))))</f>
        <v/>
      </c>
      <c r="J856" s="27" t="str">
        <f aca="false">IF(I856="","",IF(AND(I856="D",Settings!$B$6&lt;&gt;"Yes"),"",IFERROR(INDEX(Settings!$C$9:$C$12,MATCH(I856,Settings!$A$9:$A$12,0)),"")))</f>
        <v/>
      </c>
      <c r="K856" s="27" t="str">
        <f aca="false">IF(J856="","",COUNTIF($I$2:I856,I856))</f>
        <v/>
      </c>
      <c r="L856" s="27" t="str">
        <f aca="false">IF(J856="","",CHOOSE(Q856+1,"Tue","Wed","Thu","Fri"))</f>
        <v/>
      </c>
      <c r="M856" s="27" t="str">
        <f aca="false">IF(J856="","",IF(J856=1,"Every week",R856+1&amp;" of "&amp;J856))</f>
        <v/>
      </c>
      <c r="N856" s="28" t="str">
        <f aca="false">IF(J856="","",Settings!$B$4+R856*7+Q856)</f>
        <v/>
      </c>
      <c r="O856" s="28" t="str">
        <f aca="true">IF(J856="","",N856+MAX(0,ROUNDUP((TODAY()-N856)/(J856*7),0))*J856*7)</f>
        <v/>
      </c>
      <c r="P856" s="27" t="str">
        <f aca="false">IF(J856="","",MOD(K856-1,J856*4))</f>
        <v/>
      </c>
      <c r="Q856" s="27" t="str">
        <f aca="false">IF(J856="","",MOD(P856,4))</f>
        <v/>
      </c>
      <c r="R856" s="27" t="str">
        <f aca="false">IF(J856="","",INT(P856/4))</f>
        <v/>
      </c>
      <c r="S856" s="27" t="str">
        <f aca="false">IF(J856="","",IF(AND('Daily Count Sheet'!$H$3=Q856,MOD('Daily Count Sheet'!$I$3,J856)=R856),1,""))</f>
        <v/>
      </c>
      <c r="T856" s="27" t="str">
        <f aca="false">IF(S856=1,COUNTIF($S$2:S856,1),"")</f>
        <v/>
      </c>
    </row>
    <row r="857" customFormat="false" ht="15" hidden="false" customHeight="false" outlineLevel="0" collapsed="false">
      <c r="H857" s="26"/>
      <c r="I857" s="27" t="str">
        <f aca="false">IF(A857="","",IF(H857&lt;&gt;"",UPPER(TRIM(H857)),IFERROR(CHOOSE(VALUE(E857)+1,"A","B","C","D"),IF(OR(LEFT(UPPER(TRIM(E857)),1)="F",UPPER(TRIM(E857))="A"),"A",IF(OR(LEFT(UPPER(TRIM(E857)),1)="M",UPPER(TRIM(E857))="B"),"B",IF(OR(LEFT(UPPER(TRIM(E857)),2)="SL",UPPER(TRIM(E857))="C"),"C",IF(OR(LEFT(UPPER(TRIM(E857)),1)="D",UPPER(TRIM(E857))="D"),"D","")))))))</f>
        <v/>
      </c>
      <c r="J857" s="27" t="str">
        <f aca="false">IF(I857="","",IF(AND(I857="D",Settings!$B$6&lt;&gt;"Yes"),"",IFERROR(INDEX(Settings!$C$9:$C$12,MATCH(I857,Settings!$A$9:$A$12,0)),"")))</f>
        <v/>
      </c>
      <c r="K857" s="27" t="str">
        <f aca="false">IF(J857="","",COUNTIF($I$2:I857,I857))</f>
        <v/>
      </c>
      <c r="L857" s="27" t="str">
        <f aca="false">IF(J857="","",CHOOSE(Q857+1,"Tue","Wed","Thu","Fri"))</f>
        <v/>
      </c>
      <c r="M857" s="27" t="str">
        <f aca="false">IF(J857="","",IF(J857=1,"Every week",R857+1&amp;" of "&amp;J857))</f>
        <v/>
      </c>
      <c r="N857" s="28" t="str">
        <f aca="false">IF(J857="","",Settings!$B$4+R857*7+Q857)</f>
        <v/>
      </c>
      <c r="O857" s="28" t="str">
        <f aca="true">IF(J857="","",N857+MAX(0,ROUNDUP((TODAY()-N857)/(J857*7),0))*J857*7)</f>
        <v/>
      </c>
      <c r="P857" s="27" t="str">
        <f aca="false">IF(J857="","",MOD(K857-1,J857*4))</f>
        <v/>
      </c>
      <c r="Q857" s="27" t="str">
        <f aca="false">IF(J857="","",MOD(P857,4))</f>
        <v/>
      </c>
      <c r="R857" s="27" t="str">
        <f aca="false">IF(J857="","",INT(P857/4))</f>
        <v/>
      </c>
      <c r="S857" s="27" t="str">
        <f aca="false">IF(J857="","",IF(AND('Daily Count Sheet'!$H$3=Q857,MOD('Daily Count Sheet'!$I$3,J857)=R857),1,""))</f>
        <v/>
      </c>
      <c r="T857" s="27" t="str">
        <f aca="false">IF(S857=1,COUNTIF($S$2:S857,1),"")</f>
        <v/>
      </c>
    </row>
    <row r="858" customFormat="false" ht="15" hidden="false" customHeight="false" outlineLevel="0" collapsed="false">
      <c r="H858" s="26"/>
      <c r="I858" s="27" t="str">
        <f aca="false">IF(A858="","",IF(H858&lt;&gt;"",UPPER(TRIM(H858)),IFERROR(CHOOSE(VALUE(E858)+1,"A","B","C","D"),IF(OR(LEFT(UPPER(TRIM(E858)),1)="F",UPPER(TRIM(E858))="A"),"A",IF(OR(LEFT(UPPER(TRIM(E858)),1)="M",UPPER(TRIM(E858))="B"),"B",IF(OR(LEFT(UPPER(TRIM(E858)),2)="SL",UPPER(TRIM(E858))="C"),"C",IF(OR(LEFT(UPPER(TRIM(E858)),1)="D",UPPER(TRIM(E858))="D"),"D","")))))))</f>
        <v/>
      </c>
      <c r="J858" s="27" t="str">
        <f aca="false">IF(I858="","",IF(AND(I858="D",Settings!$B$6&lt;&gt;"Yes"),"",IFERROR(INDEX(Settings!$C$9:$C$12,MATCH(I858,Settings!$A$9:$A$12,0)),"")))</f>
        <v/>
      </c>
      <c r="K858" s="27" t="str">
        <f aca="false">IF(J858="","",COUNTIF($I$2:I858,I858))</f>
        <v/>
      </c>
      <c r="L858" s="27" t="str">
        <f aca="false">IF(J858="","",CHOOSE(Q858+1,"Tue","Wed","Thu","Fri"))</f>
        <v/>
      </c>
      <c r="M858" s="27" t="str">
        <f aca="false">IF(J858="","",IF(J858=1,"Every week",R858+1&amp;" of "&amp;J858))</f>
        <v/>
      </c>
      <c r="N858" s="28" t="str">
        <f aca="false">IF(J858="","",Settings!$B$4+R858*7+Q858)</f>
        <v/>
      </c>
      <c r="O858" s="28" t="str">
        <f aca="true">IF(J858="","",N858+MAX(0,ROUNDUP((TODAY()-N858)/(J858*7),0))*J858*7)</f>
        <v/>
      </c>
      <c r="P858" s="27" t="str">
        <f aca="false">IF(J858="","",MOD(K858-1,J858*4))</f>
        <v/>
      </c>
      <c r="Q858" s="27" t="str">
        <f aca="false">IF(J858="","",MOD(P858,4))</f>
        <v/>
      </c>
      <c r="R858" s="27" t="str">
        <f aca="false">IF(J858="","",INT(P858/4))</f>
        <v/>
      </c>
      <c r="S858" s="27" t="str">
        <f aca="false">IF(J858="","",IF(AND('Daily Count Sheet'!$H$3=Q858,MOD('Daily Count Sheet'!$I$3,J858)=R858),1,""))</f>
        <v/>
      </c>
      <c r="T858" s="27" t="str">
        <f aca="false">IF(S858=1,COUNTIF($S$2:S858,1),"")</f>
        <v/>
      </c>
    </row>
    <row r="859" customFormat="false" ht="15" hidden="false" customHeight="false" outlineLevel="0" collapsed="false">
      <c r="H859" s="26"/>
      <c r="I859" s="27" t="str">
        <f aca="false">IF(A859="","",IF(H859&lt;&gt;"",UPPER(TRIM(H859)),IFERROR(CHOOSE(VALUE(E859)+1,"A","B","C","D"),IF(OR(LEFT(UPPER(TRIM(E859)),1)="F",UPPER(TRIM(E859))="A"),"A",IF(OR(LEFT(UPPER(TRIM(E859)),1)="M",UPPER(TRIM(E859))="B"),"B",IF(OR(LEFT(UPPER(TRIM(E859)),2)="SL",UPPER(TRIM(E859))="C"),"C",IF(OR(LEFT(UPPER(TRIM(E859)),1)="D",UPPER(TRIM(E859))="D"),"D","")))))))</f>
        <v/>
      </c>
      <c r="J859" s="27" t="str">
        <f aca="false">IF(I859="","",IF(AND(I859="D",Settings!$B$6&lt;&gt;"Yes"),"",IFERROR(INDEX(Settings!$C$9:$C$12,MATCH(I859,Settings!$A$9:$A$12,0)),"")))</f>
        <v/>
      </c>
      <c r="K859" s="27" t="str">
        <f aca="false">IF(J859="","",COUNTIF($I$2:I859,I859))</f>
        <v/>
      </c>
      <c r="L859" s="27" t="str">
        <f aca="false">IF(J859="","",CHOOSE(Q859+1,"Tue","Wed","Thu","Fri"))</f>
        <v/>
      </c>
      <c r="M859" s="27" t="str">
        <f aca="false">IF(J859="","",IF(J859=1,"Every week",R859+1&amp;" of "&amp;J859))</f>
        <v/>
      </c>
      <c r="N859" s="28" t="str">
        <f aca="false">IF(J859="","",Settings!$B$4+R859*7+Q859)</f>
        <v/>
      </c>
      <c r="O859" s="28" t="str">
        <f aca="true">IF(J859="","",N859+MAX(0,ROUNDUP((TODAY()-N859)/(J859*7),0))*J859*7)</f>
        <v/>
      </c>
      <c r="P859" s="27" t="str">
        <f aca="false">IF(J859="","",MOD(K859-1,J859*4))</f>
        <v/>
      </c>
      <c r="Q859" s="27" t="str">
        <f aca="false">IF(J859="","",MOD(P859,4))</f>
        <v/>
      </c>
      <c r="R859" s="27" t="str">
        <f aca="false">IF(J859="","",INT(P859/4))</f>
        <v/>
      </c>
      <c r="S859" s="27" t="str">
        <f aca="false">IF(J859="","",IF(AND('Daily Count Sheet'!$H$3=Q859,MOD('Daily Count Sheet'!$I$3,J859)=R859),1,""))</f>
        <v/>
      </c>
      <c r="T859" s="27" t="str">
        <f aca="false">IF(S859=1,COUNTIF($S$2:S859,1),"")</f>
        <v/>
      </c>
    </row>
    <row r="860" customFormat="false" ht="15" hidden="false" customHeight="false" outlineLevel="0" collapsed="false">
      <c r="H860" s="26"/>
      <c r="I860" s="27" t="str">
        <f aca="false">IF(A860="","",IF(H860&lt;&gt;"",UPPER(TRIM(H860)),IFERROR(CHOOSE(VALUE(E860)+1,"A","B","C","D"),IF(OR(LEFT(UPPER(TRIM(E860)),1)="F",UPPER(TRIM(E860))="A"),"A",IF(OR(LEFT(UPPER(TRIM(E860)),1)="M",UPPER(TRIM(E860))="B"),"B",IF(OR(LEFT(UPPER(TRIM(E860)),2)="SL",UPPER(TRIM(E860))="C"),"C",IF(OR(LEFT(UPPER(TRIM(E860)),1)="D",UPPER(TRIM(E860))="D"),"D","")))))))</f>
        <v/>
      </c>
      <c r="J860" s="27" t="str">
        <f aca="false">IF(I860="","",IF(AND(I860="D",Settings!$B$6&lt;&gt;"Yes"),"",IFERROR(INDEX(Settings!$C$9:$C$12,MATCH(I860,Settings!$A$9:$A$12,0)),"")))</f>
        <v/>
      </c>
      <c r="K860" s="27" t="str">
        <f aca="false">IF(J860="","",COUNTIF($I$2:I860,I860))</f>
        <v/>
      </c>
      <c r="L860" s="27" t="str">
        <f aca="false">IF(J860="","",CHOOSE(Q860+1,"Tue","Wed","Thu","Fri"))</f>
        <v/>
      </c>
      <c r="M860" s="27" t="str">
        <f aca="false">IF(J860="","",IF(J860=1,"Every week",R860+1&amp;" of "&amp;J860))</f>
        <v/>
      </c>
      <c r="N860" s="28" t="str">
        <f aca="false">IF(J860="","",Settings!$B$4+R860*7+Q860)</f>
        <v/>
      </c>
      <c r="O860" s="28" t="str">
        <f aca="true">IF(J860="","",N860+MAX(0,ROUNDUP((TODAY()-N860)/(J860*7),0))*J860*7)</f>
        <v/>
      </c>
      <c r="P860" s="27" t="str">
        <f aca="false">IF(J860="","",MOD(K860-1,J860*4))</f>
        <v/>
      </c>
      <c r="Q860" s="27" t="str">
        <f aca="false">IF(J860="","",MOD(P860,4))</f>
        <v/>
      </c>
      <c r="R860" s="27" t="str">
        <f aca="false">IF(J860="","",INT(P860/4))</f>
        <v/>
      </c>
      <c r="S860" s="27" t="str">
        <f aca="false">IF(J860="","",IF(AND('Daily Count Sheet'!$H$3=Q860,MOD('Daily Count Sheet'!$I$3,J860)=R860),1,""))</f>
        <v/>
      </c>
      <c r="T860" s="27" t="str">
        <f aca="false">IF(S860=1,COUNTIF($S$2:S860,1),"")</f>
        <v/>
      </c>
    </row>
    <row r="861" customFormat="false" ht="15" hidden="false" customHeight="false" outlineLevel="0" collapsed="false">
      <c r="H861" s="26"/>
      <c r="I861" s="27" t="str">
        <f aca="false">IF(A861="","",IF(H861&lt;&gt;"",UPPER(TRIM(H861)),IFERROR(CHOOSE(VALUE(E861)+1,"A","B","C","D"),IF(OR(LEFT(UPPER(TRIM(E861)),1)="F",UPPER(TRIM(E861))="A"),"A",IF(OR(LEFT(UPPER(TRIM(E861)),1)="M",UPPER(TRIM(E861))="B"),"B",IF(OR(LEFT(UPPER(TRIM(E861)),2)="SL",UPPER(TRIM(E861))="C"),"C",IF(OR(LEFT(UPPER(TRIM(E861)),1)="D",UPPER(TRIM(E861))="D"),"D","")))))))</f>
        <v/>
      </c>
      <c r="J861" s="27" t="str">
        <f aca="false">IF(I861="","",IF(AND(I861="D",Settings!$B$6&lt;&gt;"Yes"),"",IFERROR(INDEX(Settings!$C$9:$C$12,MATCH(I861,Settings!$A$9:$A$12,0)),"")))</f>
        <v/>
      </c>
      <c r="K861" s="27" t="str">
        <f aca="false">IF(J861="","",COUNTIF($I$2:I861,I861))</f>
        <v/>
      </c>
      <c r="L861" s="27" t="str">
        <f aca="false">IF(J861="","",CHOOSE(Q861+1,"Tue","Wed","Thu","Fri"))</f>
        <v/>
      </c>
      <c r="M861" s="27" t="str">
        <f aca="false">IF(J861="","",IF(J861=1,"Every week",R861+1&amp;" of "&amp;J861))</f>
        <v/>
      </c>
      <c r="N861" s="28" t="str">
        <f aca="false">IF(J861="","",Settings!$B$4+R861*7+Q861)</f>
        <v/>
      </c>
      <c r="O861" s="28" t="str">
        <f aca="true">IF(J861="","",N861+MAX(0,ROUNDUP((TODAY()-N861)/(J861*7),0))*J861*7)</f>
        <v/>
      </c>
      <c r="P861" s="27" t="str">
        <f aca="false">IF(J861="","",MOD(K861-1,J861*4))</f>
        <v/>
      </c>
      <c r="Q861" s="27" t="str">
        <f aca="false">IF(J861="","",MOD(P861,4))</f>
        <v/>
      </c>
      <c r="R861" s="27" t="str">
        <f aca="false">IF(J861="","",INT(P861/4))</f>
        <v/>
      </c>
      <c r="S861" s="27" t="str">
        <f aca="false">IF(J861="","",IF(AND('Daily Count Sheet'!$H$3=Q861,MOD('Daily Count Sheet'!$I$3,J861)=R861),1,""))</f>
        <v/>
      </c>
      <c r="T861" s="27" t="str">
        <f aca="false">IF(S861=1,COUNTIF($S$2:S861,1),"")</f>
        <v/>
      </c>
    </row>
    <row r="862" customFormat="false" ht="15" hidden="false" customHeight="false" outlineLevel="0" collapsed="false">
      <c r="H862" s="26"/>
      <c r="I862" s="27" t="str">
        <f aca="false">IF(A862="","",IF(H862&lt;&gt;"",UPPER(TRIM(H862)),IFERROR(CHOOSE(VALUE(E862)+1,"A","B","C","D"),IF(OR(LEFT(UPPER(TRIM(E862)),1)="F",UPPER(TRIM(E862))="A"),"A",IF(OR(LEFT(UPPER(TRIM(E862)),1)="M",UPPER(TRIM(E862))="B"),"B",IF(OR(LEFT(UPPER(TRIM(E862)),2)="SL",UPPER(TRIM(E862))="C"),"C",IF(OR(LEFT(UPPER(TRIM(E862)),1)="D",UPPER(TRIM(E862))="D"),"D","")))))))</f>
        <v/>
      </c>
      <c r="J862" s="27" t="str">
        <f aca="false">IF(I862="","",IF(AND(I862="D",Settings!$B$6&lt;&gt;"Yes"),"",IFERROR(INDEX(Settings!$C$9:$C$12,MATCH(I862,Settings!$A$9:$A$12,0)),"")))</f>
        <v/>
      </c>
      <c r="K862" s="27" t="str">
        <f aca="false">IF(J862="","",COUNTIF($I$2:I862,I862))</f>
        <v/>
      </c>
      <c r="L862" s="27" t="str">
        <f aca="false">IF(J862="","",CHOOSE(Q862+1,"Tue","Wed","Thu","Fri"))</f>
        <v/>
      </c>
      <c r="M862" s="27" t="str">
        <f aca="false">IF(J862="","",IF(J862=1,"Every week",R862+1&amp;" of "&amp;J862))</f>
        <v/>
      </c>
      <c r="N862" s="28" t="str">
        <f aca="false">IF(J862="","",Settings!$B$4+R862*7+Q862)</f>
        <v/>
      </c>
      <c r="O862" s="28" t="str">
        <f aca="true">IF(J862="","",N862+MAX(0,ROUNDUP((TODAY()-N862)/(J862*7),0))*J862*7)</f>
        <v/>
      </c>
      <c r="P862" s="27" t="str">
        <f aca="false">IF(J862="","",MOD(K862-1,J862*4))</f>
        <v/>
      </c>
      <c r="Q862" s="27" t="str">
        <f aca="false">IF(J862="","",MOD(P862,4))</f>
        <v/>
      </c>
      <c r="R862" s="27" t="str">
        <f aca="false">IF(J862="","",INT(P862/4))</f>
        <v/>
      </c>
      <c r="S862" s="27" t="str">
        <f aca="false">IF(J862="","",IF(AND('Daily Count Sheet'!$H$3=Q862,MOD('Daily Count Sheet'!$I$3,J862)=R862),1,""))</f>
        <v/>
      </c>
      <c r="T862" s="27" t="str">
        <f aca="false">IF(S862=1,COUNTIF($S$2:S862,1),"")</f>
        <v/>
      </c>
    </row>
    <row r="863" customFormat="false" ht="15" hidden="false" customHeight="false" outlineLevel="0" collapsed="false">
      <c r="H863" s="26"/>
      <c r="I863" s="27" t="str">
        <f aca="false">IF(A863="","",IF(H863&lt;&gt;"",UPPER(TRIM(H863)),IFERROR(CHOOSE(VALUE(E863)+1,"A","B","C","D"),IF(OR(LEFT(UPPER(TRIM(E863)),1)="F",UPPER(TRIM(E863))="A"),"A",IF(OR(LEFT(UPPER(TRIM(E863)),1)="M",UPPER(TRIM(E863))="B"),"B",IF(OR(LEFT(UPPER(TRIM(E863)),2)="SL",UPPER(TRIM(E863))="C"),"C",IF(OR(LEFT(UPPER(TRIM(E863)),1)="D",UPPER(TRIM(E863))="D"),"D","")))))))</f>
        <v/>
      </c>
      <c r="J863" s="27" t="str">
        <f aca="false">IF(I863="","",IF(AND(I863="D",Settings!$B$6&lt;&gt;"Yes"),"",IFERROR(INDEX(Settings!$C$9:$C$12,MATCH(I863,Settings!$A$9:$A$12,0)),"")))</f>
        <v/>
      </c>
      <c r="K863" s="27" t="str">
        <f aca="false">IF(J863="","",COUNTIF($I$2:I863,I863))</f>
        <v/>
      </c>
      <c r="L863" s="27" t="str">
        <f aca="false">IF(J863="","",CHOOSE(Q863+1,"Tue","Wed","Thu","Fri"))</f>
        <v/>
      </c>
      <c r="M863" s="27" t="str">
        <f aca="false">IF(J863="","",IF(J863=1,"Every week",R863+1&amp;" of "&amp;J863))</f>
        <v/>
      </c>
      <c r="N863" s="28" t="str">
        <f aca="false">IF(J863="","",Settings!$B$4+R863*7+Q863)</f>
        <v/>
      </c>
      <c r="O863" s="28" t="str">
        <f aca="true">IF(J863="","",N863+MAX(0,ROUNDUP((TODAY()-N863)/(J863*7),0))*J863*7)</f>
        <v/>
      </c>
      <c r="P863" s="27" t="str">
        <f aca="false">IF(J863="","",MOD(K863-1,J863*4))</f>
        <v/>
      </c>
      <c r="Q863" s="27" t="str">
        <f aca="false">IF(J863="","",MOD(P863,4))</f>
        <v/>
      </c>
      <c r="R863" s="27" t="str">
        <f aca="false">IF(J863="","",INT(P863/4))</f>
        <v/>
      </c>
      <c r="S863" s="27" t="str">
        <f aca="false">IF(J863="","",IF(AND('Daily Count Sheet'!$H$3=Q863,MOD('Daily Count Sheet'!$I$3,J863)=R863),1,""))</f>
        <v/>
      </c>
      <c r="T863" s="27" t="str">
        <f aca="false">IF(S863=1,COUNTIF($S$2:S863,1),"")</f>
        <v/>
      </c>
    </row>
    <row r="864" customFormat="false" ht="15" hidden="false" customHeight="false" outlineLevel="0" collapsed="false">
      <c r="H864" s="26"/>
      <c r="I864" s="27" t="str">
        <f aca="false">IF(A864="","",IF(H864&lt;&gt;"",UPPER(TRIM(H864)),IFERROR(CHOOSE(VALUE(E864)+1,"A","B","C","D"),IF(OR(LEFT(UPPER(TRIM(E864)),1)="F",UPPER(TRIM(E864))="A"),"A",IF(OR(LEFT(UPPER(TRIM(E864)),1)="M",UPPER(TRIM(E864))="B"),"B",IF(OR(LEFT(UPPER(TRIM(E864)),2)="SL",UPPER(TRIM(E864))="C"),"C",IF(OR(LEFT(UPPER(TRIM(E864)),1)="D",UPPER(TRIM(E864))="D"),"D","")))))))</f>
        <v/>
      </c>
      <c r="J864" s="27" t="str">
        <f aca="false">IF(I864="","",IF(AND(I864="D",Settings!$B$6&lt;&gt;"Yes"),"",IFERROR(INDEX(Settings!$C$9:$C$12,MATCH(I864,Settings!$A$9:$A$12,0)),"")))</f>
        <v/>
      </c>
      <c r="K864" s="27" t="str">
        <f aca="false">IF(J864="","",COUNTIF($I$2:I864,I864))</f>
        <v/>
      </c>
      <c r="L864" s="27" t="str">
        <f aca="false">IF(J864="","",CHOOSE(Q864+1,"Tue","Wed","Thu","Fri"))</f>
        <v/>
      </c>
      <c r="M864" s="27" t="str">
        <f aca="false">IF(J864="","",IF(J864=1,"Every week",R864+1&amp;" of "&amp;J864))</f>
        <v/>
      </c>
      <c r="N864" s="28" t="str">
        <f aca="false">IF(J864="","",Settings!$B$4+R864*7+Q864)</f>
        <v/>
      </c>
      <c r="O864" s="28" t="str">
        <f aca="true">IF(J864="","",N864+MAX(0,ROUNDUP((TODAY()-N864)/(J864*7),0))*J864*7)</f>
        <v/>
      </c>
      <c r="P864" s="27" t="str">
        <f aca="false">IF(J864="","",MOD(K864-1,J864*4))</f>
        <v/>
      </c>
      <c r="Q864" s="27" t="str">
        <f aca="false">IF(J864="","",MOD(P864,4))</f>
        <v/>
      </c>
      <c r="R864" s="27" t="str">
        <f aca="false">IF(J864="","",INT(P864/4))</f>
        <v/>
      </c>
      <c r="S864" s="27" t="str">
        <f aca="false">IF(J864="","",IF(AND('Daily Count Sheet'!$H$3=Q864,MOD('Daily Count Sheet'!$I$3,J864)=R864),1,""))</f>
        <v/>
      </c>
      <c r="T864" s="27" t="str">
        <f aca="false">IF(S864=1,COUNTIF($S$2:S864,1),"")</f>
        <v/>
      </c>
    </row>
    <row r="865" customFormat="false" ht="15" hidden="false" customHeight="false" outlineLevel="0" collapsed="false">
      <c r="H865" s="26"/>
      <c r="I865" s="27" t="str">
        <f aca="false">IF(A865="","",IF(H865&lt;&gt;"",UPPER(TRIM(H865)),IFERROR(CHOOSE(VALUE(E865)+1,"A","B","C","D"),IF(OR(LEFT(UPPER(TRIM(E865)),1)="F",UPPER(TRIM(E865))="A"),"A",IF(OR(LEFT(UPPER(TRIM(E865)),1)="M",UPPER(TRIM(E865))="B"),"B",IF(OR(LEFT(UPPER(TRIM(E865)),2)="SL",UPPER(TRIM(E865))="C"),"C",IF(OR(LEFT(UPPER(TRIM(E865)),1)="D",UPPER(TRIM(E865))="D"),"D","")))))))</f>
        <v/>
      </c>
      <c r="J865" s="27" t="str">
        <f aca="false">IF(I865="","",IF(AND(I865="D",Settings!$B$6&lt;&gt;"Yes"),"",IFERROR(INDEX(Settings!$C$9:$C$12,MATCH(I865,Settings!$A$9:$A$12,0)),"")))</f>
        <v/>
      </c>
      <c r="K865" s="27" t="str">
        <f aca="false">IF(J865="","",COUNTIF($I$2:I865,I865))</f>
        <v/>
      </c>
      <c r="L865" s="27" t="str">
        <f aca="false">IF(J865="","",CHOOSE(Q865+1,"Tue","Wed","Thu","Fri"))</f>
        <v/>
      </c>
      <c r="M865" s="27" t="str">
        <f aca="false">IF(J865="","",IF(J865=1,"Every week",R865+1&amp;" of "&amp;J865))</f>
        <v/>
      </c>
      <c r="N865" s="28" t="str">
        <f aca="false">IF(J865="","",Settings!$B$4+R865*7+Q865)</f>
        <v/>
      </c>
      <c r="O865" s="28" t="str">
        <f aca="true">IF(J865="","",N865+MAX(0,ROUNDUP((TODAY()-N865)/(J865*7),0))*J865*7)</f>
        <v/>
      </c>
      <c r="P865" s="27" t="str">
        <f aca="false">IF(J865="","",MOD(K865-1,J865*4))</f>
        <v/>
      </c>
      <c r="Q865" s="27" t="str">
        <f aca="false">IF(J865="","",MOD(P865,4))</f>
        <v/>
      </c>
      <c r="R865" s="27" t="str">
        <f aca="false">IF(J865="","",INT(P865/4))</f>
        <v/>
      </c>
      <c r="S865" s="27" t="str">
        <f aca="false">IF(J865="","",IF(AND('Daily Count Sheet'!$H$3=Q865,MOD('Daily Count Sheet'!$I$3,J865)=R865),1,""))</f>
        <v/>
      </c>
      <c r="T865" s="27" t="str">
        <f aca="false">IF(S865=1,COUNTIF($S$2:S865,1),"")</f>
        <v/>
      </c>
    </row>
    <row r="866" customFormat="false" ht="15" hidden="false" customHeight="false" outlineLevel="0" collapsed="false">
      <c r="H866" s="26"/>
      <c r="I866" s="27" t="str">
        <f aca="false">IF(A866="","",IF(H866&lt;&gt;"",UPPER(TRIM(H866)),IFERROR(CHOOSE(VALUE(E866)+1,"A","B","C","D"),IF(OR(LEFT(UPPER(TRIM(E866)),1)="F",UPPER(TRIM(E866))="A"),"A",IF(OR(LEFT(UPPER(TRIM(E866)),1)="M",UPPER(TRIM(E866))="B"),"B",IF(OR(LEFT(UPPER(TRIM(E866)),2)="SL",UPPER(TRIM(E866))="C"),"C",IF(OR(LEFT(UPPER(TRIM(E866)),1)="D",UPPER(TRIM(E866))="D"),"D","")))))))</f>
        <v/>
      </c>
      <c r="J866" s="27" t="str">
        <f aca="false">IF(I866="","",IF(AND(I866="D",Settings!$B$6&lt;&gt;"Yes"),"",IFERROR(INDEX(Settings!$C$9:$C$12,MATCH(I866,Settings!$A$9:$A$12,0)),"")))</f>
        <v/>
      </c>
      <c r="K866" s="27" t="str">
        <f aca="false">IF(J866="","",COUNTIF($I$2:I866,I866))</f>
        <v/>
      </c>
      <c r="L866" s="27" t="str">
        <f aca="false">IF(J866="","",CHOOSE(Q866+1,"Tue","Wed","Thu","Fri"))</f>
        <v/>
      </c>
      <c r="M866" s="27" t="str">
        <f aca="false">IF(J866="","",IF(J866=1,"Every week",R866+1&amp;" of "&amp;J866))</f>
        <v/>
      </c>
      <c r="N866" s="28" t="str">
        <f aca="false">IF(J866="","",Settings!$B$4+R866*7+Q866)</f>
        <v/>
      </c>
      <c r="O866" s="28" t="str">
        <f aca="true">IF(J866="","",N866+MAX(0,ROUNDUP((TODAY()-N866)/(J866*7),0))*J866*7)</f>
        <v/>
      </c>
      <c r="P866" s="27" t="str">
        <f aca="false">IF(J866="","",MOD(K866-1,J866*4))</f>
        <v/>
      </c>
      <c r="Q866" s="27" t="str">
        <f aca="false">IF(J866="","",MOD(P866,4))</f>
        <v/>
      </c>
      <c r="R866" s="27" t="str">
        <f aca="false">IF(J866="","",INT(P866/4))</f>
        <v/>
      </c>
      <c r="S866" s="27" t="str">
        <f aca="false">IF(J866="","",IF(AND('Daily Count Sheet'!$H$3=Q866,MOD('Daily Count Sheet'!$I$3,J866)=R866),1,""))</f>
        <v/>
      </c>
      <c r="T866" s="27" t="str">
        <f aca="false">IF(S866=1,COUNTIF($S$2:S866,1),"")</f>
        <v/>
      </c>
    </row>
    <row r="867" customFormat="false" ht="15" hidden="false" customHeight="false" outlineLevel="0" collapsed="false">
      <c r="H867" s="26"/>
      <c r="I867" s="27" t="str">
        <f aca="false">IF(A867="","",IF(H867&lt;&gt;"",UPPER(TRIM(H867)),IFERROR(CHOOSE(VALUE(E867)+1,"A","B","C","D"),IF(OR(LEFT(UPPER(TRIM(E867)),1)="F",UPPER(TRIM(E867))="A"),"A",IF(OR(LEFT(UPPER(TRIM(E867)),1)="M",UPPER(TRIM(E867))="B"),"B",IF(OR(LEFT(UPPER(TRIM(E867)),2)="SL",UPPER(TRIM(E867))="C"),"C",IF(OR(LEFT(UPPER(TRIM(E867)),1)="D",UPPER(TRIM(E867))="D"),"D","")))))))</f>
        <v/>
      </c>
      <c r="J867" s="27" t="str">
        <f aca="false">IF(I867="","",IF(AND(I867="D",Settings!$B$6&lt;&gt;"Yes"),"",IFERROR(INDEX(Settings!$C$9:$C$12,MATCH(I867,Settings!$A$9:$A$12,0)),"")))</f>
        <v/>
      </c>
      <c r="K867" s="27" t="str">
        <f aca="false">IF(J867="","",COUNTIF($I$2:I867,I867))</f>
        <v/>
      </c>
      <c r="L867" s="27" t="str">
        <f aca="false">IF(J867="","",CHOOSE(Q867+1,"Tue","Wed","Thu","Fri"))</f>
        <v/>
      </c>
      <c r="M867" s="27" t="str">
        <f aca="false">IF(J867="","",IF(J867=1,"Every week",R867+1&amp;" of "&amp;J867))</f>
        <v/>
      </c>
      <c r="N867" s="28" t="str">
        <f aca="false">IF(J867="","",Settings!$B$4+R867*7+Q867)</f>
        <v/>
      </c>
      <c r="O867" s="28" t="str">
        <f aca="true">IF(J867="","",N867+MAX(0,ROUNDUP((TODAY()-N867)/(J867*7),0))*J867*7)</f>
        <v/>
      </c>
      <c r="P867" s="27" t="str">
        <f aca="false">IF(J867="","",MOD(K867-1,J867*4))</f>
        <v/>
      </c>
      <c r="Q867" s="27" t="str">
        <f aca="false">IF(J867="","",MOD(P867,4))</f>
        <v/>
      </c>
      <c r="R867" s="27" t="str">
        <f aca="false">IF(J867="","",INT(P867/4))</f>
        <v/>
      </c>
      <c r="S867" s="27" t="str">
        <f aca="false">IF(J867="","",IF(AND('Daily Count Sheet'!$H$3=Q867,MOD('Daily Count Sheet'!$I$3,J867)=R867),1,""))</f>
        <v/>
      </c>
      <c r="T867" s="27" t="str">
        <f aca="false">IF(S867=1,COUNTIF($S$2:S867,1),"")</f>
        <v/>
      </c>
    </row>
    <row r="868" customFormat="false" ht="15" hidden="false" customHeight="false" outlineLevel="0" collapsed="false">
      <c r="H868" s="26"/>
      <c r="I868" s="27" t="str">
        <f aca="false">IF(A868="","",IF(H868&lt;&gt;"",UPPER(TRIM(H868)),IFERROR(CHOOSE(VALUE(E868)+1,"A","B","C","D"),IF(OR(LEFT(UPPER(TRIM(E868)),1)="F",UPPER(TRIM(E868))="A"),"A",IF(OR(LEFT(UPPER(TRIM(E868)),1)="M",UPPER(TRIM(E868))="B"),"B",IF(OR(LEFT(UPPER(TRIM(E868)),2)="SL",UPPER(TRIM(E868))="C"),"C",IF(OR(LEFT(UPPER(TRIM(E868)),1)="D",UPPER(TRIM(E868))="D"),"D","")))))))</f>
        <v/>
      </c>
      <c r="J868" s="27" t="str">
        <f aca="false">IF(I868="","",IF(AND(I868="D",Settings!$B$6&lt;&gt;"Yes"),"",IFERROR(INDEX(Settings!$C$9:$C$12,MATCH(I868,Settings!$A$9:$A$12,0)),"")))</f>
        <v/>
      </c>
      <c r="K868" s="27" t="str">
        <f aca="false">IF(J868="","",COUNTIF($I$2:I868,I868))</f>
        <v/>
      </c>
      <c r="L868" s="27" t="str">
        <f aca="false">IF(J868="","",CHOOSE(Q868+1,"Tue","Wed","Thu","Fri"))</f>
        <v/>
      </c>
      <c r="M868" s="27" t="str">
        <f aca="false">IF(J868="","",IF(J868=1,"Every week",R868+1&amp;" of "&amp;J868))</f>
        <v/>
      </c>
      <c r="N868" s="28" t="str">
        <f aca="false">IF(J868="","",Settings!$B$4+R868*7+Q868)</f>
        <v/>
      </c>
      <c r="O868" s="28" t="str">
        <f aca="true">IF(J868="","",N868+MAX(0,ROUNDUP((TODAY()-N868)/(J868*7),0))*J868*7)</f>
        <v/>
      </c>
      <c r="P868" s="27" t="str">
        <f aca="false">IF(J868="","",MOD(K868-1,J868*4))</f>
        <v/>
      </c>
      <c r="Q868" s="27" t="str">
        <f aca="false">IF(J868="","",MOD(P868,4))</f>
        <v/>
      </c>
      <c r="R868" s="27" t="str">
        <f aca="false">IF(J868="","",INT(P868/4))</f>
        <v/>
      </c>
      <c r="S868" s="27" t="str">
        <f aca="false">IF(J868="","",IF(AND('Daily Count Sheet'!$H$3=Q868,MOD('Daily Count Sheet'!$I$3,J868)=R868),1,""))</f>
        <v/>
      </c>
      <c r="T868" s="27" t="str">
        <f aca="false">IF(S868=1,COUNTIF($S$2:S868,1),"")</f>
        <v/>
      </c>
    </row>
    <row r="869" customFormat="false" ht="15" hidden="false" customHeight="false" outlineLevel="0" collapsed="false">
      <c r="H869" s="26"/>
      <c r="I869" s="27" t="str">
        <f aca="false">IF(A869="","",IF(H869&lt;&gt;"",UPPER(TRIM(H869)),IFERROR(CHOOSE(VALUE(E869)+1,"A","B","C","D"),IF(OR(LEFT(UPPER(TRIM(E869)),1)="F",UPPER(TRIM(E869))="A"),"A",IF(OR(LEFT(UPPER(TRIM(E869)),1)="M",UPPER(TRIM(E869))="B"),"B",IF(OR(LEFT(UPPER(TRIM(E869)),2)="SL",UPPER(TRIM(E869))="C"),"C",IF(OR(LEFT(UPPER(TRIM(E869)),1)="D",UPPER(TRIM(E869))="D"),"D","")))))))</f>
        <v/>
      </c>
      <c r="J869" s="27" t="str">
        <f aca="false">IF(I869="","",IF(AND(I869="D",Settings!$B$6&lt;&gt;"Yes"),"",IFERROR(INDEX(Settings!$C$9:$C$12,MATCH(I869,Settings!$A$9:$A$12,0)),"")))</f>
        <v/>
      </c>
      <c r="K869" s="27" t="str">
        <f aca="false">IF(J869="","",COUNTIF($I$2:I869,I869))</f>
        <v/>
      </c>
      <c r="L869" s="27" t="str">
        <f aca="false">IF(J869="","",CHOOSE(Q869+1,"Tue","Wed","Thu","Fri"))</f>
        <v/>
      </c>
      <c r="M869" s="27" t="str">
        <f aca="false">IF(J869="","",IF(J869=1,"Every week",R869+1&amp;" of "&amp;J869))</f>
        <v/>
      </c>
      <c r="N869" s="28" t="str">
        <f aca="false">IF(J869="","",Settings!$B$4+R869*7+Q869)</f>
        <v/>
      </c>
      <c r="O869" s="28" t="str">
        <f aca="true">IF(J869="","",N869+MAX(0,ROUNDUP((TODAY()-N869)/(J869*7),0))*J869*7)</f>
        <v/>
      </c>
      <c r="P869" s="27" t="str">
        <f aca="false">IF(J869="","",MOD(K869-1,J869*4))</f>
        <v/>
      </c>
      <c r="Q869" s="27" t="str">
        <f aca="false">IF(J869="","",MOD(P869,4))</f>
        <v/>
      </c>
      <c r="R869" s="27" t="str">
        <f aca="false">IF(J869="","",INT(P869/4))</f>
        <v/>
      </c>
      <c r="S869" s="27" t="str">
        <f aca="false">IF(J869="","",IF(AND('Daily Count Sheet'!$H$3=Q869,MOD('Daily Count Sheet'!$I$3,J869)=R869),1,""))</f>
        <v/>
      </c>
      <c r="T869" s="27" t="str">
        <f aca="false">IF(S869=1,COUNTIF($S$2:S869,1),"")</f>
        <v/>
      </c>
    </row>
    <row r="870" customFormat="false" ht="15" hidden="false" customHeight="false" outlineLevel="0" collapsed="false">
      <c r="H870" s="26"/>
      <c r="I870" s="27" t="str">
        <f aca="false">IF(A870="","",IF(H870&lt;&gt;"",UPPER(TRIM(H870)),IFERROR(CHOOSE(VALUE(E870)+1,"A","B","C","D"),IF(OR(LEFT(UPPER(TRIM(E870)),1)="F",UPPER(TRIM(E870))="A"),"A",IF(OR(LEFT(UPPER(TRIM(E870)),1)="M",UPPER(TRIM(E870))="B"),"B",IF(OR(LEFT(UPPER(TRIM(E870)),2)="SL",UPPER(TRIM(E870))="C"),"C",IF(OR(LEFT(UPPER(TRIM(E870)),1)="D",UPPER(TRIM(E870))="D"),"D","")))))))</f>
        <v/>
      </c>
      <c r="J870" s="27" t="str">
        <f aca="false">IF(I870="","",IF(AND(I870="D",Settings!$B$6&lt;&gt;"Yes"),"",IFERROR(INDEX(Settings!$C$9:$C$12,MATCH(I870,Settings!$A$9:$A$12,0)),"")))</f>
        <v/>
      </c>
      <c r="K870" s="27" t="str">
        <f aca="false">IF(J870="","",COUNTIF($I$2:I870,I870))</f>
        <v/>
      </c>
      <c r="L870" s="27" t="str">
        <f aca="false">IF(J870="","",CHOOSE(Q870+1,"Tue","Wed","Thu","Fri"))</f>
        <v/>
      </c>
      <c r="M870" s="27" t="str">
        <f aca="false">IF(J870="","",IF(J870=1,"Every week",R870+1&amp;" of "&amp;J870))</f>
        <v/>
      </c>
      <c r="N870" s="28" t="str">
        <f aca="false">IF(J870="","",Settings!$B$4+R870*7+Q870)</f>
        <v/>
      </c>
      <c r="O870" s="28" t="str">
        <f aca="true">IF(J870="","",N870+MAX(0,ROUNDUP((TODAY()-N870)/(J870*7),0))*J870*7)</f>
        <v/>
      </c>
      <c r="P870" s="27" t="str">
        <f aca="false">IF(J870="","",MOD(K870-1,J870*4))</f>
        <v/>
      </c>
      <c r="Q870" s="27" t="str">
        <f aca="false">IF(J870="","",MOD(P870,4))</f>
        <v/>
      </c>
      <c r="R870" s="27" t="str">
        <f aca="false">IF(J870="","",INT(P870/4))</f>
        <v/>
      </c>
      <c r="S870" s="27" t="str">
        <f aca="false">IF(J870="","",IF(AND('Daily Count Sheet'!$H$3=Q870,MOD('Daily Count Sheet'!$I$3,J870)=R870),1,""))</f>
        <v/>
      </c>
      <c r="T870" s="27" t="str">
        <f aca="false">IF(S870=1,COUNTIF($S$2:S870,1),"")</f>
        <v/>
      </c>
    </row>
    <row r="871" customFormat="false" ht="15" hidden="false" customHeight="false" outlineLevel="0" collapsed="false">
      <c r="H871" s="26"/>
      <c r="I871" s="27" t="str">
        <f aca="false">IF(A871="","",IF(H871&lt;&gt;"",UPPER(TRIM(H871)),IFERROR(CHOOSE(VALUE(E871)+1,"A","B","C","D"),IF(OR(LEFT(UPPER(TRIM(E871)),1)="F",UPPER(TRIM(E871))="A"),"A",IF(OR(LEFT(UPPER(TRIM(E871)),1)="M",UPPER(TRIM(E871))="B"),"B",IF(OR(LEFT(UPPER(TRIM(E871)),2)="SL",UPPER(TRIM(E871))="C"),"C",IF(OR(LEFT(UPPER(TRIM(E871)),1)="D",UPPER(TRIM(E871))="D"),"D","")))))))</f>
        <v/>
      </c>
      <c r="J871" s="27" t="str">
        <f aca="false">IF(I871="","",IF(AND(I871="D",Settings!$B$6&lt;&gt;"Yes"),"",IFERROR(INDEX(Settings!$C$9:$C$12,MATCH(I871,Settings!$A$9:$A$12,0)),"")))</f>
        <v/>
      </c>
      <c r="K871" s="27" t="str">
        <f aca="false">IF(J871="","",COUNTIF($I$2:I871,I871))</f>
        <v/>
      </c>
      <c r="L871" s="27" t="str">
        <f aca="false">IF(J871="","",CHOOSE(Q871+1,"Tue","Wed","Thu","Fri"))</f>
        <v/>
      </c>
      <c r="M871" s="27" t="str">
        <f aca="false">IF(J871="","",IF(J871=1,"Every week",R871+1&amp;" of "&amp;J871))</f>
        <v/>
      </c>
      <c r="N871" s="28" t="str">
        <f aca="false">IF(J871="","",Settings!$B$4+R871*7+Q871)</f>
        <v/>
      </c>
      <c r="O871" s="28" t="str">
        <f aca="true">IF(J871="","",N871+MAX(0,ROUNDUP((TODAY()-N871)/(J871*7),0))*J871*7)</f>
        <v/>
      </c>
      <c r="P871" s="27" t="str">
        <f aca="false">IF(J871="","",MOD(K871-1,J871*4))</f>
        <v/>
      </c>
      <c r="Q871" s="27" t="str">
        <f aca="false">IF(J871="","",MOD(P871,4))</f>
        <v/>
      </c>
      <c r="R871" s="27" t="str">
        <f aca="false">IF(J871="","",INT(P871/4))</f>
        <v/>
      </c>
      <c r="S871" s="27" t="str">
        <f aca="false">IF(J871="","",IF(AND('Daily Count Sheet'!$H$3=Q871,MOD('Daily Count Sheet'!$I$3,J871)=R871),1,""))</f>
        <v/>
      </c>
      <c r="T871" s="27" t="str">
        <f aca="false">IF(S871=1,COUNTIF($S$2:S871,1),"")</f>
        <v/>
      </c>
    </row>
    <row r="872" customFormat="false" ht="15" hidden="false" customHeight="false" outlineLevel="0" collapsed="false">
      <c r="H872" s="26"/>
      <c r="I872" s="27" t="str">
        <f aca="false">IF(A872="","",IF(H872&lt;&gt;"",UPPER(TRIM(H872)),IFERROR(CHOOSE(VALUE(E872)+1,"A","B","C","D"),IF(OR(LEFT(UPPER(TRIM(E872)),1)="F",UPPER(TRIM(E872))="A"),"A",IF(OR(LEFT(UPPER(TRIM(E872)),1)="M",UPPER(TRIM(E872))="B"),"B",IF(OR(LEFT(UPPER(TRIM(E872)),2)="SL",UPPER(TRIM(E872))="C"),"C",IF(OR(LEFT(UPPER(TRIM(E872)),1)="D",UPPER(TRIM(E872))="D"),"D","")))))))</f>
        <v/>
      </c>
      <c r="J872" s="27" t="str">
        <f aca="false">IF(I872="","",IF(AND(I872="D",Settings!$B$6&lt;&gt;"Yes"),"",IFERROR(INDEX(Settings!$C$9:$C$12,MATCH(I872,Settings!$A$9:$A$12,0)),"")))</f>
        <v/>
      </c>
      <c r="K872" s="27" t="str">
        <f aca="false">IF(J872="","",COUNTIF($I$2:I872,I872))</f>
        <v/>
      </c>
      <c r="L872" s="27" t="str">
        <f aca="false">IF(J872="","",CHOOSE(Q872+1,"Tue","Wed","Thu","Fri"))</f>
        <v/>
      </c>
      <c r="M872" s="27" t="str">
        <f aca="false">IF(J872="","",IF(J872=1,"Every week",R872+1&amp;" of "&amp;J872))</f>
        <v/>
      </c>
      <c r="N872" s="28" t="str">
        <f aca="false">IF(J872="","",Settings!$B$4+R872*7+Q872)</f>
        <v/>
      </c>
      <c r="O872" s="28" t="str">
        <f aca="true">IF(J872="","",N872+MAX(0,ROUNDUP((TODAY()-N872)/(J872*7),0))*J872*7)</f>
        <v/>
      </c>
      <c r="P872" s="27" t="str">
        <f aca="false">IF(J872="","",MOD(K872-1,J872*4))</f>
        <v/>
      </c>
      <c r="Q872" s="27" t="str">
        <f aca="false">IF(J872="","",MOD(P872,4))</f>
        <v/>
      </c>
      <c r="R872" s="27" t="str">
        <f aca="false">IF(J872="","",INT(P872/4))</f>
        <v/>
      </c>
      <c r="S872" s="27" t="str">
        <f aca="false">IF(J872="","",IF(AND('Daily Count Sheet'!$H$3=Q872,MOD('Daily Count Sheet'!$I$3,J872)=R872),1,""))</f>
        <v/>
      </c>
      <c r="T872" s="27" t="str">
        <f aca="false">IF(S872=1,COUNTIF($S$2:S872,1),"")</f>
        <v/>
      </c>
    </row>
    <row r="873" customFormat="false" ht="15" hidden="false" customHeight="false" outlineLevel="0" collapsed="false">
      <c r="H873" s="26"/>
      <c r="I873" s="27" t="str">
        <f aca="false">IF(A873="","",IF(H873&lt;&gt;"",UPPER(TRIM(H873)),IFERROR(CHOOSE(VALUE(E873)+1,"A","B","C","D"),IF(OR(LEFT(UPPER(TRIM(E873)),1)="F",UPPER(TRIM(E873))="A"),"A",IF(OR(LEFT(UPPER(TRIM(E873)),1)="M",UPPER(TRIM(E873))="B"),"B",IF(OR(LEFT(UPPER(TRIM(E873)),2)="SL",UPPER(TRIM(E873))="C"),"C",IF(OR(LEFT(UPPER(TRIM(E873)),1)="D",UPPER(TRIM(E873))="D"),"D","")))))))</f>
        <v/>
      </c>
      <c r="J873" s="27" t="str">
        <f aca="false">IF(I873="","",IF(AND(I873="D",Settings!$B$6&lt;&gt;"Yes"),"",IFERROR(INDEX(Settings!$C$9:$C$12,MATCH(I873,Settings!$A$9:$A$12,0)),"")))</f>
        <v/>
      </c>
      <c r="K873" s="27" t="str">
        <f aca="false">IF(J873="","",COUNTIF($I$2:I873,I873))</f>
        <v/>
      </c>
      <c r="L873" s="27" t="str">
        <f aca="false">IF(J873="","",CHOOSE(Q873+1,"Tue","Wed","Thu","Fri"))</f>
        <v/>
      </c>
      <c r="M873" s="27" t="str">
        <f aca="false">IF(J873="","",IF(J873=1,"Every week",R873+1&amp;" of "&amp;J873))</f>
        <v/>
      </c>
      <c r="N873" s="28" t="str">
        <f aca="false">IF(J873="","",Settings!$B$4+R873*7+Q873)</f>
        <v/>
      </c>
      <c r="O873" s="28" t="str">
        <f aca="true">IF(J873="","",N873+MAX(0,ROUNDUP((TODAY()-N873)/(J873*7),0))*J873*7)</f>
        <v/>
      </c>
      <c r="P873" s="27" t="str">
        <f aca="false">IF(J873="","",MOD(K873-1,J873*4))</f>
        <v/>
      </c>
      <c r="Q873" s="27" t="str">
        <f aca="false">IF(J873="","",MOD(P873,4))</f>
        <v/>
      </c>
      <c r="R873" s="27" t="str">
        <f aca="false">IF(J873="","",INT(P873/4))</f>
        <v/>
      </c>
      <c r="S873" s="27" t="str">
        <f aca="false">IF(J873="","",IF(AND('Daily Count Sheet'!$H$3=Q873,MOD('Daily Count Sheet'!$I$3,J873)=R873),1,""))</f>
        <v/>
      </c>
      <c r="T873" s="27" t="str">
        <f aca="false">IF(S873=1,COUNTIF($S$2:S873,1),"")</f>
        <v/>
      </c>
    </row>
    <row r="874" customFormat="false" ht="15" hidden="false" customHeight="false" outlineLevel="0" collapsed="false">
      <c r="H874" s="26"/>
      <c r="I874" s="27" t="str">
        <f aca="false">IF(A874="","",IF(H874&lt;&gt;"",UPPER(TRIM(H874)),IFERROR(CHOOSE(VALUE(E874)+1,"A","B","C","D"),IF(OR(LEFT(UPPER(TRIM(E874)),1)="F",UPPER(TRIM(E874))="A"),"A",IF(OR(LEFT(UPPER(TRIM(E874)),1)="M",UPPER(TRIM(E874))="B"),"B",IF(OR(LEFT(UPPER(TRIM(E874)),2)="SL",UPPER(TRIM(E874))="C"),"C",IF(OR(LEFT(UPPER(TRIM(E874)),1)="D",UPPER(TRIM(E874))="D"),"D","")))))))</f>
        <v/>
      </c>
      <c r="J874" s="27" t="str">
        <f aca="false">IF(I874="","",IF(AND(I874="D",Settings!$B$6&lt;&gt;"Yes"),"",IFERROR(INDEX(Settings!$C$9:$C$12,MATCH(I874,Settings!$A$9:$A$12,0)),"")))</f>
        <v/>
      </c>
      <c r="K874" s="27" t="str">
        <f aca="false">IF(J874="","",COUNTIF($I$2:I874,I874))</f>
        <v/>
      </c>
      <c r="L874" s="27" t="str">
        <f aca="false">IF(J874="","",CHOOSE(Q874+1,"Tue","Wed","Thu","Fri"))</f>
        <v/>
      </c>
      <c r="M874" s="27" t="str">
        <f aca="false">IF(J874="","",IF(J874=1,"Every week",R874+1&amp;" of "&amp;J874))</f>
        <v/>
      </c>
      <c r="N874" s="28" t="str">
        <f aca="false">IF(J874="","",Settings!$B$4+R874*7+Q874)</f>
        <v/>
      </c>
      <c r="O874" s="28" t="str">
        <f aca="true">IF(J874="","",N874+MAX(0,ROUNDUP((TODAY()-N874)/(J874*7),0))*J874*7)</f>
        <v/>
      </c>
      <c r="P874" s="27" t="str">
        <f aca="false">IF(J874="","",MOD(K874-1,J874*4))</f>
        <v/>
      </c>
      <c r="Q874" s="27" t="str">
        <f aca="false">IF(J874="","",MOD(P874,4))</f>
        <v/>
      </c>
      <c r="R874" s="27" t="str">
        <f aca="false">IF(J874="","",INT(P874/4))</f>
        <v/>
      </c>
      <c r="S874" s="27" t="str">
        <f aca="false">IF(J874="","",IF(AND('Daily Count Sheet'!$H$3=Q874,MOD('Daily Count Sheet'!$I$3,J874)=R874),1,""))</f>
        <v/>
      </c>
      <c r="T874" s="27" t="str">
        <f aca="false">IF(S874=1,COUNTIF($S$2:S874,1),"")</f>
        <v/>
      </c>
    </row>
    <row r="875" customFormat="false" ht="15" hidden="false" customHeight="false" outlineLevel="0" collapsed="false">
      <c r="H875" s="26"/>
      <c r="I875" s="27" t="str">
        <f aca="false">IF(A875="","",IF(H875&lt;&gt;"",UPPER(TRIM(H875)),IFERROR(CHOOSE(VALUE(E875)+1,"A","B","C","D"),IF(OR(LEFT(UPPER(TRIM(E875)),1)="F",UPPER(TRIM(E875))="A"),"A",IF(OR(LEFT(UPPER(TRIM(E875)),1)="M",UPPER(TRIM(E875))="B"),"B",IF(OR(LEFT(UPPER(TRIM(E875)),2)="SL",UPPER(TRIM(E875))="C"),"C",IF(OR(LEFT(UPPER(TRIM(E875)),1)="D",UPPER(TRIM(E875))="D"),"D","")))))))</f>
        <v/>
      </c>
      <c r="J875" s="27" t="str">
        <f aca="false">IF(I875="","",IF(AND(I875="D",Settings!$B$6&lt;&gt;"Yes"),"",IFERROR(INDEX(Settings!$C$9:$C$12,MATCH(I875,Settings!$A$9:$A$12,0)),"")))</f>
        <v/>
      </c>
      <c r="K875" s="27" t="str">
        <f aca="false">IF(J875="","",COUNTIF($I$2:I875,I875))</f>
        <v/>
      </c>
      <c r="L875" s="27" t="str">
        <f aca="false">IF(J875="","",CHOOSE(Q875+1,"Tue","Wed","Thu","Fri"))</f>
        <v/>
      </c>
      <c r="M875" s="27" t="str">
        <f aca="false">IF(J875="","",IF(J875=1,"Every week",R875+1&amp;" of "&amp;J875))</f>
        <v/>
      </c>
      <c r="N875" s="28" t="str">
        <f aca="false">IF(J875="","",Settings!$B$4+R875*7+Q875)</f>
        <v/>
      </c>
      <c r="O875" s="28" t="str">
        <f aca="true">IF(J875="","",N875+MAX(0,ROUNDUP((TODAY()-N875)/(J875*7),0))*J875*7)</f>
        <v/>
      </c>
      <c r="P875" s="27" t="str">
        <f aca="false">IF(J875="","",MOD(K875-1,J875*4))</f>
        <v/>
      </c>
      <c r="Q875" s="27" t="str">
        <f aca="false">IF(J875="","",MOD(P875,4))</f>
        <v/>
      </c>
      <c r="R875" s="27" t="str">
        <f aca="false">IF(J875="","",INT(P875/4))</f>
        <v/>
      </c>
      <c r="S875" s="27" t="str">
        <f aca="false">IF(J875="","",IF(AND('Daily Count Sheet'!$H$3=Q875,MOD('Daily Count Sheet'!$I$3,J875)=R875),1,""))</f>
        <v/>
      </c>
      <c r="T875" s="27" t="str">
        <f aca="false">IF(S875=1,COUNTIF($S$2:S875,1),"")</f>
        <v/>
      </c>
    </row>
    <row r="876" customFormat="false" ht="15" hidden="false" customHeight="false" outlineLevel="0" collapsed="false">
      <c r="H876" s="26"/>
      <c r="I876" s="27" t="str">
        <f aca="false">IF(A876="","",IF(H876&lt;&gt;"",UPPER(TRIM(H876)),IFERROR(CHOOSE(VALUE(E876)+1,"A","B","C","D"),IF(OR(LEFT(UPPER(TRIM(E876)),1)="F",UPPER(TRIM(E876))="A"),"A",IF(OR(LEFT(UPPER(TRIM(E876)),1)="M",UPPER(TRIM(E876))="B"),"B",IF(OR(LEFT(UPPER(TRIM(E876)),2)="SL",UPPER(TRIM(E876))="C"),"C",IF(OR(LEFT(UPPER(TRIM(E876)),1)="D",UPPER(TRIM(E876))="D"),"D","")))))))</f>
        <v/>
      </c>
      <c r="J876" s="27" t="str">
        <f aca="false">IF(I876="","",IF(AND(I876="D",Settings!$B$6&lt;&gt;"Yes"),"",IFERROR(INDEX(Settings!$C$9:$C$12,MATCH(I876,Settings!$A$9:$A$12,0)),"")))</f>
        <v/>
      </c>
      <c r="K876" s="27" t="str">
        <f aca="false">IF(J876="","",COUNTIF($I$2:I876,I876))</f>
        <v/>
      </c>
      <c r="L876" s="27" t="str">
        <f aca="false">IF(J876="","",CHOOSE(Q876+1,"Tue","Wed","Thu","Fri"))</f>
        <v/>
      </c>
      <c r="M876" s="27" t="str">
        <f aca="false">IF(J876="","",IF(J876=1,"Every week",R876+1&amp;" of "&amp;J876))</f>
        <v/>
      </c>
      <c r="N876" s="28" t="str">
        <f aca="false">IF(J876="","",Settings!$B$4+R876*7+Q876)</f>
        <v/>
      </c>
      <c r="O876" s="28" t="str">
        <f aca="true">IF(J876="","",N876+MAX(0,ROUNDUP((TODAY()-N876)/(J876*7),0))*J876*7)</f>
        <v/>
      </c>
      <c r="P876" s="27" t="str">
        <f aca="false">IF(J876="","",MOD(K876-1,J876*4))</f>
        <v/>
      </c>
      <c r="Q876" s="27" t="str">
        <f aca="false">IF(J876="","",MOD(P876,4))</f>
        <v/>
      </c>
      <c r="R876" s="27" t="str">
        <f aca="false">IF(J876="","",INT(P876/4))</f>
        <v/>
      </c>
      <c r="S876" s="27" t="str">
        <f aca="false">IF(J876="","",IF(AND('Daily Count Sheet'!$H$3=Q876,MOD('Daily Count Sheet'!$I$3,J876)=R876),1,""))</f>
        <v/>
      </c>
      <c r="T876" s="27" t="str">
        <f aca="false">IF(S876=1,COUNTIF($S$2:S876,1),"")</f>
        <v/>
      </c>
    </row>
    <row r="877" customFormat="false" ht="15" hidden="false" customHeight="false" outlineLevel="0" collapsed="false">
      <c r="H877" s="26"/>
      <c r="I877" s="27" t="str">
        <f aca="false">IF(A877="","",IF(H877&lt;&gt;"",UPPER(TRIM(H877)),IFERROR(CHOOSE(VALUE(E877)+1,"A","B","C","D"),IF(OR(LEFT(UPPER(TRIM(E877)),1)="F",UPPER(TRIM(E877))="A"),"A",IF(OR(LEFT(UPPER(TRIM(E877)),1)="M",UPPER(TRIM(E877))="B"),"B",IF(OR(LEFT(UPPER(TRIM(E877)),2)="SL",UPPER(TRIM(E877))="C"),"C",IF(OR(LEFT(UPPER(TRIM(E877)),1)="D",UPPER(TRIM(E877))="D"),"D","")))))))</f>
        <v/>
      </c>
      <c r="J877" s="27" t="str">
        <f aca="false">IF(I877="","",IF(AND(I877="D",Settings!$B$6&lt;&gt;"Yes"),"",IFERROR(INDEX(Settings!$C$9:$C$12,MATCH(I877,Settings!$A$9:$A$12,0)),"")))</f>
        <v/>
      </c>
      <c r="K877" s="27" t="str">
        <f aca="false">IF(J877="","",COUNTIF($I$2:I877,I877))</f>
        <v/>
      </c>
      <c r="L877" s="27" t="str">
        <f aca="false">IF(J877="","",CHOOSE(Q877+1,"Tue","Wed","Thu","Fri"))</f>
        <v/>
      </c>
      <c r="M877" s="27" t="str">
        <f aca="false">IF(J877="","",IF(J877=1,"Every week",R877+1&amp;" of "&amp;J877))</f>
        <v/>
      </c>
      <c r="N877" s="28" t="str">
        <f aca="false">IF(J877="","",Settings!$B$4+R877*7+Q877)</f>
        <v/>
      </c>
      <c r="O877" s="28" t="str">
        <f aca="true">IF(J877="","",N877+MAX(0,ROUNDUP((TODAY()-N877)/(J877*7),0))*J877*7)</f>
        <v/>
      </c>
      <c r="P877" s="27" t="str">
        <f aca="false">IF(J877="","",MOD(K877-1,J877*4))</f>
        <v/>
      </c>
      <c r="Q877" s="27" t="str">
        <f aca="false">IF(J877="","",MOD(P877,4))</f>
        <v/>
      </c>
      <c r="R877" s="27" t="str">
        <f aca="false">IF(J877="","",INT(P877/4))</f>
        <v/>
      </c>
      <c r="S877" s="27" t="str">
        <f aca="false">IF(J877="","",IF(AND('Daily Count Sheet'!$H$3=Q877,MOD('Daily Count Sheet'!$I$3,J877)=R877),1,""))</f>
        <v/>
      </c>
      <c r="T877" s="27" t="str">
        <f aca="false">IF(S877=1,COUNTIF($S$2:S877,1),"")</f>
        <v/>
      </c>
    </row>
    <row r="878" customFormat="false" ht="15" hidden="false" customHeight="false" outlineLevel="0" collapsed="false">
      <c r="H878" s="26"/>
      <c r="I878" s="27" t="str">
        <f aca="false">IF(A878="","",IF(H878&lt;&gt;"",UPPER(TRIM(H878)),IFERROR(CHOOSE(VALUE(E878)+1,"A","B","C","D"),IF(OR(LEFT(UPPER(TRIM(E878)),1)="F",UPPER(TRIM(E878))="A"),"A",IF(OR(LEFT(UPPER(TRIM(E878)),1)="M",UPPER(TRIM(E878))="B"),"B",IF(OR(LEFT(UPPER(TRIM(E878)),2)="SL",UPPER(TRIM(E878))="C"),"C",IF(OR(LEFT(UPPER(TRIM(E878)),1)="D",UPPER(TRIM(E878))="D"),"D","")))))))</f>
        <v/>
      </c>
      <c r="J878" s="27" t="str">
        <f aca="false">IF(I878="","",IF(AND(I878="D",Settings!$B$6&lt;&gt;"Yes"),"",IFERROR(INDEX(Settings!$C$9:$C$12,MATCH(I878,Settings!$A$9:$A$12,0)),"")))</f>
        <v/>
      </c>
      <c r="K878" s="27" t="str">
        <f aca="false">IF(J878="","",COUNTIF($I$2:I878,I878))</f>
        <v/>
      </c>
      <c r="L878" s="27" t="str">
        <f aca="false">IF(J878="","",CHOOSE(Q878+1,"Tue","Wed","Thu","Fri"))</f>
        <v/>
      </c>
      <c r="M878" s="27" t="str">
        <f aca="false">IF(J878="","",IF(J878=1,"Every week",R878+1&amp;" of "&amp;J878))</f>
        <v/>
      </c>
      <c r="N878" s="28" t="str">
        <f aca="false">IF(J878="","",Settings!$B$4+R878*7+Q878)</f>
        <v/>
      </c>
      <c r="O878" s="28" t="str">
        <f aca="true">IF(J878="","",N878+MAX(0,ROUNDUP((TODAY()-N878)/(J878*7),0))*J878*7)</f>
        <v/>
      </c>
      <c r="P878" s="27" t="str">
        <f aca="false">IF(J878="","",MOD(K878-1,J878*4))</f>
        <v/>
      </c>
      <c r="Q878" s="27" t="str">
        <f aca="false">IF(J878="","",MOD(P878,4))</f>
        <v/>
      </c>
      <c r="R878" s="27" t="str">
        <f aca="false">IF(J878="","",INT(P878/4))</f>
        <v/>
      </c>
      <c r="S878" s="27" t="str">
        <f aca="false">IF(J878="","",IF(AND('Daily Count Sheet'!$H$3=Q878,MOD('Daily Count Sheet'!$I$3,J878)=R878),1,""))</f>
        <v/>
      </c>
      <c r="T878" s="27" t="str">
        <f aca="false">IF(S878=1,COUNTIF($S$2:S878,1),"")</f>
        <v/>
      </c>
    </row>
    <row r="879" customFormat="false" ht="15" hidden="false" customHeight="false" outlineLevel="0" collapsed="false">
      <c r="H879" s="26"/>
      <c r="I879" s="27" t="str">
        <f aca="false">IF(A879="","",IF(H879&lt;&gt;"",UPPER(TRIM(H879)),IFERROR(CHOOSE(VALUE(E879)+1,"A","B","C","D"),IF(OR(LEFT(UPPER(TRIM(E879)),1)="F",UPPER(TRIM(E879))="A"),"A",IF(OR(LEFT(UPPER(TRIM(E879)),1)="M",UPPER(TRIM(E879))="B"),"B",IF(OR(LEFT(UPPER(TRIM(E879)),2)="SL",UPPER(TRIM(E879))="C"),"C",IF(OR(LEFT(UPPER(TRIM(E879)),1)="D",UPPER(TRIM(E879))="D"),"D","")))))))</f>
        <v/>
      </c>
      <c r="J879" s="27" t="str">
        <f aca="false">IF(I879="","",IF(AND(I879="D",Settings!$B$6&lt;&gt;"Yes"),"",IFERROR(INDEX(Settings!$C$9:$C$12,MATCH(I879,Settings!$A$9:$A$12,0)),"")))</f>
        <v/>
      </c>
      <c r="K879" s="27" t="str">
        <f aca="false">IF(J879="","",COUNTIF($I$2:I879,I879))</f>
        <v/>
      </c>
      <c r="L879" s="27" t="str">
        <f aca="false">IF(J879="","",CHOOSE(Q879+1,"Tue","Wed","Thu","Fri"))</f>
        <v/>
      </c>
      <c r="M879" s="27" t="str">
        <f aca="false">IF(J879="","",IF(J879=1,"Every week",R879+1&amp;" of "&amp;J879))</f>
        <v/>
      </c>
      <c r="N879" s="28" t="str">
        <f aca="false">IF(J879="","",Settings!$B$4+R879*7+Q879)</f>
        <v/>
      </c>
      <c r="O879" s="28" t="str">
        <f aca="true">IF(J879="","",N879+MAX(0,ROUNDUP((TODAY()-N879)/(J879*7),0))*J879*7)</f>
        <v/>
      </c>
      <c r="P879" s="27" t="str">
        <f aca="false">IF(J879="","",MOD(K879-1,J879*4))</f>
        <v/>
      </c>
      <c r="Q879" s="27" t="str">
        <f aca="false">IF(J879="","",MOD(P879,4))</f>
        <v/>
      </c>
      <c r="R879" s="27" t="str">
        <f aca="false">IF(J879="","",INT(P879/4))</f>
        <v/>
      </c>
      <c r="S879" s="27" t="str">
        <f aca="false">IF(J879="","",IF(AND('Daily Count Sheet'!$H$3=Q879,MOD('Daily Count Sheet'!$I$3,J879)=R879),1,""))</f>
        <v/>
      </c>
      <c r="T879" s="27" t="str">
        <f aca="false">IF(S879=1,COUNTIF($S$2:S879,1),"")</f>
        <v/>
      </c>
    </row>
    <row r="880" customFormat="false" ht="15" hidden="false" customHeight="false" outlineLevel="0" collapsed="false">
      <c r="H880" s="26"/>
      <c r="I880" s="27" t="str">
        <f aca="false">IF(A880="","",IF(H880&lt;&gt;"",UPPER(TRIM(H880)),IFERROR(CHOOSE(VALUE(E880)+1,"A","B","C","D"),IF(OR(LEFT(UPPER(TRIM(E880)),1)="F",UPPER(TRIM(E880))="A"),"A",IF(OR(LEFT(UPPER(TRIM(E880)),1)="M",UPPER(TRIM(E880))="B"),"B",IF(OR(LEFT(UPPER(TRIM(E880)),2)="SL",UPPER(TRIM(E880))="C"),"C",IF(OR(LEFT(UPPER(TRIM(E880)),1)="D",UPPER(TRIM(E880))="D"),"D","")))))))</f>
        <v/>
      </c>
      <c r="J880" s="27" t="str">
        <f aca="false">IF(I880="","",IF(AND(I880="D",Settings!$B$6&lt;&gt;"Yes"),"",IFERROR(INDEX(Settings!$C$9:$C$12,MATCH(I880,Settings!$A$9:$A$12,0)),"")))</f>
        <v/>
      </c>
      <c r="K880" s="27" t="str">
        <f aca="false">IF(J880="","",COUNTIF($I$2:I880,I880))</f>
        <v/>
      </c>
      <c r="L880" s="27" t="str">
        <f aca="false">IF(J880="","",CHOOSE(Q880+1,"Tue","Wed","Thu","Fri"))</f>
        <v/>
      </c>
      <c r="M880" s="27" t="str">
        <f aca="false">IF(J880="","",IF(J880=1,"Every week",R880+1&amp;" of "&amp;J880))</f>
        <v/>
      </c>
      <c r="N880" s="28" t="str">
        <f aca="false">IF(J880="","",Settings!$B$4+R880*7+Q880)</f>
        <v/>
      </c>
      <c r="O880" s="28" t="str">
        <f aca="true">IF(J880="","",N880+MAX(0,ROUNDUP((TODAY()-N880)/(J880*7),0))*J880*7)</f>
        <v/>
      </c>
      <c r="P880" s="27" t="str">
        <f aca="false">IF(J880="","",MOD(K880-1,J880*4))</f>
        <v/>
      </c>
      <c r="Q880" s="27" t="str">
        <f aca="false">IF(J880="","",MOD(P880,4))</f>
        <v/>
      </c>
      <c r="R880" s="27" t="str">
        <f aca="false">IF(J880="","",INT(P880/4))</f>
        <v/>
      </c>
      <c r="S880" s="27" t="str">
        <f aca="false">IF(J880="","",IF(AND('Daily Count Sheet'!$H$3=Q880,MOD('Daily Count Sheet'!$I$3,J880)=R880),1,""))</f>
        <v/>
      </c>
      <c r="T880" s="27" t="str">
        <f aca="false">IF(S880=1,COUNTIF($S$2:S880,1),"")</f>
        <v/>
      </c>
    </row>
    <row r="881" customFormat="false" ht="15" hidden="false" customHeight="false" outlineLevel="0" collapsed="false">
      <c r="H881" s="26"/>
      <c r="I881" s="27" t="str">
        <f aca="false">IF(A881="","",IF(H881&lt;&gt;"",UPPER(TRIM(H881)),IFERROR(CHOOSE(VALUE(E881)+1,"A","B","C","D"),IF(OR(LEFT(UPPER(TRIM(E881)),1)="F",UPPER(TRIM(E881))="A"),"A",IF(OR(LEFT(UPPER(TRIM(E881)),1)="M",UPPER(TRIM(E881))="B"),"B",IF(OR(LEFT(UPPER(TRIM(E881)),2)="SL",UPPER(TRIM(E881))="C"),"C",IF(OR(LEFT(UPPER(TRIM(E881)),1)="D",UPPER(TRIM(E881))="D"),"D","")))))))</f>
        <v/>
      </c>
      <c r="J881" s="27" t="str">
        <f aca="false">IF(I881="","",IF(AND(I881="D",Settings!$B$6&lt;&gt;"Yes"),"",IFERROR(INDEX(Settings!$C$9:$C$12,MATCH(I881,Settings!$A$9:$A$12,0)),"")))</f>
        <v/>
      </c>
      <c r="K881" s="27" t="str">
        <f aca="false">IF(J881="","",COUNTIF($I$2:I881,I881))</f>
        <v/>
      </c>
      <c r="L881" s="27" t="str">
        <f aca="false">IF(J881="","",CHOOSE(Q881+1,"Tue","Wed","Thu","Fri"))</f>
        <v/>
      </c>
      <c r="M881" s="27" t="str">
        <f aca="false">IF(J881="","",IF(J881=1,"Every week",R881+1&amp;" of "&amp;J881))</f>
        <v/>
      </c>
      <c r="N881" s="28" t="str">
        <f aca="false">IF(J881="","",Settings!$B$4+R881*7+Q881)</f>
        <v/>
      </c>
      <c r="O881" s="28" t="str">
        <f aca="true">IF(J881="","",N881+MAX(0,ROUNDUP((TODAY()-N881)/(J881*7),0))*J881*7)</f>
        <v/>
      </c>
      <c r="P881" s="27" t="str">
        <f aca="false">IF(J881="","",MOD(K881-1,J881*4))</f>
        <v/>
      </c>
      <c r="Q881" s="27" t="str">
        <f aca="false">IF(J881="","",MOD(P881,4))</f>
        <v/>
      </c>
      <c r="R881" s="27" t="str">
        <f aca="false">IF(J881="","",INT(P881/4))</f>
        <v/>
      </c>
      <c r="S881" s="27" t="str">
        <f aca="false">IF(J881="","",IF(AND('Daily Count Sheet'!$H$3=Q881,MOD('Daily Count Sheet'!$I$3,J881)=R881),1,""))</f>
        <v/>
      </c>
      <c r="T881" s="27" t="str">
        <f aca="false">IF(S881=1,COUNTIF($S$2:S881,1),"")</f>
        <v/>
      </c>
    </row>
    <row r="882" customFormat="false" ht="15" hidden="false" customHeight="false" outlineLevel="0" collapsed="false">
      <c r="H882" s="26"/>
      <c r="I882" s="27" t="str">
        <f aca="false">IF(A882="","",IF(H882&lt;&gt;"",UPPER(TRIM(H882)),IFERROR(CHOOSE(VALUE(E882)+1,"A","B","C","D"),IF(OR(LEFT(UPPER(TRIM(E882)),1)="F",UPPER(TRIM(E882))="A"),"A",IF(OR(LEFT(UPPER(TRIM(E882)),1)="M",UPPER(TRIM(E882))="B"),"B",IF(OR(LEFT(UPPER(TRIM(E882)),2)="SL",UPPER(TRIM(E882))="C"),"C",IF(OR(LEFT(UPPER(TRIM(E882)),1)="D",UPPER(TRIM(E882))="D"),"D","")))))))</f>
        <v/>
      </c>
      <c r="J882" s="27" t="str">
        <f aca="false">IF(I882="","",IF(AND(I882="D",Settings!$B$6&lt;&gt;"Yes"),"",IFERROR(INDEX(Settings!$C$9:$C$12,MATCH(I882,Settings!$A$9:$A$12,0)),"")))</f>
        <v/>
      </c>
      <c r="K882" s="27" t="str">
        <f aca="false">IF(J882="","",COUNTIF($I$2:I882,I882))</f>
        <v/>
      </c>
      <c r="L882" s="27" t="str">
        <f aca="false">IF(J882="","",CHOOSE(Q882+1,"Tue","Wed","Thu","Fri"))</f>
        <v/>
      </c>
      <c r="M882" s="27" t="str">
        <f aca="false">IF(J882="","",IF(J882=1,"Every week",R882+1&amp;" of "&amp;J882))</f>
        <v/>
      </c>
      <c r="N882" s="28" t="str">
        <f aca="false">IF(J882="","",Settings!$B$4+R882*7+Q882)</f>
        <v/>
      </c>
      <c r="O882" s="28" t="str">
        <f aca="true">IF(J882="","",N882+MAX(0,ROUNDUP((TODAY()-N882)/(J882*7),0))*J882*7)</f>
        <v/>
      </c>
      <c r="P882" s="27" t="str">
        <f aca="false">IF(J882="","",MOD(K882-1,J882*4))</f>
        <v/>
      </c>
      <c r="Q882" s="27" t="str">
        <f aca="false">IF(J882="","",MOD(P882,4))</f>
        <v/>
      </c>
      <c r="R882" s="27" t="str">
        <f aca="false">IF(J882="","",INT(P882/4))</f>
        <v/>
      </c>
      <c r="S882" s="27" t="str">
        <f aca="false">IF(J882="","",IF(AND('Daily Count Sheet'!$H$3=Q882,MOD('Daily Count Sheet'!$I$3,J882)=R882),1,""))</f>
        <v/>
      </c>
      <c r="T882" s="27" t="str">
        <f aca="false">IF(S882=1,COUNTIF($S$2:S882,1),"")</f>
        <v/>
      </c>
    </row>
    <row r="883" customFormat="false" ht="15" hidden="false" customHeight="false" outlineLevel="0" collapsed="false">
      <c r="H883" s="26"/>
      <c r="I883" s="27" t="str">
        <f aca="false">IF(A883="","",IF(H883&lt;&gt;"",UPPER(TRIM(H883)),IFERROR(CHOOSE(VALUE(E883)+1,"A","B","C","D"),IF(OR(LEFT(UPPER(TRIM(E883)),1)="F",UPPER(TRIM(E883))="A"),"A",IF(OR(LEFT(UPPER(TRIM(E883)),1)="M",UPPER(TRIM(E883))="B"),"B",IF(OR(LEFT(UPPER(TRIM(E883)),2)="SL",UPPER(TRIM(E883))="C"),"C",IF(OR(LEFT(UPPER(TRIM(E883)),1)="D",UPPER(TRIM(E883))="D"),"D","")))))))</f>
        <v/>
      </c>
      <c r="J883" s="27" t="str">
        <f aca="false">IF(I883="","",IF(AND(I883="D",Settings!$B$6&lt;&gt;"Yes"),"",IFERROR(INDEX(Settings!$C$9:$C$12,MATCH(I883,Settings!$A$9:$A$12,0)),"")))</f>
        <v/>
      </c>
      <c r="K883" s="27" t="str">
        <f aca="false">IF(J883="","",COUNTIF($I$2:I883,I883))</f>
        <v/>
      </c>
      <c r="L883" s="27" t="str">
        <f aca="false">IF(J883="","",CHOOSE(Q883+1,"Tue","Wed","Thu","Fri"))</f>
        <v/>
      </c>
      <c r="M883" s="27" t="str">
        <f aca="false">IF(J883="","",IF(J883=1,"Every week",R883+1&amp;" of "&amp;J883))</f>
        <v/>
      </c>
      <c r="N883" s="28" t="str">
        <f aca="false">IF(J883="","",Settings!$B$4+R883*7+Q883)</f>
        <v/>
      </c>
      <c r="O883" s="28" t="str">
        <f aca="true">IF(J883="","",N883+MAX(0,ROUNDUP((TODAY()-N883)/(J883*7),0))*J883*7)</f>
        <v/>
      </c>
      <c r="P883" s="27" t="str">
        <f aca="false">IF(J883="","",MOD(K883-1,J883*4))</f>
        <v/>
      </c>
      <c r="Q883" s="27" t="str">
        <f aca="false">IF(J883="","",MOD(P883,4))</f>
        <v/>
      </c>
      <c r="R883" s="27" t="str">
        <f aca="false">IF(J883="","",INT(P883/4))</f>
        <v/>
      </c>
      <c r="S883" s="27" t="str">
        <f aca="false">IF(J883="","",IF(AND('Daily Count Sheet'!$H$3=Q883,MOD('Daily Count Sheet'!$I$3,J883)=R883),1,""))</f>
        <v/>
      </c>
      <c r="T883" s="27" t="str">
        <f aca="false">IF(S883=1,COUNTIF($S$2:S883,1),"")</f>
        <v/>
      </c>
    </row>
    <row r="884" customFormat="false" ht="15" hidden="false" customHeight="false" outlineLevel="0" collapsed="false">
      <c r="H884" s="26"/>
      <c r="I884" s="27" t="str">
        <f aca="false">IF(A884="","",IF(H884&lt;&gt;"",UPPER(TRIM(H884)),IFERROR(CHOOSE(VALUE(E884)+1,"A","B","C","D"),IF(OR(LEFT(UPPER(TRIM(E884)),1)="F",UPPER(TRIM(E884))="A"),"A",IF(OR(LEFT(UPPER(TRIM(E884)),1)="M",UPPER(TRIM(E884))="B"),"B",IF(OR(LEFT(UPPER(TRIM(E884)),2)="SL",UPPER(TRIM(E884))="C"),"C",IF(OR(LEFT(UPPER(TRIM(E884)),1)="D",UPPER(TRIM(E884))="D"),"D","")))))))</f>
        <v/>
      </c>
      <c r="J884" s="27" t="str">
        <f aca="false">IF(I884="","",IF(AND(I884="D",Settings!$B$6&lt;&gt;"Yes"),"",IFERROR(INDEX(Settings!$C$9:$C$12,MATCH(I884,Settings!$A$9:$A$12,0)),"")))</f>
        <v/>
      </c>
      <c r="K884" s="27" t="str">
        <f aca="false">IF(J884="","",COUNTIF($I$2:I884,I884))</f>
        <v/>
      </c>
      <c r="L884" s="27" t="str">
        <f aca="false">IF(J884="","",CHOOSE(Q884+1,"Tue","Wed","Thu","Fri"))</f>
        <v/>
      </c>
      <c r="M884" s="27" t="str">
        <f aca="false">IF(J884="","",IF(J884=1,"Every week",R884+1&amp;" of "&amp;J884))</f>
        <v/>
      </c>
      <c r="N884" s="28" t="str">
        <f aca="false">IF(J884="","",Settings!$B$4+R884*7+Q884)</f>
        <v/>
      </c>
      <c r="O884" s="28" t="str">
        <f aca="true">IF(J884="","",N884+MAX(0,ROUNDUP((TODAY()-N884)/(J884*7),0))*J884*7)</f>
        <v/>
      </c>
      <c r="P884" s="27" t="str">
        <f aca="false">IF(J884="","",MOD(K884-1,J884*4))</f>
        <v/>
      </c>
      <c r="Q884" s="27" t="str">
        <f aca="false">IF(J884="","",MOD(P884,4))</f>
        <v/>
      </c>
      <c r="R884" s="27" t="str">
        <f aca="false">IF(J884="","",INT(P884/4))</f>
        <v/>
      </c>
      <c r="S884" s="27" t="str">
        <f aca="false">IF(J884="","",IF(AND('Daily Count Sheet'!$H$3=Q884,MOD('Daily Count Sheet'!$I$3,J884)=R884),1,""))</f>
        <v/>
      </c>
      <c r="T884" s="27" t="str">
        <f aca="false">IF(S884=1,COUNTIF($S$2:S884,1),"")</f>
        <v/>
      </c>
    </row>
    <row r="885" customFormat="false" ht="15" hidden="false" customHeight="false" outlineLevel="0" collapsed="false">
      <c r="H885" s="26"/>
      <c r="I885" s="27" t="str">
        <f aca="false">IF(A885="","",IF(H885&lt;&gt;"",UPPER(TRIM(H885)),IFERROR(CHOOSE(VALUE(E885)+1,"A","B","C","D"),IF(OR(LEFT(UPPER(TRIM(E885)),1)="F",UPPER(TRIM(E885))="A"),"A",IF(OR(LEFT(UPPER(TRIM(E885)),1)="M",UPPER(TRIM(E885))="B"),"B",IF(OR(LEFT(UPPER(TRIM(E885)),2)="SL",UPPER(TRIM(E885))="C"),"C",IF(OR(LEFT(UPPER(TRIM(E885)),1)="D",UPPER(TRIM(E885))="D"),"D","")))))))</f>
        <v/>
      </c>
      <c r="J885" s="27" t="str">
        <f aca="false">IF(I885="","",IF(AND(I885="D",Settings!$B$6&lt;&gt;"Yes"),"",IFERROR(INDEX(Settings!$C$9:$C$12,MATCH(I885,Settings!$A$9:$A$12,0)),"")))</f>
        <v/>
      </c>
      <c r="K885" s="27" t="str">
        <f aca="false">IF(J885="","",COUNTIF($I$2:I885,I885))</f>
        <v/>
      </c>
      <c r="L885" s="27" t="str">
        <f aca="false">IF(J885="","",CHOOSE(Q885+1,"Tue","Wed","Thu","Fri"))</f>
        <v/>
      </c>
      <c r="M885" s="27" t="str">
        <f aca="false">IF(J885="","",IF(J885=1,"Every week",R885+1&amp;" of "&amp;J885))</f>
        <v/>
      </c>
      <c r="N885" s="28" t="str">
        <f aca="false">IF(J885="","",Settings!$B$4+R885*7+Q885)</f>
        <v/>
      </c>
      <c r="O885" s="28" t="str">
        <f aca="true">IF(J885="","",N885+MAX(0,ROUNDUP((TODAY()-N885)/(J885*7),0))*J885*7)</f>
        <v/>
      </c>
      <c r="P885" s="27" t="str">
        <f aca="false">IF(J885="","",MOD(K885-1,J885*4))</f>
        <v/>
      </c>
      <c r="Q885" s="27" t="str">
        <f aca="false">IF(J885="","",MOD(P885,4))</f>
        <v/>
      </c>
      <c r="R885" s="27" t="str">
        <f aca="false">IF(J885="","",INT(P885/4))</f>
        <v/>
      </c>
      <c r="S885" s="27" t="str">
        <f aca="false">IF(J885="","",IF(AND('Daily Count Sheet'!$H$3=Q885,MOD('Daily Count Sheet'!$I$3,J885)=R885),1,""))</f>
        <v/>
      </c>
      <c r="T885" s="27" t="str">
        <f aca="false">IF(S885=1,COUNTIF($S$2:S885,1),"")</f>
        <v/>
      </c>
    </row>
    <row r="886" customFormat="false" ht="15" hidden="false" customHeight="false" outlineLevel="0" collapsed="false">
      <c r="H886" s="26"/>
      <c r="I886" s="27" t="str">
        <f aca="false">IF(A886="","",IF(H886&lt;&gt;"",UPPER(TRIM(H886)),IFERROR(CHOOSE(VALUE(E886)+1,"A","B","C","D"),IF(OR(LEFT(UPPER(TRIM(E886)),1)="F",UPPER(TRIM(E886))="A"),"A",IF(OR(LEFT(UPPER(TRIM(E886)),1)="M",UPPER(TRIM(E886))="B"),"B",IF(OR(LEFT(UPPER(TRIM(E886)),2)="SL",UPPER(TRIM(E886))="C"),"C",IF(OR(LEFT(UPPER(TRIM(E886)),1)="D",UPPER(TRIM(E886))="D"),"D","")))))))</f>
        <v/>
      </c>
      <c r="J886" s="27" t="str">
        <f aca="false">IF(I886="","",IF(AND(I886="D",Settings!$B$6&lt;&gt;"Yes"),"",IFERROR(INDEX(Settings!$C$9:$C$12,MATCH(I886,Settings!$A$9:$A$12,0)),"")))</f>
        <v/>
      </c>
      <c r="K886" s="27" t="str">
        <f aca="false">IF(J886="","",COUNTIF($I$2:I886,I886))</f>
        <v/>
      </c>
      <c r="L886" s="27" t="str">
        <f aca="false">IF(J886="","",CHOOSE(Q886+1,"Tue","Wed","Thu","Fri"))</f>
        <v/>
      </c>
      <c r="M886" s="27" t="str">
        <f aca="false">IF(J886="","",IF(J886=1,"Every week",R886+1&amp;" of "&amp;J886))</f>
        <v/>
      </c>
      <c r="N886" s="28" t="str">
        <f aca="false">IF(J886="","",Settings!$B$4+R886*7+Q886)</f>
        <v/>
      </c>
      <c r="O886" s="28" t="str">
        <f aca="true">IF(J886="","",N886+MAX(0,ROUNDUP((TODAY()-N886)/(J886*7),0))*J886*7)</f>
        <v/>
      </c>
      <c r="P886" s="27" t="str">
        <f aca="false">IF(J886="","",MOD(K886-1,J886*4))</f>
        <v/>
      </c>
      <c r="Q886" s="27" t="str">
        <f aca="false">IF(J886="","",MOD(P886,4))</f>
        <v/>
      </c>
      <c r="R886" s="27" t="str">
        <f aca="false">IF(J886="","",INT(P886/4))</f>
        <v/>
      </c>
      <c r="S886" s="27" t="str">
        <f aca="false">IF(J886="","",IF(AND('Daily Count Sheet'!$H$3=Q886,MOD('Daily Count Sheet'!$I$3,J886)=R886),1,""))</f>
        <v/>
      </c>
      <c r="T886" s="27" t="str">
        <f aca="false">IF(S886=1,COUNTIF($S$2:S886,1),"")</f>
        <v/>
      </c>
    </row>
    <row r="887" customFormat="false" ht="15" hidden="false" customHeight="false" outlineLevel="0" collapsed="false">
      <c r="H887" s="26"/>
      <c r="I887" s="27" t="str">
        <f aca="false">IF(A887="","",IF(H887&lt;&gt;"",UPPER(TRIM(H887)),IFERROR(CHOOSE(VALUE(E887)+1,"A","B","C","D"),IF(OR(LEFT(UPPER(TRIM(E887)),1)="F",UPPER(TRIM(E887))="A"),"A",IF(OR(LEFT(UPPER(TRIM(E887)),1)="M",UPPER(TRIM(E887))="B"),"B",IF(OR(LEFT(UPPER(TRIM(E887)),2)="SL",UPPER(TRIM(E887))="C"),"C",IF(OR(LEFT(UPPER(TRIM(E887)),1)="D",UPPER(TRIM(E887))="D"),"D","")))))))</f>
        <v/>
      </c>
      <c r="J887" s="27" t="str">
        <f aca="false">IF(I887="","",IF(AND(I887="D",Settings!$B$6&lt;&gt;"Yes"),"",IFERROR(INDEX(Settings!$C$9:$C$12,MATCH(I887,Settings!$A$9:$A$12,0)),"")))</f>
        <v/>
      </c>
      <c r="K887" s="27" t="str">
        <f aca="false">IF(J887="","",COUNTIF($I$2:I887,I887))</f>
        <v/>
      </c>
      <c r="L887" s="27" t="str">
        <f aca="false">IF(J887="","",CHOOSE(Q887+1,"Tue","Wed","Thu","Fri"))</f>
        <v/>
      </c>
      <c r="M887" s="27" t="str">
        <f aca="false">IF(J887="","",IF(J887=1,"Every week",R887+1&amp;" of "&amp;J887))</f>
        <v/>
      </c>
      <c r="N887" s="28" t="str">
        <f aca="false">IF(J887="","",Settings!$B$4+R887*7+Q887)</f>
        <v/>
      </c>
      <c r="O887" s="28" t="str">
        <f aca="true">IF(J887="","",N887+MAX(0,ROUNDUP((TODAY()-N887)/(J887*7),0))*J887*7)</f>
        <v/>
      </c>
      <c r="P887" s="27" t="str">
        <f aca="false">IF(J887="","",MOD(K887-1,J887*4))</f>
        <v/>
      </c>
      <c r="Q887" s="27" t="str">
        <f aca="false">IF(J887="","",MOD(P887,4))</f>
        <v/>
      </c>
      <c r="R887" s="27" t="str">
        <f aca="false">IF(J887="","",INT(P887/4))</f>
        <v/>
      </c>
      <c r="S887" s="27" t="str">
        <f aca="false">IF(J887="","",IF(AND('Daily Count Sheet'!$H$3=Q887,MOD('Daily Count Sheet'!$I$3,J887)=R887),1,""))</f>
        <v/>
      </c>
      <c r="T887" s="27" t="str">
        <f aca="false">IF(S887=1,COUNTIF($S$2:S887,1),"")</f>
        <v/>
      </c>
    </row>
    <row r="888" customFormat="false" ht="15" hidden="false" customHeight="false" outlineLevel="0" collapsed="false">
      <c r="H888" s="26"/>
      <c r="I888" s="27" t="str">
        <f aca="false">IF(A888="","",IF(H888&lt;&gt;"",UPPER(TRIM(H888)),IFERROR(CHOOSE(VALUE(E888)+1,"A","B","C","D"),IF(OR(LEFT(UPPER(TRIM(E888)),1)="F",UPPER(TRIM(E888))="A"),"A",IF(OR(LEFT(UPPER(TRIM(E888)),1)="M",UPPER(TRIM(E888))="B"),"B",IF(OR(LEFT(UPPER(TRIM(E888)),2)="SL",UPPER(TRIM(E888))="C"),"C",IF(OR(LEFT(UPPER(TRIM(E888)),1)="D",UPPER(TRIM(E888))="D"),"D","")))))))</f>
        <v/>
      </c>
      <c r="J888" s="27" t="str">
        <f aca="false">IF(I888="","",IF(AND(I888="D",Settings!$B$6&lt;&gt;"Yes"),"",IFERROR(INDEX(Settings!$C$9:$C$12,MATCH(I888,Settings!$A$9:$A$12,0)),"")))</f>
        <v/>
      </c>
      <c r="K888" s="27" t="str">
        <f aca="false">IF(J888="","",COUNTIF($I$2:I888,I888))</f>
        <v/>
      </c>
      <c r="L888" s="27" t="str">
        <f aca="false">IF(J888="","",CHOOSE(Q888+1,"Tue","Wed","Thu","Fri"))</f>
        <v/>
      </c>
      <c r="M888" s="27" t="str">
        <f aca="false">IF(J888="","",IF(J888=1,"Every week",R888+1&amp;" of "&amp;J888))</f>
        <v/>
      </c>
      <c r="N888" s="28" t="str">
        <f aca="false">IF(J888="","",Settings!$B$4+R888*7+Q888)</f>
        <v/>
      </c>
      <c r="O888" s="28" t="str">
        <f aca="true">IF(J888="","",N888+MAX(0,ROUNDUP((TODAY()-N888)/(J888*7),0))*J888*7)</f>
        <v/>
      </c>
      <c r="P888" s="27" t="str">
        <f aca="false">IF(J888="","",MOD(K888-1,J888*4))</f>
        <v/>
      </c>
      <c r="Q888" s="27" t="str">
        <f aca="false">IF(J888="","",MOD(P888,4))</f>
        <v/>
      </c>
      <c r="R888" s="27" t="str">
        <f aca="false">IF(J888="","",INT(P888/4))</f>
        <v/>
      </c>
      <c r="S888" s="27" t="str">
        <f aca="false">IF(J888="","",IF(AND('Daily Count Sheet'!$H$3=Q888,MOD('Daily Count Sheet'!$I$3,J888)=R888),1,""))</f>
        <v/>
      </c>
      <c r="T888" s="27" t="str">
        <f aca="false">IF(S888=1,COUNTIF($S$2:S888,1),"")</f>
        <v/>
      </c>
    </row>
    <row r="889" customFormat="false" ht="15" hidden="false" customHeight="false" outlineLevel="0" collapsed="false">
      <c r="H889" s="26"/>
      <c r="I889" s="27" t="str">
        <f aca="false">IF(A889="","",IF(H889&lt;&gt;"",UPPER(TRIM(H889)),IFERROR(CHOOSE(VALUE(E889)+1,"A","B","C","D"),IF(OR(LEFT(UPPER(TRIM(E889)),1)="F",UPPER(TRIM(E889))="A"),"A",IF(OR(LEFT(UPPER(TRIM(E889)),1)="M",UPPER(TRIM(E889))="B"),"B",IF(OR(LEFT(UPPER(TRIM(E889)),2)="SL",UPPER(TRIM(E889))="C"),"C",IF(OR(LEFT(UPPER(TRIM(E889)),1)="D",UPPER(TRIM(E889))="D"),"D","")))))))</f>
        <v/>
      </c>
      <c r="J889" s="27" t="str">
        <f aca="false">IF(I889="","",IF(AND(I889="D",Settings!$B$6&lt;&gt;"Yes"),"",IFERROR(INDEX(Settings!$C$9:$C$12,MATCH(I889,Settings!$A$9:$A$12,0)),"")))</f>
        <v/>
      </c>
      <c r="K889" s="27" t="str">
        <f aca="false">IF(J889="","",COUNTIF($I$2:I889,I889))</f>
        <v/>
      </c>
      <c r="L889" s="27" t="str">
        <f aca="false">IF(J889="","",CHOOSE(Q889+1,"Tue","Wed","Thu","Fri"))</f>
        <v/>
      </c>
      <c r="M889" s="27" t="str">
        <f aca="false">IF(J889="","",IF(J889=1,"Every week",R889+1&amp;" of "&amp;J889))</f>
        <v/>
      </c>
      <c r="N889" s="28" t="str">
        <f aca="false">IF(J889="","",Settings!$B$4+R889*7+Q889)</f>
        <v/>
      </c>
      <c r="O889" s="28" t="str">
        <f aca="true">IF(J889="","",N889+MAX(0,ROUNDUP((TODAY()-N889)/(J889*7),0))*J889*7)</f>
        <v/>
      </c>
      <c r="P889" s="27" t="str">
        <f aca="false">IF(J889="","",MOD(K889-1,J889*4))</f>
        <v/>
      </c>
      <c r="Q889" s="27" t="str">
        <f aca="false">IF(J889="","",MOD(P889,4))</f>
        <v/>
      </c>
      <c r="R889" s="27" t="str">
        <f aca="false">IF(J889="","",INT(P889/4))</f>
        <v/>
      </c>
      <c r="S889" s="27" t="str">
        <f aca="false">IF(J889="","",IF(AND('Daily Count Sheet'!$H$3=Q889,MOD('Daily Count Sheet'!$I$3,J889)=R889),1,""))</f>
        <v/>
      </c>
      <c r="T889" s="27" t="str">
        <f aca="false">IF(S889=1,COUNTIF($S$2:S889,1),"")</f>
        <v/>
      </c>
    </row>
    <row r="890" customFormat="false" ht="15" hidden="false" customHeight="false" outlineLevel="0" collapsed="false">
      <c r="H890" s="26"/>
      <c r="I890" s="27" t="str">
        <f aca="false">IF(A890="","",IF(H890&lt;&gt;"",UPPER(TRIM(H890)),IFERROR(CHOOSE(VALUE(E890)+1,"A","B","C","D"),IF(OR(LEFT(UPPER(TRIM(E890)),1)="F",UPPER(TRIM(E890))="A"),"A",IF(OR(LEFT(UPPER(TRIM(E890)),1)="M",UPPER(TRIM(E890))="B"),"B",IF(OR(LEFT(UPPER(TRIM(E890)),2)="SL",UPPER(TRIM(E890))="C"),"C",IF(OR(LEFT(UPPER(TRIM(E890)),1)="D",UPPER(TRIM(E890))="D"),"D","")))))))</f>
        <v/>
      </c>
      <c r="J890" s="27" t="str">
        <f aca="false">IF(I890="","",IF(AND(I890="D",Settings!$B$6&lt;&gt;"Yes"),"",IFERROR(INDEX(Settings!$C$9:$C$12,MATCH(I890,Settings!$A$9:$A$12,0)),"")))</f>
        <v/>
      </c>
      <c r="K890" s="27" t="str">
        <f aca="false">IF(J890="","",COUNTIF($I$2:I890,I890))</f>
        <v/>
      </c>
      <c r="L890" s="27" t="str">
        <f aca="false">IF(J890="","",CHOOSE(Q890+1,"Tue","Wed","Thu","Fri"))</f>
        <v/>
      </c>
      <c r="M890" s="27" t="str">
        <f aca="false">IF(J890="","",IF(J890=1,"Every week",R890+1&amp;" of "&amp;J890))</f>
        <v/>
      </c>
      <c r="N890" s="28" t="str">
        <f aca="false">IF(J890="","",Settings!$B$4+R890*7+Q890)</f>
        <v/>
      </c>
      <c r="O890" s="28" t="str">
        <f aca="true">IF(J890="","",N890+MAX(0,ROUNDUP((TODAY()-N890)/(J890*7),0))*J890*7)</f>
        <v/>
      </c>
      <c r="P890" s="27" t="str">
        <f aca="false">IF(J890="","",MOD(K890-1,J890*4))</f>
        <v/>
      </c>
      <c r="Q890" s="27" t="str">
        <f aca="false">IF(J890="","",MOD(P890,4))</f>
        <v/>
      </c>
      <c r="R890" s="27" t="str">
        <f aca="false">IF(J890="","",INT(P890/4))</f>
        <v/>
      </c>
      <c r="S890" s="27" t="str">
        <f aca="false">IF(J890="","",IF(AND('Daily Count Sheet'!$H$3=Q890,MOD('Daily Count Sheet'!$I$3,J890)=R890),1,""))</f>
        <v/>
      </c>
      <c r="T890" s="27" t="str">
        <f aca="false">IF(S890=1,COUNTIF($S$2:S890,1),"")</f>
        <v/>
      </c>
    </row>
    <row r="891" customFormat="false" ht="15" hidden="false" customHeight="false" outlineLevel="0" collapsed="false">
      <c r="H891" s="26"/>
      <c r="I891" s="27" t="str">
        <f aca="false">IF(A891="","",IF(H891&lt;&gt;"",UPPER(TRIM(H891)),IFERROR(CHOOSE(VALUE(E891)+1,"A","B","C","D"),IF(OR(LEFT(UPPER(TRIM(E891)),1)="F",UPPER(TRIM(E891))="A"),"A",IF(OR(LEFT(UPPER(TRIM(E891)),1)="M",UPPER(TRIM(E891))="B"),"B",IF(OR(LEFT(UPPER(TRIM(E891)),2)="SL",UPPER(TRIM(E891))="C"),"C",IF(OR(LEFT(UPPER(TRIM(E891)),1)="D",UPPER(TRIM(E891))="D"),"D","")))))))</f>
        <v/>
      </c>
      <c r="J891" s="27" t="str">
        <f aca="false">IF(I891="","",IF(AND(I891="D",Settings!$B$6&lt;&gt;"Yes"),"",IFERROR(INDEX(Settings!$C$9:$C$12,MATCH(I891,Settings!$A$9:$A$12,0)),"")))</f>
        <v/>
      </c>
      <c r="K891" s="27" t="str">
        <f aca="false">IF(J891="","",COUNTIF($I$2:I891,I891))</f>
        <v/>
      </c>
      <c r="L891" s="27" t="str">
        <f aca="false">IF(J891="","",CHOOSE(Q891+1,"Tue","Wed","Thu","Fri"))</f>
        <v/>
      </c>
      <c r="M891" s="27" t="str">
        <f aca="false">IF(J891="","",IF(J891=1,"Every week",R891+1&amp;" of "&amp;J891))</f>
        <v/>
      </c>
      <c r="N891" s="28" t="str">
        <f aca="false">IF(J891="","",Settings!$B$4+R891*7+Q891)</f>
        <v/>
      </c>
      <c r="O891" s="28" t="str">
        <f aca="true">IF(J891="","",N891+MAX(0,ROUNDUP((TODAY()-N891)/(J891*7),0))*J891*7)</f>
        <v/>
      </c>
      <c r="P891" s="27" t="str">
        <f aca="false">IF(J891="","",MOD(K891-1,J891*4))</f>
        <v/>
      </c>
      <c r="Q891" s="27" t="str">
        <f aca="false">IF(J891="","",MOD(P891,4))</f>
        <v/>
      </c>
      <c r="R891" s="27" t="str">
        <f aca="false">IF(J891="","",INT(P891/4))</f>
        <v/>
      </c>
      <c r="S891" s="27" t="str">
        <f aca="false">IF(J891="","",IF(AND('Daily Count Sheet'!$H$3=Q891,MOD('Daily Count Sheet'!$I$3,J891)=R891),1,""))</f>
        <v/>
      </c>
      <c r="T891" s="27" t="str">
        <f aca="false">IF(S891=1,COUNTIF($S$2:S891,1),"")</f>
        <v/>
      </c>
    </row>
    <row r="892" customFormat="false" ht="15" hidden="false" customHeight="false" outlineLevel="0" collapsed="false">
      <c r="H892" s="26"/>
      <c r="I892" s="27" t="str">
        <f aca="false">IF(A892="","",IF(H892&lt;&gt;"",UPPER(TRIM(H892)),IFERROR(CHOOSE(VALUE(E892)+1,"A","B","C","D"),IF(OR(LEFT(UPPER(TRIM(E892)),1)="F",UPPER(TRIM(E892))="A"),"A",IF(OR(LEFT(UPPER(TRIM(E892)),1)="M",UPPER(TRIM(E892))="B"),"B",IF(OR(LEFT(UPPER(TRIM(E892)),2)="SL",UPPER(TRIM(E892))="C"),"C",IF(OR(LEFT(UPPER(TRIM(E892)),1)="D",UPPER(TRIM(E892))="D"),"D","")))))))</f>
        <v/>
      </c>
      <c r="J892" s="27" t="str">
        <f aca="false">IF(I892="","",IF(AND(I892="D",Settings!$B$6&lt;&gt;"Yes"),"",IFERROR(INDEX(Settings!$C$9:$C$12,MATCH(I892,Settings!$A$9:$A$12,0)),"")))</f>
        <v/>
      </c>
      <c r="K892" s="27" t="str">
        <f aca="false">IF(J892="","",COUNTIF($I$2:I892,I892))</f>
        <v/>
      </c>
      <c r="L892" s="27" t="str">
        <f aca="false">IF(J892="","",CHOOSE(Q892+1,"Tue","Wed","Thu","Fri"))</f>
        <v/>
      </c>
      <c r="M892" s="27" t="str">
        <f aca="false">IF(J892="","",IF(J892=1,"Every week",R892+1&amp;" of "&amp;J892))</f>
        <v/>
      </c>
      <c r="N892" s="28" t="str">
        <f aca="false">IF(J892="","",Settings!$B$4+R892*7+Q892)</f>
        <v/>
      </c>
      <c r="O892" s="28" t="str">
        <f aca="true">IF(J892="","",N892+MAX(0,ROUNDUP((TODAY()-N892)/(J892*7),0))*J892*7)</f>
        <v/>
      </c>
      <c r="P892" s="27" t="str">
        <f aca="false">IF(J892="","",MOD(K892-1,J892*4))</f>
        <v/>
      </c>
      <c r="Q892" s="27" t="str">
        <f aca="false">IF(J892="","",MOD(P892,4))</f>
        <v/>
      </c>
      <c r="R892" s="27" t="str">
        <f aca="false">IF(J892="","",INT(P892/4))</f>
        <v/>
      </c>
      <c r="S892" s="27" t="str">
        <f aca="false">IF(J892="","",IF(AND('Daily Count Sheet'!$H$3=Q892,MOD('Daily Count Sheet'!$I$3,J892)=R892),1,""))</f>
        <v/>
      </c>
      <c r="T892" s="27" t="str">
        <f aca="false">IF(S892=1,COUNTIF($S$2:S892,1),"")</f>
        <v/>
      </c>
    </row>
    <row r="893" customFormat="false" ht="15" hidden="false" customHeight="false" outlineLevel="0" collapsed="false">
      <c r="H893" s="26"/>
      <c r="I893" s="27" t="str">
        <f aca="false">IF(A893="","",IF(H893&lt;&gt;"",UPPER(TRIM(H893)),IFERROR(CHOOSE(VALUE(E893)+1,"A","B","C","D"),IF(OR(LEFT(UPPER(TRIM(E893)),1)="F",UPPER(TRIM(E893))="A"),"A",IF(OR(LEFT(UPPER(TRIM(E893)),1)="M",UPPER(TRIM(E893))="B"),"B",IF(OR(LEFT(UPPER(TRIM(E893)),2)="SL",UPPER(TRIM(E893))="C"),"C",IF(OR(LEFT(UPPER(TRIM(E893)),1)="D",UPPER(TRIM(E893))="D"),"D","")))))))</f>
        <v/>
      </c>
      <c r="J893" s="27" t="str">
        <f aca="false">IF(I893="","",IF(AND(I893="D",Settings!$B$6&lt;&gt;"Yes"),"",IFERROR(INDEX(Settings!$C$9:$C$12,MATCH(I893,Settings!$A$9:$A$12,0)),"")))</f>
        <v/>
      </c>
      <c r="K893" s="27" t="str">
        <f aca="false">IF(J893="","",COUNTIF($I$2:I893,I893))</f>
        <v/>
      </c>
      <c r="L893" s="27" t="str">
        <f aca="false">IF(J893="","",CHOOSE(Q893+1,"Tue","Wed","Thu","Fri"))</f>
        <v/>
      </c>
      <c r="M893" s="27" t="str">
        <f aca="false">IF(J893="","",IF(J893=1,"Every week",R893+1&amp;" of "&amp;J893))</f>
        <v/>
      </c>
      <c r="N893" s="28" t="str">
        <f aca="false">IF(J893="","",Settings!$B$4+R893*7+Q893)</f>
        <v/>
      </c>
      <c r="O893" s="28" t="str">
        <f aca="true">IF(J893="","",N893+MAX(0,ROUNDUP((TODAY()-N893)/(J893*7),0))*J893*7)</f>
        <v/>
      </c>
      <c r="P893" s="27" t="str">
        <f aca="false">IF(J893="","",MOD(K893-1,J893*4))</f>
        <v/>
      </c>
      <c r="Q893" s="27" t="str">
        <f aca="false">IF(J893="","",MOD(P893,4))</f>
        <v/>
      </c>
      <c r="R893" s="27" t="str">
        <f aca="false">IF(J893="","",INT(P893/4))</f>
        <v/>
      </c>
      <c r="S893" s="27" t="str">
        <f aca="false">IF(J893="","",IF(AND('Daily Count Sheet'!$H$3=Q893,MOD('Daily Count Sheet'!$I$3,J893)=R893),1,""))</f>
        <v/>
      </c>
      <c r="T893" s="27" t="str">
        <f aca="false">IF(S893=1,COUNTIF($S$2:S893,1),"")</f>
        <v/>
      </c>
    </row>
    <row r="894" customFormat="false" ht="15" hidden="false" customHeight="false" outlineLevel="0" collapsed="false">
      <c r="H894" s="26"/>
      <c r="I894" s="27" t="str">
        <f aca="false">IF(A894="","",IF(H894&lt;&gt;"",UPPER(TRIM(H894)),IFERROR(CHOOSE(VALUE(E894)+1,"A","B","C","D"),IF(OR(LEFT(UPPER(TRIM(E894)),1)="F",UPPER(TRIM(E894))="A"),"A",IF(OR(LEFT(UPPER(TRIM(E894)),1)="M",UPPER(TRIM(E894))="B"),"B",IF(OR(LEFT(UPPER(TRIM(E894)),2)="SL",UPPER(TRIM(E894))="C"),"C",IF(OR(LEFT(UPPER(TRIM(E894)),1)="D",UPPER(TRIM(E894))="D"),"D","")))))))</f>
        <v/>
      </c>
      <c r="J894" s="27" t="str">
        <f aca="false">IF(I894="","",IF(AND(I894="D",Settings!$B$6&lt;&gt;"Yes"),"",IFERROR(INDEX(Settings!$C$9:$C$12,MATCH(I894,Settings!$A$9:$A$12,0)),"")))</f>
        <v/>
      </c>
      <c r="K894" s="27" t="str">
        <f aca="false">IF(J894="","",COUNTIF($I$2:I894,I894))</f>
        <v/>
      </c>
      <c r="L894" s="27" t="str">
        <f aca="false">IF(J894="","",CHOOSE(Q894+1,"Tue","Wed","Thu","Fri"))</f>
        <v/>
      </c>
      <c r="M894" s="27" t="str">
        <f aca="false">IF(J894="","",IF(J894=1,"Every week",R894+1&amp;" of "&amp;J894))</f>
        <v/>
      </c>
      <c r="N894" s="28" t="str">
        <f aca="false">IF(J894="","",Settings!$B$4+R894*7+Q894)</f>
        <v/>
      </c>
      <c r="O894" s="28" t="str">
        <f aca="true">IF(J894="","",N894+MAX(0,ROUNDUP((TODAY()-N894)/(J894*7),0))*J894*7)</f>
        <v/>
      </c>
      <c r="P894" s="27" t="str">
        <f aca="false">IF(J894="","",MOD(K894-1,J894*4))</f>
        <v/>
      </c>
      <c r="Q894" s="27" t="str">
        <f aca="false">IF(J894="","",MOD(P894,4))</f>
        <v/>
      </c>
      <c r="R894" s="27" t="str">
        <f aca="false">IF(J894="","",INT(P894/4))</f>
        <v/>
      </c>
      <c r="S894" s="27" t="str">
        <f aca="false">IF(J894="","",IF(AND('Daily Count Sheet'!$H$3=Q894,MOD('Daily Count Sheet'!$I$3,J894)=R894),1,""))</f>
        <v/>
      </c>
      <c r="T894" s="27" t="str">
        <f aca="false">IF(S894=1,COUNTIF($S$2:S894,1),"")</f>
        <v/>
      </c>
    </row>
    <row r="895" customFormat="false" ht="15" hidden="false" customHeight="false" outlineLevel="0" collapsed="false">
      <c r="H895" s="26"/>
      <c r="I895" s="27" t="str">
        <f aca="false">IF(A895="","",IF(H895&lt;&gt;"",UPPER(TRIM(H895)),IFERROR(CHOOSE(VALUE(E895)+1,"A","B","C","D"),IF(OR(LEFT(UPPER(TRIM(E895)),1)="F",UPPER(TRIM(E895))="A"),"A",IF(OR(LEFT(UPPER(TRIM(E895)),1)="M",UPPER(TRIM(E895))="B"),"B",IF(OR(LEFT(UPPER(TRIM(E895)),2)="SL",UPPER(TRIM(E895))="C"),"C",IF(OR(LEFT(UPPER(TRIM(E895)),1)="D",UPPER(TRIM(E895))="D"),"D","")))))))</f>
        <v/>
      </c>
      <c r="J895" s="27" t="str">
        <f aca="false">IF(I895="","",IF(AND(I895="D",Settings!$B$6&lt;&gt;"Yes"),"",IFERROR(INDEX(Settings!$C$9:$C$12,MATCH(I895,Settings!$A$9:$A$12,0)),"")))</f>
        <v/>
      </c>
      <c r="K895" s="27" t="str">
        <f aca="false">IF(J895="","",COUNTIF($I$2:I895,I895))</f>
        <v/>
      </c>
      <c r="L895" s="27" t="str">
        <f aca="false">IF(J895="","",CHOOSE(Q895+1,"Tue","Wed","Thu","Fri"))</f>
        <v/>
      </c>
      <c r="M895" s="27" t="str">
        <f aca="false">IF(J895="","",IF(J895=1,"Every week",R895+1&amp;" of "&amp;J895))</f>
        <v/>
      </c>
      <c r="N895" s="28" t="str">
        <f aca="false">IF(J895="","",Settings!$B$4+R895*7+Q895)</f>
        <v/>
      </c>
      <c r="O895" s="28" t="str">
        <f aca="true">IF(J895="","",N895+MAX(0,ROUNDUP((TODAY()-N895)/(J895*7),0))*J895*7)</f>
        <v/>
      </c>
      <c r="P895" s="27" t="str">
        <f aca="false">IF(J895="","",MOD(K895-1,J895*4))</f>
        <v/>
      </c>
      <c r="Q895" s="27" t="str">
        <f aca="false">IF(J895="","",MOD(P895,4))</f>
        <v/>
      </c>
      <c r="R895" s="27" t="str">
        <f aca="false">IF(J895="","",INT(P895/4))</f>
        <v/>
      </c>
      <c r="S895" s="27" t="str">
        <f aca="false">IF(J895="","",IF(AND('Daily Count Sheet'!$H$3=Q895,MOD('Daily Count Sheet'!$I$3,J895)=R895),1,""))</f>
        <v/>
      </c>
      <c r="T895" s="27" t="str">
        <f aca="false">IF(S895=1,COUNTIF($S$2:S895,1),"")</f>
        <v/>
      </c>
    </row>
    <row r="896" customFormat="false" ht="15" hidden="false" customHeight="false" outlineLevel="0" collapsed="false">
      <c r="H896" s="26"/>
      <c r="I896" s="27" t="str">
        <f aca="false">IF(A896="","",IF(H896&lt;&gt;"",UPPER(TRIM(H896)),IFERROR(CHOOSE(VALUE(E896)+1,"A","B","C","D"),IF(OR(LEFT(UPPER(TRIM(E896)),1)="F",UPPER(TRIM(E896))="A"),"A",IF(OR(LEFT(UPPER(TRIM(E896)),1)="M",UPPER(TRIM(E896))="B"),"B",IF(OR(LEFT(UPPER(TRIM(E896)),2)="SL",UPPER(TRIM(E896))="C"),"C",IF(OR(LEFT(UPPER(TRIM(E896)),1)="D",UPPER(TRIM(E896))="D"),"D","")))))))</f>
        <v/>
      </c>
      <c r="J896" s="27" t="str">
        <f aca="false">IF(I896="","",IF(AND(I896="D",Settings!$B$6&lt;&gt;"Yes"),"",IFERROR(INDEX(Settings!$C$9:$C$12,MATCH(I896,Settings!$A$9:$A$12,0)),"")))</f>
        <v/>
      </c>
      <c r="K896" s="27" t="str">
        <f aca="false">IF(J896="","",COUNTIF($I$2:I896,I896))</f>
        <v/>
      </c>
      <c r="L896" s="27" t="str">
        <f aca="false">IF(J896="","",CHOOSE(Q896+1,"Tue","Wed","Thu","Fri"))</f>
        <v/>
      </c>
      <c r="M896" s="27" t="str">
        <f aca="false">IF(J896="","",IF(J896=1,"Every week",R896+1&amp;" of "&amp;J896))</f>
        <v/>
      </c>
      <c r="N896" s="28" t="str">
        <f aca="false">IF(J896="","",Settings!$B$4+R896*7+Q896)</f>
        <v/>
      </c>
      <c r="O896" s="28" t="str">
        <f aca="true">IF(J896="","",N896+MAX(0,ROUNDUP((TODAY()-N896)/(J896*7),0))*J896*7)</f>
        <v/>
      </c>
      <c r="P896" s="27" t="str">
        <f aca="false">IF(J896="","",MOD(K896-1,J896*4))</f>
        <v/>
      </c>
      <c r="Q896" s="27" t="str">
        <f aca="false">IF(J896="","",MOD(P896,4))</f>
        <v/>
      </c>
      <c r="R896" s="27" t="str">
        <f aca="false">IF(J896="","",INT(P896/4))</f>
        <v/>
      </c>
      <c r="S896" s="27" t="str">
        <f aca="false">IF(J896="","",IF(AND('Daily Count Sheet'!$H$3=Q896,MOD('Daily Count Sheet'!$I$3,J896)=R896),1,""))</f>
        <v/>
      </c>
      <c r="T896" s="27" t="str">
        <f aca="false">IF(S896=1,COUNTIF($S$2:S896,1),"")</f>
        <v/>
      </c>
    </row>
    <row r="897" customFormat="false" ht="15" hidden="false" customHeight="false" outlineLevel="0" collapsed="false">
      <c r="H897" s="26"/>
      <c r="I897" s="27" t="str">
        <f aca="false">IF(A897="","",IF(H897&lt;&gt;"",UPPER(TRIM(H897)),IFERROR(CHOOSE(VALUE(E897)+1,"A","B","C","D"),IF(OR(LEFT(UPPER(TRIM(E897)),1)="F",UPPER(TRIM(E897))="A"),"A",IF(OR(LEFT(UPPER(TRIM(E897)),1)="M",UPPER(TRIM(E897))="B"),"B",IF(OR(LEFT(UPPER(TRIM(E897)),2)="SL",UPPER(TRIM(E897))="C"),"C",IF(OR(LEFT(UPPER(TRIM(E897)),1)="D",UPPER(TRIM(E897))="D"),"D","")))))))</f>
        <v/>
      </c>
      <c r="J897" s="27" t="str">
        <f aca="false">IF(I897="","",IF(AND(I897="D",Settings!$B$6&lt;&gt;"Yes"),"",IFERROR(INDEX(Settings!$C$9:$C$12,MATCH(I897,Settings!$A$9:$A$12,0)),"")))</f>
        <v/>
      </c>
      <c r="K897" s="27" t="str">
        <f aca="false">IF(J897="","",COUNTIF($I$2:I897,I897))</f>
        <v/>
      </c>
      <c r="L897" s="27" t="str">
        <f aca="false">IF(J897="","",CHOOSE(Q897+1,"Tue","Wed","Thu","Fri"))</f>
        <v/>
      </c>
      <c r="M897" s="27" t="str">
        <f aca="false">IF(J897="","",IF(J897=1,"Every week",R897+1&amp;" of "&amp;J897))</f>
        <v/>
      </c>
      <c r="N897" s="28" t="str">
        <f aca="false">IF(J897="","",Settings!$B$4+R897*7+Q897)</f>
        <v/>
      </c>
      <c r="O897" s="28" t="str">
        <f aca="true">IF(J897="","",N897+MAX(0,ROUNDUP((TODAY()-N897)/(J897*7),0))*J897*7)</f>
        <v/>
      </c>
      <c r="P897" s="27" t="str">
        <f aca="false">IF(J897="","",MOD(K897-1,J897*4))</f>
        <v/>
      </c>
      <c r="Q897" s="27" t="str">
        <f aca="false">IF(J897="","",MOD(P897,4))</f>
        <v/>
      </c>
      <c r="R897" s="27" t="str">
        <f aca="false">IF(J897="","",INT(P897/4))</f>
        <v/>
      </c>
      <c r="S897" s="27" t="str">
        <f aca="false">IF(J897="","",IF(AND('Daily Count Sheet'!$H$3=Q897,MOD('Daily Count Sheet'!$I$3,J897)=R897),1,""))</f>
        <v/>
      </c>
      <c r="T897" s="27" t="str">
        <f aca="false">IF(S897=1,COUNTIF($S$2:S897,1),"")</f>
        <v/>
      </c>
    </row>
    <row r="898" customFormat="false" ht="15" hidden="false" customHeight="false" outlineLevel="0" collapsed="false">
      <c r="H898" s="26"/>
      <c r="I898" s="27" t="str">
        <f aca="false">IF(A898="","",IF(H898&lt;&gt;"",UPPER(TRIM(H898)),IFERROR(CHOOSE(VALUE(E898)+1,"A","B","C","D"),IF(OR(LEFT(UPPER(TRIM(E898)),1)="F",UPPER(TRIM(E898))="A"),"A",IF(OR(LEFT(UPPER(TRIM(E898)),1)="M",UPPER(TRIM(E898))="B"),"B",IF(OR(LEFT(UPPER(TRIM(E898)),2)="SL",UPPER(TRIM(E898))="C"),"C",IF(OR(LEFT(UPPER(TRIM(E898)),1)="D",UPPER(TRIM(E898))="D"),"D","")))))))</f>
        <v/>
      </c>
      <c r="J898" s="27" t="str">
        <f aca="false">IF(I898="","",IF(AND(I898="D",Settings!$B$6&lt;&gt;"Yes"),"",IFERROR(INDEX(Settings!$C$9:$C$12,MATCH(I898,Settings!$A$9:$A$12,0)),"")))</f>
        <v/>
      </c>
      <c r="K898" s="27" t="str">
        <f aca="false">IF(J898="","",COUNTIF($I$2:I898,I898))</f>
        <v/>
      </c>
      <c r="L898" s="27" t="str">
        <f aca="false">IF(J898="","",CHOOSE(Q898+1,"Tue","Wed","Thu","Fri"))</f>
        <v/>
      </c>
      <c r="M898" s="27" t="str">
        <f aca="false">IF(J898="","",IF(J898=1,"Every week",R898+1&amp;" of "&amp;J898))</f>
        <v/>
      </c>
      <c r="N898" s="28" t="str">
        <f aca="false">IF(J898="","",Settings!$B$4+R898*7+Q898)</f>
        <v/>
      </c>
      <c r="O898" s="28" t="str">
        <f aca="true">IF(J898="","",N898+MAX(0,ROUNDUP((TODAY()-N898)/(J898*7),0))*J898*7)</f>
        <v/>
      </c>
      <c r="P898" s="27" t="str">
        <f aca="false">IF(J898="","",MOD(K898-1,J898*4))</f>
        <v/>
      </c>
      <c r="Q898" s="27" t="str">
        <f aca="false">IF(J898="","",MOD(P898,4))</f>
        <v/>
      </c>
      <c r="R898" s="27" t="str">
        <f aca="false">IF(J898="","",INT(P898/4))</f>
        <v/>
      </c>
      <c r="S898" s="27" t="str">
        <f aca="false">IF(J898="","",IF(AND('Daily Count Sheet'!$H$3=Q898,MOD('Daily Count Sheet'!$I$3,J898)=R898),1,""))</f>
        <v/>
      </c>
      <c r="T898" s="27" t="str">
        <f aca="false">IF(S898=1,COUNTIF($S$2:S898,1),"")</f>
        <v/>
      </c>
    </row>
    <row r="899" customFormat="false" ht="15" hidden="false" customHeight="false" outlineLevel="0" collapsed="false">
      <c r="H899" s="26"/>
      <c r="I899" s="27" t="str">
        <f aca="false">IF(A899="","",IF(H899&lt;&gt;"",UPPER(TRIM(H899)),IFERROR(CHOOSE(VALUE(E899)+1,"A","B","C","D"),IF(OR(LEFT(UPPER(TRIM(E899)),1)="F",UPPER(TRIM(E899))="A"),"A",IF(OR(LEFT(UPPER(TRIM(E899)),1)="M",UPPER(TRIM(E899))="B"),"B",IF(OR(LEFT(UPPER(TRIM(E899)),2)="SL",UPPER(TRIM(E899))="C"),"C",IF(OR(LEFT(UPPER(TRIM(E899)),1)="D",UPPER(TRIM(E899))="D"),"D","")))))))</f>
        <v/>
      </c>
      <c r="J899" s="27" t="str">
        <f aca="false">IF(I899="","",IF(AND(I899="D",Settings!$B$6&lt;&gt;"Yes"),"",IFERROR(INDEX(Settings!$C$9:$C$12,MATCH(I899,Settings!$A$9:$A$12,0)),"")))</f>
        <v/>
      </c>
      <c r="K899" s="27" t="str">
        <f aca="false">IF(J899="","",COUNTIF($I$2:I899,I899))</f>
        <v/>
      </c>
      <c r="L899" s="27" t="str">
        <f aca="false">IF(J899="","",CHOOSE(Q899+1,"Tue","Wed","Thu","Fri"))</f>
        <v/>
      </c>
      <c r="M899" s="27" t="str">
        <f aca="false">IF(J899="","",IF(J899=1,"Every week",R899+1&amp;" of "&amp;J899))</f>
        <v/>
      </c>
      <c r="N899" s="28" t="str">
        <f aca="false">IF(J899="","",Settings!$B$4+R899*7+Q899)</f>
        <v/>
      </c>
      <c r="O899" s="28" t="str">
        <f aca="true">IF(J899="","",N899+MAX(0,ROUNDUP((TODAY()-N899)/(J899*7),0))*J899*7)</f>
        <v/>
      </c>
      <c r="P899" s="27" t="str">
        <f aca="false">IF(J899="","",MOD(K899-1,J899*4))</f>
        <v/>
      </c>
      <c r="Q899" s="27" t="str">
        <f aca="false">IF(J899="","",MOD(P899,4))</f>
        <v/>
      </c>
      <c r="R899" s="27" t="str">
        <f aca="false">IF(J899="","",INT(P899/4))</f>
        <v/>
      </c>
      <c r="S899" s="27" t="str">
        <f aca="false">IF(J899="","",IF(AND('Daily Count Sheet'!$H$3=Q899,MOD('Daily Count Sheet'!$I$3,J899)=R899),1,""))</f>
        <v/>
      </c>
      <c r="T899" s="27" t="str">
        <f aca="false">IF(S899=1,COUNTIF($S$2:S899,1),"")</f>
        <v/>
      </c>
    </row>
    <row r="900" customFormat="false" ht="15" hidden="false" customHeight="false" outlineLevel="0" collapsed="false">
      <c r="H900" s="26"/>
      <c r="I900" s="27" t="str">
        <f aca="false">IF(A900="","",IF(H900&lt;&gt;"",UPPER(TRIM(H900)),IFERROR(CHOOSE(VALUE(E900)+1,"A","B","C","D"),IF(OR(LEFT(UPPER(TRIM(E900)),1)="F",UPPER(TRIM(E900))="A"),"A",IF(OR(LEFT(UPPER(TRIM(E900)),1)="M",UPPER(TRIM(E900))="B"),"B",IF(OR(LEFT(UPPER(TRIM(E900)),2)="SL",UPPER(TRIM(E900))="C"),"C",IF(OR(LEFT(UPPER(TRIM(E900)),1)="D",UPPER(TRIM(E900))="D"),"D","")))))))</f>
        <v/>
      </c>
      <c r="J900" s="27" t="str">
        <f aca="false">IF(I900="","",IF(AND(I900="D",Settings!$B$6&lt;&gt;"Yes"),"",IFERROR(INDEX(Settings!$C$9:$C$12,MATCH(I900,Settings!$A$9:$A$12,0)),"")))</f>
        <v/>
      </c>
      <c r="K900" s="27" t="str">
        <f aca="false">IF(J900="","",COUNTIF($I$2:I900,I900))</f>
        <v/>
      </c>
      <c r="L900" s="27" t="str">
        <f aca="false">IF(J900="","",CHOOSE(Q900+1,"Tue","Wed","Thu","Fri"))</f>
        <v/>
      </c>
      <c r="M900" s="27" t="str">
        <f aca="false">IF(J900="","",IF(J900=1,"Every week",R900+1&amp;" of "&amp;J900))</f>
        <v/>
      </c>
      <c r="N900" s="28" t="str">
        <f aca="false">IF(J900="","",Settings!$B$4+R900*7+Q900)</f>
        <v/>
      </c>
      <c r="O900" s="28" t="str">
        <f aca="true">IF(J900="","",N900+MAX(0,ROUNDUP((TODAY()-N900)/(J900*7),0))*J900*7)</f>
        <v/>
      </c>
      <c r="P900" s="27" t="str">
        <f aca="false">IF(J900="","",MOD(K900-1,J900*4))</f>
        <v/>
      </c>
      <c r="Q900" s="27" t="str">
        <f aca="false">IF(J900="","",MOD(P900,4))</f>
        <v/>
      </c>
      <c r="R900" s="27" t="str">
        <f aca="false">IF(J900="","",INT(P900/4))</f>
        <v/>
      </c>
      <c r="S900" s="27" t="str">
        <f aca="false">IF(J900="","",IF(AND('Daily Count Sheet'!$H$3=Q900,MOD('Daily Count Sheet'!$I$3,J900)=R900),1,""))</f>
        <v/>
      </c>
      <c r="T900" s="27" t="str">
        <f aca="false">IF(S900=1,COUNTIF($S$2:S900,1),"")</f>
        <v/>
      </c>
    </row>
    <row r="901" customFormat="false" ht="15" hidden="false" customHeight="false" outlineLevel="0" collapsed="false">
      <c r="H901" s="26"/>
      <c r="I901" s="27" t="str">
        <f aca="false">IF(A901="","",IF(H901&lt;&gt;"",UPPER(TRIM(H901)),IFERROR(CHOOSE(VALUE(E901)+1,"A","B","C","D"),IF(OR(LEFT(UPPER(TRIM(E901)),1)="F",UPPER(TRIM(E901))="A"),"A",IF(OR(LEFT(UPPER(TRIM(E901)),1)="M",UPPER(TRIM(E901))="B"),"B",IF(OR(LEFT(UPPER(TRIM(E901)),2)="SL",UPPER(TRIM(E901))="C"),"C",IF(OR(LEFT(UPPER(TRIM(E901)),1)="D",UPPER(TRIM(E901))="D"),"D","")))))))</f>
        <v/>
      </c>
      <c r="J901" s="27" t="str">
        <f aca="false">IF(I901="","",IF(AND(I901="D",Settings!$B$6&lt;&gt;"Yes"),"",IFERROR(INDEX(Settings!$C$9:$C$12,MATCH(I901,Settings!$A$9:$A$12,0)),"")))</f>
        <v/>
      </c>
      <c r="K901" s="27" t="str">
        <f aca="false">IF(J901="","",COUNTIF($I$2:I901,I901))</f>
        <v/>
      </c>
      <c r="L901" s="27" t="str">
        <f aca="false">IF(J901="","",CHOOSE(Q901+1,"Tue","Wed","Thu","Fri"))</f>
        <v/>
      </c>
      <c r="M901" s="27" t="str">
        <f aca="false">IF(J901="","",IF(J901=1,"Every week",R901+1&amp;" of "&amp;J901))</f>
        <v/>
      </c>
      <c r="N901" s="28" t="str">
        <f aca="false">IF(J901="","",Settings!$B$4+R901*7+Q901)</f>
        <v/>
      </c>
      <c r="O901" s="28" t="str">
        <f aca="true">IF(J901="","",N901+MAX(0,ROUNDUP((TODAY()-N901)/(J901*7),0))*J901*7)</f>
        <v/>
      </c>
      <c r="P901" s="27" t="str">
        <f aca="false">IF(J901="","",MOD(K901-1,J901*4))</f>
        <v/>
      </c>
      <c r="Q901" s="27" t="str">
        <f aca="false">IF(J901="","",MOD(P901,4))</f>
        <v/>
      </c>
      <c r="R901" s="27" t="str">
        <f aca="false">IF(J901="","",INT(P901/4))</f>
        <v/>
      </c>
      <c r="S901" s="27" t="str">
        <f aca="false">IF(J901="","",IF(AND('Daily Count Sheet'!$H$3=Q901,MOD('Daily Count Sheet'!$I$3,J901)=R901),1,""))</f>
        <v/>
      </c>
      <c r="T901" s="27" t="str">
        <f aca="false">IF(S901=1,COUNTIF($S$2:S901,1),"")</f>
        <v/>
      </c>
    </row>
    <row r="902" customFormat="false" ht="15" hidden="false" customHeight="false" outlineLevel="0" collapsed="false">
      <c r="H902" s="26"/>
      <c r="I902" s="27" t="str">
        <f aca="false">IF(A902="","",IF(H902&lt;&gt;"",UPPER(TRIM(H902)),IFERROR(CHOOSE(VALUE(E902)+1,"A","B","C","D"),IF(OR(LEFT(UPPER(TRIM(E902)),1)="F",UPPER(TRIM(E902))="A"),"A",IF(OR(LEFT(UPPER(TRIM(E902)),1)="M",UPPER(TRIM(E902))="B"),"B",IF(OR(LEFT(UPPER(TRIM(E902)),2)="SL",UPPER(TRIM(E902))="C"),"C",IF(OR(LEFT(UPPER(TRIM(E902)),1)="D",UPPER(TRIM(E902))="D"),"D","")))))))</f>
        <v/>
      </c>
      <c r="J902" s="27" t="str">
        <f aca="false">IF(I902="","",IF(AND(I902="D",Settings!$B$6&lt;&gt;"Yes"),"",IFERROR(INDEX(Settings!$C$9:$C$12,MATCH(I902,Settings!$A$9:$A$12,0)),"")))</f>
        <v/>
      </c>
      <c r="K902" s="27" t="str">
        <f aca="false">IF(J902="","",COUNTIF($I$2:I902,I902))</f>
        <v/>
      </c>
      <c r="L902" s="27" t="str">
        <f aca="false">IF(J902="","",CHOOSE(Q902+1,"Tue","Wed","Thu","Fri"))</f>
        <v/>
      </c>
      <c r="M902" s="27" t="str">
        <f aca="false">IF(J902="","",IF(J902=1,"Every week",R902+1&amp;" of "&amp;J902))</f>
        <v/>
      </c>
      <c r="N902" s="28" t="str">
        <f aca="false">IF(J902="","",Settings!$B$4+R902*7+Q902)</f>
        <v/>
      </c>
      <c r="O902" s="28" t="str">
        <f aca="true">IF(J902="","",N902+MAX(0,ROUNDUP((TODAY()-N902)/(J902*7),0))*J902*7)</f>
        <v/>
      </c>
      <c r="P902" s="27" t="str">
        <f aca="false">IF(J902="","",MOD(K902-1,J902*4))</f>
        <v/>
      </c>
      <c r="Q902" s="27" t="str">
        <f aca="false">IF(J902="","",MOD(P902,4))</f>
        <v/>
      </c>
      <c r="R902" s="27" t="str">
        <f aca="false">IF(J902="","",INT(P902/4))</f>
        <v/>
      </c>
      <c r="S902" s="27" t="str">
        <f aca="false">IF(J902="","",IF(AND('Daily Count Sheet'!$H$3=Q902,MOD('Daily Count Sheet'!$I$3,J902)=R902),1,""))</f>
        <v/>
      </c>
      <c r="T902" s="27" t="str">
        <f aca="false">IF(S902=1,COUNTIF($S$2:S902,1),"")</f>
        <v/>
      </c>
    </row>
    <row r="903" customFormat="false" ht="15" hidden="false" customHeight="false" outlineLevel="0" collapsed="false">
      <c r="H903" s="26"/>
      <c r="I903" s="27" t="str">
        <f aca="false">IF(A903="","",IF(H903&lt;&gt;"",UPPER(TRIM(H903)),IFERROR(CHOOSE(VALUE(E903)+1,"A","B","C","D"),IF(OR(LEFT(UPPER(TRIM(E903)),1)="F",UPPER(TRIM(E903))="A"),"A",IF(OR(LEFT(UPPER(TRIM(E903)),1)="M",UPPER(TRIM(E903))="B"),"B",IF(OR(LEFT(UPPER(TRIM(E903)),2)="SL",UPPER(TRIM(E903))="C"),"C",IF(OR(LEFT(UPPER(TRIM(E903)),1)="D",UPPER(TRIM(E903))="D"),"D","")))))))</f>
        <v/>
      </c>
      <c r="J903" s="27" t="str">
        <f aca="false">IF(I903="","",IF(AND(I903="D",Settings!$B$6&lt;&gt;"Yes"),"",IFERROR(INDEX(Settings!$C$9:$C$12,MATCH(I903,Settings!$A$9:$A$12,0)),"")))</f>
        <v/>
      </c>
      <c r="K903" s="27" t="str">
        <f aca="false">IF(J903="","",COUNTIF($I$2:I903,I903))</f>
        <v/>
      </c>
      <c r="L903" s="27" t="str">
        <f aca="false">IF(J903="","",CHOOSE(Q903+1,"Tue","Wed","Thu","Fri"))</f>
        <v/>
      </c>
      <c r="M903" s="27" t="str">
        <f aca="false">IF(J903="","",IF(J903=1,"Every week",R903+1&amp;" of "&amp;J903))</f>
        <v/>
      </c>
      <c r="N903" s="28" t="str">
        <f aca="false">IF(J903="","",Settings!$B$4+R903*7+Q903)</f>
        <v/>
      </c>
      <c r="O903" s="28" t="str">
        <f aca="true">IF(J903="","",N903+MAX(0,ROUNDUP((TODAY()-N903)/(J903*7),0))*J903*7)</f>
        <v/>
      </c>
      <c r="P903" s="27" t="str">
        <f aca="false">IF(J903="","",MOD(K903-1,J903*4))</f>
        <v/>
      </c>
      <c r="Q903" s="27" t="str">
        <f aca="false">IF(J903="","",MOD(P903,4))</f>
        <v/>
      </c>
      <c r="R903" s="27" t="str">
        <f aca="false">IF(J903="","",INT(P903/4))</f>
        <v/>
      </c>
      <c r="S903" s="27" t="str">
        <f aca="false">IF(J903="","",IF(AND('Daily Count Sheet'!$H$3=Q903,MOD('Daily Count Sheet'!$I$3,J903)=R903),1,""))</f>
        <v/>
      </c>
      <c r="T903" s="27" t="str">
        <f aca="false">IF(S903=1,COUNTIF($S$2:S903,1),"")</f>
        <v/>
      </c>
    </row>
    <row r="904" customFormat="false" ht="15" hidden="false" customHeight="false" outlineLevel="0" collapsed="false">
      <c r="H904" s="26"/>
      <c r="I904" s="27" t="str">
        <f aca="false">IF(A904="","",IF(H904&lt;&gt;"",UPPER(TRIM(H904)),IFERROR(CHOOSE(VALUE(E904)+1,"A","B","C","D"),IF(OR(LEFT(UPPER(TRIM(E904)),1)="F",UPPER(TRIM(E904))="A"),"A",IF(OR(LEFT(UPPER(TRIM(E904)),1)="M",UPPER(TRIM(E904))="B"),"B",IF(OR(LEFT(UPPER(TRIM(E904)),2)="SL",UPPER(TRIM(E904))="C"),"C",IF(OR(LEFT(UPPER(TRIM(E904)),1)="D",UPPER(TRIM(E904))="D"),"D","")))))))</f>
        <v/>
      </c>
      <c r="J904" s="27" t="str">
        <f aca="false">IF(I904="","",IF(AND(I904="D",Settings!$B$6&lt;&gt;"Yes"),"",IFERROR(INDEX(Settings!$C$9:$C$12,MATCH(I904,Settings!$A$9:$A$12,0)),"")))</f>
        <v/>
      </c>
      <c r="K904" s="27" t="str">
        <f aca="false">IF(J904="","",COUNTIF($I$2:I904,I904))</f>
        <v/>
      </c>
      <c r="L904" s="27" t="str">
        <f aca="false">IF(J904="","",CHOOSE(Q904+1,"Tue","Wed","Thu","Fri"))</f>
        <v/>
      </c>
      <c r="M904" s="27" t="str">
        <f aca="false">IF(J904="","",IF(J904=1,"Every week",R904+1&amp;" of "&amp;J904))</f>
        <v/>
      </c>
      <c r="N904" s="28" t="str">
        <f aca="false">IF(J904="","",Settings!$B$4+R904*7+Q904)</f>
        <v/>
      </c>
      <c r="O904" s="28" t="str">
        <f aca="true">IF(J904="","",N904+MAX(0,ROUNDUP((TODAY()-N904)/(J904*7),0))*J904*7)</f>
        <v/>
      </c>
      <c r="P904" s="27" t="str">
        <f aca="false">IF(J904="","",MOD(K904-1,J904*4))</f>
        <v/>
      </c>
      <c r="Q904" s="27" t="str">
        <f aca="false">IF(J904="","",MOD(P904,4))</f>
        <v/>
      </c>
      <c r="R904" s="27" t="str">
        <f aca="false">IF(J904="","",INT(P904/4))</f>
        <v/>
      </c>
      <c r="S904" s="27" t="str">
        <f aca="false">IF(J904="","",IF(AND('Daily Count Sheet'!$H$3=Q904,MOD('Daily Count Sheet'!$I$3,J904)=R904),1,""))</f>
        <v/>
      </c>
      <c r="T904" s="27" t="str">
        <f aca="false">IF(S904=1,COUNTIF($S$2:S904,1),"")</f>
        <v/>
      </c>
    </row>
    <row r="905" customFormat="false" ht="15" hidden="false" customHeight="false" outlineLevel="0" collapsed="false">
      <c r="H905" s="26"/>
      <c r="I905" s="27" t="str">
        <f aca="false">IF(A905="","",IF(H905&lt;&gt;"",UPPER(TRIM(H905)),IFERROR(CHOOSE(VALUE(E905)+1,"A","B","C","D"),IF(OR(LEFT(UPPER(TRIM(E905)),1)="F",UPPER(TRIM(E905))="A"),"A",IF(OR(LEFT(UPPER(TRIM(E905)),1)="M",UPPER(TRIM(E905))="B"),"B",IF(OR(LEFT(UPPER(TRIM(E905)),2)="SL",UPPER(TRIM(E905))="C"),"C",IF(OR(LEFT(UPPER(TRIM(E905)),1)="D",UPPER(TRIM(E905))="D"),"D","")))))))</f>
        <v/>
      </c>
      <c r="J905" s="27" t="str">
        <f aca="false">IF(I905="","",IF(AND(I905="D",Settings!$B$6&lt;&gt;"Yes"),"",IFERROR(INDEX(Settings!$C$9:$C$12,MATCH(I905,Settings!$A$9:$A$12,0)),"")))</f>
        <v/>
      </c>
      <c r="K905" s="27" t="str">
        <f aca="false">IF(J905="","",COUNTIF($I$2:I905,I905))</f>
        <v/>
      </c>
      <c r="L905" s="27" t="str">
        <f aca="false">IF(J905="","",CHOOSE(Q905+1,"Tue","Wed","Thu","Fri"))</f>
        <v/>
      </c>
      <c r="M905" s="27" t="str">
        <f aca="false">IF(J905="","",IF(J905=1,"Every week",R905+1&amp;" of "&amp;J905))</f>
        <v/>
      </c>
      <c r="N905" s="28" t="str">
        <f aca="false">IF(J905="","",Settings!$B$4+R905*7+Q905)</f>
        <v/>
      </c>
      <c r="O905" s="28" t="str">
        <f aca="true">IF(J905="","",N905+MAX(0,ROUNDUP((TODAY()-N905)/(J905*7),0))*J905*7)</f>
        <v/>
      </c>
      <c r="P905" s="27" t="str">
        <f aca="false">IF(J905="","",MOD(K905-1,J905*4))</f>
        <v/>
      </c>
      <c r="Q905" s="27" t="str">
        <f aca="false">IF(J905="","",MOD(P905,4))</f>
        <v/>
      </c>
      <c r="R905" s="27" t="str">
        <f aca="false">IF(J905="","",INT(P905/4))</f>
        <v/>
      </c>
      <c r="S905" s="27" t="str">
        <f aca="false">IF(J905="","",IF(AND('Daily Count Sheet'!$H$3=Q905,MOD('Daily Count Sheet'!$I$3,J905)=R905),1,""))</f>
        <v/>
      </c>
      <c r="T905" s="27" t="str">
        <f aca="false">IF(S905=1,COUNTIF($S$2:S905,1),"")</f>
        <v/>
      </c>
    </row>
    <row r="906" customFormat="false" ht="15" hidden="false" customHeight="false" outlineLevel="0" collapsed="false">
      <c r="H906" s="26"/>
      <c r="I906" s="27" t="str">
        <f aca="false">IF(A906="","",IF(H906&lt;&gt;"",UPPER(TRIM(H906)),IFERROR(CHOOSE(VALUE(E906)+1,"A","B","C","D"),IF(OR(LEFT(UPPER(TRIM(E906)),1)="F",UPPER(TRIM(E906))="A"),"A",IF(OR(LEFT(UPPER(TRIM(E906)),1)="M",UPPER(TRIM(E906))="B"),"B",IF(OR(LEFT(UPPER(TRIM(E906)),2)="SL",UPPER(TRIM(E906))="C"),"C",IF(OR(LEFT(UPPER(TRIM(E906)),1)="D",UPPER(TRIM(E906))="D"),"D","")))))))</f>
        <v/>
      </c>
      <c r="J906" s="27" t="str">
        <f aca="false">IF(I906="","",IF(AND(I906="D",Settings!$B$6&lt;&gt;"Yes"),"",IFERROR(INDEX(Settings!$C$9:$C$12,MATCH(I906,Settings!$A$9:$A$12,0)),"")))</f>
        <v/>
      </c>
      <c r="K906" s="27" t="str">
        <f aca="false">IF(J906="","",COUNTIF($I$2:I906,I906))</f>
        <v/>
      </c>
      <c r="L906" s="27" t="str">
        <f aca="false">IF(J906="","",CHOOSE(Q906+1,"Tue","Wed","Thu","Fri"))</f>
        <v/>
      </c>
      <c r="M906" s="27" t="str">
        <f aca="false">IF(J906="","",IF(J906=1,"Every week",R906+1&amp;" of "&amp;J906))</f>
        <v/>
      </c>
      <c r="N906" s="28" t="str">
        <f aca="false">IF(J906="","",Settings!$B$4+R906*7+Q906)</f>
        <v/>
      </c>
      <c r="O906" s="28" t="str">
        <f aca="true">IF(J906="","",N906+MAX(0,ROUNDUP((TODAY()-N906)/(J906*7),0))*J906*7)</f>
        <v/>
      </c>
      <c r="P906" s="27" t="str">
        <f aca="false">IF(J906="","",MOD(K906-1,J906*4))</f>
        <v/>
      </c>
      <c r="Q906" s="27" t="str">
        <f aca="false">IF(J906="","",MOD(P906,4))</f>
        <v/>
      </c>
      <c r="R906" s="27" t="str">
        <f aca="false">IF(J906="","",INT(P906/4))</f>
        <v/>
      </c>
      <c r="S906" s="27" t="str">
        <f aca="false">IF(J906="","",IF(AND('Daily Count Sheet'!$H$3=Q906,MOD('Daily Count Sheet'!$I$3,J906)=R906),1,""))</f>
        <v/>
      </c>
      <c r="T906" s="27" t="str">
        <f aca="false">IF(S906=1,COUNTIF($S$2:S906,1),"")</f>
        <v/>
      </c>
    </row>
    <row r="907" customFormat="false" ht="15" hidden="false" customHeight="false" outlineLevel="0" collapsed="false">
      <c r="H907" s="26"/>
      <c r="I907" s="27" t="str">
        <f aca="false">IF(A907="","",IF(H907&lt;&gt;"",UPPER(TRIM(H907)),IFERROR(CHOOSE(VALUE(E907)+1,"A","B","C","D"),IF(OR(LEFT(UPPER(TRIM(E907)),1)="F",UPPER(TRIM(E907))="A"),"A",IF(OR(LEFT(UPPER(TRIM(E907)),1)="M",UPPER(TRIM(E907))="B"),"B",IF(OR(LEFT(UPPER(TRIM(E907)),2)="SL",UPPER(TRIM(E907))="C"),"C",IF(OR(LEFT(UPPER(TRIM(E907)),1)="D",UPPER(TRIM(E907))="D"),"D","")))))))</f>
        <v/>
      </c>
      <c r="J907" s="27" t="str">
        <f aca="false">IF(I907="","",IF(AND(I907="D",Settings!$B$6&lt;&gt;"Yes"),"",IFERROR(INDEX(Settings!$C$9:$C$12,MATCH(I907,Settings!$A$9:$A$12,0)),"")))</f>
        <v/>
      </c>
      <c r="K907" s="27" t="str">
        <f aca="false">IF(J907="","",COUNTIF($I$2:I907,I907))</f>
        <v/>
      </c>
      <c r="L907" s="27" t="str">
        <f aca="false">IF(J907="","",CHOOSE(Q907+1,"Tue","Wed","Thu","Fri"))</f>
        <v/>
      </c>
      <c r="M907" s="27" t="str">
        <f aca="false">IF(J907="","",IF(J907=1,"Every week",R907+1&amp;" of "&amp;J907))</f>
        <v/>
      </c>
      <c r="N907" s="28" t="str">
        <f aca="false">IF(J907="","",Settings!$B$4+R907*7+Q907)</f>
        <v/>
      </c>
      <c r="O907" s="28" t="str">
        <f aca="true">IF(J907="","",N907+MAX(0,ROUNDUP((TODAY()-N907)/(J907*7),0))*J907*7)</f>
        <v/>
      </c>
      <c r="P907" s="27" t="str">
        <f aca="false">IF(J907="","",MOD(K907-1,J907*4))</f>
        <v/>
      </c>
      <c r="Q907" s="27" t="str">
        <f aca="false">IF(J907="","",MOD(P907,4))</f>
        <v/>
      </c>
      <c r="R907" s="27" t="str">
        <f aca="false">IF(J907="","",INT(P907/4))</f>
        <v/>
      </c>
      <c r="S907" s="27" t="str">
        <f aca="false">IF(J907="","",IF(AND('Daily Count Sheet'!$H$3=Q907,MOD('Daily Count Sheet'!$I$3,J907)=R907),1,""))</f>
        <v/>
      </c>
      <c r="T907" s="27" t="str">
        <f aca="false">IF(S907=1,COUNTIF($S$2:S907,1),"")</f>
        <v/>
      </c>
    </row>
    <row r="908" customFormat="false" ht="15" hidden="false" customHeight="false" outlineLevel="0" collapsed="false">
      <c r="H908" s="26"/>
      <c r="I908" s="27" t="str">
        <f aca="false">IF(A908="","",IF(H908&lt;&gt;"",UPPER(TRIM(H908)),IFERROR(CHOOSE(VALUE(E908)+1,"A","B","C","D"),IF(OR(LEFT(UPPER(TRIM(E908)),1)="F",UPPER(TRIM(E908))="A"),"A",IF(OR(LEFT(UPPER(TRIM(E908)),1)="M",UPPER(TRIM(E908))="B"),"B",IF(OR(LEFT(UPPER(TRIM(E908)),2)="SL",UPPER(TRIM(E908))="C"),"C",IF(OR(LEFT(UPPER(TRIM(E908)),1)="D",UPPER(TRIM(E908))="D"),"D","")))))))</f>
        <v/>
      </c>
      <c r="J908" s="27" t="str">
        <f aca="false">IF(I908="","",IF(AND(I908="D",Settings!$B$6&lt;&gt;"Yes"),"",IFERROR(INDEX(Settings!$C$9:$C$12,MATCH(I908,Settings!$A$9:$A$12,0)),"")))</f>
        <v/>
      </c>
      <c r="K908" s="27" t="str">
        <f aca="false">IF(J908="","",COUNTIF($I$2:I908,I908))</f>
        <v/>
      </c>
      <c r="L908" s="27" t="str">
        <f aca="false">IF(J908="","",CHOOSE(Q908+1,"Tue","Wed","Thu","Fri"))</f>
        <v/>
      </c>
      <c r="M908" s="27" t="str">
        <f aca="false">IF(J908="","",IF(J908=1,"Every week",R908+1&amp;" of "&amp;J908))</f>
        <v/>
      </c>
      <c r="N908" s="28" t="str">
        <f aca="false">IF(J908="","",Settings!$B$4+R908*7+Q908)</f>
        <v/>
      </c>
      <c r="O908" s="28" t="str">
        <f aca="true">IF(J908="","",N908+MAX(0,ROUNDUP((TODAY()-N908)/(J908*7),0))*J908*7)</f>
        <v/>
      </c>
      <c r="P908" s="27" t="str">
        <f aca="false">IF(J908="","",MOD(K908-1,J908*4))</f>
        <v/>
      </c>
      <c r="Q908" s="27" t="str">
        <f aca="false">IF(J908="","",MOD(P908,4))</f>
        <v/>
      </c>
      <c r="R908" s="27" t="str">
        <f aca="false">IF(J908="","",INT(P908/4))</f>
        <v/>
      </c>
      <c r="S908" s="27" t="str">
        <f aca="false">IF(J908="","",IF(AND('Daily Count Sheet'!$H$3=Q908,MOD('Daily Count Sheet'!$I$3,J908)=R908),1,""))</f>
        <v/>
      </c>
      <c r="T908" s="27" t="str">
        <f aca="false">IF(S908=1,COUNTIF($S$2:S908,1),"")</f>
        <v/>
      </c>
    </row>
    <row r="909" customFormat="false" ht="15" hidden="false" customHeight="false" outlineLevel="0" collapsed="false">
      <c r="H909" s="26"/>
      <c r="I909" s="27" t="str">
        <f aca="false">IF(A909="","",IF(H909&lt;&gt;"",UPPER(TRIM(H909)),IFERROR(CHOOSE(VALUE(E909)+1,"A","B","C","D"),IF(OR(LEFT(UPPER(TRIM(E909)),1)="F",UPPER(TRIM(E909))="A"),"A",IF(OR(LEFT(UPPER(TRIM(E909)),1)="M",UPPER(TRIM(E909))="B"),"B",IF(OR(LEFT(UPPER(TRIM(E909)),2)="SL",UPPER(TRIM(E909))="C"),"C",IF(OR(LEFT(UPPER(TRIM(E909)),1)="D",UPPER(TRIM(E909))="D"),"D","")))))))</f>
        <v/>
      </c>
      <c r="J909" s="27" t="str">
        <f aca="false">IF(I909="","",IF(AND(I909="D",Settings!$B$6&lt;&gt;"Yes"),"",IFERROR(INDEX(Settings!$C$9:$C$12,MATCH(I909,Settings!$A$9:$A$12,0)),"")))</f>
        <v/>
      </c>
      <c r="K909" s="27" t="str">
        <f aca="false">IF(J909="","",COUNTIF($I$2:I909,I909))</f>
        <v/>
      </c>
      <c r="L909" s="27" t="str">
        <f aca="false">IF(J909="","",CHOOSE(Q909+1,"Tue","Wed","Thu","Fri"))</f>
        <v/>
      </c>
      <c r="M909" s="27" t="str">
        <f aca="false">IF(J909="","",IF(J909=1,"Every week",R909+1&amp;" of "&amp;J909))</f>
        <v/>
      </c>
      <c r="N909" s="28" t="str">
        <f aca="false">IF(J909="","",Settings!$B$4+R909*7+Q909)</f>
        <v/>
      </c>
      <c r="O909" s="28" t="str">
        <f aca="true">IF(J909="","",N909+MAX(0,ROUNDUP((TODAY()-N909)/(J909*7),0))*J909*7)</f>
        <v/>
      </c>
      <c r="P909" s="27" t="str">
        <f aca="false">IF(J909="","",MOD(K909-1,J909*4))</f>
        <v/>
      </c>
      <c r="Q909" s="27" t="str">
        <f aca="false">IF(J909="","",MOD(P909,4))</f>
        <v/>
      </c>
      <c r="R909" s="27" t="str">
        <f aca="false">IF(J909="","",INT(P909/4))</f>
        <v/>
      </c>
      <c r="S909" s="27" t="str">
        <f aca="false">IF(J909="","",IF(AND('Daily Count Sheet'!$H$3=Q909,MOD('Daily Count Sheet'!$I$3,J909)=R909),1,""))</f>
        <v/>
      </c>
      <c r="T909" s="27" t="str">
        <f aca="false">IF(S909=1,COUNTIF($S$2:S909,1),"")</f>
        <v/>
      </c>
    </row>
    <row r="910" customFormat="false" ht="15" hidden="false" customHeight="false" outlineLevel="0" collapsed="false">
      <c r="H910" s="26"/>
      <c r="I910" s="27" t="str">
        <f aca="false">IF(A910="","",IF(H910&lt;&gt;"",UPPER(TRIM(H910)),IFERROR(CHOOSE(VALUE(E910)+1,"A","B","C","D"),IF(OR(LEFT(UPPER(TRIM(E910)),1)="F",UPPER(TRIM(E910))="A"),"A",IF(OR(LEFT(UPPER(TRIM(E910)),1)="M",UPPER(TRIM(E910))="B"),"B",IF(OR(LEFT(UPPER(TRIM(E910)),2)="SL",UPPER(TRIM(E910))="C"),"C",IF(OR(LEFT(UPPER(TRIM(E910)),1)="D",UPPER(TRIM(E910))="D"),"D","")))))))</f>
        <v/>
      </c>
      <c r="J910" s="27" t="str">
        <f aca="false">IF(I910="","",IF(AND(I910="D",Settings!$B$6&lt;&gt;"Yes"),"",IFERROR(INDEX(Settings!$C$9:$C$12,MATCH(I910,Settings!$A$9:$A$12,0)),"")))</f>
        <v/>
      </c>
      <c r="K910" s="27" t="str">
        <f aca="false">IF(J910="","",COUNTIF($I$2:I910,I910))</f>
        <v/>
      </c>
      <c r="L910" s="27" t="str">
        <f aca="false">IF(J910="","",CHOOSE(Q910+1,"Tue","Wed","Thu","Fri"))</f>
        <v/>
      </c>
      <c r="M910" s="27" t="str">
        <f aca="false">IF(J910="","",IF(J910=1,"Every week",R910+1&amp;" of "&amp;J910))</f>
        <v/>
      </c>
      <c r="N910" s="28" t="str">
        <f aca="false">IF(J910="","",Settings!$B$4+R910*7+Q910)</f>
        <v/>
      </c>
      <c r="O910" s="28" t="str">
        <f aca="true">IF(J910="","",N910+MAX(0,ROUNDUP((TODAY()-N910)/(J910*7),0))*J910*7)</f>
        <v/>
      </c>
      <c r="P910" s="27" t="str">
        <f aca="false">IF(J910="","",MOD(K910-1,J910*4))</f>
        <v/>
      </c>
      <c r="Q910" s="27" t="str">
        <f aca="false">IF(J910="","",MOD(P910,4))</f>
        <v/>
      </c>
      <c r="R910" s="27" t="str">
        <f aca="false">IF(J910="","",INT(P910/4))</f>
        <v/>
      </c>
      <c r="S910" s="27" t="str">
        <f aca="false">IF(J910="","",IF(AND('Daily Count Sheet'!$H$3=Q910,MOD('Daily Count Sheet'!$I$3,J910)=R910),1,""))</f>
        <v/>
      </c>
      <c r="T910" s="27" t="str">
        <f aca="false">IF(S910=1,COUNTIF($S$2:S910,1),"")</f>
        <v/>
      </c>
    </row>
    <row r="911" customFormat="false" ht="15" hidden="false" customHeight="false" outlineLevel="0" collapsed="false">
      <c r="H911" s="26"/>
      <c r="I911" s="27" t="str">
        <f aca="false">IF(A911="","",IF(H911&lt;&gt;"",UPPER(TRIM(H911)),IFERROR(CHOOSE(VALUE(E911)+1,"A","B","C","D"),IF(OR(LEFT(UPPER(TRIM(E911)),1)="F",UPPER(TRIM(E911))="A"),"A",IF(OR(LEFT(UPPER(TRIM(E911)),1)="M",UPPER(TRIM(E911))="B"),"B",IF(OR(LEFT(UPPER(TRIM(E911)),2)="SL",UPPER(TRIM(E911))="C"),"C",IF(OR(LEFT(UPPER(TRIM(E911)),1)="D",UPPER(TRIM(E911))="D"),"D","")))))))</f>
        <v/>
      </c>
      <c r="J911" s="27" t="str">
        <f aca="false">IF(I911="","",IF(AND(I911="D",Settings!$B$6&lt;&gt;"Yes"),"",IFERROR(INDEX(Settings!$C$9:$C$12,MATCH(I911,Settings!$A$9:$A$12,0)),"")))</f>
        <v/>
      </c>
      <c r="K911" s="27" t="str">
        <f aca="false">IF(J911="","",COUNTIF($I$2:I911,I911))</f>
        <v/>
      </c>
      <c r="L911" s="27" t="str">
        <f aca="false">IF(J911="","",CHOOSE(Q911+1,"Tue","Wed","Thu","Fri"))</f>
        <v/>
      </c>
      <c r="M911" s="27" t="str">
        <f aca="false">IF(J911="","",IF(J911=1,"Every week",R911+1&amp;" of "&amp;J911))</f>
        <v/>
      </c>
      <c r="N911" s="28" t="str">
        <f aca="false">IF(J911="","",Settings!$B$4+R911*7+Q911)</f>
        <v/>
      </c>
      <c r="O911" s="28" t="str">
        <f aca="true">IF(J911="","",N911+MAX(0,ROUNDUP((TODAY()-N911)/(J911*7),0))*J911*7)</f>
        <v/>
      </c>
      <c r="P911" s="27" t="str">
        <f aca="false">IF(J911="","",MOD(K911-1,J911*4))</f>
        <v/>
      </c>
      <c r="Q911" s="27" t="str">
        <f aca="false">IF(J911="","",MOD(P911,4))</f>
        <v/>
      </c>
      <c r="R911" s="27" t="str">
        <f aca="false">IF(J911="","",INT(P911/4))</f>
        <v/>
      </c>
      <c r="S911" s="27" t="str">
        <f aca="false">IF(J911="","",IF(AND('Daily Count Sheet'!$H$3=Q911,MOD('Daily Count Sheet'!$I$3,J911)=R911),1,""))</f>
        <v/>
      </c>
      <c r="T911" s="27" t="str">
        <f aca="false">IF(S911=1,COUNTIF($S$2:S911,1),"")</f>
        <v/>
      </c>
    </row>
    <row r="912" customFormat="false" ht="15" hidden="false" customHeight="false" outlineLevel="0" collapsed="false">
      <c r="H912" s="26"/>
      <c r="I912" s="27" t="str">
        <f aca="false">IF(A912="","",IF(H912&lt;&gt;"",UPPER(TRIM(H912)),IFERROR(CHOOSE(VALUE(E912)+1,"A","B","C","D"),IF(OR(LEFT(UPPER(TRIM(E912)),1)="F",UPPER(TRIM(E912))="A"),"A",IF(OR(LEFT(UPPER(TRIM(E912)),1)="M",UPPER(TRIM(E912))="B"),"B",IF(OR(LEFT(UPPER(TRIM(E912)),2)="SL",UPPER(TRIM(E912))="C"),"C",IF(OR(LEFT(UPPER(TRIM(E912)),1)="D",UPPER(TRIM(E912))="D"),"D","")))))))</f>
        <v/>
      </c>
      <c r="J912" s="27" t="str">
        <f aca="false">IF(I912="","",IF(AND(I912="D",Settings!$B$6&lt;&gt;"Yes"),"",IFERROR(INDEX(Settings!$C$9:$C$12,MATCH(I912,Settings!$A$9:$A$12,0)),"")))</f>
        <v/>
      </c>
      <c r="K912" s="27" t="str">
        <f aca="false">IF(J912="","",COUNTIF($I$2:I912,I912))</f>
        <v/>
      </c>
      <c r="L912" s="27" t="str">
        <f aca="false">IF(J912="","",CHOOSE(Q912+1,"Tue","Wed","Thu","Fri"))</f>
        <v/>
      </c>
      <c r="M912" s="27" t="str">
        <f aca="false">IF(J912="","",IF(J912=1,"Every week",R912+1&amp;" of "&amp;J912))</f>
        <v/>
      </c>
      <c r="N912" s="28" t="str">
        <f aca="false">IF(J912="","",Settings!$B$4+R912*7+Q912)</f>
        <v/>
      </c>
      <c r="O912" s="28" t="str">
        <f aca="true">IF(J912="","",N912+MAX(0,ROUNDUP((TODAY()-N912)/(J912*7),0))*J912*7)</f>
        <v/>
      </c>
      <c r="P912" s="27" t="str">
        <f aca="false">IF(J912="","",MOD(K912-1,J912*4))</f>
        <v/>
      </c>
      <c r="Q912" s="27" t="str">
        <f aca="false">IF(J912="","",MOD(P912,4))</f>
        <v/>
      </c>
      <c r="R912" s="27" t="str">
        <f aca="false">IF(J912="","",INT(P912/4))</f>
        <v/>
      </c>
      <c r="S912" s="27" t="str">
        <f aca="false">IF(J912="","",IF(AND('Daily Count Sheet'!$H$3=Q912,MOD('Daily Count Sheet'!$I$3,J912)=R912),1,""))</f>
        <v/>
      </c>
      <c r="T912" s="27" t="str">
        <f aca="false">IF(S912=1,COUNTIF($S$2:S912,1),"")</f>
        <v/>
      </c>
    </row>
    <row r="913" customFormat="false" ht="15" hidden="false" customHeight="false" outlineLevel="0" collapsed="false">
      <c r="H913" s="26"/>
      <c r="I913" s="27" t="str">
        <f aca="false">IF(A913="","",IF(H913&lt;&gt;"",UPPER(TRIM(H913)),IFERROR(CHOOSE(VALUE(E913)+1,"A","B","C","D"),IF(OR(LEFT(UPPER(TRIM(E913)),1)="F",UPPER(TRIM(E913))="A"),"A",IF(OR(LEFT(UPPER(TRIM(E913)),1)="M",UPPER(TRIM(E913))="B"),"B",IF(OR(LEFT(UPPER(TRIM(E913)),2)="SL",UPPER(TRIM(E913))="C"),"C",IF(OR(LEFT(UPPER(TRIM(E913)),1)="D",UPPER(TRIM(E913))="D"),"D","")))))))</f>
        <v/>
      </c>
      <c r="J913" s="27" t="str">
        <f aca="false">IF(I913="","",IF(AND(I913="D",Settings!$B$6&lt;&gt;"Yes"),"",IFERROR(INDEX(Settings!$C$9:$C$12,MATCH(I913,Settings!$A$9:$A$12,0)),"")))</f>
        <v/>
      </c>
      <c r="K913" s="27" t="str">
        <f aca="false">IF(J913="","",COUNTIF($I$2:I913,I913))</f>
        <v/>
      </c>
      <c r="L913" s="27" t="str">
        <f aca="false">IF(J913="","",CHOOSE(Q913+1,"Tue","Wed","Thu","Fri"))</f>
        <v/>
      </c>
      <c r="M913" s="27" t="str">
        <f aca="false">IF(J913="","",IF(J913=1,"Every week",R913+1&amp;" of "&amp;J913))</f>
        <v/>
      </c>
      <c r="N913" s="28" t="str">
        <f aca="false">IF(J913="","",Settings!$B$4+R913*7+Q913)</f>
        <v/>
      </c>
      <c r="O913" s="28" t="str">
        <f aca="true">IF(J913="","",N913+MAX(0,ROUNDUP((TODAY()-N913)/(J913*7),0))*J913*7)</f>
        <v/>
      </c>
      <c r="P913" s="27" t="str">
        <f aca="false">IF(J913="","",MOD(K913-1,J913*4))</f>
        <v/>
      </c>
      <c r="Q913" s="27" t="str">
        <f aca="false">IF(J913="","",MOD(P913,4))</f>
        <v/>
      </c>
      <c r="R913" s="27" t="str">
        <f aca="false">IF(J913="","",INT(P913/4))</f>
        <v/>
      </c>
      <c r="S913" s="27" t="str">
        <f aca="false">IF(J913="","",IF(AND('Daily Count Sheet'!$H$3=Q913,MOD('Daily Count Sheet'!$I$3,J913)=R913),1,""))</f>
        <v/>
      </c>
      <c r="T913" s="27" t="str">
        <f aca="false">IF(S913=1,COUNTIF($S$2:S913,1),"")</f>
        <v/>
      </c>
    </row>
    <row r="914" customFormat="false" ht="15" hidden="false" customHeight="false" outlineLevel="0" collapsed="false">
      <c r="H914" s="26"/>
      <c r="I914" s="27" t="str">
        <f aca="false">IF(A914="","",IF(H914&lt;&gt;"",UPPER(TRIM(H914)),IFERROR(CHOOSE(VALUE(E914)+1,"A","B","C","D"),IF(OR(LEFT(UPPER(TRIM(E914)),1)="F",UPPER(TRIM(E914))="A"),"A",IF(OR(LEFT(UPPER(TRIM(E914)),1)="M",UPPER(TRIM(E914))="B"),"B",IF(OR(LEFT(UPPER(TRIM(E914)),2)="SL",UPPER(TRIM(E914))="C"),"C",IF(OR(LEFT(UPPER(TRIM(E914)),1)="D",UPPER(TRIM(E914))="D"),"D","")))))))</f>
        <v/>
      </c>
      <c r="J914" s="27" t="str">
        <f aca="false">IF(I914="","",IF(AND(I914="D",Settings!$B$6&lt;&gt;"Yes"),"",IFERROR(INDEX(Settings!$C$9:$C$12,MATCH(I914,Settings!$A$9:$A$12,0)),"")))</f>
        <v/>
      </c>
      <c r="K914" s="27" t="str">
        <f aca="false">IF(J914="","",COUNTIF($I$2:I914,I914))</f>
        <v/>
      </c>
      <c r="L914" s="27" t="str">
        <f aca="false">IF(J914="","",CHOOSE(Q914+1,"Tue","Wed","Thu","Fri"))</f>
        <v/>
      </c>
      <c r="M914" s="27" t="str">
        <f aca="false">IF(J914="","",IF(J914=1,"Every week",R914+1&amp;" of "&amp;J914))</f>
        <v/>
      </c>
      <c r="N914" s="28" t="str">
        <f aca="false">IF(J914="","",Settings!$B$4+R914*7+Q914)</f>
        <v/>
      </c>
      <c r="O914" s="28" t="str">
        <f aca="true">IF(J914="","",N914+MAX(0,ROUNDUP((TODAY()-N914)/(J914*7),0))*J914*7)</f>
        <v/>
      </c>
      <c r="P914" s="27" t="str">
        <f aca="false">IF(J914="","",MOD(K914-1,J914*4))</f>
        <v/>
      </c>
      <c r="Q914" s="27" t="str">
        <f aca="false">IF(J914="","",MOD(P914,4))</f>
        <v/>
      </c>
      <c r="R914" s="27" t="str">
        <f aca="false">IF(J914="","",INT(P914/4))</f>
        <v/>
      </c>
      <c r="S914" s="27" t="str">
        <f aca="false">IF(J914="","",IF(AND('Daily Count Sheet'!$H$3=Q914,MOD('Daily Count Sheet'!$I$3,J914)=R914),1,""))</f>
        <v/>
      </c>
      <c r="T914" s="27" t="str">
        <f aca="false">IF(S914=1,COUNTIF($S$2:S914,1),"")</f>
        <v/>
      </c>
    </row>
    <row r="915" customFormat="false" ht="15" hidden="false" customHeight="false" outlineLevel="0" collapsed="false">
      <c r="H915" s="26"/>
      <c r="I915" s="27" t="str">
        <f aca="false">IF(A915="","",IF(H915&lt;&gt;"",UPPER(TRIM(H915)),IFERROR(CHOOSE(VALUE(E915)+1,"A","B","C","D"),IF(OR(LEFT(UPPER(TRIM(E915)),1)="F",UPPER(TRIM(E915))="A"),"A",IF(OR(LEFT(UPPER(TRIM(E915)),1)="M",UPPER(TRIM(E915))="B"),"B",IF(OR(LEFT(UPPER(TRIM(E915)),2)="SL",UPPER(TRIM(E915))="C"),"C",IF(OR(LEFT(UPPER(TRIM(E915)),1)="D",UPPER(TRIM(E915))="D"),"D","")))))))</f>
        <v/>
      </c>
      <c r="J915" s="27" t="str">
        <f aca="false">IF(I915="","",IF(AND(I915="D",Settings!$B$6&lt;&gt;"Yes"),"",IFERROR(INDEX(Settings!$C$9:$C$12,MATCH(I915,Settings!$A$9:$A$12,0)),"")))</f>
        <v/>
      </c>
      <c r="K915" s="27" t="str">
        <f aca="false">IF(J915="","",COUNTIF($I$2:I915,I915))</f>
        <v/>
      </c>
      <c r="L915" s="27" t="str">
        <f aca="false">IF(J915="","",CHOOSE(Q915+1,"Tue","Wed","Thu","Fri"))</f>
        <v/>
      </c>
      <c r="M915" s="27" t="str">
        <f aca="false">IF(J915="","",IF(J915=1,"Every week",R915+1&amp;" of "&amp;J915))</f>
        <v/>
      </c>
      <c r="N915" s="28" t="str">
        <f aca="false">IF(J915="","",Settings!$B$4+R915*7+Q915)</f>
        <v/>
      </c>
      <c r="O915" s="28" t="str">
        <f aca="true">IF(J915="","",N915+MAX(0,ROUNDUP((TODAY()-N915)/(J915*7),0))*J915*7)</f>
        <v/>
      </c>
      <c r="P915" s="27" t="str">
        <f aca="false">IF(J915="","",MOD(K915-1,J915*4))</f>
        <v/>
      </c>
      <c r="Q915" s="27" t="str">
        <f aca="false">IF(J915="","",MOD(P915,4))</f>
        <v/>
      </c>
      <c r="R915" s="27" t="str">
        <f aca="false">IF(J915="","",INT(P915/4))</f>
        <v/>
      </c>
      <c r="S915" s="27" t="str">
        <f aca="false">IF(J915="","",IF(AND('Daily Count Sheet'!$H$3=Q915,MOD('Daily Count Sheet'!$I$3,J915)=R915),1,""))</f>
        <v/>
      </c>
      <c r="T915" s="27" t="str">
        <f aca="false">IF(S915=1,COUNTIF($S$2:S915,1),"")</f>
        <v/>
      </c>
    </row>
    <row r="916" customFormat="false" ht="15" hidden="false" customHeight="false" outlineLevel="0" collapsed="false">
      <c r="H916" s="26"/>
      <c r="I916" s="27" t="str">
        <f aca="false">IF(A916="","",IF(H916&lt;&gt;"",UPPER(TRIM(H916)),IFERROR(CHOOSE(VALUE(E916)+1,"A","B","C","D"),IF(OR(LEFT(UPPER(TRIM(E916)),1)="F",UPPER(TRIM(E916))="A"),"A",IF(OR(LEFT(UPPER(TRIM(E916)),1)="M",UPPER(TRIM(E916))="B"),"B",IF(OR(LEFT(UPPER(TRIM(E916)),2)="SL",UPPER(TRIM(E916))="C"),"C",IF(OR(LEFT(UPPER(TRIM(E916)),1)="D",UPPER(TRIM(E916))="D"),"D","")))))))</f>
        <v/>
      </c>
      <c r="J916" s="27" t="str">
        <f aca="false">IF(I916="","",IF(AND(I916="D",Settings!$B$6&lt;&gt;"Yes"),"",IFERROR(INDEX(Settings!$C$9:$C$12,MATCH(I916,Settings!$A$9:$A$12,0)),"")))</f>
        <v/>
      </c>
      <c r="K916" s="27" t="str">
        <f aca="false">IF(J916="","",COUNTIF($I$2:I916,I916))</f>
        <v/>
      </c>
      <c r="L916" s="27" t="str">
        <f aca="false">IF(J916="","",CHOOSE(Q916+1,"Tue","Wed","Thu","Fri"))</f>
        <v/>
      </c>
      <c r="M916" s="27" t="str">
        <f aca="false">IF(J916="","",IF(J916=1,"Every week",R916+1&amp;" of "&amp;J916))</f>
        <v/>
      </c>
      <c r="N916" s="28" t="str">
        <f aca="false">IF(J916="","",Settings!$B$4+R916*7+Q916)</f>
        <v/>
      </c>
      <c r="O916" s="28" t="str">
        <f aca="true">IF(J916="","",N916+MAX(0,ROUNDUP((TODAY()-N916)/(J916*7),0))*J916*7)</f>
        <v/>
      </c>
      <c r="P916" s="27" t="str">
        <f aca="false">IF(J916="","",MOD(K916-1,J916*4))</f>
        <v/>
      </c>
      <c r="Q916" s="27" t="str">
        <f aca="false">IF(J916="","",MOD(P916,4))</f>
        <v/>
      </c>
      <c r="R916" s="27" t="str">
        <f aca="false">IF(J916="","",INT(P916/4))</f>
        <v/>
      </c>
      <c r="S916" s="27" t="str">
        <f aca="false">IF(J916="","",IF(AND('Daily Count Sheet'!$H$3=Q916,MOD('Daily Count Sheet'!$I$3,J916)=R916),1,""))</f>
        <v/>
      </c>
      <c r="T916" s="27" t="str">
        <f aca="false">IF(S916=1,COUNTIF($S$2:S916,1),"")</f>
        <v/>
      </c>
    </row>
    <row r="917" customFormat="false" ht="15" hidden="false" customHeight="false" outlineLevel="0" collapsed="false">
      <c r="H917" s="26"/>
      <c r="I917" s="27" t="str">
        <f aca="false">IF(A917="","",IF(H917&lt;&gt;"",UPPER(TRIM(H917)),IFERROR(CHOOSE(VALUE(E917)+1,"A","B","C","D"),IF(OR(LEFT(UPPER(TRIM(E917)),1)="F",UPPER(TRIM(E917))="A"),"A",IF(OR(LEFT(UPPER(TRIM(E917)),1)="M",UPPER(TRIM(E917))="B"),"B",IF(OR(LEFT(UPPER(TRIM(E917)),2)="SL",UPPER(TRIM(E917))="C"),"C",IF(OR(LEFT(UPPER(TRIM(E917)),1)="D",UPPER(TRIM(E917))="D"),"D","")))))))</f>
        <v/>
      </c>
      <c r="J917" s="27" t="str">
        <f aca="false">IF(I917="","",IF(AND(I917="D",Settings!$B$6&lt;&gt;"Yes"),"",IFERROR(INDEX(Settings!$C$9:$C$12,MATCH(I917,Settings!$A$9:$A$12,0)),"")))</f>
        <v/>
      </c>
      <c r="K917" s="27" t="str">
        <f aca="false">IF(J917="","",COUNTIF($I$2:I917,I917))</f>
        <v/>
      </c>
      <c r="L917" s="27" t="str">
        <f aca="false">IF(J917="","",CHOOSE(Q917+1,"Tue","Wed","Thu","Fri"))</f>
        <v/>
      </c>
      <c r="M917" s="27" t="str">
        <f aca="false">IF(J917="","",IF(J917=1,"Every week",R917+1&amp;" of "&amp;J917))</f>
        <v/>
      </c>
      <c r="N917" s="28" t="str">
        <f aca="false">IF(J917="","",Settings!$B$4+R917*7+Q917)</f>
        <v/>
      </c>
      <c r="O917" s="28" t="str">
        <f aca="true">IF(J917="","",N917+MAX(0,ROUNDUP((TODAY()-N917)/(J917*7),0))*J917*7)</f>
        <v/>
      </c>
      <c r="P917" s="27" t="str">
        <f aca="false">IF(J917="","",MOD(K917-1,J917*4))</f>
        <v/>
      </c>
      <c r="Q917" s="27" t="str">
        <f aca="false">IF(J917="","",MOD(P917,4))</f>
        <v/>
      </c>
      <c r="R917" s="27" t="str">
        <f aca="false">IF(J917="","",INT(P917/4))</f>
        <v/>
      </c>
      <c r="S917" s="27" t="str">
        <f aca="false">IF(J917="","",IF(AND('Daily Count Sheet'!$H$3=Q917,MOD('Daily Count Sheet'!$I$3,J917)=R917),1,""))</f>
        <v/>
      </c>
      <c r="T917" s="27" t="str">
        <f aca="false">IF(S917=1,COUNTIF($S$2:S917,1),"")</f>
        <v/>
      </c>
    </row>
    <row r="918" customFormat="false" ht="15" hidden="false" customHeight="false" outlineLevel="0" collapsed="false">
      <c r="H918" s="26"/>
      <c r="I918" s="27" t="str">
        <f aca="false">IF(A918="","",IF(H918&lt;&gt;"",UPPER(TRIM(H918)),IFERROR(CHOOSE(VALUE(E918)+1,"A","B","C","D"),IF(OR(LEFT(UPPER(TRIM(E918)),1)="F",UPPER(TRIM(E918))="A"),"A",IF(OR(LEFT(UPPER(TRIM(E918)),1)="M",UPPER(TRIM(E918))="B"),"B",IF(OR(LEFT(UPPER(TRIM(E918)),2)="SL",UPPER(TRIM(E918))="C"),"C",IF(OR(LEFT(UPPER(TRIM(E918)),1)="D",UPPER(TRIM(E918))="D"),"D","")))))))</f>
        <v/>
      </c>
      <c r="J918" s="27" t="str">
        <f aca="false">IF(I918="","",IF(AND(I918="D",Settings!$B$6&lt;&gt;"Yes"),"",IFERROR(INDEX(Settings!$C$9:$C$12,MATCH(I918,Settings!$A$9:$A$12,0)),"")))</f>
        <v/>
      </c>
      <c r="K918" s="27" t="str">
        <f aca="false">IF(J918="","",COUNTIF($I$2:I918,I918))</f>
        <v/>
      </c>
      <c r="L918" s="27" t="str">
        <f aca="false">IF(J918="","",CHOOSE(Q918+1,"Tue","Wed","Thu","Fri"))</f>
        <v/>
      </c>
      <c r="M918" s="27" t="str">
        <f aca="false">IF(J918="","",IF(J918=1,"Every week",R918+1&amp;" of "&amp;J918))</f>
        <v/>
      </c>
      <c r="N918" s="28" t="str">
        <f aca="false">IF(J918="","",Settings!$B$4+R918*7+Q918)</f>
        <v/>
      </c>
      <c r="O918" s="28" t="str">
        <f aca="true">IF(J918="","",N918+MAX(0,ROUNDUP((TODAY()-N918)/(J918*7),0))*J918*7)</f>
        <v/>
      </c>
      <c r="P918" s="27" t="str">
        <f aca="false">IF(J918="","",MOD(K918-1,J918*4))</f>
        <v/>
      </c>
      <c r="Q918" s="27" t="str">
        <f aca="false">IF(J918="","",MOD(P918,4))</f>
        <v/>
      </c>
      <c r="R918" s="27" t="str">
        <f aca="false">IF(J918="","",INT(P918/4))</f>
        <v/>
      </c>
      <c r="S918" s="27" t="str">
        <f aca="false">IF(J918="","",IF(AND('Daily Count Sheet'!$H$3=Q918,MOD('Daily Count Sheet'!$I$3,J918)=R918),1,""))</f>
        <v/>
      </c>
      <c r="T918" s="27" t="str">
        <f aca="false">IF(S918=1,COUNTIF($S$2:S918,1),"")</f>
        <v/>
      </c>
    </row>
    <row r="919" customFormat="false" ht="15" hidden="false" customHeight="false" outlineLevel="0" collapsed="false">
      <c r="H919" s="26"/>
      <c r="I919" s="27" t="str">
        <f aca="false">IF(A919="","",IF(H919&lt;&gt;"",UPPER(TRIM(H919)),IFERROR(CHOOSE(VALUE(E919)+1,"A","B","C","D"),IF(OR(LEFT(UPPER(TRIM(E919)),1)="F",UPPER(TRIM(E919))="A"),"A",IF(OR(LEFT(UPPER(TRIM(E919)),1)="M",UPPER(TRIM(E919))="B"),"B",IF(OR(LEFT(UPPER(TRIM(E919)),2)="SL",UPPER(TRIM(E919))="C"),"C",IF(OR(LEFT(UPPER(TRIM(E919)),1)="D",UPPER(TRIM(E919))="D"),"D","")))))))</f>
        <v/>
      </c>
      <c r="J919" s="27" t="str">
        <f aca="false">IF(I919="","",IF(AND(I919="D",Settings!$B$6&lt;&gt;"Yes"),"",IFERROR(INDEX(Settings!$C$9:$C$12,MATCH(I919,Settings!$A$9:$A$12,0)),"")))</f>
        <v/>
      </c>
      <c r="K919" s="27" t="str">
        <f aca="false">IF(J919="","",COUNTIF($I$2:I919,I919))</f>
        <v/>
      </c>
      <c r="L919" s="27" t="str">
        <f aca="false">IF(J919="","",CHOOSE(Q919+1,"Tue","Wed","Thu","Fri"))</f>
        <v/>
      </c>
      <c r="M919" s="27" t="str">
        <f aca="false">IF(J919="","",IF(J919=1,"Every week",R919+1&amp;" of "&amp;J919))</f>
        <v/>
      </c>
      <c r="N919" s="28" t="str">
        <f aca="false">IF(J919="","",Settings!$B$4+R919*7+Q919)</f>
        <v/>
      </c>
      <c r="O919" s="28" t="str">
        <f aca="true">IF(J919="","",N919+MAX(0,ROUNDUP((TODAY()-N919)/(J919*7),0))*J919*7)</f>
        <v/>
      </c>
      <c r="P919" s="27" t="str">
        <f aca="false">IF(J919="","",MOD(K919-1,J919*4))</f>
        <v/>
      </c>
      <c r="Q919" s="27" t="str">
        <f aca="false">IF(J919="","",MOD(P919,4))</f>
        <v/>
      </c>
      <c r="R919" s="27" t="str">
        <f aca="false">IF(J919="","",INT(P919/4))</f>
        <v/>
      </c>
      <c r="S919" s="27" t="str">
        <f aca="false">IF(J919="","",IF(AND('Daily Count Sheet'!$H$3=Q919,MOD('Daily Count Sheet'!$I$3,J919)=R919),1,""))</f>
        <v/>
      </c>
      <c r="T919" s="27" t="str">
        <f aca="false">IF(S919=1,COUNTIF($S$2:S919,1),"")</f>
        <v/>
      </c>
    </row>
    <row r="920" customFormat="false" ht="15" hidden="false" customHeight="false" outlineLevel="0" collapsed="false">
      <c r="H920" s="26"/>
      <c r="I920" s="27" t="str">
        <f aca="false">IF(A920="","",IF(H920&lt;&gt;"",UPPER(TRIM(H920)),IFERROR(CHOOSE(VALUE(E920)+1,"A","B","C","D"),IF(OR(LEFT(UPPER(TRIM(E920)),1)="F",UPPER(TRIM(E920))="A"),"A",IF(OR(LEFT(UPPER(TRIM(E920)),1)="M",UPPER(TRIM(E920))="B"),"B",IF(OR(LEFT(UPPER(TRIM(E920)),2)="SL",UPPER(TRIM(E920))="C"),"C",IF(OR(LEFT(UPPER(TRIM(E920)),1)="D",UPPER(TRIM(E920))="D"),"D","")))))))</f>
        <v/>
      </c>
      <c r="J920" s="27" t="str">
        <f aca="false">IF(I920="","",IF(AND(I920="D",Settings!$B$6&lt;&gt;"Yes"),"",IFERROR(INDEX(Settings!$C$9:$C$12,MATCH(I920,Settings!$A$9:$A$12,0)),"")))</f>
        <v/>
      </c>
      <c r="K920" s="27" t="str">
        <f aca="false">IF(J920="","",COUNTIF($I$2:I920,I920))</f>
        <v/>
      </c>
      <c r="L920" s="27" t="str">
        <f aca="false">IF(J920="","",CHOOSE(Q920+1,"Tue","Wed","Thu","Fri"))</f>
        <v/>
      </c>
      <c r="M920" s="27" t="str">
        <f aca="false">IF(J920="","",IF(J920=1,"Every week",R920+1&amp;" of "&amp;J920))</f>
        <v/>
      </c>
      <c r="N920" s="28" t="str">
        <f aca="false">IF(J920="","",Settings!$B$4+R920*7+Q920)</f>
        <v/>
      </c>
      <c r="O920" s="28" t="str">
        <f aca="true">IF(J920="","",N920+MAX(0,ROUNDUP((TODAY()-N920)/(J920*7),0))*J920*7)</f>
        <v/>
      </c>
      <c r="P920" s="27" t="str">
        <f aca="false">IF(J920="","",MOD(K920-1,J920*4))</f>
        <v/>
      </c>
      <c r="Q920" s="27" t="str">
        <f aca="false">IF(J920="","",MOD(P920,4))</f>
        <v/>
      </c>
      <c r="R920" s="27" t="str">
        <f aca="false">IF(J920="","",INT(P920/4))</f>
        <v/>
      </c>
      <c r="S920" s="27" t="str">
        <f aca="false">IF(J920="","",IF(AND('Daily Count Sheet'!$H$3=Q920,MOD('Daily Count Sheet'!$I$3,J920)=R920),1,""))</f>
        <v/>
      </c>
      <c r="T920" s="27" t="str">
        <f aca="false">IF(S920=1,COUNTIF($S$2:S920,1),"")</f>
        <v/>
      </c>
    </row>
    <row r="921" customFormat="false" ht="15" hidden="false" customHeight="false" outlineLevel="0" collapsed="false">
      <c r="H921" s="26"/>
      <c r="I921" s="27" t="str">
        <f aca="false">IF(A921="","",IF(H921&lt;&gt;"",UPPER(TRIM(H921)),IFERROR(CHOOSE(VALUE(E921)+1,"A","B","C","D"),IF(OR(LEFT(UPPER(TRIM(E921)),1)="F",UPPER(TRIM(E921))="A"),"A",IF(OR(LEFT(UPPER(TRIM(E921)),1)="M",UPPER(TRIM(E921))="B"),"B",IF(OR(LEFT(UPPER(TRIM(E921)),2)="SL",UPPER(TRIM(E921))="C"),"C",IF(OR(LEFT(UPPER(TRIM(E921)),1)="D",UPPER(TRIM(E921))="D"),"D","")))))))</f>
        <v/>
      </c>
      <c r="J921" s="27" t="str">
        <f aca="false">IF(I921="","",IF(AND(I921="D",Settings!$B$6&lt;&gt;"Yes"),"",IFERROR(INDEX(Settings!$C$9:$C$12,MATCH(I921,Settings!$A$9:$A$12,0)),"")))</f>
        <v/>
      </c>
      <c r="K921" s="27" t="str">
        <f aca="false">IF(J921="","",COUNTIF($I$2:I921,I921))</f>
        <v/>
      </c>
      <c r="L921" s="27" t="str">
        <f aca="false">IF(J921="","",CHOOSE(Q921+1,"Tue","Wed","Thu","Fri"))</f>
        <v/>
      </c>
      <c r="M921" s="27" t="str">
        <f aca="false">IF(J921="","",IF(J921=1,"Every week",R921+1&amp;" of "&amp;J921))</f>
        <v/>
      </c>
      <c r="N921" s="28" t="str">
        <f aca="false">IF(J921="","",Settings!$B$4+R921*7+Q921)</f>
        <v/>
      </c>
      <c r="O921" s="28" t="str">
        <f aca="true">IF(J921="","",N921+MAX(0,ROUNDUP((TODAY()-N921)/(J921*7),0))*J921*7)</f>
        <v/>
      </c>
      <c r="P921" s="27" t="str">
        <f aca="false">IF(J921="","",MOD(K921-1,J921*4))</f>
        <v/>
      </c>
      <c r="Q921" s="27" t="str">
        <f aca="false">IF(J921="","",MOD(P921,4))</f>
        <v/>
      </c>
      <c r="R921" s="27" t="str">
        <f aca="false">IF(J921="","",INT(P921/4))</f>
        <v/>
      </c>
      <c r="S921" s="27" t="str">
        <f aca="false">IF(J921="","",IF(AND('Daily Count Sheet'!$H$3=Q921,MOD('Daily Count Sheet'!$I$3,J921)=R921),1,""))</f>
        <v/>
      </c>
      <c r="T921" s="27" t="str">
        <f aca="false">IF(S921=1,COUNTIF($S$2:S921,1),"")</f>
        <v/>
      </c>
    </row>
    <row r="922" customFormat="false" ht="15" hidden="false" customHeight="false" outlineLevel="0" collapsed="false">
      <c r="H922" s="26"/>
      <c r="I922" s="27" t="str">
        <f aca="false">IF(A922="","",IF(H922&lt;&gt;"",UPPER(TRIM(H922)),IFERROR(CHOOSE(VALUE(E922)+1,"A","B","C","D"),IF(OR(LEFT(UPPER(TRIM(E922)),1)="F",UPPER(TRIM(E922))="A"),"A",IF(OR(LEFT(UPPER(TRIM(E922)),1)="M",UPPER(TRIM(E922))="B"),"B",IF(OR(LEFT(UPPER(TRIM(E922)),2)="SL",UPPER(TRIM(E922))="C"),"C",IF(OR(LEFT(UPPER(TRIM(E922)),1)="D",UPPER(TRIM(E922))="D"),"D","")))))))</f>
        <v/>
      </c>
      <c r="J922" s="27" t="str">
        <f aca="false">IF(I922="","",IF(AND(I922="D",Settings!$B$6&lt;&gt;"Yes"),"",IFERROR(INDEX(Settings!$C$9:$C$12,MATCH(I922,Settings!$A$9:$A$12,0)),"")))</f>
        <v/>
      </c>
      <c r="K922" s="27" t="str">
        <f aca="false">IF(J922="","",COUNTIF($I$2:I922,I922))</f>
        <v/>
      </c>
      <c r="L922" s="27" t="str">
        <f aca="false">IF(J922="","",CHOOSE(Q922+1,"Tue","Wed","Thu","Fri"))</f>
        <v/>
      </c>
      <c r="M922" s="27" t="str">
        <f aca="false">IF(J922="","",IF(J922=1,"Every week",R922+1&amp;" of "&amp;J922))</f>
        <v/>
      </c>
      <c r="N922" s="28" t="str">
        <f aca="false">IF(J922="","",Settings!$B$4+R922*7+Q922)</f>
        <v/>
      </c>
      <c r="O922" s="28" t="str">
        <f aca="true">IF(J922="","",N922+MAX(0,ROUNDUP((TODAY()-N922)/(J922*7),0))*J922*7)</f>
        <v/>
      </c>
      <c r="P922" s="27" t="str">
        <f aca="false">IF(J922="","",MOD(K922-1,J922*4))</f>
        <v/>
      </c>
      <c r="Q922" s="27" t="str">
        <f aca="false">IF(J922="","",MOD(P922,4))</f>
        <v/>
      </c>
      <c r="R922" s="27" t="str">
        <f aca="false">IF(J922="","",INT(P922/4))</f>
        <v/>
      </c>
      <c r="S922" s="27" t="str">
        <f aca="false">IF(J922="","",IF(AND('Daily Count Sheet'!$H$3=Q922,MOD('Daily Count Sheet'!$I$3,J922)=R922),1,""))</f>
        <v/>
      </c>
      <c r="T922" s="27" t="str">
        <f aca="false">IF(S922=1,COUNTIF($S$2:S922,1),"")</f>
        <v/>
      </c>
    </row>
    <row r="923" customFormat="false" ht="15" hidden="false" customHeight="false" outlineLevel="0" collapsed="false">
      <c r="H923" s="26"/>
      <c r="I923" s="27" t="str">
        <f aca="false">IF(A923="","",IF(H923&lt;&gt;"",UPPER(TRIM(H923)),IFERROR(CHOOSE(VALUE(E923)+1,"A","B","C","D"),IF(OR(LEFT(UPPER(TRIM(E923)),1)="F",UPPER(TRIM(E923))="A"),"A",IF(OR(LEFT(UPPER(TRIM(E923)),1)="M",UPPER(TRIM(E923))="B"),"B",IF(OR(LEFT(UPPER(TRIM(E923)),2)="SL",UPPER(TRIM(E923))="C"),"C",IF(OR(LEFT(UPPER(TRIM(E923)),1)="D",UPPER(TRIM(E923))="D"),"D","")))))))</f>
        <v/>
      </c>
      <c r="J923" s="27" t="str">
        <f aca="false">IF(I923="","",IF(AND(I923="D",Settings!$B$6&lt;&gt;"Yes"),"",IFERROR(INDEX(Settings!$C$9:$C$12,MATCH(I923,Settings!$A$9:$A$12,0)),"")))</f>
        <v/>
      </c>
      <c r="K923" s="27" t="str">
        <f aca="false">IF(J923="","",COUNTIF($I$2:I923,I923))</f>
        <v/>
      </c>
      <c r="L923" s="27" t="str">
        <f aca="false">IF(J923="","",CHOOSE(Q923+1,"Tue","Wed","Thu","Fri"))</f>
        <v/>
      </c>
      <c r="M923" s="27" t="str">
        <f aca="false">IF(J923="","",IF(J923=1,"Every week",R923+1&amp;" of "&amp;J923))</f>
        <v/>
      </c>
      <c r="N923" s="28" t="str">
        <f aca="false">IF(J923="","",Settings!$B$4+R923*7+Q923)</f>
        <v/>
      </c>
      <c r="O923" s="28" t="str">
        <f aca="true">IF(J923="","",N923+MAX(0,ROUNDUP((TODAY()-N923)/(J923*7),0))*J923*7)</f>
        <v/>
      </c>
      <c r="P923" s="27" t="str">
        <f aca="false">IF(J923="","",MOD(K923-1,J923*4))</f>
        <v/>
      </c>
      <c r="Q923" s="27" t="str">
        <f aca="false">IF(J923="","",MOD(P923,4))</f>
        <v/>
      </c>
      <c r="R923" s="27" t="str">
        <f aca="false">IF(J923="","",INT(P923/4))</f>
        <v/>
      </c>
      <c r="S923" s="27" t="str">
        <f aca="false">IF(J923="","",IF(AND('Daily Count Sheet'!$H$3=Q923,MOD('Daily Count Sheet'!$I$3,J923)=R923),1,""))</f>
        <v/>
      </c>
      <c r="T923" s="27" t="str">
        <f aca="false">IF(S923=1,COUNTIF($S$2:S923,1),"")</f>
        <v/>
      </c>
    </row>
    <row r="924" customFormat="false" ht="15" hidden="false" customHeight="false" outlineLevel="0" collapsed="false">
      <c r="H924" s="26"/>
      <c r="I924" s="27" t="str">
        <f aca="false">IF(A924="","",IF(H924&lt;&gt;"",UPPER(TRIM(H924)),IFERROR(CHOOSE(VALUE(E924)+1,"A","B","C","D"),IF(OR(LEFT(UPPER(TRIM(E924)),1)="F",UPPER(TRIM(E924))="A"),"A",IF(OR(LEFT(UPPER(TRIM(E924)),1)="M",UPPER(TRIM(E924))="B"),"B",IF(OR(LEFT(UPPER(TRIM(E924)),2)="SL",UPPER(TRIM(E924))="C"),"C",IF(OR(LEFT(UPPER(TRIM(E924)),1)="D",UPPER(TRIM(E924))="D"),"D","")))))))</f>
        <v/>
      </c>
      <c r="J924" s="27" t="str">
        <f aca="false">IF(I924="","",IF(AND(I924="D",Settings!$B$6&lt;&gt;"Yes"),"",IFERROR(INDEX(Settings!$C$9:$C$12,MATCH(I924,Settings!$A$9:$A$12,0)),"")))</f>
        <v/>
      </c>
      <c r="K924" s="27" t="str">
        <f aca="false">IF(J924="","",COUNTIF($I$2:I924,I924))</f>
        <v/>
      </c>
      <c r="L924" s="27" t="str">
        <f aca="false">IF(J924="","",CHOOSE(Q924+1,"Tue","Wed","Thu","Fri"))</f>
        <v/>
      </c>
      <c r="M924" s="27" t="str">
        <f aca="false">IF(J924="","",IF(J924=1,"Every week",R924+1&amp;" of "&amp;J924))</f>
        <v/>
      </c>
      <c r="N924" s="28" t="str">
        <f aca="false">IF(J924="","",Settings!$B$4+R924*7+Q924)</f>
        <v/>
      </c>
      <c r="O924" s="28" t="str">
        <f aca="true">IF(J924="","",N924+MAX(0,ROUNDUP((TODAY()-N924)/(J924*7),0))*J924*7)</f>
        <v/>
      </c>
      <c r="P924" s="27" t="str">
        <f aca="false">IF(J924="","",MOD(K924-1,J924*4))</f>
        <v/>
      </c>
      <c r="Q924" s="27" t="str">
        <f aca="false">IF(J924="","",MOD(P924,4))</f>
        <v/>
      </c>
      <c r="R924" s="27" t="str">
        <f aca="false">IF(J924="","",INT(P924/4))</f>
        <v/>
      </c>
      <c r="S924" s="27" t="str">
        <f aca="false">IF(J924="","",IF(AND('Daily Count Sheet'!$H$3=Q924,MOD('Daily Count Sheet'!$I$3,J924)=R924),1,""))</f>
        <v/>
      </c>
      <c r="T924" s="27" t="str">
        <f aca="false">IF(S924=1,COUNTIF($S$2:S924,1),"")</f>
        <v/>
      </c>
    </row>
    <row r="925" customFormat="false" ht="15" hidden="false" customHeight="false" outlineLevel="0" collapsed="false">
      <c r="H925" s="26"/>
      <c r="I925" s="27" t="str">
        <f aca="false">IF(A925="","",IF(H925&lt;&gt;"",UPPER(TRIM(H925)),IFERROR(CHOOSE(VALUE(E925)+1,"A","B","C","D"),IF(OR(LEFT(UPPER(TRIM(E925)),1)="F",UPPER(TRIM(E925))="A"),"A",IF(OR(LEFT(UPPER(TRIM(E925)),1)="M",UPPER(TRIM(E925))="B"),"B",IF(OR(LEFT(UPPER(TRIM(E925)),2)="SL",UPPER(TRIM(E925))="C"),"C",IF(OR(LEFT(UPPER(TRIM(E925)),1)="D",UPPER(TRIM(E925))="D"),"D","")))))))</f>
        <v/>
      </c>
      <c r="J925" s="27" t="str">
        <f aca="false">IF(I925="","",IF(AND(I925="D",Settings!$B$6&lt;&gt;"Yes"),"",IFERROR(INDEX(Settings!$C$9:$C$12,MATCH(I925,Settings!$A$9:$A$12,0)),"")))</f>
        <v/>
      </c>
      <c r="K925" s="27" t="str">
        <f aca="false">IF(J925="","",COUNTIF($I$2:I925,I925))</f>
        <v/>
      </c>
      <c r="L925" s="27" t="str">
        <f aca="false">IF(J925="","",CHOOSE(Q925+1,"Tue","Wed","Thu","Fri"))</f>
        <v/>
      </c>
      <c r="M925" s="27" t="str">
        <f aca="false">IF(J925="","",IF(J925=1,"Every week",R925+1&amp;" of "&amp;J925))</f>
        <v/>
      </c>
      <c r="N925" s="28" t="str">
        <f aca="false">IF(J925="","",Settings!$B$4+R925*7+Q925)</f>
        <v/>
      </c>
      <c r="O925" s="28" t="str">
        <f aca="true">IF(J925="","",N925+MAX(0,ROUNDUP((TODAY()-N925)/(J925*7),0))*J925*7)</f>
        <v/>
      </c>
      <c r="P925" s="27" t="str">
        <f aca="false">IF(J925="","",MOD(K925-1,J925*4))</f>
        <v/>
      </c>
      <c r="Q925" s="27" t="str">
        <f aca="false">IF(J925="","",MOD(P925,4))</f>
        <v/>
      </c>
      <c r="R925" s="27" t="str">
        <f aca="false">IF(J925="","",INT(P925/4))</f>
        <v/>
      </c>
      <c r="S925" s="27" t="str">
        <f aca="false">IF(J925="","",IF(AND('Daily Count Sheet'!$H$3=Q925,MOD('Daily Count Sheet'!$I$3,J925)=R925),1,""))</f>
        <v/>
      </c>
      <c r="T925" s="27" t="str">
        <f aca="false">IF(S925=1,COUNTIF($S$2:S925,1),"")</f>
        <v/>
      </c>
    </row>
    <row r="926" customFormat="false" ht="15" hidden="false" customHeight="false" outlineLevel="0" collapsed="false">
      <c r="H926" s="26"/>
      <c r="I926" s="27" t="str">
        <f aca="false">IF(A926="","",IF(H926&lt;&gt;"",UPPER(TRIM(H926)),IFERROR(CHOOSE(VALUE(E926)+1,"A","B","C","D"),IF(OR(LEFT(UPPER(TRIM(E926)),1)="F",UPPER(TRIM(E926))="A"),"A",IF(OR(LEFT(UPPER(TRIM(E926)),1)="M",UPPER(TRIM(E926))="B"),"B",IF(OR(LEFT(UPPER(TRIM(E926)),2)="SL",UPPER(TRIM(E926))="C"),"C",IF(OR(LEFT(UPPER(TRIM(E926)),1)="D",UPPER(TRIM(E926))="D"),"D","")))))))</f>
        <v/>
      </c>
      <c r="J926" s="27" t="str">
        <f aca="false">IF(I926="","",IF(AND(I926="D",Settings!$B$6&lt;&gt;"Yes"),"",IFERROR(INDEX(Settings!$C$9:$C$12,MATCH(I926,Settings!$A$9:$A$12,0)),"")))</f>
        <v/>
      </c>
      <c r="K926" s="27" t="str">
        <f aca="false">IF(J926="","",COUNTIF($I$2:I926,I926))</f>
        <v/>
      </c>
      <c r="L926" s="27" t="str">
        <f aca="false">IF(J926="","",CHOOSE(Q926+1,"Tue","Wed","Thu","Fri"))</f>
        <v/>
      </c>
      <c r="M926" s="27" t="str">
        <f aca="false">IF(J926="","",IF(J926=1,"Every week",R926+1&amp;" of "&amp;J926))</f>
        <v/>
      </c>
      <c r="N926" s="28" t="str">
        <f aca="false">IF(J926="","",Settings!$B$4+R926*7+Q926)</f>
        <v/>
      </c>
      <c r="O926" s="28" t="str">
        <f aca="true">IF(J926="","",N926+MAX(0,ROUNDUP((TODAY()-N926)/(J926*7),0))*J926*7)</f>
        <v/>
      </c>
      <c r="P926" s="27" t="str">
        <f aca="false">IF(J926="","",MOD(K926-1,J926*4))</f>
        <v/>
      </c>
      <c r="Q926" s="27" t="str">
        <f aca="false">IF(J926="","",MOD(P926,4))</f>
        <v/>
      </c>
      <c r="R926" s="27" t="str">
        <f aca="false">IF(J926="","",INT(P926/4))</f>
        <v/>
      </c>
      <c r="S926" s="27" t="str">
        <f aca="false">IF(J926="","",IF(AND('Daily Count Sheet'!$H$3=Q926,MOD('Daily Count Sheet'!$I$3,J926)=R926),1,""))</f>
        <v/>
      </c>
      <c r="T926" s="27" t="str">
        <f aca="false">IF(S926=1,COUNTIF($S$2:S926,1),"")</f>
        <v/>
      </c>
    </row>
    <row r="927" customFormat="false" ht="15" hidden="false" customHeight="false" outlineLevel="0" collapsed="false">
      <c r="H927" s="26"/>
      <c r="I927" s="27" t="str">
        <f aca="false">IF(A927="","",IF(H927&lt;&gt;"",UPPER(TRIM(H927)),IFERROR(CHOOSE(VALUE(E927)+1,"A","B","C","D"),IF(OR(LEFT(UPPER(TRIM(E927)),1)="F",UPPER(TRIM(E927))="A"),"A",IF(OR(LEFT(UPPER(TRIM(E927)),1)="M",UPPER(TRIM(E927))="B"),"B",IF(OR(LEFT(UPPER(TRIM(E927)),2)="SL",UPPER(TRIM(E927))="C"),"C",IF(OR(LEFT(UPPER(TRIM(E927)),1)="D",UPPER(TRIM(E927))="D"),"D","")))))))</f>
        <v/>
      </c>
      <c r="J927" s="27" t="str">
        <f aca="false">IF(I927="","",IF(AND(I927="D",Settings!$B$6&lt;&gt;"Yes"),"",IFERROR(INDEX(Settings!$C$9:$C$12,MATCH(I927,Settings!$A$9:$A$12,0)),"")))</f>
        <v/>
      </c>
      <c r="K927" s="27" t="str">
        <f aca="false">IF(J927="","",COUNTIF($I$2:I927,I927))</f>
        <v/>
      </c>
      <c r="L927" s="27" t="str">
        <f aca="false">IF(J927="","",CHOOSE(Q927+1,"Tue","Wed","Thu","Fri"))</f>
        <v/>
      </c>
      <c r="M927" s="27" t="str">
        <f aca="false">IF(J927="","",IF(J927=1,"Every week",R927+1&amp;" of "&amp;J927))</f>
        <v/>
      </c>
      <c r="N927" s="28" t="str">
        <f aca="false">IF(J927="","",Settings!$B$4+R927*7+Q927)</f>
        <v/>
      </c>
      <c r="O927" s="28" t="str">
        <f aca="true">IF(J927="","",N927+MAX(0,ROUNDUP((TODAY()-N927)/(J927*7),0))*J927*7)</f>
        <v/>
      </c>
      <c r="P927" s="27" t="str">
        <f aca="false">IF(J927="","",MOD(K927-1,J927*4))</f>
        <v/>
      </c>
      <c r="Q927" s="27" t="str">
        <f aca="false">IF(J927="","",MOD(P927,4))</f>
        <v/>
      </c>
      <c r="R927" s="27" t="str">
        <f aca="false">IF(J927="","",INT(P927/4))</f>
        <v/>
      </c>
      <c r="S927" s="27" t="str">
        <f aca="false">IF(J927="","",IF(AND('Daily Count Sheet'!$H$3=Q927,MOD('Daily Count Sheet'!$I$3,J927)=R927),1,""))</f>
        <v/>
      </c>
      <c r="T927" s="27" t="str">
        <f aca="false">IF(S927=1,COUNTIF($S$2:S927,1),"")</f>
        <v/>
      </c>
    </row>
    <row r="928" customFormat="false" ht="15" hidden="false" customHeight="false" outlineLevel="0" collapsed="false">
      <c r="H928" s="26"/>
      <c r="I928" s="27" t="str">
        <f aca="false">IF(A928="","",IF(H928&lt;&gt;"",UPPER(TRIM(H928)),IFERROR(CHOOSE(VALUE(E928)+1,"A","B","C","D"),IF(OR(LEFT(UPPER(TRIM(E928)),1)="F",UPPER(TRIM(E928))="A"),"A",IF(OR(LEFT(UPPER(TRIM(E928)),1)="M",UPPER(TRIM(E928))="B"),"B",IF(OR(LEFT(UPPER(TRIM(E928)),2)="SL",UPPER(TRIM(E928))="C"),"C",IF(OR(LEFT(UPPER(TRIM(E928)),1)="D",UPPER(TRIM(E928))="D"),"D","")))))))</f>
        <v/>
      </c>
      <c r="J928" s="27" t="str">
        <f aca="false">IF(I928="","",IF(AND(I928="D",Settings!$B$6&lt;&gt;"Yes"),"",IFERROR(INDEX(Settings!$C$9:$C$12,MATCH(I928,Settings!$A$9:$A$12,0)),"")))</f>
        <v/>
      </c>
      <c r="K928" s="27" t="str">
        <f aca="false">IF(J928="","",COUNTIF($I$2:I928,I928))</f>
        <v/>
      </c>
      <c r="L928" s="27" t="str">
        <f aca="false">IF(J928="","",CHOOSE(Q928+1,"Tue","Wed","Thu","Fri"))</f>
        <v/>
      </c>
      <c r="M928" s="27" t="str">
        <f aca="false">IF(J928="","",IF(J928=1,"Every week",R928+1&amp;" of "&amp;J928))</f>
        <v/>
      </c>
      <c r="N928" s="28" t="str">
        <f aca="false">IF(J928="","",Settings!$B$4+R928*7+Q928)</f>
        <v/>
      </c>
      <c r="O928" s="28" t="str">
        <f aca="true">IF(J928="","",N928+MAX(0,ROUNDUP((TODAY()-N928)/(J928*7),0))*J928*7)</f>
        <v/>
      </c>
      <c r="P928" s="27" t="str">
        <f aca="false">IF(J928="","",MOD(K928-1,J928*4))</f>
        <v/>
      </c>
      <c r="Q928" s="27" t="str">
        <f aca="false">IF(J928="","",MOD(P928,4))</f>
        <v/>
      </c>
      <c r="R928" s="27" t="str">
        <f aca="false">IF(J928="","",INT(P928/4))</f>
        <v/>
      </c>
      <c r="S928" s="27" t="str">
        <f aca="false">IF(J928="","",IF(AND('Daily Count Sheet'!$H$3=Q928,MOD('Daily Count Sheet'!$I$3,J928)=R928),1,""))</f>
        <v/>
      </c>
      <c r="T928" s="27" t="str">
        <f aca="false">IF(S928=1,COUNTIF($S$2:S928,1),"")</f>
        <v/>
      </c>
    </row>
    <row r="929" customFormat="false" ht="15" hidden="false" customHeight="false" outlineLevel="0" collapsed="false">
      <c r="H929" s="26"/>
      <c r="I929" s="27" t="str">
        <f aca="false">IF(A929="","",IF(H929&lt;&gt;"",UPPER(TRIM(H929)),IFERROR(CHOOSE(VALUE(E929)+1,"A","B","C","D"),IF(OR(LEFT(UPPER(TRIM(E929)),1)="F",UPPER(TRIM(E929))="A"),"A",IF(OR(LEFT(UPPER(TRIM(E929)),1)="M",UPPER(TRIM(E929))="B"),"B",IF(OR(LEFT(UPPER(TRIM(E929)),2)="SL",UPPER(TRIM(E929))="C"),"C",IF(OR(LEFT(UPPER(TRIM(E929)),1)="D",UPPER(TRIM(E929))="D"),"D","")))))))</f>
        <v/>
      </c>
      <c r="J929" s="27" t="str">
        <f aca="false">IF(I929="","",IF(AND(I929="D",Settings!$B$6&lt;&gt;"Yes"),"",IFERROR(INDEX(Settings!$C$9:$C$12,MATCH(I929,Settings!$A$9:$A$12,0)),"")))</f>
        <v/>
      </c>
      <c r="K929" s="27" t="str">
        <f aca="false">IF(J929="","",COUNTIF($I$2:I929,I929))</f>
        <v/>
      </c>
      <c r="L929" s="27" t="str">
        <f aca="false">IF(J929="","",CHOOSE(Q929+1,"Tue","Wed","Thu","Fri"))</f>
        <v/>
      </c>
      <c r="M929" s="27" t="str">
        <f aca="false">IF(J929="","",IF(J929=1,"Every week",R929+1&amp;" of "&amp;J929))</f>
        <v/>
      </c>
      <c r="N929" s="28" t="str">
        <f aca="false">IF(J929="","",Settings!$B$4+R929*7+Q929)</f>
        <v/>
      </c>
      <c r="O929" s="28" t="str">
        <f aca="true">IF(J929="","",N929+MAX(0,ROUNDUP((TODAY()-N929)/(J929*7),0))*J929*7)</f>
        <v/>
      </c>
      <c r="P929" s="27" t="str">
        <f aca="false">IF(J929="","",MOD(K929-1,J929*4))</f>
        <v/>
      </c>
      <c r="Q929" s="27" t="str">
        <f aca="false">IF(J929="","",MOD(P929,4))</f>
        <v/>
      </c>
      <c r="R929" s="27" t="str">
        <f aca="false">IF(J929="","",INT(P929/4))</f>
        <v/>
      </c>
      <c r="S929" s="27" t="str">
        <f aca="false">IF(J929="","",IF(AND('Daily Count Sheet'!$H$3=Q929,MOD('Daily Count Sheet'!$I$3,J929)=R929),1,""))</f>
        <v/>
      </c>
      <c r="T929" s="27" t="str">
        <f aca="false">IF(S929=1,COUNTIF($S$2:S929,1),"")</f>
        <v/>
      </c>
    </row>
    <row r="930" customFormat="false" ht="15" hidden="false" customHeight="false" outlineLevel="0" collapsed="false">
      <c r="H930" s="26"/>
      <c r="I930" s="27" t="str">
        <f aca="false">IF(A930="","",IF(H930&lt;&gt;"",UPPER(TRIM(H930)),IFERROR(CHOOSE(VALUE(E930)+1,"A","B","C","D"),IF(OR(LEFT(UPPER(TRIM(E930)),1)="F",UPPER(TRIM(E930))="A"),"A",IF(OR(LEFT(UPPER(TRIM(E930)),1)="M",UPPER(TRIM(E930))="B"),"B",IF(OR(LEFT(UPPER(TRIM(E930)),2)="SL",UPPER(TRIM(E930))="C"),"C",IF(OR(LEFT(UPPER(TRIM(E930)),1)="D",UPPER(TRIM(E930))="D"),"D","")))))))</f>
        <v/>
      </c>
      <c r="J930" s="27" t="str">
        <f aca="false">IF(I930="","",IF(AND(I930="D",Settings!$B$6&lt;&gt;"Yes"),"",IFERROR(INDEX(Settings!$C$9:$C$12,MATCH(I930,Settings!$A$9:$A$12,0)),"")))</f>
        <v/>
      </c>
      <c r="K930" s="27" t="str">
        <f aca="false">IF(J930="","",COUNTIF($I$2:I930,I930))</f>
        <v/>
      </c>
      <c r="L930" s="27" t="str">
        <f aca="false">IF(J930="","",CHOOSE(Q930+1,"Tue","Wed","Thu","Fri"))</f>
        <v/>
      </c>
      <c r="M930" s="27" t="str">
        <f aca="false">IF(J930="","",IF(J930=1,"Every week",R930+1&amp;" of "&amp;J930))</f>
        <v/>
      </c>
      <c r="N930" s="28" t="str">
        <f aca="false">IF(J930="","",Settings!$B$4+R930*7+Q930)</f>
        <v/>
      </c>
      <c r="O930" s="28" t="str">
        <f aca="true">IF(J930="","",N930+MAX(0,ROUNDUP((TODAY()-N930)/(J930*7),0))*J930*7)</f>
        <v/>
      </c>
      <c r="P930" s="27" t="str">
        <f aca="false">IF(J930="","",MOD(K930-1,J930*4))</f>
        <v/>
      </c>
      <c r="Q930" s="27" t="str">
        <f aca="false">IF(J930="","",MOD(P930,4))</f>
        <v/>
      </c>
      <c r="R930" s="27" t="str">
        <f aca="false">IF(J930="","",INT(P930/4))</f>
        <v/>
      </c>
      <c r="S930" s="27" t="str">
        <f aca="false">IF(J930="","",IF(AND('Daily Count Sheet'!$H$3=Q930,MOD('Daily Count Sheet'!$I$3,J930)=R930),1,""))</f>
        <v/>
      </c>
      <c r="T930" s="27" t="str">
        <f aca="false">IF(S930=1,COUNTIF($S$2:S930,1),"")</f>
        <v/>
      </c>
    </row>
    <row r="931" customFormat="false" ht="15" hidden="false" customHeight="false" outlineLevel="0" collapsed="false">
      <c r="H931" s="26"/>
      <c r="I931" s="27" t="str">
        <f aca="false">IF(A931="","",IF(H931&lt;&gt;"",UPPER(TRIM(H931)),IFERROR(CHOOSE(VALUE(E931)+1,"A","B","C","D"),IF(OR(LEFT(UPPER(TRIM(E931)),1)="F",UPPER(TRIM(E931))="A"),"A",IF(OR(LEFT(UPPER(TRIM(E931)),1)="M",UPPER(TRIM(E931))="B"),"B",IF(OR(LEFT(UPPER(TRIM(E931)),2)="SL",UPPER(TRIM(E931))="C"),"C",IF(OR(LEFT(UPPER(TRIM(E931)),1)="D",UPPER(TRIM(E931))="D"),"D","")))))))</f>
        <v/>
      </c>
      <c r="J931" s="27" t="str">
        <f aca="false">IF(I931="","",IF(AND(I931="D",Settings!$B$6&lt;&gt;"Yes"),"",IFERROR(INDEX(Settings!$C$9:$C$12,MATCH(I931,Settings!$A$9:$A$12,0)),"")))</f>
        <v/>
      </c>
      <c r="K931" s="27" t="str">
        <f aca="false">IF(J931="","",COUNTIF($I$2:I931,I931))</f>
        <v/>
      </c>
      <c r="L931" s="27" t="str">
        <f aca="false">IF(J931="","",CHOOSE(Q931+1,"Tue","Wed","Thu","Fri"))</f>
        <v/>
      </c>
      <c r="M931" s="27" t="str">
        <f aca="false">IF(J931="","",IF(J931=1,"Every week",R931+1&amp;" of "&amp;J931))</f>
        <v/>
      </c>
      <c r="N931" s="28" t="str">
        <f aca="false">IF(J931="","",Settings!$B$4+R931*7+Q931)</f>
        <v/>
      </c>
      <c r="O931" s="28" t="str">
        <f aca="true">IF(J931="","",N931+MAX(0,ROUNDUP((TODAY()-N931)/(J931*7),0))*J931*7)</f>
        <v/>
      </c>
      <c r="P931" s="27" t="str">
        <f aca="false">IF(J931="","",MOD(K931-1,J931*4))</f>
        <v/>
      </c>
      <c r="Q931" s="27" t="str">
        <f aca="false">IF(J931="","",MOD(P931,4))</f>
        <v/>
      </c>
      <c r="R931" s="27" t="str">
        <f aca="false">IF(J931="","",INT(P931/4))</f>
        <v/>
      </c>
      <c r="S931" s="27" t="str">
        <f aca="false">IF(J931="","",IF(AND('Daily Count Sheet'!$H$3=Q931,MOD('Daily Count Sheet'!$I$3,J931)=R931),1,""))</f>
        <v/>
      </c>
      <c r="T931" s="27" t="str">
        <f aca="false">IF(S931=1,COUNTIF($S$2:S931,1),"")</f>
        <v/>
      </c>
    </row>
    <row r="932" customFormat="false" ht="15" hidden="false" customHeight="false" outlineLevel="0" collapsed="false">
      <c r="H932" s="26"/>
      <c r="I932" s="27" t="str">
        <f aca="false">IF(A932="","",IF(H932&lt;&gt;"",UPPER(TRIM(H932)),IFERROR(CHOOSE(VALUE(E932)+1,"A","B","C","D"),IF(OR(LEFT(UPPER(TRIM(E932)),1)="F",UPPER(TRIM(E932))="A"),"A",IF(OR(LEFT(UPPER(TRIM(E932)),1)="M",UPPER(TRIM(E932))="B"),"B",IF(OR(LEFT(UPPER(TRIM(E932)),2)="SL",UPPER(TRIM(E932))="C"),"C",IF(OR(LEFT(UPPER(TRIM(E932)),1)="D",UPPER(TRIM(E932))="D"),"D","")))))))</f>
        <v/>
      </c>
      <c r="J932" s="27" t="str">
        <f aca="false">IF(I932="","",IF(AND(I932="D",Settings!$B$6&lt;&gt;"Yes"),"",IFERROR(INDEX(Settings!$C$9:$C$12,MATCH(I932,Settings!$A$9:$A$12,0)),"")))</f>
        <v/>
      </c>
      <c r="K932" s="27" t="str">
        <f aca="false">IF(J932="","",COUNTIF($I$2:I932,I932))</f>
        <v/>
      </c>
      <c r="L932" s="27" t="str">
        <f aca="false">IF(J932="","",CHOOSE(Q932+1,"Tue","Wed","Thu","Fri"))</f>
        <v/>
      </c>
      <c r="M932" s="27" t="str">
        <f aca="false">IF(J932="","",IF(J932=1,"Every week",R932+1&amp;" of "&amp;J932))</f>
        <v/>
      </c>
      <c r="N932" s="28" t="str">
        <f aca="false">IF(J932="","",Settings!$B$4+R932*7+Q932)</f>
        <v/>
      </c>
      <c r="O932" s="28" t="str">
        <f aca="true">IF(J932="","",N932+MAX(0,ROUNDUP((TODAY()-N932)/(J932*7),0))*J932*7)</f>
        <v/>
      </c>
      <c r="P932" s="27" t="str">
        <f aca="false">IF(J932="","",MOD(K932-1,J932*4))</f>
        <v/>
      </c>
      <c r="Q932" s="27" t="str">
        <f aca="false">IF(J932="","",MOD(P932,4))</f>
        <v/>
      </c>
      <c r="R932" s="27" t="str">
        <f aca="false">IF(J932="","",INT(P932/4))</f>
        <v/>
      </c>
      <c r="S932" s="27" t="str">
        <f aca="false">IF(J932="","",IF(AND('Daily Count Sheet'!$H$3=Q932,MOD('Daily Count Sheet'!$I$3,J932)=R932),1,""))</f>
        <v/>
      </c>
      <c r="T932" s="27" t="str">
        <f aca="false">IF(S932=1,COUNTIF($S$2:S932,1),"")</f>
        <v/>
      </c>
    </row>
    <row r="933" customFormat="false" ht="15" hidden="false" customHeight="false" outlineLevel="0" collapsed="false">
      <c r="H933" s="26"/>
      <c r="I933" s="27" t="str">
        <f aca="false">IF(A933="","",IF(H933&lt;&gt;"",UPPER(TRIM(H933)),IFERROR(CHOOSE(VALUE(E933)+1,"A","B","C","D"),IF(OR(LEFT(UPPER(TRIM(E933)),1)="F",UPPER(TRIM(E933))="A"),"A",IF(OR(LEFT(UPPER(TRIM(E933)),1)="M",UPPER(TRIM(E933))="B"),"B",IF(OR(LEFT(UPPER(TRIM(E933)),2)="SL",UPPER(TRIM(E933))="C"),"C",IF(OR(LEFT(UPPER(TRIM(E933)),1)="D",UPPER(TRIM(E933))="D"),"D","")))))))</f>
        <v/>
      </c>
      <c r="J933" s="27" t="str">
        <f aca="false">IF(I933="","",IF(AND(I933="D",Settings!$B$6&lt;&gt;"Yes"),"",IFERROR(INDEX(Settings!$C$9:$C$12,MATCH(I933,Settings!$A$9:$A$12,0)),"")))</f>
        <v/>
      </c>
      <c r="K933" s="27" t="str">
        <f aca="false">IF(J933="","",COUNTIF($I$2:I933,I933))</f>
        <v/>
      </c>
      <c r="L933" s="27" t="str">
        <f aca="false">IF(J933="","",CHOOSE(Q933+1,"Tue","Wed","Thu","Fri"))</f>
        <v/>
      </c>
      <c r="M933" s="27" t="str">
        <f aca="false">IF(J933="","",IF(J933=1,"Every week",R933+1&amp;" of "&amp;J933))</f>
        <v/>
      </c>
      <c r="N933" s="28" t="str">
        <f aca="false">IF(J933="","",Settings!$B$4+R933*7+Q933)</f>
        <v/>
      </c>
      <c r="O933" s="28" t="str">
        <f aca="true">IF(J933="","",N933+MAX(0,ROUNDUP((TODAY()-N933)/(J933*7),0))*J933*7)</f>
        <v/>
      </c>
      <c r="P933" s="27" t="str">
        <f aca="false">IF(J933="","",MOD(K933-1,J933*4))</f>
        <v/>
      </c>
      <c r="Q933" s="27" t="str">
        <f aca="false">IF(J933="","",MOD(P933,4))</f>
        <v/>
      </c>
      <c r="R933" s="27" t="str">
        <f aca="false">IF(J933="","",INT(P933/4))</f>
        <v/>
      </c>
      <c r="S933" s="27" t="str">
        <f aca="false">IF(J933="","",IF(AND('Daily Count Sheet'!$H$3=Q933,MOD('Daily Count Sheet'!$I$3,J933)=R933),1,""))</f>
        <v/>
      </c>
      <c r="T933" s="27" t="str">
        <f aca="false">IF(S933=1,COUNTIF($S$2:S933,1),"")</f>
        <v/>
      </c>
    </row>
    <row r="934" customFormat="false" ht="15" hidden="false" customHeight="false" outlineLevel="0" collapsed="false">
      <c r="H934" s="26"/>
      <c r="I934" s="27" t="str">
        <f aca="false">IF(A934="","",IF(H934&lt;&gt;"",UPPER(TRIM(H934)),IFERROR(CHOOSE(VALUE(E934)+1,"A","B","C","D"),IF(OR(LEFT(UPPER(TRIM(E934)),1)="F",UPPER(TRIM(E934))="A"),"A",IF(OR(LEFT(UPPER(TRIM(E934)),1)="M",UPPER(TRIM(E934))="B"),"B",IF(OR(LEFT(UPPER(TRIM(E934)),2)="SL",UPPER(TRIM(E934))="C"),"C",IF(OR(LEFT(UPPER(TRIM(E934)),1)="D",UPPER(TRIM(E934))="D"),"D","")))))))</f>
        <v/>
      </c>
      <c r="J934" s="27" t="str">
        <f aca="false">IF(I934="","",IF(AND(I934="D",Settings!$B$6&lt;&gt;"Yes"),"",IFERROR(INDEX(Settings!$C$9:$C$12,MATCH(I934,Settings!$A$9:$A$12,0)),"")))</f>
        <v/>
      </c>
      <c r="K934" s="27" t="str">
        <f aca="false">IF(J934="","",COUNTIF($I$2:I934,I934))</f>
        <v/>
      </c>
      <c r="L934" s="27" t="str">
        <f aca="false">IF(J934="","",CHOOSE(Q934+1,"Tue","Wed","Thu","Fri"))</f>
        <v/>
      </c>
      <c r="M934" s="27" t="str">
        <f aca="false">IF(J934="","",IF(J934=1,"Every week",R934+1&amp;" of "&amp;J934))</f>
        <v/>
      </c>
      <c r="N934" s="28" t="str">
        <f aca="false">IF(J934="","",Settings!$B$4+R934*7+Q934)</f>
        <v/>
      </c>
      <c r="O934" s="28" t="str">
        <f aca="true">IF(J934="","",N934+MAX(0,ROUNDUP((TODAY()-N934)/(J934*7),0))*J934*7)</f>
        <v/>
      </c>
      <c r="P934" s="27" t="str">
        <f aca="false">IF(J934="","",MOD(K934-1,J934*4))</f>
        <v/>
      </c>
      <c r="Q934" s="27" t="str">
        <f aca="false">IF(J934="","",MOD(P934,4))</f>
        <v/>
      </c>
      <c r="R934" s="27" t="str">
        <f aca="false">IF(J934="","",INT(P934/4))</f>
        <v/>
      </c>
      <c r="S934" s="27" t="str">
        <f aca="false">IF(J934="","",IF(AND('Daily Count Sheet'!$H$3=Q934,MOD('Daily Count Sheet'!$I$3,J934)=R934),1,""))</f>
        <v/>
      </c>
      <c r="T934" s="27" t="str">
        <f aca="false">IF(S934=1,COUNTIF($S$2:S934,1),"")</f>
        <v/>
      </c>
    </row>
    <row r="935" customFormat="false" ht="15" hidden="false" customHeight="false" outlineLevel="0" collapsed="false">
      <c r="H935" s="26"/>
      <c r="I935" s="27" t="str">
        <f aca="false">IF(A935="","",IF(H935&lt;&gt;"",UPPER(TRIM(H935)),IFERROR(CHOOSE(VALUE(E935)+1,"A","B","C","D"),IF(OR(LEFT(UPPER(TRIM(E935)),1)="F",UPPER(TRIM(E935))="A"),"A",IF(OR(LEFT(UPPER(TRIM(E935)),1)="M",UPPER(TRIM(E935))="B"),"B",IF(OR(LEFT(UPPER(TRIM(E935)),2)="SL",UPPER(TRIM(E935))="C"),"C",IF(OR(LEFT(UPPER(TRIM(E935)),1)="D",UPPER(TRIM(E935))="D"),"D","")))))))</f>
        <v/>
      </c>
      <c r="J935" s="27" t="str">
        <f aca="false">IF(I935="","",IF(AND(I935="D",Settings!$B$6&lt;&gt;"Yes"),"",IFERROR(INDEX(Settings!$C$9:$C$12,MATCH(I935,Settings!$A$9:$A$12,0)),"")))</f>
        <v/>
      </c>
      <c r="K935" s="27" t="str">
        <f aca="false">IF(J935="","",COUNTIF($I$2:I935,I935))</f>
        <v/>
      </c>
      <c r="L935" s="27" t="str">
        <f aca="false">IF(J935="","",CHOOSE(Q935+1,"Tue","Wed","Thu","Fri"))</f>
        <v/>
      </c>
      <c r="M935" s="27" t="str">
        <f aca="false">IF(J935="","",IF(J935=1,"Every week",R935+1&amp;" of "&amp;J935))</f>
        <v/>
      </c>
      <c r="N935" s="28" t="str">
        <f aca="false">IF(J935="","",Settings!$B$4+R935*7+Q935)</f>
        <v/>
      </c>
      <c r="O935" s="28" t="str">
        <f aca="true">IF(J935="","",N935+MAX(0,ROUNDUP((TODAY()-N935)/(J935*7),0))*J935*7)</f>
        <v/>
      </c>
      <c r="P935" s="27" t="str">
        <f aca="false">IF(J935="","",MOD(K935-1,J935*4))</f>
        <v/>
      </c>
      <c r="Q935" s="27" t="str">
        <f aca="false">IF(J935="","",MOD(P935,4))</f>
        <v/>
      </c>
      <c r="R935" s="27" t="str">
        <f aca="false">IF(J935="","",INT(P935/4))</f>
        <v/>
      </c>
      <c r="S935" s="27" t="str">
        <f aca="false">IF(J935="","",IF(AND('Daily Count Sheet'!$H$3=Q935,MOD('Daily Count Sheet'!$I$3,J935)=R935),1,""))</f>
        <v/>
      </c>
      <c r="T935" s="27" t="str">
        <f aca="false">IF(S935=1,COUNTIF($S$2:S935,1),"")</f>
        <v/>
      </c>
    </row>
    <row r="936" customFormat="false" ht="15" hidden="false" customHeight="false" outlineLevel="0" collapsed="false">
      <c r="H936" s="26"/>
      <c r="I936" s="27" t="str">
        <f aca="false">IF(A936="","",IF(H936&lt;&gt;"",UPPER(TRIM(H936)),IFERROR(CHOOSE(VALUE(E936)+1,"A","B","C","D"),IF(OR(LEFT(UPPER(TRIM(E936)),1)="F",UPPER(TRIM(E936))="A"),"A",IF(OR(LEFT(UPPER(TRIM(E936)),1)="M",UPPER(TRIM(E936))="B"),"B",IF(OR(LEFT(UPPER(TRIM(E936)),2)="SL",UPPER(TRIM(E936))="C"),"C",IF(OR(LEFT(UPPER(TRIM(E936)),1)="D",UPPER(TRIM(E936))="D"),"D","")))))))</f>
        <v/>
      </c>
      <c r="J936" s="27" t="str">
        <f aca="false">IF(I936="","",IF(AND(I936="D",Settings!$B$6&lt;&gt;"Yes"),"",IFERROR(INDEX(Settings!$C$9:$C$12,MATCH(I936,Settings!$A$9:$A$12,0)),"")))</f>
        <v/>
      </c>
      <c r="K936" s="27" t="str">
        <f aca="false">IF(J936="","",COUNTIF($I$2:I936,I936))</f>
        <v/>
      </c>
      <c r="L936" s="27" t="str">
        <f aca="false">IF(J936="","",CHOOSE(Q936+1,"Tue","Wed","Thu","Fri"))</f>
        <v/>
      </c>
      <c r="M936" s="27" t="str">
        <f aca="false">IF(J936="","",IF(J936=1,"Every week",R936+1&amp;" of "&amp;J936))</f>
        <v/>
      </c>
      <c r="N936" s="28" t="str">
        <f aca="false">IF(J936="","",Settings!$B$4+R936*7+Q936)</f>
        <v/>
      </c>
      <c r="O936" s="28" t="str">
        <f aca="true">IF(J936="","",N936+MAX(0,ROUNDUP((TODAY()-N936)/(J936*7),0))*J936*7)</f>
        <v/>
      </c>
      <c r="P936" s="27" t="str">
        <f aca="false">IF(J936="","",MOD(K936-1,J936*4))</f>
        <v/>
      </c>
      <c r="Q936" s="27" t="str">
        <f aca="false">IF(J936="","",MOD(P936,4))</f>
        <v/>
      </c>
      <c r="R936" s="27" t="str">
        <f aca="false">IF(J936="","",INT(P936/4))</f>
        <v/>
      </c>
      <c r="S936" s="27" t="str">
        <f aca="false">IF(J936="","",IF(AND('Daily Count Sheet'!$H$3=Q936,MOD('Daily Count Sheet'!$I$3,J936)=R936),1,""))</f>
        <v/>
      </c>
      <c r="T936" s="27" t="str">
        <f aca="false">IF(S936=1,COUNTIF($S$2:S936,1),"")</f>
        <v/>
      </c>
    </row>
    <row r="937" customFormat="false" ht="15" hidden="false" customHeight="false" outlineLevel="0" collapsed="false">
      <c r="H937" s="26"/>
      <c r="I937" s="27" t="str">
        <f aca="false">IF(A937="","",IF(H937&lt;&gt;"",UPPER(TRIM(H937)),IFERROR(CHOOSE(VALUE(E937)+1,"A","B","C","D"),IF(OR(LEFT(UPPER(TRIM(E937)),1)="F",UPPER(TRIM(E937))="A"),"A",IF(OR(LEFT(UPPER(TRIM(E937)),1)="M",UPPER(TRIM(E937))="B"),"B",IF(OR(LEFT(UPPER(TRIM(E937)),2)="SL",UPPER(TRIM(E937))="C"),"C",IF(OR(LEFT(UPPER(TRIM(E937)),1)="D",UPPER(TRIM(E937))="D"),"D","")))))))</f>
        <v/>
      </c>
      <c r="J937" s="27" t="str">
        <f aca="false">IF(I937="","",IF(AND(I937="D",Settings!$B$6&lt;&gt;"Yes"),"",IFERROR(INDEX(Settings!$C$9:$C$12,MATCH(I937,Settings!$A$9:$A$12,0)),"")))</f>
        <v/>
      </c>
      <c r="K937" s="27" t="str">
        <f aca="false">IF(J937="","",COUNTIF($I$2:I937,I937))</f>
        <v/>
      </c>
      <c r="L937" s="27" t="str">
        <f aca="false">IF(J937="","",CHOOSE(Q937+1,"Tue","Wed","Thu","Fri"))</f>
        <v/>
      </c>
      <c r="M937" s="27" t="str">
        <f aca="false">IF(J937="","",IF(J937=1,"Every week",R937+1&amp;" of "&amp;J937))</f>
        <v/>
      </c>
      <c r="N937" s="28" t="str">
        <f aca="false">IF(J937="","",Settings!$B$4+R937*7+Q937)</f>
        <v/>
      </c>
      <c r="O937" s="28" t="str">
        <f aca="true">IF(J937="","",N937+MAX(0,ROUNDUP((TODAY()-N937)/(J937*7),0))*J937*7)</f>
        <v/>
      </c>
      <c r="P937" s="27" t="str">
        <f aca="false">IF(J937="","",MOD(K937-1,J937*4))</f>
        <v/>
      </c>
      <c r="Q937" s="27" t="str">
        <f aca="false">IF(J937="","",MOD(P937,4))</f>
        <v/>
      </c>
      <c r="R937" s="27" t="str">
        <f aca="false">IF(J937="","",INT(P937/4))</f>
        <v/>
      </c>
      <c r="S937" s="27" t="str">
        <f aca="false">IF(J937="","",IF(AND('Daily Count Sheet'!$H$3=Q937,MOD('Daily Count Sheet'!$I$3,J937)=R937),1,""))</f>
        <v/>
      </c>
      <c r="T937" s="27" t="str">
        <f aca="false">IF(S937=1,COUNTIF($S$2:S937,1),"")</f>
        <v/>
      </c>
    </row>
    <row r="938" customFormat="false" ht="15" hidden="false" customHeight="false" outlineLevel="0" collapsed="false">
      <c r="H938" s="26"/>
      <c r="I938" s="27" t="str">
        <f aca="false">IF(A938="","",IF(H938&lt;&gt;"",UPPER(TRIM(H938)),IFERROR(CHOOSE(VALUE(E938)+1,"A","B","C","D"),IF(OR(LEFT(UPPER(TRIM(E938)),1)="F",UPPER(TRIM(E938))="A"),"A",IF(OR(LEFT(UPPER(TRIM(E938)),1)="M",UPPER(TRIM(E938))="B"),"B",IF(OR(LEFT(UPPER(TRIM(E938)),2)="SL",UPPER(TRIM(E938))="C"),"C",IF(OR(LEFT(UPPER(TRIM(E938)),1)="D",UPPER(TRIM(E938))="D"),"D","")))))))</f>
        <v/>
      </c>
      <c r="J938" s="27" t="str">
        <f aca="false">IF(I938="","",IF(AND(I938="D",Settings!$B$6&lt;&gt;"Yes"),"",IFERROR(INDEX(Settings!$C$9:$C$12,MATCH(I938,Settings!$A$9:$A$12,0)),"")))</f>
        <v/>
      </c>
      <c r="K938" s="27" t="str">
        <f aca="false">IF(J938="","",COUNTIF($I$2:I938,I938))</f>
        <v/>
      </c>
      <c r="L938" s="27" t="str">
        <f aca="false">IF(J938="","",CHOOSE(Q938+1,"Tue","Wed","Thu","Fri"))</f>
        <v/>
      </c>
      <c r="M938" s="27" t="str">
        <f aca="false">IF(J938="","",IF(J938=1,"Every week",R938+1&amp;" of "&amp;J938))</f>
        <v/>
      </c>
      <c r="N938" s="28" t="str">
        <f aca="false">IF(J938="","",Settings!$B$4+R938*7+Q938)</f>
        <v/>
      </c>
      <c r="O938" s="28" t="str">
        <f aca="true">IF(J938="","",N938+MAX(0,ROUNDUP((TODAY()-N938)/(J938*7),0))*J938*7)</f>
        <v/>
      </c>
      <c r="P938" s="27" t="str">
        <f aca="false">IF(J938="","",MOD(K938-1,J938*4))</f>
        <v/>
      </c>
      <c r="Q938" s="27" t="str">
        <f aca="false">IF(J938="","",MOD(P938,4))</f>
        <v/>
      </c>
      <c r="R938" s="27" t="str">
        <f aca="false">IF(J938="","",INT(P938/4))</f>
        <v/>
      </c>
      <c r="S938" s="27" t="str">
        <f aca="false">IF(J938="","",IF(AND('Daily Count Sheet'!$H$3=Q938,MOD('Daily Count Sheet'!$I$3,J938)=R938),1,""))</f>
        <v/>
      </c>
      <c r="T938" s="27" t="str">
        <f aca="false">IF(S938=1,COUNTIF($S$2:S938,1),"")</f>
        <v/>
      </c>
    </row>
    <row r="939" customFormat="false" ht="15" hidden="false" customHeight="false" outlineLevel="0" collapsed="false">
      <c r="H939" s="26"/>
      <c r="I939" s="27" t="str">
        <f aca="false">IF(A939="","",IF(H939&lt;&gt;"",UPPER(TRIM(H939)),IFERROR(CHOOSE(VALUE(E939)+1,"A","B","C","D"),IF(OR(LEFT(UPPER(TRIM(E939)),1)="F",UPPER(TRIM(E939))="A"),"A",IF(OR(LEFT(UPPER(TRIM(E939)),1)="M",UPPER(TRIM(E939))="B"),"B",IF(OR(LEFT(UPPER(TRIM(E939)),2)="SL",UPPER(TRIM(E939))="C"),"C",IF(OR(LEFT(UPPER(TRIM(E939)),1)="D",UPPER(TRIM(E939))="D"),"D","")))))))</f>
        <v/>
      </c>
      <c r="J939" s="27" t="str">
        <f aca="false">IF(I939="","",IF(AND(I939="D",Settings!$B$6&lt;&gt;"Yes"),"",IFERROR(INDEX(Settings!$C$9:$C$12,MATCH(I939,Settings!$A$9:$A$12,0)),"")))</f>
        <v/>
      </c>
      <c r="K939" s="27" t="str">
        <f aca="false">IF(J939="","",COUNTIF($I$2:I939,I939))</f>
        <v/>
      </c>
      <c r="L939" s="27" t="str">
        <f aca="false">IF(J939="","",CHOOSE(Q939+1,"Tue","Wed","Thu","Fri"))</f>
        <v/>
      </c>
      <c r="M939" s="27" t="str">
        <f aca="false">IF(J939="","",IF(J939=1,"Every week",R939+1&amp;" of "&amp;J939))</f>
        <v/>
      </c>
      <c r="N939" s="28" t="str">
        <f aca="false">IF(J939="","",Settings!$B$4+R939*7+Q939)</f>
        <v/>
      </c>
      <c r="O939" s="28" t="str">
        <f aca="true">IF(J939="","",N939+MAX(0,ROUNDUP((TODAY()-N939)/(J939*7),0))*J939*7)</f>
        <v/>
      </c>
      <c r="P939" s="27" t="str">
        <f aca="false">IF(J939="","",MOD(K939-1,J939*4))</f>
        <v/>
      </c>
      <c r="Q939" s="27" t="str">
        <f aca="false">IF(J939="","",MOD(P939,4))</f>
        <v/>
      </c>
      <c r="R939" s="27" t="str">
        <f aca="false">IF(J939="","",INT(P939/4))</f>
        <v/>
      </c>
      <c r="S939" s="27" t="str">
        <f aca="false">IF(J939="","",IF(AND('Daily Count Sheet'!$H$3=Q939,MOD('Daily Count Sheet'!$I$3,J939)=R939),1,""))</f>
        <v/>
      </c>
      <c r="T939" s="27" t="str">
        <f aca="false">IF(S939=1,COUNTIF($S$2:S939,1),"")</f>
        <v/>
      </c>
    </row>
    <row r="940" customFormat="false" ht="15" hidden="false" customHeight="false" outlineLevel="0" collapsed="false">
      <c r="H940" s="26"/>
      <c r="I940" s="27" t="str">
        <f aca="false">IF(A940="","",IF(H940&lt;&gt;"",UPPER(TRIM(H940)),IFERROR(CHOOSE(VALUE(E940)+1,"A","B","C","D"),IF(OR(LEFT(UPPER(TRIM(E940)),1)="F",UPPER(TRIM(E940))="A"),"A",IF(OR(LEFT(UPPER(TRIM(E940)),1)="M",UPPER(TRIM(E940))="B"),"B",IF(OR(LEFT(UPPER(TRIM(E940)),2)="SL",UPPER(TRIM(E940))="C"),"C",IF(OR(LEFT(UPPER(TRIM(E940)),1)="D",UPPER(TRIM(E940))="D"),"D","")))))))</f>
        <v/>
      </c>
      <c r="J940" s="27" t="str">
        <f aca="false">IF(I940="","",IF(AND(I940="D",Settings!$B$6&lt;&gt;"Yes"),"",IFERROR(INDEX(Settings!$C$9:$C$12,MATCH(I940,Settings!$A$9:$A$12,0)),"")))</f>
        <v/>
      </c>
      <c r="K940" s="27" t="str">
        <f aca="false">IF(J940="","",COUNTIF($I$2:I940,I940))</f>
        <v/>
      </c>
      <c r="L940" s="27" t="str">
        <f aca="false">IF(J940="","",CHOOSE(Q940+1,"Tue","Wed","Thu","Fri"))</f>
        <v/>
      </c>
      <c r="M940" s="27" t="str">
        <f aca="false">IF(J940="","",IF(J940=1,"Every week",R940+1&amp;" of "&amp;J940))</f>
        <v/>
      </c>
      <c r="N940" s="28" t="str">
        <f aca="false">IF(J940="","",Settings!$B$4+R940*7+Q940)</f>
        <v/>
      </c>
      <c r="O940" s="28" t="str">
        <f aca="true">IF(J940="","",N940+MAX(0,ROUNDUP((TODAY()-N940)/(J940*7),0))*J940*7)</f>
        <v/>
      </c>
      <c r="P940" s="27" t="str">
        <f aca="false">IF(J940="","",MOD(K940-1,J940*4))</f>
        <v/>
      </c>
      <c r="Q940" s="27" t="str">
        <f aca="false">IF(J940="","",MOD(P940,4))</f>
        <v/>
      </c>
      <c r="R940" s="27" t="str">
        <f aca="false">IF(J940="","",INT(P940/4))</f>
        <v/>
      </c>
      <c r="S940" s="27" t="str">
        <f aca="false">IF(J940="","",IF(AND('Daily Count Sheet'!$H$3=Q940,MOD('Daily Count Sheet'!$I$3,J940)=R940),1,""))</f>
        <v/>
      </c>
      <c r="T940" s="27" t="str">
        <f aca="false">IF(S940=1,COUNTIF($S$2:S940,1),"")</f>
        <v/>
      </c>
    </row>
    <row r="941" customFormat="false" ht="15" hidden="false" customHeight="false" outlineLevel="0" collapsed="false">
      <c r="H941" s="26"/>
      <c r="I941" s="27" t="str">
        <f aca="false">IF(A941="","",IF(H941&lt;&gt;"",UPPER(TRIM(H941)),IFERROR(CHOOSE(VALUE(E941)+1,"A","B","C","D"),IF(OR(LEFT(UPPER(TRIM(E941)),1)="F",UPPER(TRIM(E941))="A"),"A",IF(OR(LEFT(UPPER(TRIM(E941)),1)="M",UPPER(TRIM(E941))="B"),"B",IF(OR(LEFT(UPPER(TRIM(E941)),2)="SL",UPPER(TRIM(E941))="C"),"C",IF(OR(LEFT(UPPER(TRIM(E941)),1)="D",UPPER(TRIM(E941))="D"),"D","")))))))</f>
        <v/>
      </c>
      <c r="J941" s="27" t="str">
        <f aca="false">IF(I941="","",IF(AND(I941="D",Settings!$B$6&lt;&gt;"Yes"),"",IFERROR(INDEX(Settings!$C$9:$C$12,MATCH(I941,Settings!$A$9:$A$12,0)),"")))</f>
        <v/>
      </c>
      <c r="K941" s="27" t="str">
        <f aca="false">IF(J941="","",COUNTIF($I$2:I941,I941))</f>
        <v/>
      </c>
      <c r="L941" s="27" t="str">
        <f aca="false">IF(J941="","",CHOOSE(Q941+1,"Tue","Wed","Thu","Fri"))</f>
        <v/>
      </c>
      <c r="M941" s="27" t="str">
        <f aca="false">IF(J941="","",IF(J941=1,"Every week",R941+1&amp;" of "&amp;J941))</f>
        <v/>
      </c>
      <c r="N941" s="28" t="str">
        <f aca="false">IF(J941="","",Settings!$B$4+R941*7+Q941)</f>
        <v/>
      </c>
      <c r="O941" s="28" t="str">
        <f aca="true">IF(J941="","",N941+MAX(0,ROUNDUP((TODAY()-N941)/(J941*7),0))*J941*7)</f>
        <v/>
      </c>
      <c r="P941" s="27" t="str">
        <f aca="false">IF(J941="","",MOD(K941-1,J941*4))</f>
        <v/>
      </c>
      <c r="Q941" s="27" t="str">
        <f aca="false">IF(J941="","",MOD(P941,4))</f>
        <v/>
      </c>
      <c r="R941" s="27" t="str">
        <f aca="false">IF(J941="","",INT(P941/4))</f>
        <v/>
      </c>
      <c r="S941" s="27" t="str">
        <f aca="false">IF(J941="","",IF(AND('Daily Count Sheet'!$H$3=Q941,MOD('Daily Count Sheet'!$I$3,J941)=R941),1,""))</f>
        <v/>
      </c>
      <c r="T941" s="27" t="str">
        <f aca="false">IF(S941=1,COUNTIF($S$2:S941,1),"")</f>
        <v/>
      </c>
    </row>
    <row r="942" customFormat="false" ht="15" hidden="false" customHeight="false" outlineLevel="0" collapsed="false">
      <c r="H942" s="26"/>
      <c r="I942" s="27" t="str">
        <f aca="false">IF(A942="","",IF(H942&lt;&gt;"",UPPER(TRIM(H942)),IFERROR(CHOOSE(VALUE(E942)+1,"A","B","C","D"),IF(OR(LEFT(UPPER(TRIM(E942)),1)="F",UPPER(TRIM(E942))="A"),"A",IF(OR(LEFT(UPPER(TRIM(E942)),1)="M",UPPER(TRIM(E942))="B"),"B",IF(OR(LEFT(UPPER(TRIM(E942)),2)="SL",UPPER(TRIM(E942))="C"),"C",IF(OR(LEFT(UPPER(TRIM(E942)),1)="D",UPPER(TRIM(E942))="D"),"D","")))))))</f>
        <v/>
      </c>
      <c r="J942" s="27" t="str">
        <f aca="false">IF(I942="","",IF(AND(I942="D",Settings!$B$6&lt;&gt;"Yes"),"",IFERROR(INDEX(Settings!$C$9:$C$12,MATCH(I942,Settings!$A$9:$A$12,0)),"")))</f>
        <v/>
      </c>
      <c r="K942" s="27" t="str">
        <f aca="false">IF(J942="","",COUNTIF($I$2:I942,I942))</f>
        <v/>
      </c>
      <c r="L942" s="27" t="str">
        <f aca="false">IF(J942="","",CHOOSE(Q942+1,"Tue","Wed","Thu","Fri"))</f>
        <v/>
      </c>
      <c r="M942" s="27" t="str">
        <f aca="false">IF(J942="","",IF(J942=1,"Every week",R942+1&amp;" of "&amp;J942))</f>
        <v/>
      </c>
      <c r="N942" s="28" t="str">
        <f aca="false">IF(J942="","",Settings!$B$4+R942*7+Q942)</f>
        <v/>
      </c>
      <c r="O942" s="28" t="str">
        <f aca="true">IF(J942="","",N942+MAX(0,ROUNDUP((TODAY()-N942)/(J942*7),0))*J942*7)</f>
        <v/>
      </c>
      <c r="P942" s="27" t="str">
        <f aca="false">IF(J942="","",MOD(K942-1,J942*4))</f>
        <v/>
      </c>
      <c r="Q942" s="27" t="str">
        <f aca="false">IF(J942="","",MOD(P942,4))</f>
        <v/>
      </c>
      <c r="R942" s="27" t="str">
        <f aca="false">IF(J942="","",INT(P942/4))</f>
        <v/>
      </c>
      <c r="S942" s="27" t="str">
        <f aca="false">IF(J942="","",IF(AND('Daily Count Sheet'!$H$3=Q942,MOD('Daily Count Sheet'!$I$3,J942)=R942),1,""))</f>
        <v/>
      </c>
      <c r="T942" s="27" t="str">
        <f aca="false">IF(S942=1,COUNTIF($S$2:S942,1),"")</f>
        <v/>
      </c>
    </row>
    <row r="943" customFormat="false" ht="15" hidden="false" customHeight="false" outlineLevel="0" collapsed="false">
      <c r="H943" s="26"/>
      <c r="I943" s="27" t="str">
        <f aca="false">IF(A943="","",IF(H943&lt;&gt;"",UPPER(TRIM(H943)),IFERROR(CHOOSE(VALUE(E943)+1,"A","B","C","D"),IF(OR(LEFT(UPPER(TRIM(E943)),1)="F",UPPER(TRIM(E943))="A"),"A",IF(OR(LEFT(UPPER(TRIM(E943)),1)="M",UPPER(TRIM(E943))="B"),"B",IF(OR(LEFT(UPPER(TRIM(E943)),2)="SL",UPPER(TRIM(E943))="C"),"C",IF(OR(LEFT(UPPER(TRIM(E943)),1)="D",UPPER(TRIM(E943))="D"),"D","")))))))</f>
        <v/>
      </c>
      <c r="J943" s="27" t="str">
        <f aca="false">IF(I943="","",IF(AND(I943="D",Settings!$B$6&lt;&gt;"Yes"),"",IFERROR(INDEX(Settings!$C$9:$C$12,MATCH(I943,Settings!$A$9:$A$12,0)),"")))</f>
        <v/>
      </c>
      <c r="K943" s="27" t="str">
        <f aca="false">IF(J943="","",COUNTIF($I$2:I943,I943))</f>
        <v/>
      </c>
      <c r="L943" s="27" t="str">
        <f aca="false">IF(J943="","",CHOOSE(Q943+1,"Tue","Wed","Thu","Fri"))</f>
        <v/>
      </c>
      <c r="M943" s="27" t="str">
        <f aca="false">IF(J943="","",IF(J943=1,"Every week",R943+1&amp;" of "&amp;J943))</f>
        <v/>
      </c>
      <c r="N943" s="28" t="str">
        <f aca="false">IF(J943="","",Settings!$B$4+R943*7+Q943)</f>
        <v/>
      </c>
      <c r="O943" s="28" t="str">
        <f aca="true">IF(J943="","",N943+MAX(0,ROUNDUP((TODAY()-N943)/(J943*7),0))*J943*7)</f>
        <v/>
      </c>
      <c r="P943" s="27" t="str">
        <f aca="false">IF(J943="","",MOD(K943-1,J943*4))</f>
        <v/>
      </c>
      <c r="Q943" s="27" t="str">
        <f aca="false">IF(J943="","",MOD(P943,4))</f>
        <v/>
      </c>
      <c r="R943" s="27" t="str">
        <f aca="false">IF(J943="","",INT(P943/4))</f>
        <v/>
      </c>
      <c r="S943" s="27" t="str">
        <f aca="false">IF(J943="","",IF(AND('Daily Count Sheet'!$H$3=Q943,MOD('Daily Count Sheet'!$I$3,J943)=R943),1,""))</f>
        <v/>
      </c>
      <c r="T943" s="27" t="str">
        <f aca="false">IF(S943=1,COUNTIF($S$2:S943,1),"")</f>
        <v/>
      </c>
    </row>
    <row r="944" customFormat="false" ht="15" hidden="false" customHeight="false" outlineLevel="0" collapsed="false">
      <c r="H944" s="26"/>
      <c r="I944" s="27" t="str">
        <f aca="false">IF(A944="","",IF(H944&lt;&gt;"",UPPER(TRIM(H944)),IFERROR(CHOOSE(VALUE(E944)+1,"A","B","C","D"),IF(OR(LEFT(UPPER(TRIM(E944)),1)="F",UPPER(TRIM(E944))="A"),"A",IF(OR(LEFT(UPPER(TRIM(E944)),1)="M",UPPER(TRIM(E944))="B"),"B",IF(OR(LEFT(UPPER(TRIM(E944)),2)="SL",UPPER(TRIM(E944))="C"),"C",IF(OR(LEFT(UPPER(TRIM(E944)),1)="D",UPPER(TRIM(E944))="D"),"D","")))))))</f>
        <v/>
      </c>
      <c r="J944" s="27" t="str">
        <f aca="false">IF(I944="","",IF(AND(I944="D",Settings!$B$6&lt;&gt;"Yes"),"",IFERROR(INDEX(Settings!$C$9:$C$12,MATCH(I944,Settings!$A$9:$A$12,0)),"")))</f>
        <v/>
      </c>
      <c r="K944" s="27" t="str">
        <f aca="false">IF(J944="","",COUNTIF($I$2:I944,I944))</f>
        <v/>
      </c>
      <c r="L944" s="27" t="str">
        <f aca="false">IF(J944="","",CHOOSE(Q944+1,"Tue","Wed","Thu","Fri"))</f>
        <v/>
      </c>
      <c r="M944" s="27" t="str">
        <f aca="false">IF(J944="","",IF(J944=1,"Every week",R944+1&amp;" of "&amp;J944))</f>
        <v/>
      </c>
      <c r="N944" s="28" t="str">
        <f aca="false">IF(J944="","",Settings!$B$4+R944*7+Q944)</f>
        <v/>
      </c>
      <c r="O944" s="28" t="str">
        <f aca="true">IF(J944="","",N944+MAX(0,ROUNDUP((TODAY()-N944)/(J944*7),0))*J944*7)</f>
        <v/>
      </c>
      <c r="P944" s="27" t="str">
        <f aca="false">IF(J944="","",MOD(K944-1,J944*4))</f>
        <v/>
      </c>
      <c r="Q944" s="27" t="str">
        <f aca="false">IF(J944="","",MOD(P944,4))</f>
        <v/>
      </c>
      <c r="R944" s="27" t="str">
        <f aca="false">IF(J944="","",INT(P944/4))</f>
        <v/>
      </c>
      <c r="S944" s="27" t="str">
        <f aca="false">IF(J944="","",IF(AND('Daily Count Sheet'!$H$3=Q944,MOD('Daily Count Sheet'!$I$3,J944)=R944),1,""))</f>
        <v/>
      </c>
      <c r="T944" s="27" t="str">
        <f aca="false">IF(S944=1,COUNTIF($S$2:S944,1),"")</f>
        <v/>
      </c>
    </row>
    <row r="945" customFormat="false" ht="15" hidden="false" customHeight="false" outlineLevel="0" collapsed="false">
      <c r="H945" s="26"/>
      <c r="I945" s="27" t="str">
        <f aca="false">IF(A945="","",IF(H945&lt;&gt;"",UPPER(TRIM(H945)),IFERROR(CHOOSE(VALUE(E945)+1,"A","B","C","D"),IF(OR(LEFT(UPPER(TRIM(E945)),1)="F",UPPER(TRIM(E945))="A"),"A",IF(OR(LEFT(UPPER(TRIM(E945)),1)="M",UPPER(TRIM(E945))="B"),"B",IF(OR(LEFT(UPPER(TRIM(E945)),2)="SL",UPPER(TRIM(E945))="C"),"C",IF(OR(LEFT(UPPER(TRIM(E945)),1)="D",UPPER(TRIM(E945))="D"),"D","")))))))</f>
        <v/>
      </c>
      <c r="J945" s="27" t="str">
        <f aca="false">IF(I945="","",IF(AND(I945="D",Settings!$B$6&lt;&gt;"Yes"),"",IFERROR(INDEX(Settings!$C$9:$C$12,MATCH(I945,Settings!$A$9:$A$12,0)),"")))</f>
        <v/>
      </c>
      <c r="K945" s="27" t="str">
        <f aca="false">IF(J945="","",COUNTIF($I$2:I945,I945))</f>
        <v/>
      </c>
      <c r="L945" s="27" t="str">
        <f aca="false">IF(J945="","",CHOOSE(Q945+1,"Tue","Wed","Thu","Fri"))</f>
        <v/>
      </c>
      <c r="M945" s="27" t="str">
        <f aca="false">IF(J945="","",IF(J945=1,"Every week",R945+1&amp;" of "&amp;J945))</f>
        <v/>
      </c>
      <c r="N945" s="28" t="str">
        <f aca="false">IF(J945="","",Settings!$B$4+R945*7+Q945)</f>
        <v/>
      </c>
      <c r="O945" s="28" t="str">
        <f aca="true">IF(J945="","",N945+MAX(0,ROUNDUP((TODAY()-N945)/(J945*7),0))*J945*7)</f>
        <v/>
      </c>
      <c r="P945" s="27" t="str">
        <f aca="false">IF(J945="","",MOD(K945-1,J945*4))</f>
        <v/>
      </c>
      <c r="Q945" s="27" t="str">
        <f aca="false">IF(J945="","",MOD(P945,4))</f>
        <v/>
      </c>
      <c r="R945" s="27" t="str">
        <f aca="false">IF(J945="","",INT(P945/4))</f>
        <v/>
      </c>
      <c r="S945" s="27" t="str">
        <f aca="false">IF(J945="","",IF(AND('Daily Count Sheet'!$H$3=Q945,MOD('Daily Count Sheet'!$I$3,J945)=R945),1,""))</f>
        <v/>
      </c>
      <c r="T945" s="27" t="str">
        <f aca="false">IF(S945=1,COUNTIF($S$2:S945,1),"")</f>
        <v/>
      </c>
    </row>
    <row r="946" customFormat="false" ht="15" hidden="false" customHeight="false" outlineLevel="0" collapsed="false">
      <c r="H946" s="26"/>
      <c r="I946" s="27" t="str">
        <f aca="false">IF(A946="","",IF(H946&lt;&gt;"",UPPER(TRIM(H946)),IFERROR(CHOOSE(VALUE(E946)+1,"A","B","C","D"),IF(OR(LEFT(UPPER(TRIM(E946)),1)="F",UPPER(TRIM(E946))="A"),"A",IF(OR(LEFT(UPPER(TRIM(E946)),1)="M",UPPER(TRIM(E946))="B"),"B",IF(OR(LEFT(UPPER(TRIM(E946)),2)="SL",UPPER(TRIM(E946))="C"),"C",IF(OR(LEFT(UPPER(TRIM(E946)),1)="D",UPPER(TRIM(E946))="D"),"D","")))))))</f>
        <v/>
      </c>
      <c r="J946" s="27" t="str">
        <f aca="false">IF(I946="","",IF(AND(I946="D",Settings!$B$6&lt;&gt;"Yes"),"",IFERROR(INDEX(Settings!$C$9:$C$12,MATCH(I946,Settings!$A$9:$A$12,0)),"")))</f>
        <v/>
      </c>
      <c r="K946" s="27" t="str">
        <f aca="false">IF(J946="","",COUNTIF($I$2:I946,I946))</f>
        <v/>
      </c>
      <c r="L946" s="27" t="str">
        <f aca="false">IF(J946="","",CHOOSE(Q946+1,"Tue","Wed","Thu","Fri"))</f>
        <v/>
      </c>
      <c r="M946" s="27" t="str">
        <f aca="false">IF(J946="","",IF(J946=1,"Every week",R946+1&amp;" of "&amp;J946))</f>
        <v/>
      </c>
      <c r="N946" s="28" t="str">
        <f aca="false">IF(J946="","",Settings!$B$4+R946*7+Q946)</f>
        <v/>
      </c>
      <c r="O946" s="28" t="str">
        <f aca="true">IF(J946="","",N946+MAX(0,ROUNDUP((TODAY()-N946)/(J946*7),0))*J946*7)</f>
        <v/>
      </c>
      <c r="P946" s="27" t="str">
        <f aca="false">IF(J946="","",MOD(K946-1,J946*4))</f>
        <v/>
      </c>
      <c r="Q946" s="27" t="str">
        <f aca="false">IF(J946="","",MOD(P946,4))</f>
        <v/>
      </c>
      <c r="R946" s="27" t="str">
        <f aca="false">IF(J946="","",INT(P946/4))</f>
        <v/>
      </c>
      <c r="S946" s="27" t="str">
        <f aca="false">IF(J946="","",IF(AND('Daily Count Sheet'!$H$3=Q946,MOD('Daily Count Sheet'!$I$3,J946)=R946),1,""))</f>
        <v/>
      </c>
      <c r="T946" s="27" t="str">
        <f aca="false">IF(S946=1,COUNTIF($S$2:S946,1),"")</f>
        <v/>
      </c>
    </row>
    <row r="947" customFormat="false" ht="15" hidden="false" customHeight="false" outlineLevel="0" collapsed="false">
      <c r="H947" s="26"/>
      <c r="I947" s="27" t="str">
        <f aca="false">IF(A947="","",IF(H947&lt;&gt;"",UPPER(TRIM(H947)),IFERROR(CHOOSE(VALUE(E947)+1,"A","B","C","D"),IF(OR(LEFT(UPPER(TRIM(E947)),1)="F",UPPER(TRIM(E947))="A"),"A",IF(OR(LEFT(UPPER(TRIM(E947)),1)="M",UPPER(TRIM(E947))="B"),"B",IF(OR(LEFT(UPPER(TRIM(E947)),2)="SL",UPPER(TRIM(E947))="C"),"C",IF(OR(LEFT(UPPER(TRIM(E947)),1)="D",UPPER(TRIM(E947))="D"),"D","")))))))</f>
        <v/>
      </c>
      <c r="J947" s="27" t="str">
        <f aca="false">IF(I947="","",IF(AND(I947="D",Settings!$B$6&lt;&gt;"Yes"),"",IFERROR(INDEX(Settings!$C$9:$C$12,MATCH(I947,Settings!$A$9:$A$12,0)),"")))</f>
        <v/>
      </c>
      <c r="K947" s="27" t="str">
        <f aca="false">IF(J947="","",COUNTIF($I$2:I947,I947))</f>
        <v/>
      </c>
      <c r="L947" s="27" t="str">
        <f aca="false">IF(J947="","",CHOOSE(Q947+1,"Tue","Wed","Thu","Fri"))</f>
        <v/>
      </c>
      <c r="M947" s="27" t="str">
        <f aca="false">IF(J947="","",IF(J947=1,"Every week",R947+1&amp;" of "&amp;J947))</f>
        <v/>
      </c>
      <c r="N947" s="28" t="str">
        <f aca="false">IF(J947="","",Settings!$B$4+R947*7+Q947)</f>
        <v/>
      </c>
      <c r="O947" s="28" t="str">
        <f aca="true">IF(J947="","",N947+MAX(0,ROUNDUP((TODAY()-N947)/(J947*7),0))*J947*7)</f>
        <v/>
      </c>
      <c r="P947" s="27" t="str">
        <f aca="false">IF(J947="","",MOD(K947-1,J947*4))</f>
        <v/>
      </c>
      <c r="Q947" s="27" t="str">
        <f aca="false">IF(J947="","",MOD(P947,4))</f>
        <v/>
      </c>
      <c r="R947" s="27" t="str">
        <f aca="false">IF(J947="","",INT(P947/4))</f>
        <v/>
      </c>
      <c r="S947" s="27" t="str">
        <f aca="false">IF(J947="","",IF(AND('Daily Count Sheet'!$H$3=Q947,MOD('Daily Count Sheet'!$I$3,J947)=R947),1,""))</f>
        <v/>
      </c>
      <c r="T947" s="27" t="str">
        <f aca="false">IF(S947=1,COUNTIF($S$2:S947,1),"")</f>
        <v/>
      </c>
    </row>
    <row r="948" customFormat="false" ht="15" hidden="false" customHeight="false" outlineLevel="0" collapsed="false">
      <c r="H948" s="26"/>
      <c r="I948" s="27" t="str">
        <f aca="false">IF(A948="","",IF(H948&lt;&gt;"",UPPER(TRIM(H948)),IFERROR(CHOOSE(VALUE(E948)+1,"A","B","C","D"),IF(OR(LEFT(UPPER(TRIM(E948)),1)="F",UPPER(TRIM(E948))="A"),"A",IF(OR(LEFT(UPPER(TRIM(E948)),1)="M",UPPER(TRIM(E948))="B"),"B",IF(OR(LEFT(UPPER(TRIM(E948)),2)="SL",UPPER(TRIM(E948))="C"),"C",IF(OR(LEFT(UPPER(TRIM(E948)),1)="D",UPPER(TRIM(E948))="D"),"D","")))))))</f>
        <v/>
      </c>
      <c r="J948" s="27" t="str">
        <f aca="false">IF(I948="","",IF(AND(I948="D",Settings!$B$6&lt;&gt;"Yes"),"",IFERROR(INDEX(Settings!$C$9:$C$12,MATCH(I948,Settings!$A$9:$A$12,0)),"")))</f>
        <v/>
      </c>
      <c r="K948" s="27" t="str">
        <f aca="false">IF(J948="","",COUNTIF($I$2:I948,I948))</f>
        <v/>
      </c>
      <c r="L948" s="27" t="str">
        <f aca="false">IF(J948="","",CHOOSE(Q948+1,"Tue","Wed","Thu","Fri"))</f>
        <v/>
      </c>
      <c r="M948" s="27" t="str">
        <f aca="false">IF(J948="","",IF(J948=1,"Every week",R948+1&amp;" of "&amp;J948))</f>
        <v/>
      </c>
      <c r="N948" s="28" t="str">
        <f aca="false">IF(J948="","",Settings!$B$4+R948*7+Q948)</f>
        <v/>
      </c>
      <c r="O948" s="28" t="str">
        <f aca="true">IF(J948="","",N948+MAX(0,ROUNDUP((TODAY()-N948)/(J948*7),0))*J948*7)</f>
        <v/>
      </c>
      <c r="P948" s="27" t="str">
        <f aca="false">IF(J948="","",MOD(K948-1,J948*4))</f>
        <v/>
      </c>
      <c r="Q948" s="27" t="str">
        <f aca="false">IF(J948="","",MOD(P948,4))</f>
        <v/>
      </c>
      <c r="R948" s="27" t="str">
        <f aca="false">IF(J948="","",INT(P948/4))</f>
        <v/>
      </c>
      <c r="S948" s="27" t="str">
        <f aca="false">IF(J948="","",IF(AND('Daily Count Sheet'!$H$3=Q948,MOD('Daily Count Sheet'!$I$3,J948)=R948),1,""))</f>
        <v/>
      </c>
      <c r="T948" s="27" t="str">
        <f aca="false">IF(S948=1,COUNTIF($S$2:S948,1),"")</f>
        <v/>
      </c>
    </row>
    <row r="949" customFormat="false" ht="15" hidden="false" customHeight="false" outlineLevel="0" collapsed="false">
      <c r="H949" s="26"/>
      <c r="I949" s="27" t="str">
        <f aca="false">IF(A949="","",IF(H949&lt;&gt;"",UPPER(TRIM(H949)),IFERROR(CHOOSE(VALUE(E949)+1,"A","B","C","D"),IF(OR(LEFT(UPPER(TRIM(E949)),1)="F",UPPER(TRIM(E949))="A"),"A",IF(OR(LEFT(UPPER(TRIM(E949)),1)="M",UPPER(TRIM(E949))="B"),"B",IF(OR(LEFT(UPPER(TRIM(E949)),2)="SL",UPPER(TRIM(E949))="C"),"C",IF(OR(LEFT(UPPER(TRIM(E949)),1)="D",UPPER(TRIM(E949))="D"),"D","")))))))</f>
        <v/>
      </c>
      <c r="J949" s="27" t="str">
        <f aca="false">IF(I949="","",IF(AND(I949="D",Settings!$B$6&lt;&gt;"Yes"),"",IFERROR(INDEX(Settings!$C$9:$C$12,MATCH(I949,Settings!$A$9:$A$12,0)),"")))</f>
        <v/>
      </c>
      <c r="K949" s="27" t="str">
        <f aca="false">IF(J949="","",COUNTIF($I$2:I949,I949))</f>
        <v/>
      </c>
      <c r="L949" s="27" t="str">
        <f aca="false">IF(J949="","",CHOOSE(Q949+1,"Tue","Wed","Thu","Fri"))</f>
        <v/>
      </c>
      <c r="M949" s="27" t="str">
        <f aca="false">IF(J949="","",IF(J949=1,"Every week",R949+1&amp;" of "&amp;J949))</f>
        <v/>
      </c>
      <c r="N949" s="28" t="str">
        <f aca="false">IF(J949="","",Settings!$B$4+R949*7+Q949)</f>
        <v/>
      </c>
      <c r="O949" s="28" t="str">
        <f aca="true">IF(J949="","",N949+MAX(0,ROUNDUP((TODAY()-N949)/(J949*7),0))*J949*7)</f>
        <v/>
      </c>
      <c r="P949" s="27" t="str">
        <f aca="false">IF(J949="","",MOD(K949-1,J949*4))</f>
        <v/>
      </c>
      <c r="Q949" s="27" t="str">
        <f aca="false">IF(J949="","",MOD(P949,4))</f>
        <v/>
      </c>
      <c r="R949" s="27" t="str">
        <f aca="false">IF(J949="","",INT(P949/4))</f>
        <v/>
      </c>
      <c r="S949" s="27" t="str">
        <f aca="false">IF(J949="","",IF(AND('Daily Count Sheet'!$H$3=Q949,MOD('Daily Count Sheet'!$I$3,J949)=R949),1,""))</f>
        <v/>
      </c>
      <c r="T949" s="27" t="str">
        <f aca="false">IF(S949=1,COUNTIF($S$2:S949,1),"")</f>
        <v/>
      </c>
    </row>
    <row r="950" customFormat="false" ht="15" hidden="false" customHeight="false" outlineLevel="0" collapsed="false">
      <c r="H950" s="26"/>
      <c r="I950" s="27" t="str">
        <f aca="false">IF(A950="","",IF(H950&lt;&gt;"",UPPER(TRIM(H950)),IFERROR(CHOOSE(VALUE(E950)+1,"A","B","C","D"),IF(OR(LEFT(UPPER(TRIM(E950)),1)="F",UPPER(TRIM(E950))="A"),"A",IF(OR(LEFT(UPPER(TRIM(E950)),1)="M",UPPER(TRIM(E950))="B"),"B",IF(OR(LEFT(UPPER(TRIM(E950)),2)="SL",UPPER(TRIM(E950))="C"),"C",IF(OR(LEFT(UPPER(TRIM(E950)),1)="D",UPPER(TRIM(E950))="D"),"D","")))))))</f>
        <v/>
      </c>
      <c r="J950" s="27" t="str">
        <f aca="false">IF(I950="","",IF(AND(I950="D",Settings!$B$6&lt;&gt;"Yes"),"",IFERROR(INDEX(Settings!$C$9:$C$12,MATCH(I950,Settings!$A$9:$A$12,0)),"")))</f>
        <v/>
      </c>
      <c r="K950" s="27" t="str">
        <f aca="false">IF(J950="","",COUNTIF($I$2:I950,I950))</f>
        <v/>
      </c>
      <c r="L950" s="27" t="str">
        <f aca="false">IF(J950="","",CHOOSE(Q950+1,"Tue","Wed","Thu","Fri"))</f>
        <v/>
      </c>
      <c r="M950" s="27" t="str">
        <f aca="false">IF(J950="","",IF(J950=1,"Every week",R950+1&amp;" of "&amp;J950))</f>
        <v/>
      </c>
      <c r="N950" s="28" t="str">
        <f aca="false">IF(J950="","",Settings!$B$4+R950*7+Q950)</f>
        <v/>
      </c>
      <c r="O950" s="28" t="str">
        <f aca="true">IF(J950="","",N950+MAX(0,ROUNDUP((TODAY()-N950)/(J950*7),0))*J950*7)</f>
        <v/>
      </c>
      <c r="P950" s="27" t="str">
        <f aca="false">IF(J950="","",MOD(K950-1,J950*4))</f>
        <v/>
      </c>
      <c r="Q950" s="27" t="str">
        <f aca="false">IF(J950="","",MOD(P950,4))</f>
        <v/>
      </c>
      <c r="R950" s="27" t="str">
        <f aca="false">IF(J950="","",INT(P950/4))</f>
        <v/>
      </c>
      <c r="S950" s="27" t="str">
        <f aca="false">IF(J950="","",IF(AND('Daily Count Sheet'!$H$3=Q950,MOD('Daily Count Sheet'!$I$3,J950)=R950),1,""))</f>
        <v/>
      </c>
      <c r="T950" s="27" t="str">
        <f aca="false">IF(S950=1,COUNTIF($S$2:S950,1),"")</f>
        <v/>
      </c>
    </row>
    <row r="951" customFormat="false" ht="15" hidden="false" customHeight="false" outlineLevel="0" collapsed="false">
      <c r="H951" s="26"/>
      <c r="I951" s="27" t="str">
        <f aca="false">IF(A951="","",IF(H951&lt;&gt;"",UPPER(TRIM(H951)),IFERROR(CHOOSE(VALUE(E951)+1,"A","B","C","D"),IF(OR(LEFT(UPPER(TRIM(E951)),1)="F",UPPER(TRIM(E951))="A"),"A",IF(OR(LEFT(UPPER(TRIM(E951)),1)="M",UPPER(TRIM(E951))="B"),"B",IF(OR(LEFT(UPPER(TRIM(E951)),2)="SL",UPPER(TRIM(E951))="C"),"C",IF(OR(LEFT(UPPER(TRIM(E951)),1)="D",UPPER(TRIM(E951))="D"),"D","")))))))</f>
        <v/>
      </c>
      <c r="J951" s="27" t="str">
        <f aca="false">IF(I951="","",IF(AND(I951="D",Settings!$B$6&lt;&gt;"Yes"),"",IFERROR(INDEX(Settings!$C$9:$C$12,MATCH(I951,Settings!$A$9:$A$12,0)),"")))</f>
        <v/>
      </c>
      <c r="K951" s="27" t="str">
        <f aca="false">IF(J951="","",COUNTIF($I$2:I951,I951))</f>
        <v/>
      </c>
      <c r="L951" s="27" t="str">
        <f aca="false">IF(J951="","",CHOOSE(Q951+1,"Tue","Wed","Thu","Fri"))</f>
        <v/>
      </c>
      <c r="M951" s="27" t="str">
        <f aca="false">IF(J951="","",IF(J951=1,"Every week",R951+1&amp;" of "&amp;J951))</f>
        <v/>
      </c>
      <c r="N951" s="28" t="str">
        <f aca="false">IF(J951="","",Settings!$B$4+R951*7+Q951)</f>
        <v/>
      </c>
      <c r="O951" s="28" t="str">
        <f aca="true">IF(J951="","",N951+MAX(0,ROUNDUP((TODAY()-N951)/(J951*7),0))*J951*7)</f>
        <v/>
      </c>
      <c r="P951" s="27" t="str">
        <f aca="false">IF(J951="","",MOD(K951-1,J951*4))</f>
        <v/>
      </c>
      <c r="Q951" s="27" t="str">
        <f aca="false">IF(J951="","",MOD(P951,4))</f>
        <v/>
      </c>
      <c r="R951" s="27" t="str">
        <f aca="false">IF(J951="","",INT(P951/4))</f>
        <v/>
      </c>
      <c r="S951" s="27" t="str">
        <f aca="false">IF(J951="","",IF(AND('Daily Count Sheet'!$H$3=Q951,MOD('Daily Count Sheet'!$I$3,J951)=R951),1,""))</f>
        <v/>
      </c>
      <c r="T951" s="27" t="str">
        <f aca="false">IF(S951=1,COUNTIF($S$2:S951,1),"")</f>
        <v/>
      </c>
    </row>
    <row r="952" customFormat="false" ht="15" hidden="false" customHeight="false" outlineLevel="0" collapsed="false">
      <c r="H952" s="26"/>
      <c r="I952" s="27" t="str">
        <f aca="false">IF(A952="","",IF(H952&lt;&gt;"",UPPER(TRIM(H952)),IFERROR(CHOOSE(VALUE(E952)+1,"A","B","C","D"),IF(OR(LEFT(UPPER(TRIM(E952)),1)="F",UPPER(TRIM(E952))="A"),"A",IF(OR(LEFT(UPPER(TRIM(E952)),1)="M",UPPER(TRIM(E952))="B"),"B",IF(OR(LEFT(UPPER(TRIM(E952)),2)="SL",UPPER(TRIM(E952))="C"),"C",IF(OR(LEFT(UPPER(TRIM(E952)),1)="D",UPPER(TRIM(E952))="D"),"D","")))))))</f>
        <v/>
      </c>
      <c r="J952" s="27" t="str">
        <f aca="false">IF(I952="","",IF(AND(I952="D",Settings!$B$6&lt;&gt;"Yes"),"",IFERROR(INDEX(Settings!$C$9:$C$12,MATCH(I952,Settings!$A$9:$A$12,0)),"")))</f>
        <v/>
      </c>
      <c r="K952" s="27" t="str">
        <f aca="false">IF(J952="","",COUNTIF($I$2:I952,I952))</f>
        <v/>
      </c>
      <c r="L952" s="27" t="str">
        <f aca="false">IF(J952="","",CHOOSE(Q952+1,"Tue","Wed","Thu","Fri"))</f>
        <v/>
      </c>
      <c r="M952" s="27" t="str">
        <f aca="false">IF(J952="","",IF(J952=1,"Every week",R952+1&amp;" of "&amp;J952))</f>
        <v/>
      </c>
      <c r="N952" s="28" t="str">
        <f aca="false">IF(J952="","",Settings!$B$4+R952*7+Q952)</f>
        <v/>
      </c>
      <c r="O952" s="28" t="str">
        <f aca="true">IF(J952="","",N952+MAX(0,ROUNDUP((TODAY()-N952)/(J952*7),0))*J952*7)</f>
        <v/>
      </c>
      <c r="P952" s="27" t="str">
        <f aca="false">IF(J952="","",MOD(K952-1,J952*4))</f>
        <v/>
      </c>
      <c r="Q952" s="27" t="str">
        <f aca="false">IF(J952="","",MOD(P952,4))</f>
        <v/>
      </c>
      <c r="R952" s="27" t="str">
        <f aca="false">IF(J952="","",INT(P952/4))</f>
        <v/>
      </c>
      <c r="S952" s="27" t="str">
        <f aca="false">IF(J952="","",IF(AND('Daily Count Sheet'!$H$3=Q952,MOD('Daily Count Sheet'!$I$3,J952)=R952),1,""))</f>
        <v/>
      </c>
      <c r="T952" s="27" t="str">
        <f aca="false">IF(S952=1,COUNTIF($S$2:S952,1),"")</f>
        <v/>
      </c>
    </row>
    <row r="953" customFormat="false" ht="15" hidden="false" customHeight="false" outlineLevel="0" collapsed="false">
      <c r="H953" s="26"/>
      <c r="I953" s="27" t="str">
        <f aca="false">IF(A953="","",IF(H953&lt;&gt;"",UPPER(TRIM(H953)),IFERROR(CHOOSE(VALUE(E953)+1,"A","B","C","D"),IF(OR(LEFT(UPPER(TRIM(E953)),1)="F",UPPER(TRIM(E953))="A"),"A",IF(OR(LEFT(UPPER(TRIM(E953)),1)="M",UPPER(TRIM(E953))="B"),"B",IF(OR(LEFT(UPPER(TRIM(E953)),2)="SL",UPPER(TRIM(E953))="C"),"C",IF(OR(LEFT(UPPER(TRIM(E953)),1)="D",UPPER(TRIM(E953))="D"),"D","")))))))</f>
        <v/>
      </c>
      <c r="J953" s="27" t="str">
        <f aca="false">IF(I953="","",IF(AND(I953="D",Settings!$B$6&lt;&gt;"Yes"),"",IFERROR(INDEX(Settings!$C$9:$C$12,MATCH(I953,Settings!$A$9:$A$12,0)),"")))</f>
        <v/>
      </c>
      <c r="K953" s="27" t="str">
        <f aca="false">IF(J953="","",COUNTIF($I$2:I953,I953))</f>
        <v/>
      </c>
      <c r="L953" s="27" t="str">
        <f aca="false">IF(J953="","",CHOOSE(Q953+1,"Tue","Wed","Thu","Fri"))</f>
        <v/>
      </c>
      <c r="M953" s="27" t="str">
        <f aca="false">IF(J953="","",IF(J953=1,"Every week",R953+1&amp;" of "&amp;J953))</f>
        <v/>
      </c>
      <c r="N953" s="28" t="str">
        <f aca="false">IF(J953="","",Settings!$B$4+R953*7+Q953)</f>
        <v/>
      </c>
      <c r="O953" s="28" t="str">
        <f aca="true">IF(J953="","",N953+MAX(0,ROUNDUP((TODAY()-N953)/(J953*7),0))*J953*7)</f>
        <v/>
      </c>
      <c r="P953" s="27" t="str">
        <f aca="false">IF(J953="","",MOD(K953-1,J953*4))</f>
        <v/>
      </c>
      <c r="Q953" s="27" t="str">
        <f aca="false">IF(J953="","",MOD(P953,4))</f>
        <v/>
      </c>
      <c r="R953" s="27" t="str">
        <f aca="false">IF(J953="","",INT(P953/4))</f>
        <v/>
      </c>
      <c r="S953" s="27" t="str">
        <f aca="false">IF(J953="","",IF(AND('Daily Count Sheet'!$H$3=Q953,MOD('Daily Count Sheet'!$I$3,J953)=R953),1,""))</f>
        <v/>
      </c>
      <c r="T953" s="27" t="str">
        <f aca="false">IF(S953=1,COUNTIF($S$2:S953,1),"")</f>
        <v/>
      </c>
    </row>
    <row r="954" customFormat="false" ht="15" hidden="false" customHeight="false" outlineLevel="0" collapsed="false">
      <c r="H954" s="26"/>
      <c r="I954" s="27" t="str">
        <f aca="false">IF(A954="","",IF(H954&lt;&gt;"",UPPER(TRIM(H954)),IFERROR(CHOOSE(VALUE(E954)+1,"A","B","C","D"),IF(OR(LEFT(UPPER(TRIM(E954)),1)="F",UPPER(TRIM(E954))="A"),"A",IF(OR(LEFT(UPPER(TRIM(E954)),1)="M",UPPER(TRIM(E954))="B"),"B",IF(OR(LEFT(UPPER(TRIM(E954)),2)="SL",UPPER(TRIM(E954))="C"),"C",IF(OR(LEFT(UPPER(TRIM(E954)),1)="D",UPPER(TRIM(E954))="D"),"D","")))))))</f>
        <v/>
      </c>
      <c r="J954" s="27" t="str">
        <f aca="false">IF(I954="","",IF(AND(I954="D",Settings!$B$6&lt;&gt;"Yes"),"",IFERROR(INDEX(Settings!$C$9:$C$12,MATCH(I954,Settings!$A$9:$A$12,0)),"")))</f>
        <v/>
      </c>
      <c r="K954" s="27" t="str">
        <f aca="false">IF(J954="","",COUNTIF($I$2:I954,I954))</f>
        <v/>
      </c>
      <c r="L954" s="27" t="str">
        <f aca="false">IF(J954="","",CHOOSE(Q954+1,"Tue","Wed","Thu","Fri"))</f>
        <v/>
      </c>
      <c r="M954" s="27" t="str">
        <f aca="false">IF(J954="","",IF(J954=1,"Every week",R954+1&amp;" of "&amp;J954))</f>
        <v/>
      </c>
      <c r="N954" s="28" t="str">
        <f aca="false">IF(J954="","",Settings!$B$4+R954*7+Q954)</f>
        <v/>
      </c>
      <c r="O954" s="28" t="str">
        <f aca="true">IF(J954="","",N954+MAX(0,ROUNDUP((TODAY()-N954)/(J954*7),0))*J954*7)</f>
        <v/>
      </c>
      <c r="P954" s="27" t="str">
        <f aca="false">IF(J954="","",MOD(K954-1,J954*4))</f>
        <v/>
      </c>
      <c r="Q954" s="27" t="str">
        <f aca="false">IF(J954="","",MOD(P954,4))</f>
        <v/>
      </c>
      <c r="R954" s="27" t="str">
        <f aca="false">IF(J954="","",INT(P954/4))</f>
        <v/>
      </c>
      <c r="S954" s="27" t="str">
        <f aca="false">IF(J954="","",IF(AND('Daily Count Sheet'!$H$3=Q954,MOD('Daily Count Sheet'!$I$3,J954)=R954),1,""))</f>
        <v/>
      </c>
      <c r="T954" s="27" t="str">
        <f aca="false">IF(S954=1,COUNTIF($S$2:S954,1),"")</f>
        <v/>
      </c>
    </row>
    <row r="955" customFormat="false" ht="15" hidden="false" customHeight="false" outlineLevel="0" collapsed="false">
      <c r="H955" s="26"/>
      <c r="I955" s="27" t="str">
        <f aca="false">IF(A955="","",IF(H955&lt;&gt;"",UPPER(TRIM(H955)),IFERROR(CHOOSE(VALUE(E955)+1,"A","B","C","D"),IF(OR(LEFT(UPPER(TRIM(E955)),1)="F",UPPER(TRIM(E955))="A"),"A",IF(OR(LEFT(UPPER(TRIM(E955)),1)="M",UPPER(TRIM(E955))="B"),"B",IF(OR(LEFT(UPPER(TRIM(E955)),2)="SL",UPPER(TRIM(E955))="C"),"C",IF(OR(LEFT(UPPER(TRIM(E955)),1)="D",UPPER(TRIM(E955))="D"),"D","")))))))</f>
        <v/>
      </c>
      <c r="J955" s="27" t="str">
        <f aca="false">IF(I955="","",IF(AND(I955="D",Settings!$B$6&lt;&gt;"Yes"),"",IFERROR(INDEX(Settings!$C$9:$C$12,MATCH(I955,Settings!$A$9:$A$12,0)),"")))</f>
        <v/>
      </c>
      <c r="K955" s="27" t="str">
        <f aca="false">IF(J955="","",COUNTIF($I$2:I955,I955))</f>
        <v/>
      </c>
      <c r="L955" s="27" t="str">
        <f aca="false">IF(J955="","",CHOOSE(Q955+1,"Tue","Wed","Thu","Fri"))</f>
        <v/>
      </c>
      <c r="M955" s="27" t="str">
        <f aca="false">IF(J955="","",IF(J955=1,"Every week",R955+1&amp;" of "&amp;J955))</f>
        <v/>
      </c>
      <c r="N955" s="28" t="str">
        <f aca="false">IF(J955="","",Settings!$B$4+R955*7+Q955)</f>
        <v/>
      </c>
      <c r="O955" s="28" t="str">
        <f aca="true">IF(J955="","",N955+MAX(0,ROUNDUP((TODAY()-N955)/(J955*7),0))*J955*7)</f>
        <v/>
      </c>
      <c r="P955" s="27" t="str">
        <f aca="false">IF(J955="","",MOD(K955-1,J955*4))</f>
        <v/>
      </c>
      <c r="Q955" s="27" t="str">
        <f aca="false">IF(J955="","",MOD(P955,4))</f>
        <v/>
      </c>
      <c r="R955" s="27" t="str">
        <f aca="false">IF(J955="","",INT(P955/4))</f>
        <v/>
      </c>
      <c r="S955" s="27" t="str">
        <f aca="false">IF(J955="","",IF(AND('Daily Count Sheet'!$H$3=Q955,MOD('Daily Count Sheet'!$I$3,J955)=R955),1,""))</f>
        <v/>
      </c>
      <c r="T955" s="27" t="str">
        <f aca="false">IF(S955=1,COUNTIF($S$2:S955,1),"")</f>
        <v/>
      </c>
    </row>
    <row r="956" customFormat="false" ht="15" hidden="false" customHeight="false" outlineLevel="0" collapsed="false">
      <c r="H956" s="26"/>
      <c r="I956" s="27" t="str">
        <f aca="false">IF(A956="","",IF(H956&lt;&gt;"",UPPER(TRIM(H956)),IFERROR(CHOOSE(VALUE(E956)+1,"A","B","C","D"),IF(OR(LEFT(UPPER(TRIM(E956)),1)="F",UPPER(TRIM(E956))="A"),"A",IF(OR(LEFT(UPPER(TRIM(E956)),1)="M",UPPER(TRIM(E956))="B"),"B",IF(OR(LEFT(UPPER(TRIM(E956)),2)="SL",UPPER(TRIM(E956))="C"),"C",IF(OR(LEFT(UPPER(TRIM(E956)),1)="D",UPPER(TRIM(E956))="D"),"D","")))))))</f>
        <v/>
      </c>
      <c r="J956" s="27" t="str">
        <f aca="false">IF(I956="","",IF(AND(I956="D",Settings!$B$6&lt;&gt;"Yes"),"",IFERROR(INDEX(Settings!$C$9:$C$12,MATCH(I956,Settings!$A$9:$A$12,0)),"")))</f>
        <v/>
      </c>
      <c r="K956" s="27" t="str">
        <f aca="false">IF(J956="","",COUNTIF($I$2:I956,I956))</f>
        <v/>
      </c>
      <c r="L956" s="27" t="str">
        <f aca="false">IF(J956="","",CHOOSE(Q956+1,"Tue","Wed","Thu","Fri"))</f>
        <v/>
      </c>
      <c r="M956" s="27" t="str">
        <f aca="false">IF(J956="","",IF(J956=1,"Every week",R956+1&amp;" of "&amp;J956))</f>
        <v/>
      </c>
      <c r="N956" s="28" t="str">
        <f aca="false">IF(J956="","",Settings!$B$4+R956*7+Q956)</f>
        <v/>
      </c>
      <c r="O956" s="28" t="str">
        <f aca="true">IF(J956="","",N956+MAX(0,ROUNDUP((TODAY()-N956)/(J956*7),0))*J956*7)</f>
        <v/>
      </c>
      <c r="P956" s="27" t="str">
        <f aca="false">IF(J956="","",MOD(K956-1,J956*4))</f>
        <v/>
      </c>
      <c r="Q956" s="27" t="str">
        <f aca="false">IF(J956="","",MOD(P956,4))</f>
        <v/>
      </c>
      <c r="R956" s="27" t="str">
        <f aca="false">IF(J956="","",INT(P956/4))</f>
        <v/>
      </c>
      <c r="S956" s="27" t="str">
        <f aca="false">IF(J956="","",IF(AND('Daily Count Sheet'!$H$3=Q956,MOD('Daily Count Sheet'!$I$3,J956)=R956),1,""))</f>
        <v/>
      </c>
      <c r="T956" s="27" t="str">
        <f aca="false">IF(S956=1,COUNTIF($S$2:S956,1),"")</f>
        <v/>
      </c>
    </row>
    <row r="957" customFormat="false" ht="15" hidden="false" customHeight="false" outlineLevel="0" collapsed="false">
      <c r="H957" s="26"/>
      <c r="I957" s="27" t="str">
        <f aca="false">IF(A957="","",IF(H957&lt;&gt;"",UPPER(TRIM(H957)),IFERROR(CHOOSE(VALUE(E957)+1,"A","B","C","D"),IF(OR(LEFT(UPPER(TRIM(E957)),1)="F",UPPER(TRIM(E957))="A"),"A",IF(OR(LEFT(UPPER(TRIM(E957)),1)="M",UPPER(TRIM(E957))="B"),"B",IF(OR(LEFT(UPPER(TRIM(E957)),2)="SL",UPPER(TRIM(E957))="C"),"C",IF(OR(LEFT(UPPER(TRIM(E957)),1)="D",UPPER(TRIM(E957))="D"),"D","")))))))</f>
        <v/>
      </c>
      <c r="J957" s="27" t="str">
        <f aca="false">IF(I957="","",IF(AND(I957="D",Settings!$B$6&lt;&gt;"Yes"),"",IFERROR(INDEX(Settings!$C$9:$C$12,MATCH(I957,Settings!$A$9:$A$12,0)),"")))</f>
        <v/>
      </c>
      <c r="K957" s="27" t="str">
        <f aca="false">IF(J957="","",COUNTIF($I$2:I957,I957))</f>
        <v/>
      </c>
      <c r="L957" s="27" t="str">
        <f aca="false">IF(J957="","",CHOOSE(Q957+1,"Tue","Wed","Thu","Fri"))</f>
        <v/>
      </c>
      <c r="M957" s="27" t="str">
        <f aca="false">IF(J957="","",IF(J957=1,"Every week",R957+1&amp;" of "&amp;J957))</f>
        <v/>
      </c>
      <c r="N957" s="28" t="str">
        <f aca="false">IF(J957="","",Settings!$B$4+R957*7+Q957)</f>
        <v/>
      </c>
      <c r="O957" s="28" t="str">
        <f aca="true">IF(J957="","",N957+MAX(0,ROUNDUP((TODAY()-N957)/(J957*7),0))*J957*7)</f>
        <v/>
      </c>
      <c r="P957" s="27" t="str">
        <f aca="false">IF(J957="","",MOD(K957-1,J957*4))</f>
        <v/>
      </c>
      <c r="Q957" s="27" t="str">
        <f aca="false">IF(J957="","",MOD(P957,4))</f>
        <v/>
      </c>
      <c r="R957" s="27" t="str">
        <f aca="false">IF(J957="","",INT(P957/4))</f>
        <v/>
      </c>
      <c r="S957" s="27" t="str">
        <f aca="false">IF(J957="","",IF(AND('Daily Count Sheet'!$H$3=Q957,MOD('Daily Count Sheet'!$I$3,J957)=R957),1,""))</f>
        <v/>
      </c>
      <c r="T957" s="27" t="str">
        <f aca="false">IF(S957=1,COUNTIF($S$2:S957,1),"")</f>
        <v/>
      </c>
    </row>
    <row r="958" customFormat="false" ht="15" hidden="false" customHeight="false" outlineLevel="0" collapsed="false">
      <c r="H958" s="26"/>
      <c r="I958" s="27" t="str">
        <f aca="false">IF(A958="","",IF(H958&lt;&gt;"",UPPER(TRIM(H958)),IFERROR(CHOOSE(VALUE(E958)+1,"A","B","C","D"),IF(OR(LEFT(UPPER(TRIM(E958)),1)="F",UPPER(TRIM(E958))="A"),"A",IF(OR(LEFT(UPPER(TRIM(E958)),1)="M",UPPER(TRIM(E958))="B"),"B",IF(OR(LEFT(UPPER(TRIM(E958)),2)="SL",UPPER(TRIM(E958))="C"),"C",IF(OR(LEFT(UPPER(TRIM(E958)),1)="D",UPPER(TRIM(E958))="D"),"D","")))))))</f>
        <v/>
      </c>
      <c r="J958" s="27" t="str">
        <f aca="false">IF(I958="","",IF(AND(I958="D",Settings!$B$6&lt;&gt;"Yes"),"",IFERROR(INDEX(Settings!$C$9:$C$12,MATCH(I958,Settings!$A$9:$A$12,0)),"")))</f>
        <v/>
      </c>
      <c r="K958" s="27" t="str">
        <f aca="false">IF(J958="","",COUNTIF($I$2:I958,I958))</f>
        <v/>
      </c>
      <c r="L958" s="27" t="str">
        <f aca="false">IF(J958="","",CHOOSE(Q958+1,"Tue","Wed","Thu","Fri"))</f>
        <v/>
      </c>
      <c r="M958" s="27" t="str">
        <f aca="false">IF(J958="","",IF(J958=1,"Every week",R958+1&amp;" of "&amp;J958))</f>
        <v/>
      </c>
      <c r="N958" s="28" t="str">
        <f aca="false">IF(J958="","",Settings!$B$4+R958*7+Q958)</f>
        <v/>
      </c>
      <c r="O958" s="28" t="str">
        <f aca="true">IF(J958="","",N958+MAX(0,ROUNDUP((TODAY()-N958)/(J958*7),0))*J958*7)</f>
        <v/>
      </c>
      <c r="P958" s="27" t="str">
        <f aca="false">IF(J958="","",MOD(K958-1,J958*4))</f>
        <v/>
      </c>
      <c r="Q958" s="27" t="str">
        <f aca="false">IF(J958="","",MOD(P958,4))</f>
        <v/>
      </c>
      <c r="R958" s="27" t="str">
        <f aca="false">IF(J958="","",INT(P958/4))</f>
        <v/>
      </c>
      <c r="S958" s="27" t="str">
        <f aca="false">IF(J958="","",IF(AND('Daily Count Sheet'!$H$3=Q958,MOD('Daily Count Sheet'!$I$3,J958)=R958),1,""))</f>
        <v/>
      </c>
      <c r="T958" s="27" t="str">
        <f aca="false">IF(S958=1,COUNTIF($S$2:S958,1),"")</f>
        <v/>
      </c>
    </row>
    <row r="959" customFormat="false" ht="15" hidden="false" customHeight="false" outlineLevel="0" collapsed="false">
      <c r="H959" s="26"/>
      <c r="I959" s="27" t="str">
        <f aca="false">IF(A959="","",IF(H959&lt;&gt;"",UPPER(TRIM(H959)),IFERROR(CHOOSE(VALUE(E959)+1,"A","B","C","D"),IF(OR(LEFT(UPPER(TRIM(E959)),1)="F",UPPER(TRIM(E959))="A"),"A",IF(OR(LEFT(UPPER(TRIM(E959)),1)="M",UPPER(TRIM(E959))="B"),"B",IF(OR(LEFT(UPPER(TRIM(E959)),2)="SL",UPPER(TRIM(E959))="C"),"C",IF(OR(LEFT(UPPER(TRIM(E959)),1)="D",UPPER(TRIM(E959))="D"),"D","")))))))</f>
        <v/>
      </c>
      <c r="J959" s="27" t="str">
        <f aca="false">IF(I959="","",IF(AND(I959="D",Settings!$B$6&lt;&gt;"Yes"),"",IFERROR(INDEX(Settings!$C$9:$C$12,MATCH(I959,Settings!$A$9:$A$12,0)),"")))</f>
        <v/>
      </c>
      <c r="K959" s="27" t="str">
        <f aca="false">IF(J959="","",COUNTIF($I$2:I959,I959))</f>
        <v/>
      </c>
      <c r="L959" s="27" t="str">
        <f aca="false">IF(J959="","",CHOOSE(Q959+1,"Tue","Wed","Thu","Fri"))</f>
        <v/>
      </c>
      <c r="M959" s="27" t="str">
        <f aca="false">IF(J959="","",IF(J959=1,"Every week",R959+1&amp;" of "&amp;J959))</f>
        <v/>
      </c>
      <c r="N959" s="28" t="str">
        <f aca="false">IF(J959="","",Settings!$B$4+R959*7+Q959)</f>
        <v/>
      </c>
      <c r="O959" s="28" t="str">
        <f aca="true">IF(J959="","",N959+MAX(0,ROUNDUP((TODAY()-N959)/(J959*7),0))*J959*7)</f>
        <v/>
      </c>
      <c r="P959" s="27" t="str">
        <f aca="false">IF(J959="","",MOD(K959-1,J959*4))</f>
        <v/>
      </c>
      <c r="Q959" s="27" t="str">
        <f aca="false">IF(J959="","",MOD(P959,4))</f>
        <v/>
      </c>
      <c r="R959" s="27" t="str">
        <f aca="false">IF(J959="","",INT(P959/4))</f>
        <v/>
      </c>
      <c r="S959" s="27" t="str">
        <f aca="false">IF(J959="","",IF(AND('Daily Count Sheet'!$H$3=Q959,MOD('Daily Count Sheet'!$I$3,J959)=R959),1,""))</f>
        <v/>
      </c>
      <c r="T959" s="27" t="str">
        <f aca="false">IF(S959=1,COUNTIF($S$2:S959,1),"")</f>
        <v/>
      </c>
    </row>
    <row r="960" customFormat="false" ht="15" hidden="false" customHeight="false" outlineLevel="0" collapsed="false">
      <c r="H960" s="26"/>
      <c r="I960" s="27" t="str">
        <f aca="false">IF(A960="","",IF(H960&lt;&gt;"",UPPER(TRIM(H960)),IFERROR(CHOOSE(VALUE(E960)+1,"A","B","C","D"),IF(OR(LEFT(UPPER(TRIM(E960)),1)="F",UPPER(TRIM(E960))="A"),"A",IF(OR(LEFT(UPPER(TRIM(E960)),1)="M",UPPER(TRIM(E960))="B"),"B",IF(OR(LEFT(UPPER(TRIM(E960)),2)="SL",UPPER(TRIM(E960))="C"),"C",IF(OR(LEFT(UPPER(TRIM(E960)),1)="D",UPPER(TRIM(E960))="D"),"D","")))))))</f>
        <v/>
      </c>
      <c r="J960" s="27" t="str">
        <f aca="false">IF(I960="","",IF(AND(I960="D",Settings!$B$6&lt;&gt;"Yes"),"",IFERROR(INDEX(Settings!$C$9:$C$12,MATCH(I960,Settings!$A$9:$A$12,0)),"")))</f>
        <v/>
      </c>
      <c r="K960" s="27" t="str">
        <f aca="false">IF(J960="","",COUNTIF($I$2:I960,I960))</f>
        <v/>
      </c>
      <c r="L960" s="27" t="str">
        <f aca="false">IF(J960="","",CHOOSE(Q960+1,"Tue","Wed","Thu","Fri"))</f>
        <v/>
      </c>
      <c r="M960" s="27" t="str">
        <f aca="false">IF(J960="","",IF(J960=1,"Every week",R960+1&amp;" of "&amp;J960))</f>
        <v/>
      </c>
      <c r="N960" s="28" t="str">
        <f aca="false">IF(J960="","",Settings!$B$4+R960*7+Q960)</f>
        <v/>
      </c>
      <c r="O960" s="28" t="str">
        <f aca="true">IF(J960="","",N960+MAX(0,ROUNDUP((TODAY()-N960)/(J960*7),0))*J960*7)</f>
        <v/>
      </c>
      <c r="P960" s="27" t="str">
        <f aca="false">IF(J960="","",MOD(K960-1,J960*4))</f>
        <v/>
      </c>
      <c r="Q960" s="27" t="str">
        <f aca="false">IF(J960="","",MOD(P960,4))</f>
        <v/>
      </c>
      <c r="R960" s="27" t="str">
        <f aca="false">IF(J960="","",INT(P960/4))</f>
        <v/>
      </c>
      <c r="S960" s="27" t="str">
        <f aca="false">IF(J960="","",IF(AND('Daily Count Sheet'!$H$3=Q960,MOD('Daily Count Sheet'!$I$3,J960)=R960),1,""))</f>
        <v/>
      </c>
      <c r="T960" s="27" t="str">
        <f aca="false">IF(S960=1,COUNTIF($S$2:S960,1),"")</f>
        <v/>
      </c>
    </row>
    <row r="961" customFormat="false" ht="15" hidden="false" customHeight="false" outlineLevel="0" collapsed="false">
      <c r="H961" s="26"/>
      <c r="I961" s="27" t="str">
        <f aca="false">IF(A961="","",IF(H961&lt;&gt;"",UPPER(TRIM(H961)),IFERROR(CHOOSE(VALUE(E961)+1,"A","B","C","D"),IF(OR(LEFT(UPPER(TRIM(E961)),1)="F",UPPER(TRIM(E961))="A"),"A",IF(OR(LEFT(UPPER(TRIM(E961)),1)="M",UPPER(TRIM(E961))="B"),"B",IF(OR(LEFT(UPPER(TRIM(E961)),2)="SL",UPPER(TRIM(E961))="C"),"C",IF(OR(LEFT(UPPER(TRIM(E961)),1)="D",UPPER(TRIM(E961))="D"),"D","")))))))</f>
        <v/>
      </c>
      <c r="J961" s="27" t="str">
        <f aca="false">IF(I961="","",IF(AND(I961="D",Settings!$B$6&lt;&gt;"Yes"),"",IFERROR(INDEX(Settings!$C$9:$C$12,MATCH(I961,Settings!$A$9:$A$12,0)),"")))</f>
        <v/>
      </c>
      <c r="K961" s="27" t="str">
        <f aca="false">IF(J961="","",COUNTIF($I$2:I961,I961))</f>
        <v/>
      </c>
      <c r="L961" s="27" t="str">
        <f aca="false">IF(J961="","",CHOOSE(Q961+1,"Tue","Wed","Thu","Fri"))</f>
        <v/>
      </c>
      <c r="M961" s="27" t="str">
        <f aca="false">IF(J961="","",IF(J961=1,"Every week",R961+1&amp;" of "&amp;J961))</f>
        <v/>
      </c>
      <c r="N961" s="28" t="str">
        <f aca="false">IF(J961="","",Settings!$B$4+R961*7+Q961)</f>
        <v/>
      </c>
      <c r="O961" s="28" t="str">
        <f aca="true">IF(J961="","",N961+MAX(0,ROUNDUP((TODAY()-N961)/(J961*7),0))*J961*7)</f>
        <v/>
      </c>
      <c r="P961" s="27" t="str">
        <f aca="false">IF(J961="","",MOD(K961-1,J961*4))</f>
        <v/>
      </c>
      <c r="Q961" s="27" t="str">
        <f aca="false">IF(J961="","",MOD(P961,4))</f>
        <v/>
      </c>
      <c r="R961" s="27" t="str">
        <f aca="false">IF(J961="","",INT(P961/4))</f>
        <v/>
      </c>
      <c r="S961" s="27" t="str">
        <f aca="false">IF(J961="","",IF(AND('Daily Count Sheet'!$H$3=Q961,MOD('Daily Count Sheet'!$I$3,J961)=R961),1,""))</f>
        <v/>
      </c>
      <c r="T961" s="27" t="str">
        <f aca="false">IF(S961=1,COUNTIF($S$2:S961,1),"")</f>
        <v/>
      </c>
    </row>
    <row r="962" customFormat="false" ht="15" hidden="false" customHeight="false" outlineLevel="0" collapsed="false">
      <c r="H962" s="26"/>
      <c r="I962" s="27" t="str">
        <f aca="false">IF(A962="","",IF(H962&lt;&gt;"",UPPER(TRIM(H962)),IFERROR(CHOOSE(VALUE(E962)+1,"A","B","C","D"),IF(OR(LEFT(UPPER(TRIM(E962)),1)="F",UPPER(TRIM(E962))="A"),"A",IF(OR(LEFT(UPPER(TRIM(E962)),1)="M",UPPER(TRIM(E962))="B"),"B",IF(OR(LEFT(UPPER(TRIM(E962)),2)="SL",UPPER(TRIM(E962))="C"),"C",IF(OR(LEFT(UPPER(TRIM(E962)),1)="D",UPPER(TRIM(E962))="D"),"D","")))))))</f>
        <v/>
      </c>
      <c r="J962" s="27" t="str">
        <f aca="false">IF(I962="","",IF(AND(I962="D",Settings!$B$6&lt;&gt;"Yes"),"",IFERROR(INDEX(Settings!$C$9:$C$12,MATCH(I962,Settings!$A$9:$A$12,0)),"")))</f>
        <v/>
      </c>
      <c r="K962" s="27" t="str">
        <f aca="false">IF(J962="","",COUNTIF($I$2:I962,I962))</f>
        <v/>
      </c>
      <c r="L962" s="27" t="str">
        <f aca="false">IF(J962="","",CHOOSE(Q962+1,"Tue","Wed","Thu","Fri"))</f>
        <v/>
      </c>
      <c r="M962" s="27" t="str">
        <f aca="false">IF(J962="","",IF(J962=1,"Every week",R962+1&amp;" of "&amp;J962))</f>
        <v/>
      </c>
      <c r="N962" s="28" t="str">
        <f aca="false">IF(J962="","",Settings!$B$4+R962*7+Q962)</f>
        <v/>
      </c>
      <c r="O962" s="28" t="str">
        <f aca="true">IF(J962="","",N962+MAX(0,ROUNDUP((TODAY()-N962)/(J962*7),0))*J962*7)</f>
        <v/>
      </c>
      <c r="P962" s="27" t="str">
        <f aca="false">IF(J962="","",MOD(K962-1,J962*4))</f>
        <v/>
      </c>
      <c r="Q962" s="27" t="str">
        <f aca="false">IF(J962="","",MOD(P962,4))</f>
        <v/>
      </c>
      <c r="R962" s="27" t="str">
        <f aca="false">IF(J962="","",INT(P962/4))</f>
        <v/>
      </c>
      <c r="S962" s="27" t="str">
        <f aca="false">IF(J962="","",IF(AND('Daily Count Sheet'!$H$3=Q962,MOD('Daily Count Sheet'!$I$3,J962)=R962),1,""))</f>
        <v/>
      </c>
      <c r="T962" s="27" t="str">
        <f aca="false">IF(S962=1,COUNTIF($S$2:S962,1),"")</f>
        <v/>
      </c>
    </row>
    <row r="963" customFormat="false" ht="15" hidden="false" customHeight="false" outlineLevel="0" collapsed="false">
      <c r="H963" s="26"/>
      <c r="I963" s="27" t="str">
        <f aca="false">IF(A963="","",IF(H963&lt;&gt;"",UPPER(TRIM(H963)),IFERROR(CHOOSE(VALUE(E963)+1,"A","B","C","D"),IF(OR(LEFT(UPPER(TRIM(E963)),1)="F",UPPER(TRIM(E963))="A"),"A",IF(OR(LEFT(UPPER(TRIM(E963)),1)="M",UPPER(TRIM(E963))="B"),"B",IF(OR(LEFT(UPPER(TRIM(E963)),2)="SL",UPPER(TRIM(E963))="C"),"C",IF(OR(LEFT(UPPER(TRIM(E963)),1)="D",UPPER(TRIM(E963))="D"),"D","")))))))</f>
        <v/>
      </c>
      <c r="J963" s="27" t="str">
        <f aca="false">IF(I963="","",IF(AND(I963="D",Settings!$B$6&lt;&gt;"Yes"),"",IFERROR(INDEX(Settings!$C$9:$C$12,MATCH(I963,Settings!$A$9:$A$12,0)),"")))</f>
        <v/>
      </c>
      <c r="K963" s="27" t="str">
        <f aca="false">IF(J963="","",COUNTIF($I$2:I963,I963))</f>
        <v/>
      </c>
      <c r="L963" s="27" t="str">
        <f aca="false">IF(J963="","",CHOOSE(Q963+1,"Tue","Wed","Thu","Fri"))</f>
        <v/>
      </c>
      <c r="M963" s="27" t="str">
        <f aca="false">IF(J963="","",IF(J963=1,"Every week",R963+1&amp;" of "&amp;J963))</f>
        <v/>
      </c>
      <c r="N963" s="28" t="str">
        <f aca="false">IF(J963="","",Settings!$B$4+R963*7+Q963)</f>
        <v/>
      </c>
      <c r="O963" s="28" t="str">
        <f aca="true">IF(J963="","",N963+MAX(0,ROUNDUP((TODAY()-N963)/(J963*7),0))*J963*7)</f>
        <v/>
      </c>
      <c r="P963" s="27" t="str">
        <f aca="false">IF(J963="","",MOD(K963-1,J963*4))</f>
        <v/>
      </c>
      <c r="Q963" s="27" t="str">
        <f aca="false">IF(J963="","",MOD(P963,4))</f>
        <v/>
      </c>
      <c r="R963" s="27" t="str">
        <f aca="false">IF(J963="","",INT(P963/4))</f>
        <v/>
      </c>
      <c r="S963" s="27" t="str">
        <f aca="false">IF(J963="","",IF(AND('Daily Count Sheet'!$H$3=Q963,MOD('Daily Count Sheet'!$I$3,J963)=R963),1,""))</f>
        <v/>
      </c>
      <c r="T963" s="27" t="str">
        <f aca="false">IF(S963=1,COUNTIF($S$2:S963,1),"")</f>
        <v/>
      </c>
    </row>
    <row r="964" customFormat="false" ht="15" hidden="false" customHeight="false" outlineLevel="0" collapsed="false">
      <c r="H964" s="26"/>
      <c r="I964" s="27" t="str">
        <f aca="false">IF(A964="","",IF(H964&lt;&gt;"",UPPER(TRIM(H964)),IFERROR(CHOOSE(VALUE(E964)+1,"A","B","C","D"),IF(OR(LEFT(UPPER(TRIM(E964)),1)="F",UPPER(TRIM(E964))="A"),"A",IF(OR(LEFT(UPPER(TRIM(E964)),1)="M",UPPER(TRIM(E964))="B"),"B",IF(OR(LEFT(UPPER(TRIM(E964)),2)="SL",UPPER(TRIM(E964))="C"),"C",IF(OR(LEFT(UPPER(TRIM(E964)),1)="D",UPPER(TRIM(E964))="D"),"D","")))))))</f>
        <v/>
      </c>
      <c r="J964" s="27" t="str">
        <f aca="false">IF(I964="","",IF(AND(I964="D",Settings!$B$6&lt;&gt;"Yes"),"",IFERROR(INDEX(Settings!$C$9:$C$12,MATCH(I964,Settings!$A$9:$A$12,0)),"")))</f>
        <v/>
      </c>
      <c r="K964" s="27" t="str">
        <f aca="false">IF(J964="","",COUNTIF($I$2:I964,I964))</f>
        <v/>
      </c>
      <c r="L964" s="27" t="str">
        <f aca="false">IF(J964="","",CHOOSE(Q964+1,"Tue","Wed","Thu","Fri"))</f>
        <v/>
      </c>
      <c r="M964" s="27" t="str">
        <f aca="false">IF(J964="","",IF(J964=1,"Every week",R964+1&amp;" of "&amp;J964))</f>
        <v/>
      </c>
      <c r="N964" s="28" t="str">
        <f aca="false">IF(J964="","",Settings!$B$4+R964*7+Q964)</f>
        <v/>
      </c>
      <c r="O964" s="28" t="str">
        <f aca="true">IF(J964="","",N964+MAX(0,ROUNDUP((TODAY()-N964)/(J964*7),0))*J964*7)</f>
        <v/>
      </c>
      <c r="P964" s="27" t="str">
        <f aca="false">IF(J964="","",MOD(K964-1,J964*4))</f>
        <v/>
      </c>
      <c r="Q964" s="27" t="str">
        <f aca="false">IF(J964="","",MOD(P964,4))</f>
        <v/>
      </c>
      <c r="R964" s="27" t="str">
        <f aca="false">IF(J964="","",INT(P964/4))</f>
        <v/>
      </c>
      <c r="S964" s="27" t="str">
        <f aca="false">IF(J964="","",IF(AND('Daily Count Sheet'!$H$3=Q964,MOD('Daily Count Sheet'!$I$3,J964)=R964),1,""))</f>
        <v/>
      </c>
      <c r="T964" s="27" t="str">
        <f aca="false">IF(S964=1,COUNTIF($S$2:S964,1),"")</f>
        <v/>
      </c>
    </row>
    <row r="965" customFormat="false" ht="15" hidden="false" customHeight="false" outlineLevel="0" collapsed="false">
      <c r="H965" s="26"/>
      <c r="I965" s="27" t="str">
        <f aca="false">IF(A965="","",IF(H965&lt;&gt;"",UPPER(TRIM(H965)),IFERROR(CHOOSE(VALUE(E965)+1,"A","B","C","D"),IF(OR(LEFT(UPPER(TRIM(E965)),1)="F",UPPER(TRIM(E965))="A"),"A",IF(OR(LEFT(UPPER(TRIM(E965)),1)="M",UPPER(TRIM(E965))="B"),"B",IF(OR(LEFT(UPPER(TRIM(E965)),2)="SL",UPPER(TRIM(E965))="C"),"C",IF(OR(LEFT(UPPER(TRIM(E965)),1)="D",UPPER(TRIM(E965))="D"),"D","")))))))</f>
        <v/>
      </c>
      <c r="J965" s="27" t="str">
        <f aca="false">IF(I965="","",IF(AND(I965="D",Settings!$B$6&lt;&gt;"Yes"),"",IFERROR(INDEX(Settings!$C$9:$C$12,MATCH(I965,Settings!$A$9:$A$12,0)),"")))</f>
        <v/>
      </c>
      <c r="K965" s="27" t="str">
        <f aca="false">IF(J965="","",COUNTIF($I$2:I965,I965))</f>
        <v/>
      </c>
      <c r="L965" s="27" t="str">
        <f aca="false">IF(J965="","",CHOOSE(Q965+1,"Tue","Wed","Thu","Fri"))</f>
        <v/>
      </c>
      <c r="M965" s="27" t="str">
        <f aca="false">IF(J965="","",IF(J965=1,"Every week",R965+1&amp;" of "&amp;J965))</f>
        <v/>
      </c>
      <c r="N965" s="28" t="str">
        <f aca="false">IF(J965="","",Settings!$B$4+R965*7+Q965)</f>
        <v/>
      </c>
      <c r="O965" s="28" t="str">
        <f aca="true">IF(J965="","",N965+MAX(0,ROUNDUP((TODAY()-N965)/(J965*7),0))*J965*7)</f>
        <v/>
      </c>
      <c r="P965" s="27" t="str">
        <f aca="false">IF(J965="","",MOD(K965-1,J965*4))</f>
        <v/>
      </c>
      <c r="Q965" s="27" t="str">
        <f aca="false">IF(J965="","",MOD(P965,4))</f>
        <v/>
      </c>
      <c r="R965" s="27" t="str">
        <f aca="false">IF(J965="","",INT(P965/4))</f>
        <v/>
      </c>
      <c r="S965" s="27" t="str">
        <f aca="false">IF(J965="","",IF(AND('Daily Count Sheet'!$H$3=Q965,MOD('Daily Count Sheet'!$I$3,J965)=R965),1,""))</f>
        <v/>
      </c>
      <c r="T965" s="27" t="str">
        <f aca="false">IF(S965=1,COUNTIF($S$2:S965,1),"")</f>
        <v/>
      </c>
    </row>
    <row r="966" customFormat="false" ht="15" hidden="false" customHeight="false" outlineLevel="0" collapsed="false">
      <c r="H966" s="26"/>
      <c r="I966" s="27" t="str">
        <f aca="false">IF(A966="","",IF(H966&lt;&gt;"",UPPER(TRIM(H966)),IFERROR(CHOOSE(VALUE(E966)+1,"A","B","C","D"),IF(OR(LEFT(UPPER(TRIM(E966)),1)="F",UPPER(TRIM(E966))="A"),"A",IF(OR(LEFT(UPPER(TRIM(E966)),1)="M",UPPER(TRIM(E966))="B"),"B",IF(OR(LEFT(UPPER(TRIM(E966)),2)="SL",UPPER(TRIM(E966))="C"),"C",IF(OR(LEFT(UPPER(TRIM(E966)),1)="D",UPPER(TRIM(E966))="D"),"D","")))))))</f>
        <v/>
      </c>
      <c r="J966" s="27" t="str">
        <f aca="false">IF(I966="","",IF(AND(I966="D",Settings!$B$6&lt;&gt;"Yes"),"",IFERROR(INDEX(Settings!$C$9:$C$12,MATCH(I966,Settings!$A$9:$A$12,0)),"")))</f>
        <v/>
      </c>
      <c r="K966" s="27" t="str">
        <f aca="false">IF(J966="","",COUNTIF($I$2:I966,I966))</f>
        <v/>
      </c>
      <c r="L966" s="27" t="str">
        <f aca="false">IF(J966="","",CHOOSE(Q966+1,"Tue","Wed","Thu","Fri"))</f>
        <v/>
      </c>
      <c r="M966" s="27" t="str">
        <f aca="false">IF(J966="","",IF(J966=1,"Every week",R966+1&amp;" of "&amp;J966))</f>
        <v/>
      </c>
      <c r="N966" s="28" t="str">
        <f aca="false">IF(J966="","",Settings!$B$4+R966*7+Q966)</f>
        <v/>
      </c>
      <c r="O966" s="28" t="str">
        <f aca="true">IF(J966="","",N966+MAX(0,ROUNDUP((TODAY()-N966)/(J966*7),0))*J966*7)</f>
        <v/>
      </c>
      <c r="P966" s="27" t="str">
        <f aca="false">IF(J966="","",MOD(K966-1,J966*4))</f>
        <v/>
      </c>
      <c r="Q966" s="27" t="str">
        <f aca="false">IF(J966="","",MOD(P966,4))</f>
        <v/>
      </c>
      <c r="R966" s="27" t="str">
        <f aca="false">IF(J966="","",INT(P966/4))</f>
        <v/>
      </c>
      <c r="S966" s="27" t="str">
        <f aca="false">IF(J966="","",IF(AND('Daily Count Sheet'!$H$3=Q966,MOD('Daily Count Sheet'!$I$3,J966)=R966),1,""))</f>
        <v/>
      </c>
      <c r="T966" s="27" t="str">
        <f aca="false">IF(S966=1,COUNTIF($S$2:S966,1),"")</f>
        <v/>
      </c>
    </row>
    <row r="967" customFormat="false" ht="15" hidden="false" customHeight="false" outlineLevel="0" collapsed="false">
      <c r="H967" s="26"/>
      <c r="I967" s="27" t="str">
        <f aca="false">IF(A967="","",IF(H967&lt;&gt;"",UPPER(TRIM(H967)),IFERROR(CHOOSE(VALUE(E967)+1,"A","B","C","D"),IF(OR(LEFT(UPPER(TRIM(E967)),1)="F",UPPER(TRIM(E967))="A"),"A",IF(OR(LEFT(UPPER(TRIM(E967)),1)="M",UPPER(TRIM(E967))="B"),"B",IF(OR(LEFT(UPPER(TRIM(E967)),2)="SL",UPPER(TRIM(E967))="C"),"C",IF(OR(LEFT(UPPER(TRIM(E967)),1)="D",UPPER(TRIM(E967))="D"),"D","")))))))</f>
        <v/>
      </c>
      <c r="J967" s="27" t="str">
        <f aca="false">IF(I967="","",IF(AND(I967="D",Settings!$B$6&lt;&gt;"Yes"),"",IFERROR(INDEX(Settings!$C$9:$C$12,MATCH(I967,Settings!$A$9:$A$12,0)),"")))</f>
        <v/>
      </c>
      <c r="K967" s="27" t="str">
        <f aca="false">IF(J967="","",COUNTIF($I$2:I967,I967))</f>
        <v/>
      </c>
      <c r="L967" s="27" t="str">
        <f aca="false">IF(J967="","",CHOOSE(Q967+1,"Tue","Wed","Thu","Fri"))</f>
        <v/>
      </c>
      <c r="M967" s="27" t="str">
        <f aca="false">IF(J967="","",IF(J967=1,"Every week",R967+1&amp;" of "&amp;J967))</f>
        <v/>
      </c>
      <c r="N967" s="28" t="str">
        <f aca="false">IF(J967="","",Settings!$B$4+R967*7+Q967)</f>
        <v/>
      </c>
      <c r="O967" s="28" t="str">
        <f aca="true">IF(J967="","",N967+MAX(0,ROUNDUP((TODAY()-N967)/(J967*7),0))*J967*7)</f>
        <v/>
      </c>
      <c r="P967" s="27" t="str">
        <f aca="false">IF(J967="","",MOD(K967-1,J967*4))</f>
        <v/>
      </c>
      <c r="Q967" s="27" t="str">
        <f aca="false">IF(J967="","",MOD(P967,4))</f>
        <v/>
      </c>
      <c r="R967" s="27" t="str">
        <f aca="false">IF(J967="","",INT(P967/4))</f>
        <v/>
      </c>
      <c r="S967" s="27" t="str">
        <f aca="false">IF(J967="","",IF(AND('Daily Count Sheet'!$H$3=Q967,MOD('Daily Count Sheet'!$I$3,J967)=R967),1,""))</f>
        <v/>
      </c>
      <c r="T967" s="27" t="str">
        <f aca="false">IF(S967=1,COUNTIF($S$2:S967,1),"")</f>
        <v/>
      </c>
    </row>
    <row r="968" customFormat="false" ht="15" hidden="false" customHeight="false" outlineLevel="0" collapsed="false">
      <c r="H968" s="26"/>
      <c r="I968" s="27" t="str">
        <f aca="false">IF(A968="","",IF(H968&lt;&gt;"",UPPER(TRIM(H968)),IFERROR(CHOOSE(VALUE(E968)+1,"A","B","C","D"),IF(OR(LEFT(UPPER(TRIM(E968)),1)="F",UPPER(TRIM(E968))="A"),"A",IF(OR(LEFT(UPPER(TRIM(E968)),1)="M",UPPER(TRIM(E968))="B"),"B",IF(OR(LEFT(UPPER(TRIM(E968)),2)="SL",UPPER(TRIM(E968))="C"),"C",IF(OR(LEFT(UPPER(TRIM(E968)),1)="D",UPPER(TRIM(E968))="D"),"D","")))))))</f>
        <v/>
      </c>
      <c r="J968" s="27" t="str">
        <f aca="false">IF(I968="","",IF(AND(I968="D",Settings!$B$6&lt;&gt;"Yes"),"",IFERROR(INDEX(Settings!$C$9:$C$12,MATCH(I968,Settings!$A$9:$A$12,0)),"")))</f>
        <v/>
      </c>
      <c r="K968" s="27" t="str">
        <f aca="false">IF(J968="","",COUNTIF($I$2:I968,I968))</f>
        <v/>
      </c>
      <c r="L968" s="27" t="str">
        <f aca="false">IF(J968="","",CHOOSE(Q968+1,"Tue","Wed","Thu","Fri"))</f>
        <v/>
      </c>
      <c r="M968" s="27" t="str">
        <f aca="false">IF(J968="","",IF(J968=1,"Every week",R968+1&amp;" of "&amp;J968))</f>
        <v/>
      </c>
      <c r="N968" s="28" t="str">
        <f aca="false">IF(J968="","",Settings!$B$4+R968*7+Q968)</f>
        <v/>
      </c>
      <c r="O968" s="28" t="str">
        <f aca="true">IF(J968="","",N968+MAX(0,ROUNDUP((TODAY()-N968)/(J968*7),0))*J968*7)</f>
        <v/>
      </c>
      <c r="P968" s="27" t="str">
        <f aca="false">IF(J968="","",MOD(K968-1,J968*4))</f>
        <v/>
      </c>
      <c r="Q968" s="27" t="str">
        <f aca="false">IF(J968="","",MOD(P968,4))</f>
        <v/>
      </c>
      <c r="R968" s="27" t="str">
        <f aca="false">IF(J968="","",INT(P968/4))</f>
        <v/>
      </c>
      <c r="S968" s="27" t="str">
        <f aca="false">IF(J968="","",IF(AND('Daily Count Sheet'!$H$3=Q968,MOD('Daily Count Sheet'!$I$3,J968)=R968),1,""))</f>
        <v/>
      </c>
      <c r="T968" s="27" t="str">
        <f aca="false">IF(S968=1,COUNTIF($S$2:S968,1),"")</f>
        <v/>
      </c>
    </row>
    <row r="969" customFormat="false" ht="15" hidden="false" customHeight="false" outlineLevel="0" collapsed="false">
      <c r="H969" s="26"/>
      <c r="I969" s="27" t="str">
        <f aca="false">IF(A969="","",IF(H969&lt;&gt;"",UPPER(TRIM(H969)),IFERROR(CHOOSE(VALUE(E969)+1,"A","B","C","D"),IF(OR(LEFT(UPPER(TRIM(E969)),1)="F",UPPER(TRIM(E969))="A"),"A",IF(OR(LEFT(UPPER(TRIM(E969)),1)="M",UPPER(TRIM(E969))="B"),"B",IF(OR(LEFT(UPPER(TRIM(E969)),2)="SL",UPPER(TRIM(E969))="C"),"C",IF(OR(LEFT(UPPER(TRIM(E969)),1)="D",UPPER(TRIM(E969))="D"),"D","")))))))</f>
        <v/>
      </c>
      <c r="J969" s="27" t="str">
        <f aca="false">IF(I969="","",IF(AND(I969="D",Settings!$B$6&lt;&gt;"Yes"),"",IFERROR(INDEX(Settings!$C$9:$C$12,MATCH(I969,Settings!$A$9:$A$12,0)),"")))</f>
        <v/>
      </c>
      <c r="K969" s="27" t="str">
        <f aca="false">IF(J969="","",COUNTIF($I$2:I969,I969))</f>
        <v/>
      </c>
      <c r="L969" s="27" t="str">
        <f aca="false">IF(J969="","",CHOOSE(Q969+1,"Tue","Wed","Thu","Fri"))</f>
        <v/>
      </c>
      <c r="M969" s="27" t="str">
        <f aca="false">IF(J969="","",IF(J969=1,"Every week",R969+1&amp;" of "&amp;J969))</f>
        <v/>
      </c>
      <c r="N969" s="28" t="str">
        <f aca="false">IF(J969="","",Settings!$B$4+R969*7+Q969)</f>
        <v/>
      </c>
      <c r="O969" s="28" t="str">
        <f aca="true">IF(J969="","",N969+MAX(0,ROUNDUP((TODAY()-N969)/(J969*7),0))*J969*7)</f>
        <v/>
      </c>
      <c r="P969" s="27" t="str">
        <f aca="false">IF(J969="","",MOD(K969-1,J969*4))</f>
        <v/>
      </c>
      <c r="Q969" s="27" t="str">
        <f aca="false">IF(J969="","",MOD(P969,4))</f>
        <v/>
      </c>
      <c r="R969" s="27" t="str">
        <f aca="false">IF(J969="","",INT(P969/4))</f>
        <v/>
      </c>
      <c r="S969" s="27" t="str">
        <f aca="false">IF(J969="","",IF(AND('Daily Count Sheet'!$H$3=Q969,MOD('Daily Count Sheet'!$I$3,J969)=R969),1,""))</f>
        <v/>
      </c>
      <c r="T969" s="27" t="str">
        <f aca="false">IF(S969=1,COUNTIF($S$2:S969,1),"")</f>
        <v/>
      </c>
    </row>
    <row r="970" customFormat="false" ht="15" hidden="false" customHeight="false" outlineLevel="0" collapsed="false">
      <c r="H970" s="26"/>
      <c r="I970" s="27" t="str">
        <f aca="false">IF(A970="","",IF(H970&lt;&gt;"",UPPER(TRIM(H970)),IFERROR(CHOOSE(VALUE(E970)+1,"A","B","C","D"),IF(OR(LEFT(UPPER(TRIM(E970)),1)="F",UPPER(TRIM(E970))="A"),"A",IF(OR(LEFT(UPPER(TRIM(E970)),1)="M",UPPER(TRIM(E970))="B"),"B",IF(OR(LEFT(UPPER(TRIM(E970)),2)="SL",UPPER(TRIM(E970))="C"),"C",IF(OR(LEFT(UPPER(TRIM(E970)),1)="D",UPPER(TRIM(E970))="D"),"D","")))))))</f>
        <v/>
      </c>
      <c r="J970" s="27" t="str">
        <f aca="false">IF(I970="","",IF(AND(I970="D",Settings!$B$6&lt;&gt;"Yes"),"",IFERROR(INDEX(Settings!$C$9:$C$12,MATCH(I970,Settings!$A$9:$A$12,0)),"")))</f>
        <v/>
      </c>
      <c r="K970" s="27" t="str">
        <f aca="false">IF(J970="","",COUNTIF($I$2:I970,I970))</f>
        <v/>
      </c>
      <c r="L970" s="27" t="str">
        <f aca="false">IF(J970="","",CHOOSE(Q970+1,"Tue","Wed","Thu","Fri"))</f>
        <v/>
      </c>
      <c r="M970" s="27" t="str">
        <f aca="false">IF(J970="","",IF(J970=1,"Every week",R970+1&amp;" of "&amp;J970))</f>
        <v/>
      </c>
      <c r="N970" s="28" t="str">
        <f aca="false">IF(J970="","",Settings!$B$4+R970*7+Q970)</f>
        <v/>
      </c>
      <c r="O970" s="28" t="str">
        <f aca="true">IF(J970="","",N970+MAX(0,ROUNDUP((TODAY()-N970)/(J970*7),0))*J970*7)</f>
        <v/>
      </c>
      <c r="P970" s="27" t="str">
        <f aca="false">IF(J970="","",MOD(K970-1,J970*4))</f>
        <v/>
      </c>
      <c r="Q970" s="27" t="str">
        <f aca="false">IF(J970="","",MOD(P970,4))</f>
        <v/>
      </c>
      <c r="R970" s="27" t="str">
        <f aca="false">IF(J970="","",INT(P970/4))</f>
        <v/>
      </c>
      <c r="S970" s="27" t="str">
        <f aca="false">IF(J970="","",IF(AND('Daily Count Sheet'!$H$3=Q970,MOD('Daily Count Sheet'!$I$3,J970)=R970),1,""))</f>
        <v/>
      </c>
      <c r="T970" s="27" t="str">
        <f aca="false">IF(S970=1,COUNTIF($S$2:S970,1),"")</f>
        <v/>
      </c>
    </row>
    <row r="971" customFormat="false" ht="15" hidden="false" customHeight="false" outlineLevel="0" collapsed="false">
      <c r="H971" s="26"/>
      <c r="I971" s="27" t="str">
        <f aca="false">IF(A971="","",IF(H971&lt;&gt;"",UPPER(TRIM(H971)),IFERROR(CHOOSE(VALUE(E971)+1,"A","B","C","D"),IF(OR(LEFT(UPPER(TRIM(E971)),1)="F",UPPER(TRIM(E971))="A"),"A",IF(OR(LEFT(UPPER(TRIM(E971)),1)="M",UPPER(TRIM(E971))="B"),"B",IF(OR(LEFT(UPPER(TRIM(E971)),2)="SL",UPPER(TRIM(E971))="C"),"C",IF(OR(LEFT(UPPER(TRIM(E971)),1)="D",UPPER(TRIM(E971))="D"),"D","")))))))</f>
        <v/>
      </c>
      <c r="J971" s="27" t="str">
        <f aca="false">IF(I971="","",IF(AND(I971="D",Settings!$B$6&lt;&gt;"Yes"),"",IFERROR(INDEX(Settings!$C$9:$C$12,MATCH(I971,Settings!$A$9:$A$12,0)),"")))</f>
        <v/>
      </c>
      <c r="K971" s="27" t="str">
        <f aca="false">IF(J971="","",COUNTIF($I$2:I971,I971))</f>
        <v/>
      </c>
      <c r="L971" s="27" t="str">
        <f aca="false">IF(J971="","",CHOOSE(Q971+1,"Tue","Wed","Thu","Fri"))</f>
        <v/>
      </c>
      <c r="M971" s="27" t="str">
        <f aca="false">IF(J971="","",IF(J971=1,"Every week",R971+1&amp;" of "&amp;J971))</f>
        <v/>
      </c>
      <c r="N971" s="28" t="str">
        <f aca="false">IF(J971="","",Settings!$B$4+R971*7+Q971)</f>
        <v/>
      </c>
      <c r="O971" s="28" t="str">
        <f aca="true">IF(J971="","",N971+MAX(0,ROUNDUP((TODAY()-N971)/(J971*7),0))*J971*7)</f>
        <v/>
      </c>
      <c r="P971" s="27" t="str">
        <f aca="false">IF(J971="","",MOD(K971-1,J971*4))</f>
        <v/>
      </c>
      <c r="Q971" s="27" t="str">
        <f aca="false">IF(J971="","",MOD(P971,4))</f>
        <v/>
      </c>
      <c r="R971" s="27" t="str">
        <f aca="false">IF(J971="","",INT(P971/4))</f>
        <v/>
      </c>
      <c r="S971" s="27" t="str">
        <f aca="false">IF(J971="","",IF(AND('Daily Count Sheet'!$H$3=Q971,MOD('Daily Count Sheet'!$I$3,J971)=R971),1,""))</f>
        <v/>
      </c>
      <c r="T971" s="27" t="str">
        <f aca="false">IF(S971=1,COUNTIF($S$2:S971,1),"")</f>
        <v/>
      </c>
    </row>
    <row r="972" customFormat="false" ht="15" hidden="false" customHeight="false" outlineLevel="0" collapsed="false">
      <c r="H972" s="26"/>
      <c r="I972" s="27" t="str">
        <f aca="false">IF(A972="","",IF(H972&lt;&gt;"",UPPER(TRIM(H972)),IFERROR(CHOOSE(VALUE(E972)+1,"A","B","C","D"),IF(OR(LEFT(UPPER(TRIM(E972)),1)="F",UPPER(TRIM(E972))="A"),"A",IF(OR(LEFT(UPPER(TRIM(E972)),1)="M",UPPER(TRIM(E972))="B"),"B",IF(OR(LEFT(UPPER(TRIM(E972)),2)="SL",UPPER(TRIM(E972))="C"),"C",IF(OR(LEFT(UPPER(TRIM(E972)),1)="D",UPPER(TRIM(E972))="D"),"D","")))))))</f>
        <v/>
      </c>
      <c r="J972" s="27" t="str">
        <f aca="false">IF(I972="","",IF(AND(I972="D",Settings!$B$6&lt;&gt;"Yes"),"",IFERROR(INDEX(Settings!$C$9:$C$12,MATCH(I972,Settings!$A$9:$A$12,0)),"")))</f>
        <v/>
      </c>
      <c r="K972" s="27" t="str">
        <f aca="false">IF(J972="","",COUNTIF($I$2:I972,I972))</f>
        <v/>
      </c>
      <c r="L972" s="27" t="str">
        <f aca="false">IF(J972="","",CHOOSE(Q972+1,"Tue","Wed","Thu","Fri"))</f>
        <v/>
      </c>
      <c r="M972" s="27" t="str">
        <f aca="false">IF(J972="","",IF(J972=1,"Every week",R972+1&amp;" of "&amp;J972))</f>
        <v/>
      </c>
      <c r="N972" s="28" t="str">
        <f aca="false">IF(J972="","",Settings!$B$4+R972*7+Q972)</f>
        <v/>
      </c>
      <c r="O972" s="28" t="str">
        <f aca="true">IF(J972="","",N972+MAX(0,ROUNDUP((TODAY()-N972)/(J972*7),0))*J972*7)</f>
        <v/>
      </c>
      <c r="P972" s="27" t="str">
        <f aca="false">IF(J972="","",MOD(K972-1,J972*4))</f>
        <v/>
      </c>
      <c r="Q972" s="27" t="str">
        <f aca="false">IF(J972="","",MOD(P972,4))</f>
        <v/>
      </c>
      <c r="R972" s="27" t="str">
        <f aca="false">IF(J972="","",INT(P972/4))</f>
        <v/>
      </c>
      <c r="S972" s="27" t="str">
        <f aca="false">IF(J972="","",IF(AND('Daily Count Sheet'!$H$3=Q972,MOD('Daily Count Sheet'!$I$3,J972)=R972),1,""))</f>
        <v/>
      </c>
      <c r="T972" s="27" t="str">
        <f aca="false">IF(S972=1,COUNTIF($S$2:S972,1),"")</f>
        <v/>
      </c>
    </row>
    <row r="973" customFormat="false" ht="15" hidden="false" customHeight="false" outlineLevel="0" collapsed="false">
      <c r="H973" s="26"/>
      <c r="I973" s="27" t="str">
        <f aca="false">IF(A973="","",IF(H973&lt;&gt;"",UPPER(TRIM(H973)),IFERROR(CHOOSE(VALUE(E973)+1,"A","B","C","D"),IF(OR(LEFT(UPPER(TRIM(E973)),1)="F",UPPER(TRIM(E973))="A"),"A",IF(OR(LEFT(UPPER(TRIM(E973)),1)="M",UPPER(TRIM(E973))="B"),"B",IF(OR(LEFT(UPPER(TRIM(E973)),2)="SL",UPPER(TRIM(E973))="C"),"C",IF(OR(LEFT(UPPER(TRIM(E973)),1)="D",UPPER(TRIM(E973))="D"),"D","")))))))</f>
        <v/>
      </c>
      <c r="J973" s="27" t="str">
        <f aca="false">IF(I973="","",IF(AND(I973="D",Settings!$B$6&lt;&gt;"Yes"),"",IFERROR(INDEX(Settings!$C$9:$C$12,MATCH(I973,Settings!$A$9:$A$12,0)),"")))</f>
        <v/>
      </c>
      <c r="K973" s="27" t="str">
        <f aca="false">IF(J973="","",COUNTIF($I$2:I973,I973))</f>
        <v/>
      </c>
      <c r="L973" s="27" t="str">
        <f aca="false">IF(J973="","",CHOOSE(Q973+1,"Tue","Wed","Thu","Fri"))</f>
        <v/>
      </c>
      <c r="M973" s="27" t="str">
        <f aca="false">IF(J973="","",IF(J973=1,"Every week",R973+1&amp;" of "&amp;J973))</f>
        <v/>
      </c>
      <c r="N973" s="28" t="str">
        <f aca="false">IF(J973="","",Settings!$B$4+R973*7+Q973)</f>
        <v/>
      </c>
      <c r="O973" s="28" t="str">
        <f aca="true">IF(J973="","",N973+MAX(0,ROUNDUP((TODAY()-N973)/(J973*7),0))*J973*7)</f>
        <v/>
      </c>
      <c r="P973" s="27" t="str">
        <f aca="false">IF(J973="","",MOD(K973-1,J973*4))</f>
        <v/>
      </c>
      <c r="Q973" s="27" t="str">
        <f aca="false">IF(J973="","",MOD(P973,4))</f>
        <v/>
      </c>
      <c r="R973" s="27" t="str">
        <f aca="false">IF(J973="","",INT(P973/4))</f>
        <v/>
      </c>
      <c r="S973" s="27" t="str">
        <f aca="false">IF(J973="","",IF(AND('Daily Count Sheet'!$H$3=Q973,MOD('Daily Count Sheet'!$I$3,J973)=R973),1,""))</f>
        <v/>
      </c>
      <c r="T973" s="27" t="str">
        <f aca="false">IF(S973=1,COUNTIF($S$2:S973,1),"")</f>
        <v/>
      </c>
    </row>
    <row r="974" customFormat="false" ht="15" hidden="false" customHeight="false" outlineLevel="0" collapsed="false">
      <c r="H974" s="26"/>
      <c r="I974" s="27" t="str">
        <f aca="false">IF(A974="","",IF(H974&lt;&gt;"",UPPER(TRIM(H974)),IFERROR(CHOOSE(VALUE(E974)+1,"A","B","C","D"),IF(OR(LEFT(UPPER(TRIM(E974)),1)="F",UPPER(TRIM(E974))="A"),"A",IF(OR(LEFT(UPPER(TRIM(E974)),1)="M",UPPER(TRIM(E974))="B"),"B",IF(OR(LEFT(UPPER(TRIM(E974)),2)="SL",UPPER(TRIM(E974))="C"),"C",IF(OR(LEFT(UPPER(TRIM(E974)),1)="D",UPPER(TRIM(E974))="D"),"D","")))))))</f>
        <v/>
      </c>
      <c r="J974" s="27" t="str">
        <f aca="false">IF(I974="","",IF(AND(I974="D",Settings!$B$6&lt;&gt;"Yes"),"",IFERROR(INDEX(Settings!$C$9:$C$12,MATCH(I974,Settings!$A$9:$A$12,0)),"")))</f>
        <v/>
      </c>
      <c r="K974" s="27" t="str">
        <f aca="false">IF(J974="","",COUNTIF($I$2:I974,I974))</f>
        <v/>
      </c>
      <c r="L974" s="27" t="str">
        <f aca="false">IF(J974="","",CHOOSE(Q974+1,"Tue","Wed","Thu","Fri"))</f>
        <v/>
      </c>
      <c r="M974" s="27" t="str">
        <f aca="false">IF(J974="","",IF(J974=1,"Every week",R974+1&amp;" of "&amp;J974))</f>
        <v/>
      </c>
      <c r="N974" s="28" t="str">
        <f aca="false">IF(J974="","",Settings!$B$4+R974*7+Q974)</f>
        <v/>
      </c>
      <c r="O974" s="28" t="str">
        <f aca="true">IF(J974="","",N974+MAX(0,ROUNDUP((TODAY()-N974)/(J974*7),0))*J974*7)</f>
        <v/>
      </c>
      <c r="P974" s="27" t="str">
        <f aca="false">IF(J974="","",MOD(K974-1,J974*4))</f>
        <v/>
      </c>
      <c r="Q974" s="27" t="str">
        <f aca="false">IF(J974="","",MOD(P974,4))</f>
        <v/>
      </c>
      <c r="R974" s="27" t="str">
        <f aca="false">IF(J974="","",INT(P974/4))</f>
        <v/>
      </c>
      <c r="S974" s="27" t="str">
        <f aca="false">IF(J974="","",IF(AND('Daily Count Sheet'!$H$3=Q974,MOD('Daily Count Sheet'!$I$3,J974)=R974),1,""))</f>
        <v/>
      </c>
      <c r="T974" s="27" t="str">
        <f aca="false">IF(S974=1,COUNTIF($S$2:S974,1),"")</f>
        <v/>
      </c>
    </row>
    <row r="975" customFormat="false" ht="15" hidden="false" customHeight="false" outlineLevel="0" collapsed="false">
      <c r="H975" s="26"/>
      <c r="I975" s="27" t="str">
        <f aca="false">IF(A975="","",IF(H975&lt;&gt;"",UPPER(TRIM(H975)),IFERROR(CHOOSE(VALUE(E975)+1,"A","B","C","D"),IF(OR(LEFT(UPPER(TRIM(E975)),1)="F",UPPER(TRIM(E975))="A"),"A",IF(OR(LEFT(UPPER(TRIM(E975)),1)="M",UPPER(TRIM(E975))="B"),"B",IF(OR(LEFT(UPPER(TRIM(E975)),2)="SL",UPPER(TRIM(E975))="C"),"C",IF(OR(LEFT(UPPER(TRIM(E975)),1)="D",UPPER(TRIM(E975))="D"),"D","")))))))</f>
        <v/>
      </c>
      <c r="J975" s="27" t="str">
        <f aca="false">IF(I975="","",IF(AND(I975="D",Settings!$B$6&lt;&gt;"Yes"),"",IFERROR(INDEX(Settings!$C$9:$C$12,MATCH(I975,Settings!$A$9:$A$12,0)),"")))</f>
        <v/>
      </c>
      <c r="K975" s="27" t="str">
        <f aca="false">IF(J975="","",COUNTIF($I$2:I975,I975))</f>
        <v/>
      </c>
      <c r="L975" s="27" t="str">
        <f aca="false">IF(J975="","",CHOOSE(Q975+1,"Tue","Wed","Thu","Fri"))</f>
        <v/>
      </c>
      <c r="M975" s="27" t="str">
        <f aca="false">IF(J975="","",IF(J975=1,"Every week",R975+1&amp;" of "&amp;J975))</f>
        <v/>
      </c>
      <c r="N975" s="28" t="str">
        <f aca="false">IF(J975="","",Settings!$B$4+R975*7+Q975)</f>
        <v/>
      </c>
      <c r="O975" s="28" t="str">
        <f aca="true">IF(J975="","",N975+MAX(0,ROUNDUP((TODAY()-N975)/(J975*7),0))*J975*7)</f>
        <v/>
      </c>
      <c r="P975" s="27" t="str">
        <f aca="false">IF(J975="","",MOD(K975-1,J975*4))</f>
        <v/>
      </c>
      <c r="Q975" s="27" t="str">
        <f aca="false">IF(J975="","",MOD(P975,4))</f>
        <v/>
      </c>
      <c r="R975" s="27" t="str">
        <f aca="false">IF(J975="","",INT(P975/4))</f>
        <v/>
      </c>
      <c r="S975" s="27" t="str">
        <f aca="false">IF(J975="","",IF(AND('Daily Count Sheet'!$H$3=Q975,MOD('Daily Count Sheet'!$I$3,J975)=R975),1,""))</f>
        <v/>
      </c>
      <c r="T975" s="27" t="str">
        <f aca="false">IF(S975=1,COUNTIF($S$2:S975,1),"")</f>
        <v/>
      </c>
    </row>
    <row r="976" customFormat="false" ht="15" hidden="false" customHeight="false" outlineLevel="0" collapsed="false">
      <c r="H976" s="26"/>
      <c r="I976" s="27" t="str">
        <f aca="false">IF(A976="","",IF(H976&lt;&gt;"",UPPER(TRIM(H976)),IFERROR(CHOOSE(VALUE(E976)+1,"A","B","C","D"),IF(OR(LEFT(UPPER(TRIM(E976)),1)="F",UPPER(TRIM(E976))="A"),"A",IF(OR(LEFT(UPPER(TRIM(E976)),1)="M",UPPER(TRIM(E976))="B"),"B",IF(OR(LEFT(UPPER(TRIM(E976)),2)="SL",UPPER(TRIM(E976))="C"),"C",IF(OR(LEFT(UPPER(TRIM(E976)),1)="D",UPPER(TRIM(E976))="D"),"D","")))))))</f>
        <v/>
      </c>
      <c r="J976" s="27" t="str">
        <f aca="false">IF(I976="","",IF(AND(I976="D",Settings!$B$6&lt;&gt;"Yes"),"",IFERROR(INDEX(Settings!$C$9:$C$12,MATCH(I976,Settings!$A$9:$A$12,0)),"")))</f>
        <v/>
      </c>
      <c r="K976" s="27" t="str">
        <f aca="false">IF(J976="","",COUNTIF($I$2:I976,I976))</f>
        <v/>
      </c>
      <c r="L976" s="27" t="str">
        <f aca="false">IF(J976="","",CHOOSE(Q976+1,"Tue","Wed","Thu","Fri"))</f>
        <v/>
      </c>
      <c r="M976" s="27" t="str">
        <f aca="false">IF(J976="","",IF(J976=1,"Every week",R976+1&amp;" of "&amp;J976))</f>
        <v/>
      </c>
      <c r="N976" s="28" t="str">
        <f aca="false">IF(J976="","",Settings!$B$4+R976*7+Q976)</f>
        <v/>
      </c>
      <c r="O976" s="28" t="str">
        <f aca="true">IF(J976="","",N976+MAX(0,ROUNDUP((TODAY()-N976)/(J976*7),0))*J976*7)</f>
        <v/>
      </c>
      <c r="P976" s="27" t="str">
        <f aca="false">IF(J976="","",MOD(K976-1,J976*4))</f>
        <v/>
      </c>
      <c r="Q976" s="27" t="str">
        <f aca="false">IF(J976="","",MOD(P976,4))</f>
        <v/>
      </c>
      <c r="R976" s="27" t="str">
        <f aca="false">IF(J976="","",INT(P976/4))</f>
        <v/>
      </c>
      <c r="S976" s="27" t="str">
        <f aca="false">IF(J976="","",IF(AND('Daily Count Sheet'!$H$3=Q976,MOD('Daily Count Sheet'!$I$3,J976)=R976),1,""))</f>
        <v/>
      </c>
      <c r="T976" s="27" t="str">
        <f aca="false">IF(S976=1,COUNTIF($S$2:S976,1),"")</f>
        <v/>
      </c>
    </row>
    <row r="977" customFormat="false" ht="15" hidden="false" customHeight="false" outlineLevel="0" collapsed="false">
      <c r="H977" s="26"/>
      <c r="I977" s="27" t="str">
        <f aca="false">IF(A977="","",IF(H977&lt;&gt;"",UPPER(TRIM(H977)),IFERROR(CHOOSE(VALUE(E977)+1,"A","B","C","D"),IF(OR(LEFT(UPPER(TRIM(E977)),1)="F",UPPER(TRIM(E977))="A"),"A",IF(OR(LEFT(UPPER(TRIM(E977)),1)="M",UPPER(TRIM(E977))="B"),"B",IF(OR(LEFT(UPPER(TRIM(E977)),2)="SL",UPPER(TRIM(E977))="C"),"C",IF(OR(LEFT(UPPER(TRIM(E977)),1)="D",UPPER(TRIM(E977))="D"),"D","")))))))</f>
        <v/>
      </c>
      <c r="J977" s="27" t="str">
        <f aca="false">IF(I977="","",IF(AND(I977="D",Settings!$B$6&lt;&gt;"Yes"),"",IFERROR(INDEX(Settings!$C$9:$C$12,MATCH(I977,Settings!$A$9:$A$12,0)),"")))</f>
        <v/>
      </c>
      <c r="K977" s="27" t="str">
        <f aca="false">IF(J977="","",COUNTIF($I$2:I977,I977))</f>
        <v/>
      </c>
      <c r="L977" s="27" t="str">
        <f aca="false">IF(J977="","",CHOOSE(Q977+1,"Tue","Wed","Thu","Fri"))</f>
        <v/>
      </c>
      <c r="M977" s="27" t="str">
        <f aca="false">IF(J977="","",IF(J977=1,"Every week",R977+1&amp;" of "&amp;J977))</f>
        <v/>
      </c>
      <c r="N977" s="28" t="str">
        <f aca="false">IF(J977="","",Settings!$B$4+R977*7+Q977)</f>
        <v/>
      </c>
      <c r="O977" s="28" t="str">
        <f aca="true">IF(J977="","",N977+MAX(0,ROUNDUP((TODAY()-N977)/(J977*7),0))*J977*7)</f>
        <v/>
      </c>
      <c r="P977" s="27" t="str">
        <f aca="false">IF(J977="","",MOD(K977-1,J977*4))</f>
        <v/>
      </c>
      <c r="Q977" s="27" t="str">
        <f aca="false">IF(J977="","",MOD(P977,4))</f>
        <v/>
      </c>
      <c r="R977" s="27" t="str">
        <f aca="false">IF(J977="","",INT(P977/4))</f>
        <v/>
      </c>
      <c r="S977" s="27" t="str">
        <f aca="false">IF(J977="","",IF(AND('Daily Count Sheet'!$H$3=Q977,MOD('Daily Count Sheet'!$I$3,J977)=R977),1,""))</f>
        <v/>
      </c>
      <c r="T977" s="27" t="str">
        <f aca="false">IF(S977=1,COUNTIF($S$2:S977,1),"")</f>
        <v/>
      </c>
    </row>
    <row r="978" customFormat="false" ht="15" hidden="false" customHeight="false" outlineLevel="0" collapsed="false">
      <c r="H978" s="26"/>
      <c r="I978" s="27" t="str">
        <f aca="false">IF(A978="","",IF(H978&lt;&gt;"",UPPER(TRIM(H978)),IFERROR(CHOOSE(VALUE(E978)+1,"A","B","C","D"),IF(OR(LEFT(UPPER(TRIM(E978)),1)="F",UPPER(TRIM(E978))="A"),"A",IF(OR(LEFT(UPPER(TRIM(E978)),1)="M",UPPER(TRIM(E978))="B"),"B",IF(OR(LEFT(UPPER(TRIM(E978)),2)="SL",UPPER(TRIM(E978))="C"),"C",IF(OR(LEFT(UPPER(TRIM(E978)),1)="D",UPPER(TRIM(E978))="D"),"D","")))))))</f>
        <v/>
      </c>
      <c r="J978" s="27" t="str">
        <f aca="false">IF(I978="","",IF(AND(I978="D",Settings!$B$6&lt;&gt;"Yes"),"",IFERROR(INDEX(Settings!$C$9:$C$12,MATCH(I978,Settings!$A$9:$A$12,0)),"")))</f>
        <v/>
      </c>
      <c r="K978" s="27" t="str">
        <f aca="false">IF(J978="","",COUNTIF($I$2:I978,I978))</f>
        <v/>
      </c>
      <c r="L978" s="27" t="str">
        <f aca="false">IF(J978="","",CHOOSE(Q978+1,"Tue","Wed","Thu","Fri"))</f>
        <v/>
      </c>
      <c r="M978" s="27" t="str">
        <f aca="false">IF(J978="","",IF(J978=1,"Every week",R978+1&amp;" of "&amp;J978))</f>
        <v/>
      </c>
      <c r="N978" s="28" t="str">
        <f aca="false">IF(J978="","",Settings!$B$4+R978*7+Q978)</f>
        <v/>
      </c>
      <c r="O978" s="28" t="str">
        <f aca="true">IF(J978="","",N978+MAX(0,ROUNDUP((TODAY()-N978)/(J978*7),0))*J978*7)</f>
        <v/>
      </c>
      <c r="P978" s="27" t="str">
        <f aca="false">IF(J978="","",MOD(K978-1,J978*4))</f>
        <v/>
      </c>
      <c r="Q978" s="27" t="str">
        <f aca="false">IF(J978="","",MOD(P978,4))</f>
        <v/>
      </c>
      <c r="R978" s="27" t="str">
        <f aca="false">IF(J978="","",INT(P978/4))</f>
        <v/>
      </c>
      <c r="S978" s="27" t="str">
        <f aca="false">IF(J978="","",IF(AND('Daily Count Sheet'!$H$3=Q978,MOD('Daily Count Sheet'!$I$3,J978)=R978),1,""))</f>
        <v/>
      </c>
      <c r="T978" s="27" t="str">
        <f aca="false">IF(S978=1,COUNTIF($S$2:S978,1),"")</f>
        <v/>
      </c>
    </row>
    <row r="979" customFormat="false" ht="15" hidden="false" customHeight="false" outlineLevel="0" collapsed="false">
      <c r="H979" s="26"/>
      <c r="I979" s="27" t="str">
        <f aca="false">IF(A979="","",IF(H979&lt;&gt;"",UPPER(TRIM(H979)),IFERROR(CHOOSE(VALUE(E979)+1,"A","B","C","D"),IF(OR(LEFT(UPPER(TRIM(E979)),1)="F",UPPER(TRIM(E979))="A"),"A",IF(OR(LEFT(UPPER(TRIM(E979)),1)="M",UPPER(TRIM(E979))="B"),"B",IF(OR(LEFT(UPPER(TRIM(E979)),2)="SL",UPPER(TRIM(E979))="C"),"C",IF(OR(LEFT(UPPER(TRIM(E979)),1)="D",UPPER(TRIM(E979))="D"),"D","")))))))</f>
        <v/>
      </c>
      <c r="J979" s="27" t="str">
        <f aca="false">IF(I979="","",IF(AND(I979="D",Settings!$B$6&lt;&gt;"Yes"),"",IFERROR(INDEX(Settings!$C$9:$C$12,MATCH(I979,Settings!$A$9:$A$12,0)),"")))</f>
        <v/>
      </c>
      <c r="K979" s="27" t="str">
        <f aca="false">IF(J979="","",COUNTIF($I$2:I979,I979))</f>
        <v/>
      </c>
      <c r="L979" s="27" t="str">
        <f aca="false">IF(J979="","",CHOOSE(Q979+1,"Tue","Wed","Thu","Fri"))</f>
        <v/>
      </c>
      <c r="M979" s="27" t="str">
        <f aca="false">IF(J979="","",IF(J979=1,"Every week",R979+1&amp;" of "&amp;J979))</f>
        <v/>
      </c>
      <c r="N979" s="28" t="str">
        <f aca="false">IF(J979="","",Settings!$B$4+R979*7+Q979)</f>
        <v/>
      </c>
      <c r="O979" s="28" t="str">
        <f aca="true">IF(J979="","",N979+MAX(0,ROUNDUP((TODAY()-N979)/(J979*7),0))*J979*7)</f>
        <v/>
      </c>
      <c r="P979" s="27" t="str">
        <f aca="false">IF(J979="","",MOD(K979-1,J979*4))</f>
        <v/>
      </c>
      <c r="Q979" s="27" t="str">
        <f aca="false">IF(J979="","",MOD(P979,4))</f>
        <v/>
      </c>
      <c r="R979" s="27" t="str">
        <f aca="false">IF(J979="","",INT(P979/4))</f>
        <v/>
      </c>
      <c r="S979" s="27" t="str">
        <f aca="false">IF(J979="","",IF(AND('Daily Count Sheet'!$H$3=Q979,MOD('Daily Count Sheet'!$I$3,J979)=R979),1,""))</f>
        <v/>
      </c>
      <c r="T979" s="27" t="str">
        <f aca="false">IF(S979=1,COUNTIF($S$2:S979,1),"")</f>
        <v/>
      </c>
    </row>
    <row r="980" customFormat="false" ht="15" hidden="false" customHeight="false" outlineLevel="0" collapsed="false">
      <c r="H980" s="26"/>
      <c r="I980" s="27" t="str">
        <f aca="false">IF(A980="","",IF(H980&lt;&gt;"",UPPER(TRIM(H980)),IFERROR(CHOOSE(VALUE(E980)+1,"A","B","C","D"),IF(OR(LEFT(UPPER(TRIM(E980)),1)="F",UPPER(TRIM(E980))="A"),"A",IF(OR(LEFT(UPPER(TRIM(E980)),1)="M",UPPER(TRIM(E980))="B"),"B",IF(OR(LEFT(UPPER(TRIM(E980)),2)="SL",UPPER(TRIM(E980))="C"),"C",IF(OR(LEFT(UPPER(TRIM(E980)),1)="D",UPPER(TRIM(E980))="D"),"D","")))))))</f>
        <v/>
      </c>
      <c r="J980" s="27" t="str">
        <f aca="false">IF(I980="","",IF(AND(I980="D",Settings!$B$6&lt;&gt;"Yes"),"",IFERROR(INDEX(Settings!$C$9:$C$12,MATCH(I980,Settings!$A$9:$A$12,0)),"")))</f>
        <v/>
      </c>
      <c r="K980" s="27" t="str">
        <f aca="false">IF(J980="","",COUNTIF($I$2:I980,I980))</f>
        <v/>
      </c>
      <c r="L980" s="27" t="str">
        <f aca="false">IF(J980="","",CHOOSE(Q980+1,"Tue","Wed","Thu","Fri"))</f>
        <v/>
      </c>
      <c r="M980" s="27" t="str">
        <f aca="false">IF(J980="","",IF(J980=1,"Every week",R980+1&amp;" of "&amp;J980))</f>
        <v/>
      </c>
      <c r="N980" s="28" t="str">
        <f aca="false">IF(J980="","",Settings!$B$4+R980*7+Q980)</f>
        <v/>
      </c>
      <c r="O980" s="28" t="str">
        <f aca="true">IF(J980="","",N980+MAX(0,ROUNDUP((TODAY()-N980)/(J980*7),0))*J980*7)</f>
        <v/>
      </c>
      <c r="P980" s="27" t="str">
        <f aca="false">IF(J980="","",MOD(K980-1,J980*4))</f>
        <v/>
      </c>
      <c r="Q980" s="27" t="str">
        <f aca="false">IF(J980="","",MOD(P980,4))</f>
        <v/>
      </c>
      <c r="R980" s="27" t="str">
        <f aca="false">IF(J980="","",INT(P980/4))</f>
        <v/>
      </c>
      <c r="S980" s="27" t="str">
        <f aca="false">IF(J980="","",IF(AND('Daily Count Sheet'!$H$3=Q980,MOD('Daily Count Sheet'!$I$3,J980)=R980),1,""))</f>
        <v/>
      </c>
      <c r="T980" s="27" t="str">
        <f aca="false">IF(S980=1,COUNTIF($S$2:S980,1),"")</f>
        <v/>
      </c>
    </row>
    <row r="981" customFormat="false" ht="15" hidden="false" customHeight="false" outlineLevel="0" collapsed="false">
      <c r="H981" s="26"/>
      <c r="I981" s="27" t="str">
        <f aca="false">IF(A981="","",IF(H981&lt;&gt;"",UPPER(TRIM(H981)),IFERROR(CHOOSE(VALUE(E981)+1,"A","B","C","D"),IF(OR(LEFT(UPPER(TRIM(E981)),1)="F",UPPER(TRIM(E981))="A"),"A",IF(OR(LEFT(UPPER(TRIM(E981)),1)="M",UPPER(TRIM(E981))="B"),"B",IF(OR(LEFT(UPPER(TRIM(E981)),2)="SL",UPPER(TRIM(E981))="C"),"C",IF(OR(LEFT(UPPER(TRIM(E981)),1)="D",UPPER(TRIM(E981))="D"),"D","")))))))</f>
        <v/>
      </c>
      <c r="J981" s="27" t="str">
        <f aca="false">IF(I981="","",IF(AND(I981="D",Settings!$B$6&lt;&gt;"Yes"),"",IFERROR(INDEX(Settings!$C$9:$C$12,MATCH(I981,Settings!$A$9:$A$12,0)),"")))</f>
        <v/>
      </c>
      <c r="K981" s="27" t="str">
        <f aca="false">IF(J981="","",COUNTIF($I$2:I981,I981))</f>
        <v/>
      </c>
      <c r="L981" s="27" t="str">
        <f aca="false">IF(J981="","",CHOOSE(Q981+1,"Tue","Wed","Thu","Fri"))</f>
        <v/>
      </c>
      <c r="M981" s="27" t="str">
        <f aca="false">IF(J981="","",IF(J981=1,"Every week",R981+1&amp;" of "&amp;J981))</f>
        <v/>
      </c>
      <c r="N981" s="28" t="str">
        <f aca="false">IF(J981="","",Settings!$B$4+R981*7+Q981)</f>
        <v/>
      </c>
      <c r="O981" s="28" t="str">
        <f aca="true">IF(J981="","",N981+MAX(0,ROUNDUP((TODAY()-N981)/(J981*7),0))*J981*7)</f>
        <v/>
      </c>
      <c r="P981" s="27" t="str">
        <f aca="false">IF(J981="","",MOD(K981-1,J981*4))</f>
        <v/>
      </c>
      <c r="Q981" s="27" t="str">
        <f aca="false">IF(J981="","",MOD(P981,4))</f>
        <v/>
      </c>
      <c r="R981" s="27" t="str">
        <f aca="false">IF(J981="","",INT(P981/4))</f>
        <v/>
      </c>
      <c r="S981" s="27" t="str">
        <f aca="false">IF(J981="","",IF(AND('Daily Count Sheet'!$H$3=Q981,MOD('Daily Count Sheet'!$I$3,J981)=R981),1,""))</f>
        <v/>
      </c>
      <c r="T981" s="27" t="str">
        <f aca="false">IF(S981=1,COUNTIF($S$2:S981,1),"")</f>
        <v/>
      </c>
    </row>
    <row r="982" customFormat="false" ht="15" hidden="false" customHeight="false" outlineLevel="0" collapsed="false">
      <c r="H982" s="26"/>
      <c r="I982" s="27" t="str">
        <f aca="false">IF(A982="","",IF(H982&lt;&gt;"",UPPER(TRIM(H982)),IFERROR(CHOOSE(VALUE(E982)+1,"A","B","C","D"),IF(OR(LEFT(UPPER(TRIM(E982)),1)="F",UPPER(TRIM(E982))="A"),"A",IF(OR(LEFT(UPPER(TRIM(E982)),1)="M",UPPER(TRIM(E982))="B"),"B",IF(OR(LEFT(UPPER(TRIM(E982)),2)="SL",UPPER(TRIM(E982))="C"),"C",IF(OR(LEFT(UPPER(TRIM(E982)),1)="D",UPPER(TRIM(E982))="D"),"D","")))))))</f>
        <v/>
      </c>
      <c r="J982" s="27" t="str">
        <f aca="false">IF(I982="","",IF(AND(I982="D",Settings!$B$6&lt;&gt;"Yes"),"",IFERROR(INDEX(Settings!$C$9:$C$12,MATCH(I982,Settings!$A$9:$A$12,0)),"")))</f>
        <v/>
      </c>
      <c r="K982" s="27" t="str">
        <f aca="false">IF(J982="","",COUNTIF($I$2:I982,I982))</f>
        <v/>
      </c>
      <c r="L982" s="27" t="str">
        <f aca="false">IF(J982="","",CHOOSE(Q982+1,"Tue","Wed","Thu","Fri"))</f>
        <v/>
      </c>
      <c r="M982" s="27" t="str">
        <f aca="false">IF(J982="","",IF(J982=1,"Every week",R982+1&amp;" of "&amp;J982))</f>
        <v/>
      </c>
      <c r="N982" s="28" t="str">
        <f aca="false">IF(J982="","",Settings!$B$4+R982*7+Q982)</f>
        <v/>
      </c>
      <c r="O982" s="28" t="str">
        <f aca="true">IF(J982="","",N982+MAX(0,ROUNDUP((TODAY()-N982)/(J982*7),0))*J982*7)</f>
        <v/>
      </c>
      <c r="P982" s="27" t="str">
        <f aca="false">IF(J982="","",MOD(K982-1,J982*4))</f>
        <v/>
      </c>
      <c r="Q982" s="27" t="str">
        <f aca="false">IF(J982="","",MOD(P982,4))</f>
        <v/>
      </c>
      <c r="R982" s="27" t="str">
        <f aca="false">IF(J982="","",INT(P982/4))</f>
        <v/>
      </c>
      <c r="S982" s="27" t="str">
        <f aca="false">IF(J982="","",IF(AND('Daily Count Sheet'!$H$3=Q982,MOD('Daily Count Sheet'!$I$3,J982)=R982),1,""))</f>
        <v/>
      </c>
      <c r="T982" s="27" t="str">
        <f aca="false">IF(S982=1,COUNTIF($S$2:S982,1),"")</f>
        <v/>
      </c>
    </row>
    <row r="983" customFormat="false" ht="15" hidden="false" customHeight="false" outlineLevel="0" collapsed="false">
      <c r="H983" s="26"/>
      <c r="I983" s="27" t="str">
        <f aca="false">IF(A983="","",IF(H983&lt;&gt;"",UPPER(TRIM(H983)),IFERROR(CHOOSE(VALUE(E983)+1,"A","B","C","D"),IF(OR(LEFT(UPPER(TRIM(E983)),1)="F",UPPER(TRIM(E983))="A"),"A",IF(OR(LEFT(UPPER(TRIM(E983)),1)="M",UPPER(TRIM(E983))="B"),"B",IF(OR(LEFT(UPPER(TRIM(E983)),2)="SL",UPPER(TRIM(E983))="C"),"C",IF(OR(LEFT(UPPER(TRIM(E983)),1)="D",UPPER(TRIM(E983))="D"),"D","")))))))</f>
        <v/>
      </c>
      <c r="J983" s="27" t="str">
        <f aca="false">IF(I983="","",IF(AND(I983="D",Settings!$B$6&lt;&gt;"Yes"),"",IFERROR(INDEX(Settings!$C$9:$C$12,MATCH(I983,Settings!$A$9:$A$12,0)),"")))</f>
        <v/>
      </c>
      <c r="K983" s="27" t="str">
        <f aca="false">IF(J983="","",COUNTIF($I$2:I983,I983))</f>
        <v/>
      </c>
      <c r="L983" s="27" t="str">
        <f aca="false">IF(J983="","",CHOOSE(Q983+1,"Tue","Wed","Thu","Fri"))</f>
        <v/>
      </c>
      <c r="M983" s="27" t="str">
        <f aca="false">IF(J983="","",IF(J983=1,"Every week",R983+1&amp;" of "&amp;J983))</f>
        <v/>
      </c>
      <c r="N983" s="28" t="str">
        <f aca="false">IF(J983="","",Settings!$B$4+R983*7+Q983)</f>
        <v/>
      </c>
      <c r="O983" s="28" t="str">
        <f aca="true">IF(J983="","",N983+MAX(0,ROUNDUP((TODAY()-N983)/(J983*7),0))*J983*7)</f>
        <v/>
      </c>
      <c r="P983" s="27" t="str">
        <f aca="false">IF(J983="","",MOD(K983-1,J983*4))</f>
        <v/>
      </c>
      <c r="Q983" s="27" t="str">
        <f aca="false">IF(J983="","",MOD(P983,4))</f>
        <v/>
      </c>
      <c r="R983" s="27" t="str">
        <f aca="false">IF(J983="","",INT(P983/4))</f>
        <v/>
      </c>
      <c r="S983" s="27" t="str">
        <f aca="false">IF(J983="","",IF(AND('Daily Count Sheet'!$H$3=Q983,MOD('Daily Count Sheet'!$I$3,J983)=R983),1,""))</f>
        <v/>
      </c>
      <c r="T983" s="27" t="str">
        <f aca="false">IF(S983=1,COUNTIF($S$2:S983,1),"")</f>
        <v/>
      </c>
    </row>
    <row r="984" customFormat="false" ht="15" hidden="false" customHeight="false" outlineLevel="0" collapsed="false">
      <c r="H984" s="26"/>
      <c r="I984" s="27" t="str">
        <f aca="false">IF(A984="","",IF(H984&lt;&gt;"",UPPER(TRIM(H984)),IFERROR(CHOOSE(VALUE(E984)+1,"A","B","C","D"),IF(OR(LEFT(UPPER(TRIM(E984)),1)="F",UPPER(TRIM(E984))="A"),"A",IF(OR(LEFT(UPPER(TRIM(E984)),1)="M",UPPER(TRIM(E984))="B"),"B",IF(OR(LEFT(UPPER(TRIM(E984)),2)="SL",UPPER(TRIM(E984))="C"),"C",IF(OR(LEFT(UPPER(TRIM(E984)),1)="D",UPPER(TRIM(E984))="D"),"D","")))))))</f>
        <v/>
      </c>
      <c r="J984" s="27" t="str">
        <f aca="false">IF(I984="","",IF(AND(I984="D",Settings!$B$6&lt;&gt;"Yes"),"",IFERROR(INDEX(Settings!$C$9:$C$12,MATCH(I984,Settings!$A$9:$A$12,0)),"")))</f>
        <v/>
      </c>
      <c r="K984" s="27" t="str">
        <f aca="false">IF(J984="","",COUNTIF($I$2:I984,I984))</f>
        <v/>
      </c>
      <c r="L984" s="27" t="str">
        <f aca="false">IF(J984="","",CHOOSE(Q984+1,"Tue","Wed","Thu","Fri"))</f>
        <v/>
      </c>
      <c r="M984" s="27" t="str">
        <f aca="false">IF(J984="","",IF(J984=1,"Every week",R984+1&amp;" of "&amp;J984))</f>
        <v/>
      </c>
      <c r="N984" s="28" t="str">
        <f aca="false">IF(J984="","",Settings!$B$4+R984*7+Q984)</f>
        <v/>
      </c>
      <c r="O984" s="28" t="str">
        <f aca="true">IF(J984="","",N984+MAX(0,ROUNDUP((TODAY()-N984)/(J984*7),0))*J984*7)</f>
        <v/>
      </c>
      <c r="P984" s="27" t="str">
        <f aca="false">IF(J984="","",MOD(K984-1,J984*4))</f>
        <v/>
      </c>
      <c r="Q984" s="27" t="str">
        <f aca="false">IF(J984="","",MOD(P984,4))</f>
        <v/>
      </c>
      <c r="R984" s="27" t="str">
        <f aca="false">IF(J984="","",INT(P984/4))</f>
        <v/>
      </c>
      <c r="S984" s="27" t="str">
        <f aca="false">IF(J984="","",IF(AND('Daily Count Sheet'!$H$3=Q984,MOD('Daily Count Sheet'!$I$3,J984)=R984),1,""))</f>
        <v/>
      </c>
      <c r="T984" s="27" t="str">
        <f aca="false">IF(S984=1,COUNTIF($S$2:S984,1),"")</f>
        <v/>
      </c>
    </row>
    <row r="985" customFormat="false" ht="15" hidden="false" customHeight="false" outlineLevel="0" collapsed="false">
      <c r="H985" s="26"/>
      <c r="I985" s="27" t="str">
        <f aca="false">IF(A985="","",IF(H985&lt;&gt;"",UPPER(TRIM(H985)),IFERROR(CHOOSE(VALUE(E985)+1,"A","B","C","D"),IF(OR(LEFT(UPPER(TRIM(E985)),1)="F",UPPER(TRIM(E985))="A"),"A",IF(OR(LEFT(UPPER(TRIM(E985)),1)="M",UPPER(TRIM(E985))="B"),"B",IF(OR(LEFT(UPPER(TRIM(E985)),2)="SL",UPPER(TRIM(E985))="C"),"C",IF(OR(LEFT(UPPER(TRIM(E985)),1)="D",UPPER(TRIM(E985))="D"),"D","")))))))</f>
        <v/>
      </c>
      <c r="J985" s="27" t="str">
        <f aca="false">IF(I985="","",IF(AND(I985="D",Settings!$B$6&lt;&gt;"Yes"),"",IFERROR(INDEX(Settings!$C$9:$C$12,MATCH(I985,Settings!$A$9:$A$12,0)),"")))</f>
        <v/>
      </c>
      <c r="K985" s="27" t="str">
        <f aca="false">IF(J985="","",COUNTIF($I$2:I985,I985))</f>
        <v/>
      </c>
      <c r="L985" s="27" t="str">
        <f aca="false">IF(J985="","",CHOOSE(Q985+1,"Tue","Wed","Thu","Fri"))</f>
        <v/>
      </c>
      <c r="M985" s="27" t="str">
        <f aca="false">IF(J985="","",IF(J985=1,"Every week",R985+1&amp;" of "&amp;J985))</f>
        <v/>
      </c>
      <c r="N985" s="28" t="str">
        <f aca="false">IF(J985="","",Settings!$B$4+R985*7+Q985)</f>
        <v/>
      </c>
      <c r="O985" s="28" t="str">
        <f aca="true">IF(J985="","",N985+MAX(0,ROUNDUP((TODAY()-N985)/(J985*7),0))*J985*7)</f>
        <v/>
      </c>
      <c r="P985" s="27" t="str">
        <f aca="false">IF(J985="","",MOD(K985-1,J985*4))</f>
        <v/>
      </c>
      <c r="Q985" s="27" t="str">
        <f aca="false">IF(J985="","",MOD(P985,4))</f>
        <v/>
      </c>
      <c r="R985" s="27" t="str">
        <f aca="false">IF(J985="","",INT(P985/4))</f>
        <v/>
      </c>
      <c r="S985" s="27" t="str">
        <f aca="false">IF(J985="","",IF(AND('Daily Count Sheet'!$H$3=Q985,MOD('Daily Count Sheet'!$I$3,J985)=R985),1,""))</f>
        <v/>
      </c>
      <c r="T985" s="27" t="str">
        <f aca="false">IF(S985=1,COUNTIF($S$2:S985,1),"")</f>
        <v/>
      </c>
    </row>
    <row r="986" customFormat="false" ht="15" hidden="false" customHeight="false" outlineLevel="0" collapsed="false">
      <c r="H986" s="26"/>
      <c r="I986" s="27" t="str">
        <f aca="false">IF(A986="","",IF(H986&lt;&gt;"",UPPER(TRIM(H986)),IFERROR(CHOOSE(VALUE(E986)+1,"A","B","C","D"),IF(OR(LEFT(UPPER(TRIM(E986)),1)="F",UPPER(TRIM(E986))="A"),"A",IF(OR(LEFT(UPPER(TRIM(E986)),1)="M",UPPER(TRIM(E986))="B"),"B",IF(OR(LEFT(UPPER(TRIM(E986)),2)="SL",UPPER(TRIM(E986))="C"),"C",IF(OR(LEFT(UPPER(TRIM(E986)),1)="D",UPPER(TRIM(E986))="D"),"D","")))))))</f>
        <v/>
      </c>
      <c r="J986" s="27" t="str">
        <f aca="false">IF(I986="","",IF(AND(I986="D",Settings!$B$6&lt;&gt;"Yes"),"",IFERROR(INDEX(Settings!$C$9:$C$12,MATCH(I986,Settings!$A$9:$A$12,0)),"")))</f>
        <v/>
      </c>
      <c r="K986" s="27" t="str">
        <f aca="false">IF(J986="","",COUNTIF($I$2:I986,I986))</f>
        <v/>
      </c>
      <c r="L986" s="27" t="str">
        <f aca="false">IF(J986="","",CHOOSE(Q986+1,"Tue","Wed","Thu","Fri"))</f>
        <v/>
      </c>
      <c r="M986" s="27" t="str">
        <f aca="false">IF(J986="","",IF(J986=1,"Every week",R986+1&amp;" of "&amp;J986))</f>
        <v/>
      </c>
      <c r="N986" s="28" t="str">
        <f aca="false">IF(J986="","",Settings!$B$4+R986*7+Q986)</f>
        <v/>
      </c>
      <c r="O986" s="28" t="str">
        <f aca="true">IF(J986="","",N986+MAX(0,ROUNDUP((TODAY()-N986)/(J986*7),0))*J986*7)</f>
        <v/>
      </c>
      <c r="P986" s="27" t="str">
        <f aca="false">IF(J986="","",MOD(K986-1,J986*4))</f>
        <v/>
      </c>
      <c r="Q986" s="27" t="str">
        <f aca="false">IF(J986="","",MOD(P986,4))</f>
        <v/>
      </c>
      <c r="R986" s="27" t="str">
        <f aca="false">IF(J986="","",INT(P986/4))</f>
        <v/>
      </c>
      <c r="S986" s="27" t="str">
        <f aca="false">IF(J986="","",IF(AND('Daily Count Sheet'!$H$3=Q986,MOD('Daily Count Sheet'!$I$3,J986)=R986),1,""))</f>
        <v/>
      </c>
      <c r="T986" s="27" t="str">
        <f aca="false">IF(S986=1,COUNTIF($S$2:S986,1),"")</f>
        <v/>
      </c>
    </row>
    <row r="987" customFormat="false" ht="15" hidden="false" customHeight="false" outlineLevel="0" collapsed="false">
      <c r="H987" s="26"/>
      <c r="I987" s="27" t="str">
        <f aca="false">IF(A987="","",IF(H987&lt;&gt;"",UPPER(TRIM(H987)),IFERROR(CHOOSE(VALUE(E987)+1,"A","B","C","D"),IF(OR(LEFT(UPPER(TRIM(E987)),1)="F",UPPER(TRIM(E987))="A"),"A",IF(OR(LEFT(UPPER(TRIM(E987)),1)="M",UPPER(TRIM(E987))="B"),"B",IF(OR(LEFT(UPPER(TRIM(E987)),2)="SL",UPPER(TRIM(E987))="C"),"C",IF(OR(LEFT(UPPER(TRIM(E987)),1)="D",UPPER(TRIM(E987))="D"),"D","")))))))</f>
        <v/>
      </c>
      <c r="J987" s="27" t="str">
        <f aca="false">IF(I987="","",IF(AND(I987="D",Settings!$B$6&lt;&gt;"Yes"),"",IFERROR(INDEX(Settings!$C$9:$C$12,MATCH(I987,Settings!$A$9:$A$12,0)),"")))</f>
        <v/>
      </c>
      <c r="K987" s="27" t="str">
        <f aca="false">IF(J987="","",COUNTIF($I$2:I987,I987))</f>
        <v/>
      </c>
      <c r="L987" s="27" t="str">
        <f aca="false">IF(J987="","",CHOOSE(Q987+1,"Tue","Wed","Thu","Fri"))</f>
        <v/>
      </c>
      <c r="M987" s="27" t="str">
        <f aca="false">IF(J987="","",IF(J987=1,"Every week",R987+1&amp;" of "&amp;J987))</f>
        <v/>
      </c>
      <c r="N987" s="28" t="str">
        <f aca="false">IF(J987="","",Settings!$B$4+R987*7+Q987)</f>
        <v/>
      </c>
      <c r="O987" s="28" t="str">
        <f aca="true">IF(J987="","",N987+MAX(0,ROUNDUP((TODAY()-N987)/(J987*7),0))*J987*7)</f>
        <v/>
      </c>
      <c r="P987" s="27" t="str">
        <f aca="false">IF(J987="","",MOD(K987-1,J987*4))</f>
        <v/>
      </c>
      <c r="Q987" s="27" t="str">
        <f aca="false">IF(J987="","",MOD(P987,4))</f>
        <v/>
      </c>
      <c r="R987" s="27" t="str">
        <f aca="false">IF(J987="","",INT(P987/4))</f>
        <v/>
      </c>
      <c r="S987" s="27" t="str">
        <f aca="false">IF(J987="","",IF(AND('Daily Count Sheet'!$H$3=Q987,MOD('Daily Count Sheet'!$I$3,J987)=R987),1,""))</f>
        <v/>
      </c>
      <c r="T987" s="27" t="str">
        <f aca="false">IF(S987=1,COUNTIF($S$2:S987,1),"")</f>
        <v/>
      </c>
    </row>
    <row r="988" customFormat="false" ht="15" hidden="false" customHeight="false" outlineLevel="0" collapsed="false">
      <c r="H988" s="26"/>
      <c r="I988" s="27" t="str">
        <f aca="false">IF(A988="","",IF(H988&lt;&gt;"",UPPER(TRIM(H988)),IFERROR(CHOOSE(VALUE(E988)+1,"A","B","C","D"),IF(OR(LEFT(UPPER(TRIM(E988)),1)="F",UPPER(TRIM(E988))="A"),"A",IF(OR(LEFT(UPPER(TRIM(E988)),1)="M",UPPER(TRIM(E988))="B"),"B",IF(OR(LEFT(UPPER(TRIM(E988)),2)="SL",UPPER(TRIM(E988))="C"),"C",IF(OR(LEFT(UPPER(TRIM(E988)),1)="D",UPPER(TRIM(E988))="D"),"D","")))))))</f>
        <v/>
      </c>
      <c r="J988" s="27" t="str">
        <f aca="false">IF(I988="","",IF(AND(I988="D",Settings!$B$6&lt;&gt;"Yes"),"",IFERROR(INDEX(Settings!$C$9:$C$12,MATCH(I988,Settings!$A$9:$A$12,0)),"")))</f>
        <v/>
      </c>
      <c r="K988" s="27" t="str">
        <f aca="false">IF(J988="","",COUNTIF($I$2:I988,I988))</f>
        <v/>
      </c>
      <c r="L988" s="27" t="str">
        <f aca="false">IF(J988="","",CHOOSE(Q988+1,"Tue","Wed","Thu","Fri"))</f>
        <v/>
      </c>
      <c r="M988" s="27" t="str">
        <f aca="false">IF(J988="","",IF(J988=1,"Every week",R988+1&amp;" of "&amp;J988))</f>
        <v/>
      </c>
      <c r="N988" s="28" t="str">
        <f aca="false">IF(J988="","",Settings!$B$4+R988*7+Q988)</f>
        <v/>
      </c>
      <c r="O988" s="28" t="str">
        <f aca="true">IF(J988="","",N988+MAX(0,ROUNDUP((TODAY()-N988)/(J988*7),0))*J988*7)</f>
        <v/>
      </c>
      <c r="P988" s="27" t="str">
        <f aca="false">IF(J988="","",MOD(K988-1,J988*4))</f>
        <v/>
      </c>
      <c r="Q988" s="27" t="str">
        <f aca="false">IF(J988="","",MOD(P988,4))</f>
        <v/>
      </c>
      <c r="R988" s="27" t="str">
        <f aca="false">IF(J988="","",INT(P988/4))</f>
        <v/>
      </c>
      <c r="S988" s="27" t="str">
        <f aca="false">IF(J988="","",IF(AND('Daily Count Sheet'!$H$3=Q988,MOD('Daily Count Sheet'!$I$3,J988)=R988),1,""))</f>
        <v/>
      </c>
      <c r="T988" s="27" t="str">
        <f aca="false">IF(S988=1,COUNTIF($S$2:S988,1),"")</f>
        <v/>
      </c>
    </row>
    <row r="989" customFormat="false" ht="15" hidden="false" customHeight="false" outlineLevel="0" collapsed="false">
      <c r="H989" s="26"/>
      <c r="I989" s="27" t="str">
        <f aca="false">IF(A989="","",IF(H989&lt;&gt;"",UPPER(TRIM(H989)),IFERROR(CHOOSE(VALUE(E989)+1,"A","B","C","D"),IF(OR(LEFT(UPPER(TRIM(E989)),1)="F",UPPER(TRIM(E989))="A"),"A",IF(OR(LEFT(UPPER(TRIM(E989)),1)="M",UPPER(TRIM(E989))="B"),"B",IF(OR(LEFT(UPPER(TRIM(E989)),2)="SL",UPPER(TRIM(E989))="C"),"C",IF(OR(LEFT(UPPER(TRIM(E989)),1)="D",UPPER(TRIM(E989))="D"),"D","")))))))</f>
        <v/>
      </c>
      <c r="J989" s="27" t="str">
        <f aca="false">IF(I989="","",IF(AND(I989="D",Settings!$B$6&lt;&gt;"Yes"),"",IFERROR(INDEX(Settings!$C$9:$C$12,MATCH(I989,Settings!$A$9:$A$12,0)),"")))</f>
        <v/>
      </c>
      <c r="K989" s="27" t="str">
        <f aca="false">IF(J989="","",COUNTIF($I$2:I989,I989))</f>
        <v/>
      </c>
      <c r="L989" s="27" t="str">
        <f aca="false">IF(J989="","",CHOOSE(Q989+1,"Tue","Wed","Thu","Fri"))</f>
        <v/>
      </c>
      <c r="M989" s="27" t="str">
        <f aca="false">IF(J989="","",IF(J989=1,"Every week",R989+1&amp;" of "&amp;J989))</f>
        <v/>
      </c>
      <c r="N989" s="28" t="str">
        <f aca="false">IF(J989="","",Settings!$B$4+R989*7+Q989)</f>
        <v/>
      </c>
      <c r="O989" s="28" t="str">
        <f aca="true">IF(J989="","",N989+MAX(0,ROUNDUP((TODAY()-N989)/(J989*7),0))*J989*7)</f>
        <v/>
      </c>
      <c r="P989" s="27" t="str">
        <f aca="false">IF(J989="","",MOD(K989-1,J989*4))</f>
        <v/>
      </c>
      <c r="Q989" s="27" t="str">
        <f aca="false">IF(J989="","",MOD(P989,4))</f>
        <v/>
      </c>
      <c r="R989" s="27" t="str">
        <f aca="false">IF(J989="","",INT(P989/4))</f>
        <v/>
      </c>
      <c r="S989" s="27" t="str">
        <f aca="false">IF(J989="","",IF(AND('Daily Count Sheet'!$H$3=Q989,MOD('Daily Count Sheet'!$I$3,J989)=R989),1,""))</f>
        <v/>
      </c>
      <c r="T989" s="27" t="str">
        <f aca="false">IF(S989=1,COUNTIF($S$2:S989,1),"")</f>
        <v/>
      </c>
    </row>
    <row r="990" customFormat="false" ht="15" hidden="false" customHeight="false" outlineLevel="0" collapsed="false">
      <c r="H990" s="26"/>
      <c r="I990" s="27" t="str">
        <f aca="false">IF(A990="","",IF(H990&lt;&gt;"",UPPER(TRIM(H990)),IFERROR(CHOOSE(VALUE(E990)+1,"A","B","C","D"),IF(OR(LEFT(UPPER(TRIM(E990)),1)="F",UPPER(TRIM(E990))="A"),"A",IF(OR(LEFT(UPPER(TRIM(E990)),1)="M",UPPER(TRIM(E990))="B"),"B",IF(OR(LEFT(UPPER(TRIM(E990)),2)="SL",UPPER(TRIM(E990))="C"),"C",IF(OR(LEFT(UPPER(TRIM(E990)),1)="D",UPPER(TRIM(E990))="D"),"D","")))))))</f>
        <v/>
      </c>
      <c r="J990" s="27" t="str">
        <f aca="false">IF(I990="","",IF(AND(I990="D",Settings!$B$6&lt;&gt;"Yes"),"",IFERROR(INDEX(Settings!$C$9:$C$12,MATCH(I990,Settings!$A$9:$A$12,0)),"")))</f>
        <v/>
      </c>
      <c r="K990" s="27" t="str">
        <f aca="false">IF(J990="","",COUNTIF($I$2:I990,I990))</f>
        <v/>
      </c>
      <c r="L990" s="27" t="str">
        <f aca="false">IF(J990="","",CHOOSE(Q990+1,"Tue","Wed","Thu","Fri"))</f>
        <v/>
      </c>
      <c r="M990" s="27" t="str">
        <f aca="false">IF(J990="","",IF(J990=1,"Every week",R990+1&amp;" of "&amp;J990))</f>
        <v/>
      </c>
      <c r="N990" s="28" t="str">
        <f aca="false">IF(J990="","",Settings!$B$4+R990*7+Q990)</f>
        <v/>
      </c>
      <c r="O990" s="28" t="str">
        <f aca="true">IF(J990="","",N990+MAX(0,ROUNDUP((TODAY()-N990)/(J990*7),0))*J990*7)</f>
        <v/>
      </c>
      <c r="P990" s="27" t="str">
        <f aca="false">IF(J990="","",MOD(K990-1,J990*4))</f>
        <v/>
      </c>
      <c r="Q990" s="27" t="str">
        <f aca="false">IF(J990="","",MOD(P990,4))</f>
        <v/>
      </c>
      <c r="R990" s="27" t="str">
        <f aca="false">IF(J990="","",INT(P990/4))</f>
        <v/>
      </c>
      <c r="S990" s="27" t="str">
        <f aca="false">IF(J990="","",IF(AND('Daily Count Sheet'!$H$3=Q990,MOD('Daily Count Sheet'!$I$3,J990)=R990),1,""))</f>
        <v/>
      </c>
      <c r="T990" s="27" t="str">
        <f aca="false">IF(S990=1,COUNTIF($S$2:S990,1),"")</f>
        <v/>
      </c>
    </row>
    <row r="991" customFormat="false" ht="15" hidden="false" customHeight="false" outlineLevel="0" collapsed="false">
      <c r="H991" s="26"/>
      <c r="I991" s="27" t="str">
        <f aca="false">IF(A991="","",IF(H991&lt;&gt;"",UPPER(TRIM(H991)),IFERROR(CHOOSE(VALUE(E991)+1,"A","B","C","D"),IF(OR(LEFT(UPPER(TRIM(E991)),1)="F",UPPER(TRIM(E991))="A"),"A",IF(OR(LEFT(UPPER(TRIM(E991)),1)="M",UPPER(TRIM(E991))="B"),"B",IF(OR(LEFT(UPPER(TRIM(E991)),2)="SL",UPPER(TRIM(E991))="C"),"C",IF(OR(LEFT(UPPER(TRIM(E991)),1)="D",UPPER(TRIM(E991))="D"),"D","")))))))</f>
        <v/>
      </c>
      <c r="J991" s="27" t="str">
        <f aca="false">IF(I991="","",IF(AND(I991="D",Settings!$B$6&lt;&gt;"Yes"),"",IFERROR(INDEX(Settings!$C$9:$C$12,MATCH(I991,Settings!$A$9:$A$12,0)),"")))</f>
        <v/>
      </c>
      <c r="K991" s="27" t="str">
        <f aca="false">IF(J991="","",COUNTIF($I$2:I991,I991))</f>
        <v/>
      </c>
      <c r="L991" s="27" t="str">
        <f aca="false">IF(J991="","",CHOOSE(Q991+1,"Tue","Wed","Thu","Fri"))</f>
        <v/>
      </c>
      <c r="M991" s="27" t="str">
        <f aca="false">IF(J991="","",IF(J991=1,"Every week",R991+1&amp;" of "&amp;J991))</f>
        <v/>
      </c>
      <c r="N991" s="28" t="str">
        <f aca="false">IF(J991="","",Settings!$B$4+R991*7+Q991)</f>
        <v/>
      </c>
      <c r="O991" s="28" t="str">
        <f aca="true">IF(J991="","",N991+MAX(0,ROUNDUP((TODAY()-N991)/(J991*7),0))*J991*7)</f>
        <v/>
      </c>
      <c r="P991" s="27" t="str">
        <f aca="false">IF(J991="","",MOD(K991-1,J991*4))</f>
        <v/>
      </c>
      <c r="Q991" s="27" t="str">
        <f aca="false">IF(J991="","",MOD(P991,4))</f>
        <v/>
      </c>
      <c r="R991" s="27" t="str">
        <f aca="false">IF(J991="","",INT(P991/4))</f>
        <v/>
      </c>
      <c r="S991" s="27" t="str">
        <f aca="false">IF(J991="","",IF(AND('Daily Count Sheet'!$H$3=Q991,MOD('Daily Count Sheet'!$I$3,J991)=R991),1,""))</f>
        <v/>
      </c>
      <c r="T991" s="27" t="str">
        <f aca="false">IF(S991=1,COUNTIF($S$2:S991,1),"")</f>
        <v/>
      </c>
    </row>
    <row r="992" customFormat="false" ht="15" hidden="false" customHeight="false" outlineLevel="0" collapsed="false">
      <c r="H992" s="26"/>
      <c r="I992" s="27" t="str">
        <f aca="false">IF(A992="","",IF(H992&lt;&gt;"",UPPER(TRIM(H992)),IFERROR(CHOOSE(VALUE(E992)+1,"A","B","C","D"),IF(OR(LEFT(UPPER(TRIM(E992)),1)="F",UPPER(TRIM(E992))="A"),"A",IF(OR(LEFT(UPPER(TRIM(E992)),1)="M",UPPER(TRIM(E992))="B"),"B",IF(OR(LEFT(UPPER(TRIM(E992)),2)="SL",UPPER(TRIM(E992))="C"),"C",IF(OR(LEFT(UPPER(TRIM(E992)),1)="D",UPPER(TRIM(E992))="D"),"D","")))))))</f>
        <v/>
      </c>
      <c r="J992" s="27" t="str">
        <f aca="false">IF(I992="","",IF(AND(I992="D",Settings!$B$6&lt;&gt;"Yes"),"",IFERROR(INDEX(Settings!$C$9:$C$12,MATCH(I992,Settings!$A$9:$A$12,0)),"")))</f>
        <v/>
      </c>
      <c r="K992" s="27" t="str">
        <f aca="false">IF(J992="","",COUNTIF($I$2:I992,I992))</f>
        <v/>
      </c>
      <c r="L992" s="27" t="str">
        <f aca="false">IF(J992="","",CHOOSE(Q992+1,"Tue","Wed","Thu","Fri"))</f>
        <v/>
      </c>
      <c r="M992" s="27" t="str">
        <f aca="false">IF(J992="","",IF(J992=1,"Every week",R992+1&amp;" of "&amp;J992))</f>
        <v/>
      </c>
      <c r="N992" s="28" t="str">
        <f aca="false">IF(J992="","",Settings!$B$4+R992*7+Q992)</f>
        <v/>
      </c>
      <c r="O992" s="28" t="str">
        <f aca="true">IF(J992="","",N992+MAX(0,ROUNDUP((TODAY()-N992)/(J992*7),0))*J992*7)</f>
        <v/>
      </c>
      <c r="P992" s="27" t="str">
        <f aca="false">IF(J992="","",MOD(K992-1,J992*4))</f>
        <v/>
      </c>
      <c r="Q992" s="27" t="str">
        <f aca="false">IF(J992="","",MOD(P992,4))</f>
        <v/>
      </c>
      <c r="R992" s="27" t="str">
        <f aca="false">IF(J992="","",INT(P992/4))</f>
        <v/>
      </c>
      <c r="S992" s="27" t="str">
        <f aca="false">IF(J992="","",IF(AND('Daily Count Sheet'!$H$3=Q992,MOD('Daily Count Sheet'!$I$3,J992)=R992),1,""))</f>
        <v/>
      </c>
      <c r="T992" s="27" t="str">
        <f aca="false">IF(S992=1,COUNTIF($S$2:S992,1),"")</f>
        <v/>
      </c>
    </row>
    <row r="993" customFormat="false" ht="15" hidden="false" customHeight="false" outlineLevel="0" collapsed="false">
      <c r="H993" s="26"/>
      <c r="I993" s="27" t="str">
        <f aca="false">IF(A993="","",IF(H993&lt;&gt;"",UPPER(TRIM(H993)),IFERROR(CHOOSE(VALUE(E993)+1,"A","B","C","D"),IF(OR(LEFT(UPPER(TRIM(E993)),1)="F",UPPER(TRIM(E993))="A"),"A",IF(OR(LEFT(UPPER(TRIM(E993)),1)="M",UPPER(TRIM(E993))="B"),"B",IF(OR(LEFT(UPPER(TRIM(E993)),2)="SL",UPPER(TRIM(E993))="C"),"C",IF(OR(LEFT(UPPER(TRIM(E993)),1)="D",UPPER(TRIM(E993))="D"),"D","")))))))</f>
        <v/>
      </c>
      <c r="J993" s="27" t="str">
        <f aca="false">IF(I993="","",IF(AND(I993="D",Settings!$B$6&lt;&gt;"Yes"),"",IFERROR(INDEX(Settings!$C$9:$C$12,MATCH(I993,Settings!$A$9:$A$12,0)),"")))</f>
        <v/>
      </c>
      <c r="K993" s="27" t="str">
        <f aca="false">IF(J993="","",COUNTIF($I$2:I993,I993))</f>
        <v/>
      </c>
      <c r="L993" s="27" t="str">
        <f aca="false">IF(J993="","",CHOOSE(Q993+1,"Tue","Wed","Thu","Fri"))</f>
        <v/>
      </c>
      <c r="M993" s="27" t="str">
        <f aca="false">IF(J993="","",IF(J993=1,"Every week",R993+1&amp;" of "&amp;J993))</f>
        <v/>
      </c>
      <c r="N993" s="28" t="str">
        <f aca="false">IF(J993="","",Settings!$B$4+R993*7+Q993)</f>
        <v/>
      </c>
      <c r="O993" s="28" t="str">
        <f aca="true">IF(J993="","",N993+MAX(0,ROUNDUP((TODAY()-N993)/(J993*7),0))*J993*7)</f>
        <v/>
      </c>
      <c r="P993" s="27" t="str">
        <f aca="false">IF(J993="","",MOD(K993-1,J993*4))</f>
        <v/>
      </c>
      <c r="Q993" s="27" t="str">
        <f aca="false">IF(J993="","",MOD(P993,4))</f>
        <v/>
      </c>
      <c r="R993" s="27" t="str">
        <f aca="false">IF(J993="","",INT(P993/4))</f>
        <v/>
      </c>
      <c r="S993" s="27" t="str">
        <f aca="false">IF(J993="","",IF(AND('Daily Count Sheet'!$H$3=Q993,MOD('Daily Count Sheet'!$I$3,J993)=R993),1,""))</f>
        <v/>
      </c>
      <c r="T993" s="27" t="str">
        <f aca="false">IF(S993=1,COUNTIF($S$2:S993,1),"")</f>
        <v/>
      </c>
    </row>
    <row r="994" customFormat="false" ht="15" hidden="false" customHeight="false" outlineLevel="0" collapsed="false">
      <c r="H994" s="26"/>
      <c r="I994" s="27" t="str">
        <f aca="false">IF(A994="","",IF(H994&lt;&gt;"",UPPER(TRIM(H994)),IFERROR(CHOOSE(VALUE(E994)+1,"A","B","C","D"),IF(OR(LEFT(UPPER(TRIM(E994)),1)="F",UPPER(TRIM(E994))="A"),"A",IF(OR(LEFT(UPPER(TRIM(E994)),1)="M",UPPER(TRIM(E994))="B"),"B",IF(OR(LEFT(UPPER(TRIM(E994)),2)="SL",UPPER(TRIM(E994))="C"),"C",IF(OR(LEFT(UPPER(TRIM(E994)),1)="D",UPPER(TRIM(E994))="D"),"D","")))))))</f>
        <v/>
      </c>
      <c r="J994" s="27" t="str">
        <f aca="false">IF(I994="","",IF(AND(I994="D",Settings!$B$6&lt;&gt;"Yes"),"",IFERROR(INDEX(Settings!$C$9:$C$12,MATCH(I994,Settings!$A$9:$A$12,0)),"")))</f>
        <v/>
      </c>
      <c r="K994" s="27" t="str">
        <f aca="false">IF(J994="","",COUNTIF($I$2:I994,I994))</f>
        <v/>
      </c>
      <c r="L994" s="27" t="str">
        <f aca="false">IF(J994="","",CHOOSE(Q994+1,"Tue","Wed","Thu","Fri"))</f>
        <v/>
      </c>
      <c r="M994" s="27" t="str">
        <f aca="false">IF(J994="","",IF(J994=1,"Every week",R994+1&amp;" of "&amp;J994))</f>
        <v/>
      </c>
      <c r="N994" s="28" t="str">
        <f aca="false">IF(J994="","",Settings!$B$4+R994*7+Q994)</f>
        <v/>
      </c>
      <c r="O994" s="28" t="str">
        <f aca="true">IF(J994="","",N994+MAX(0,ROUNDUP((TODAY()-N994)/(J994*7),0))*J994*7)</f>
        <v/>
      </c>
      <c r="P994" s="27" t="str">
        <f aca="false">IF(J994="","",MOD(K994-1,J994*4))</f>
        <v/>
      </c>
      <c r="Q994" s="27" t="str">
        <f aca="false">IF(J994="","",MOD(P994,4))</f>
        <v/>
      </c>
      <c r="R994" s="27" t="str">
        <f aca="false">IF(J994="","",INT(P994/4))</f>
        <v/>
      </c>
      <c r="S994" s="27" t="str">
        <f aca="false">IF(J994="","",IF(AND('Daily Count Sheet'!$H$3=Q994,MOD('Daily Count Sheet'!$I$3,J994)=R994),1,""))</f>
        <v/>
      </c>
      <c r="T994" s="27" t="str">
        <f aca="false">IF(S994=1,COUNTIF($S$2:S994,1),"")</f>
        <v/>
      </c>
    </row>
    <row r="995" customFormat="false" ht="15" hidden="false" customHeight="false" outlineLevel="0" collapsed="false">
      <c r="H995" s="26"/>
      <c r="I995" s="27" t="str">
        <f aca="false">IF(A995="","",IF(H995&lt;&gt;"",UPPER(TRIM(H995)),IFERROR(CHOOSE(VALUE(E995)+1,"A","B","C","D"),IF(OR(LEFT(UPPER(TRIM(E995)),1)="F",UPPER(TRIM(E995))="A"),"A",IF(OR(LEFT(UPPER(TRIM(E995)),1)="M",UPPER(TRIM(E995))="B"),"B",IF(OR(LEFT(UPPER(TRIM(E995)),2)="SL",UPPER(TRIM(E995))="C"),"C",IF(OR(LEFT(UPPER(TRIM(E995)),1)="D",UPPER(TRIM(E995))="D"),"D","")))))))</f>
        <v/>
      </c>
      <c r="J995" s="27" t="str">
        <f aca="false">IF(I995="","",IF(AND(I995="D",Settings!$B$6&lt;&gt;"Yes"),"",IFERROR(INDEX(Settings!$C$9:$C$12,MATCH(I995,Settings!$A$9:$A$12,0)),"")))</f>
        <v/>
      </c>
      <c r="K995" s="27" t="str">
        <f aca="false">IF(J995="","",COUNTIF($I$2:I995,I995))</f>
        <v/>
      </c>
      <c r="L995" s="27" t="str">
        <f aca="false">IF(J995="","",CHOOSE(Q995+1,"Tue","Wed","Thu","Fri"))</f>
        <v/>
      </c>
      <c r="M995" s="27" t="str">
        <f aca="false">IF(J995="","",IF(J995=1,"Every week",R995+1&amp;" of "&amp;J995))</f>
        <v/>
      </c>
      <c r="N995" s="28" t="str">
        <f aca="false">IF(J995="","",Settings!$B$4+R995*7+Q995)</f>
        <v/>
      </c>
      <c r="O995" s="28" t="str">
        <f aca="true">IF(J995="","",N995+MAX(0,ROUNDUP((TODAY()-N995)/(J995*7),0))*J995*7)</f>
        <v/>
      </c>
      <c r="P995" s="27" t="str">
        <f aca="false">IF(J995="","",MOD(K995-1,J995*4))</f>
        <v/>
      </c>
      <c r="Q995" s="27" t="str">
        <f aca="false">IF(J995="","",MOD(P995,4))</f>
        <v/>
      </c>
      <c r="R995" s="27" t="str">
        <f aca="false">IF(J995="","",INT(P995/4))</f>
        <v/>
      </c>
      <c r="S995" s="27" t="str">
        <f aca="false">IF(J995="","",IF(AND('Daily Count Sheet'!$H$3=Q995,MOD('Daily Count Sheet'!$I$3,J995)=R995),1,""))</f>
        <v/>
      </c>
      <c r="T995" s="27" t="str">
        <f aca="false">IF(S995=1,COUNTIF($S$2:S995,1),"")</f>
        <v/>
      </c>
    </row>
    <row r="996" customFormat="false" ht="15" hidden="false" customHeight="false" outlineLevel="0" collapsed="false">
      <c r="H996" s="26"/>
      <c r="I996" s="27" t="str">
        <f aca="false">IF(A996="","",IF(H996&lt;&gt;"",UPPER(TRIM(H996)),IFERROR(CHOOSE(VALUE(E996)+1,"A","B","C","D"),IF(OR(LEFT(UPPER(TRIM(E996)),1)="F",UPPER(TRIM(E996))="A"),"A",IF(OR(LEFT(UPPER(TRIM(E996)),1)="M",UPPER(TRIM(E996))="B"),"B",IF(OR(LEFT(UPPER(TRIM(E996)),2)="SL",UPPER(TRIM(E996))="C"),"C",IF(OR(LEFT(UPPER(TRIM(E996)),1)="D",UPPER(TRIM(E996))="D"),"D","")))))))</f>
        <v/>
      </c>
      <c r="J996" s="27" t="str">
        <f aca="false">IF(I996="","",IF(AND(I996="D",Settings!$B$6&lt;&gt;"Yes"),"",IFERROR(INDEX(Settings!$C$9:$C$12,MATCH(I996,Settings!$A$9:$A$12,0)),"")))</f>
        <v/>
      </c>
      <c r="K996" s="27" t="str">
        <f aca="false">IF(J996="","",COUNTIF($I$2:I996,I996))</f>
        <v/>
      </c>
      <c r="L996" s="27" t="str">
        <f aca="false">IF(J996="","",CHOOSE(Q996+1,"Tue","Wed","Thu","Fri"))</f>
        <v/>
      </c>
      <c r="M996" s="27" t="str">
        <f aca="false">IF(J996="","",IF(J996=1,"Every week",R996+1&amp;" of "&amp;J996))</f>
        <v/>
      </c>
      <c r="N996" s="28" t="str">
        <f aca="false">IF(J996="","",Settings!$B$4+R996*7+Q996)</f>
        <v/>
      </c>
      <c r="O996" s="28" t="str">
        <f aca="true">IF(J996="","",N996+MAX(0,ROUNDUP((TODAY()-N996)/(J996*7),0))*J996*7)</f>
        <v/>
      </c>
      <c r="P996" s="27" t="str">
        <f aca="false">IF(J996="","",MOD(K996-1,J996*4))</f>
        <v/>
      </c>
      <c r="Q996" s="27" t="str">
        <f aca="false">IF(J996="","",MOD(P996,4))</f>
        <v/>
      </c>
      <c r="R996" s="27" t="str">
        <f aca="false">IF(J996="","",INT(P996/4))</f>
        <v/>
      </c>
      <c r="S996" s="27" t="str">
        <f aca="false">IF(J996="","",IF(AND('Daily Count Sheet'!$H$3=Q996,MOD('Daily Count Sheet'!$I$3,J996)=R996),1,""))</f>
        <v/>
      </c>
      <c r="T996" s="27" t="str">
        <f aca="false">IF(S996=1,COUNTIF($S$2:S996,1),"")</f>
        <v/>
      </c>
    </row>
    <row r="997" customFormat="false" ht="15" hidden="false" customHeight="false" outlineLevel="0" collapsed="false">
      <c r="H997" s="26"/>
      <c r="I997" s="27" t="str">
        <f aca="false">IF(A997="","",IF(H997&lt;&gt;"",UPPER(TRIM(H997)),IFERROR(CHOOSE(VALUE(E997)+1,"A","B","C","D"),IF(OR(LEFT(UPPER(TRIM(E997)),1)="F",UPPER(TRIM(E997))="A"),"A",IF(OR(LEFT(UPPER(TRIM(E997)),1)="M",UPPER(TRIM(E997))="B"),"B",IF(OR(LEFT(UPPER(TRIM(E997)),2)="SL",UPPER(TRIM(E997))="C"),"C",IF(OR(LEFT(UPPER(TRIM(E997)),1)="D",UPPER(TRIM(E997))="D"),"D","")))))))</f>
        <v/>
      </c>
      <c r="J997" s="27" t="str">
        <f aca="false">IF(I997="","",IF(AND(I997="D",Settings!$B$6&lt;&gt;"Yes"),"",IFERROR(INDEX(Settings!$C$9:$C$12,MATCH(I997,Settings!$A$9:$A$12,0)),"")))</f>
        <v/>
      </c>
      <c r="K997" s="27" t="str">
        <f aca="false">IF(J997="","",COUNTIF($I$2:I997,I997))</f>
        <v/>
      </c>
      <c r="L997" s="27" t="str">
        <f aca="false">IF(J997="","",CHOOSE(Q997+1,"Tue","Wed","Thu","Fri"))</f>
        <v/>
      </c>
      <c r="M997" s="27" t="str">
        <f aca="false">IF(J997="","",IF(J997=1,"Every week",R997+1&amp;" of "&amp;J997))</f>
        <v/>
      </c>
      <c r="N997" s="28" t="str">
        <f aca="false">IF(J997="","",Settings!$B$4+R997*7+Q997)</f>
        <v/>
      </c>
      <c r="O997" s="28" t="str">
        <f aca="true">IF(J997="","",N997+MAX(0,ROUNDUP((TODAY()-N997)/(J997*7),0))*J997*7)</f>
        <v/>
      </c>
      <c r="P997" s="27" t="str">
        <f aca="false">IF(J997="","",MOD(K997-1,J997*4))</f>
        <v/>
      </c>
      <c r="Q997" s="27" t="str">
        <f aca="false">IF(J997="","",MOD(P997,4))</f>
        <v/>
      </c>
      <c r="R997" s="27" t="str">
        <f aca="false">IF(J997="","",INT(P997/4))</f>
        <v/>
      </c>
      <c r="S997" s="27" t="str">
        <f aca="false">IF(J997="","",IF(AND('Daily Count Sheet'!$H$3=Q997,MOD('Daily Count Sheet'!$I$3,J997)=R997),1,""))</f>
        <v/>
      </c>
      <c r="T997" s="27" t="str">
        <f aca="false">IF(S997=1,COUNTIF($S$2:S997,1),"")</f>
        <v/>
      </c>
    </row>
    <row r="998" customFormat="false" ht="15" hidden="false" customHeight="false" outlineLevel="0" collapsed="false">
      <c r="H998" s="26"/>
      <c r="I998" s="27" t="str">
        <f aca="false">IF(A998="","",IF(H998&lt;&gt;"",UPPER(TRIM(H998)),IFERROR(CHOOSE(VALUE(E998)+1,"A","B","C","D"),IF(OR(LEFT(UPPER(TRIM(E998)),1)="F",UPPER(TRIM(E998))="A"),"A",IF(OR(LEFT(UPPER(TRIM(E998)),1)="M",UPPER(TRIM(E998))="B"),"B",IF(OR(LEFT(UPPER(TRIM(E998)),2)="SL",UPPER(TRIM(E998))="C"),"C",IF(OR(LEFT(UPPER(TRIM(E998)),1)="D",UPPER(TRIM(E998))="D"),"D","")))))))</f>
        <v/>
      </c>
      <c r="J998" s="27" t="str">
        <f aca="false">IF(I998="","",IF(AND(I998="D",Settings!$B$6&lt;&gt;"Yes"),"",IFERROR(INDEX(Settings!$C$9:$C$12,MATCH(I998,Settings!$A$9:$A$12,0)),"")))</f>
        <v/>
      </c>
      <c r="K998" s="27" t="str">
        <f aca="false">IF(J998="","",COUNTIF($I$2:I998,I998))</f>
        <v/>
      </c>
      <c r="L998" s="27" t="str">
        <f aca="false">IF(J998="","",CHOOSE(Q998+1,"Tue","Wed","Thu","Fri"))</f>
        <v/>
      </c>
      <c r="M998" s="27" t="str">
        <f aca="false">IF(J998="","",IF(J998=1,"Every week",R998+1&amp;" of "&amp;J998))</f>
        <v/>
      </c>
      <c r="N998" s="28" t="str">
        <f aca="false">IF(J998="","",Settings!$B$4+R998*7+Q998)</f>
        <v/>
      </c>
      <c r="O998" s="28" t="str">
        <f aca="true">IF(J998="","",N998+MAX(0,ROUNDUP((TODAY()-N998)/(J998*7),0))*J998*7)</f>
        <v/>
      </c>
      <c r="P998" s="27" t="str">
        <f aca="false">IF(J998="","",MOD(K998-1,J998*4))</f>
        <v/>
      </c>
      <c r="Q998" s="27" t="str">
        <f aca="false">IF(J998="","",MOD(P998,4))</f>
        <v/>
      </c>
      <c r="R998" s="27" t="str">
        <f aca="false">IF(J998="","",INT(P998/4))</f>
        <v/>
      </c>
      <c r="S998" s="27" t="str">
        <f aca="false">IF(J998="","",IF(AND('Daily Count Sheet'!$H$3=Q998,MOD('Daily Count Sheet'!$I$3,J998)=R998),1,""))</f>
        <v/>
      </c>
      <c r="T998" s="27" t="str">
        <f aca="false">IF(S998=1,COUNTIF($S$2:S998,1),"")</f>
        <v/>
      </c>
    </row>
    <row r="999" customFormat="false" ht="15" hidden="false" customHeight="false" outlineLevel="0" collapsed="false">
      <c r="H999" s="26"/>
      <c r="I999" s="27" t="str">
        <f aca="false">IF(A999="","",IF(H999&lt;&gt;"",UPPER(TRIM(H999)),IFERROR(CHOOSE(VALUE(E999)+1,"A","B","C","D"),IF(OR(LEFT(UPPER(TRIM(E999)),1)="F",UPPER(TRIM(E999))="A"),"A",IF(OR(LEFT(UPPER(TRIM(E999)),1)="M",UPPER(TRIM(E999))="B"),"B",IF(OR(LEFT(UPPER(TRIM(E999)),2)="SL",UPPER(TRIM(E999))="C"),"C",IF(OR(LEFT(UPPER(TRIM(E999)),1)="D",UPPER(TRIM(E999))="D"),"D","")))))))</f>
        <v/>
      </c>
      <c r="J999" s="27" t="str">
        <f aca="false">IF(I999="","",IF(AND(I999="D",Settings!$B$6&lt;&gt;"Yes"),"",IFERROR(INDEX(Settings!$C$9:$C$12,MATCH(I999,Settings!$A$9:$A$12,0)),"")))</f>
        <v/>
      </c>
      <c r="K999" s="27" t="str">
        <f aca="false">IF(J999="","",COUNTIF($I$2:I999,I999))</f>
        <v/>
      </c>
      <c r="L999" s="27" t="str">
        <f aca="false">IF(J999="","",CHOOSE(Q999+1,"Tue","Wed","Thu","Fri"))</f>
        <v/>
      </c>
      <c r="M999" s="27" t="str">
        <f aca="false">IF(J999="","",IF(J999=1,"Every week",R999+1&amp;" of "&amp;J999))</f>
        <v/>
      </c>
      <c r="N999" s="28" t="str">
        <f aca="false">IF(J999="","",Settings!$B$4+R999*7+Q999)</f>
        <v/>
      </c>
      <c r="O999" s="28" t="str">
        <f aca="true">IF(J999="","",N999+MAX(0,ROUNDUP((TODAY()-N999)/(J999*7),0))*J999*7)</f>
        <v/>
      </c>
      <c r="P999" s="27" t="str">
        <f aca="false">IF(J999="","",MOD(K999-1,J999*4))</f>
        <v/>
      </c>
      <c r="Q999" s="27" t="str">
        <f aca="false">IF(J999="","",MOD(P999,4))</f>
        <v/>
      </c>
      <c r="R999" s="27" t="str">
        <f aca="false">IF(J999="","",INT(P999/4))</f>
        <v/>
      </c>
      <c r="S999" s="27" t="str">
        <f aca="false">IF(J999="","",IF(AND('Daily Count Sheet'!$H$3=Q999,MOD('Daily Count Sheet'!$I$3,J999)=R999),1,""))</f>
        <v/>
      </c>
      <c r="T999" s="27" t="str">
        <f aca="false">IF(S999=1,COUNTIF($S$2:S999,1),"")</f>
        <v/>
      </c>
    </row>
    <row r="1000" customFormat="false" ht="15" hidden="false" customHeight="false" outlineLevel="0" collapsed="false">
      <c r="H1000" s="26"/>
      <c r="I1000" s="27" t="str">
        <f aca="false">IF(A1000="","",IF(H1000&lt;&gt;"",UPPER(TRIM(H1000)),IFERROR(CHOOSE(VALUE(E1000)+1,"A","B","C","D"),IF(OR(LEFT(UPPER(TRIM(E1000)),1)="F",UPPER(TRIM(E1000))="A"),"A",IF(OR(LEFT(UPPER(TRIM(E1000)),1)="M",UPPER(TRIM(E1000))="B"),"B",IF(OR(LEFT(UPPER(TRIM(E1000)),2)="SL",UPPER(TRIM(E1000))="C"),"C",IF(OR(LEFT(UPPER(TRIM(E1000)),1)="D",UPPER(TRIM(E1000))="D"),"D","")))))))</f>
        <v/>
      </c>
      <c r="J1000" s="27" t="str">
        <f aca="false">IF(I1000="","",IF(AND(I1000="D",Settings!$B$6&lt;&gt;"Yes"),"",IFERROR(INDEX(Settings!$C$9:$C$12,MATCH(I1000,Settings!$A$9:$A$12,0)),"")))</f>
        <v/>
      </c>
      <c r="K1000" s="27" t="str">
        <f aca="false">IF(J1000="","",COUNTIF($I$2:I1000,I1000))</f>
        <v/>
      </c>
      <c r="L1000" s="27" t="str">
        <f aca="false">IF(J1000="","",CHOOSE(Q1000+1,"Tue","Wed","Thu","Fri"))</f>
        <v/>
      </c>
      <c r="M1000" s="27" t="str">
        <f aca="false">IF(J1000="","",IF(J1000=1,"Every week",R1000+1&amp;" of "&amp;J1000))</f>
        <v/>
      </c>
      <c r="N1000" s="28" t="str">
        <f aca="false">IF(J1000="","",Settings!$B$4+R1000*7+Q1000)</f>
        <v/>
      </c>
      <c r="O1000" s="28" t="str">
        <f aca="true">IF(J1000="","",N1000+MAX(0,ROUNDUP((TODAY()-N1000)/(J1000*7),0))*J1000*7)</f>
        <v/>
      </c>
      <c r="P1000" s="27" t="str">
        <f aca="false">IF(J1000="","",MOD(K1000-1,J1000*4))</f>
        <v/>
      </c>
      <c r="Q1000" s="27" t="str">
        <f aca="false">IF(J1000="","",MOD(P1000,4))</f>
        <v/>
      </c>
      <c r="R1000" s="27" t="str">
        <f aca="false">IF(J1000="","",INT(P1000/4))</f>
        <v/>
      </c>
      <c r="S1000" s="27" t="str">
        <f aca="false">IF(J1000="","",IF(AND('Daily Count Sheet'!$H$3=Q1000,MOD('Daily Count Sheet'!$I$3,J1000)=R1000),1,""))</f>
        <v/>
      </c>
      <c r="T1000" s="27" t="str">
        <f aca="false">IF(S1000=1,COUNTIF($S$2:S1000,1),"")</f>
        <v/>
      </c>
    </row>
    <row r="1001" customFormat="false" ht="15" hidden="false" customHeight="false" outlineLevel="0" collapsed="false">
      <c r="H1001" s="26"/>
      <c r="I1001" s="27" t="str">
        <f aca="false">IF(A1001="","",IF(H1001&lt;&gt;"",UPPER(TRIM(H1001)),IFERROR(CHOOSE(VALUE(E1001)+1,"A","B","C","D"),IF(OR(LEFT(UPPER(TRIM(E1001)),1)="F",UPPER(TRIM(E1001))="A"),"A",IF(OR(LEFT(UPPER(TRIM(E1001)),1)="M",UPPER(TRIM(E1001))="B"),"B",IF(OR(LEFT(UPPER(TRIM(E1001)),2)="SL",UPPER(TRIM(E1001))="C"),"C",IF(OR(LEFT(UPPER(TRIM(E1001)),1)="D",UPPER(TRIM(E1001))="D"),"D","")))))))</f>
        <v/>
      </c>
      <c r="J1001" s="27" t="str">
        <f aca="false">IF(I1001="","",IF(AND(I1001="D",Settings!$B$6&lt;&gt;"Yes"),"",IFERROR(INDEX(Settings!$C$9:$C$12,MATCH(I1001,Settings!$A$9:$A$12,0)),"")))</f>
        <v/>
      </c>
      <c r="K1001" s="27" t="str">
        <f aca="false">IF(J1001="","",COUNTIF($I$2:I1001,I1001))</f>
        <v/>
      </c>
      <c r="L1001" s="27" t="str">
        <f aca="false">IF(J1001="","",CHOOSE(Q1001+1,"Tue","Wed","Thu","Fri"))</f>
        <v/>
      </c>
      <c r="M1001" s="27" t="str">
        <f aca="false">IF(J1001="","",IF(J1001=1,"Every week",R1001+1&amp;" of "&amp;J1001))</f>
        <v/>
      </c>
      <c r="N1001" s="28" t="str">
        <f aca="false">IF(J1001="","",Settings!$B$4+R1001*7+Q1001)</f>
        <v/>
      </c>
      <c r="O1001" s="28" t="str">
        <f aca="true">IF(J1001="","",N1001+MAX(0,ROUNDUP((TODAY()-N1001)/(J1001*7),0))*J1001*7)</f>
        <v/>
      </c>
      <c r="P1001" s="27" t="str">
        <f aca="false">IF(J1001="","",MOD(K1001-1,J1001*4))</f>
        <v/>
      </c>
      <c r="Q1001" s="27" t="str">
        <f aca="false">IF(J1001="","",MOD(P1001,4))</f>
        <v/>
      </c>
      <c r="R1001" s="27" t="str">
        <f aca="false">IF(J1001="","",INT(P1001/4))</f>
        <v/>
      </c>
      <c r="S1001" s="27" t="str">
        <f aca="false">IF(J1001="","",IF(AND('Daily Count Sheet'!$H$3=Q1001,MOD('Daily Count Sheet'!$I$3,J1001)=R1001),1,""))</f>
        <v/>
      </c>
      <c r="T1001" s="27" t="str">
        <f aca="false">IF(S1001=1,COUNTIF($S$2:S1001,1),"")</f>
        <v/>
      </c>
    </row>
    <row r="1002" customFormat="false" ht="15" hidden="false" customHeight="false" outlineLevel="0" collapsed="false">
      <c r="H1002" s="26"/>
      <c r="I1002" s="27" t="str">
        <f aca="false">IF(A1002="","",IF(H1002&lt;&gt;"",UPPER(TRIM(H1002)),IFERROR(CHOOSE(VALUE(E1002)+1,"A","B","C","D"),IF(OR(LEFT(UPPER(TRIM(E1002)),1)="F",UPPER(TRIM(E1002))="A"),"A",IF(OR(LEFT(UPPER(TRIM(E1002)),1)="M",UPPER(TRIM(E1002))="B"),"B",IF(OR(LEFT(UPPER(TRIM(E1002)),2)="SL",UPPER(TRIM(E1002))="C"),"C",IF(OR(LEFT(UPPER(TRIM(E1002)),1)="D",UPPER(TRIM(E1002))="D"),"D","")))))))</f>
        <v/>
      </c>
      <c r="J1002" s="27" t="str">
        <f aca="false">IF(I1002="","",IF(AND(I1002="D",Settings!$B$6&lt;&gt;"Yes"),"",IFERROR(INDEX(Settings!$C$9:$C$12,MATCH(I1002,Settings!$A$9:$A$12,0)),"")))</f>
        <v/>
      </c>
      <c r="K1002" s="27" t="str">
        <f aca="false">IF(J1002="","",COUNTIF($I$2:I1002,I1002))</f>
        <v/>
      </c>
      <c r="L1002" s="27" t="str">
        <f aca="false">IF(J1002="","",CHOOSE(Q1002+1,"Tue","Wed","Thu","Fri"))</f>
        <v/>
      </c>
      <c r="M1002" s="27" t="str">
        <f aca="false">IF(J1002="","",IF(J1002=1,"Every week",R1002+1&amp;" of "&amp;J1002))</f>
        <v/>
      </c>
      <c r="N1002" s="28" t="str">
        <f aca="false">IF(J1002="","",Settings!$B$4+R1002*7+Q1002)</f>
        <v/>
      </c>
      <c r="O1002" s="28" t="str">
        <f aca="true">IF(J1002="","",N1002+MAX(0,ROUNDUP((TODAY()-N1002)/(J1002*7),0))*J1002*7)</f>
        <v/>
      </c>
      <c r="P1002" s="27" t="str">
        <f aca="false">IF(J1002="","",MOD(K1002-1,J1002*4))</f>
        <v/>
      </c>
      <c r="Q1002" s="27" t="str">
        <f aca="false">IF(J1002="","",MOD(P1002,4))</f>
        <v/>
      </c>
      <c r="R1002" s="27" t="str">
        <f aca="false">IF(J1002="","",INT(P1002/4))</f>
        <v/>
      </c>
      <c r="S1002" s="27" t="str">
        <f aca="false">IF(J1002="","",IF(AND('Daily Count Sheet'!$H$3=Q1002,MOD('Daily Count Sheet'!$I$3,J1002)=R1002),1,""))</f>
        <v/>
      </c>
      <c r="T1002" s="27" t="str">
        <f aca="false">IF(S1002=1,COUNTIF($S$2:S1002,1),"")</f>
        <v/>
      </c>
    </row>
    <row r="1003" customFormat="false" ht="15" hidden="false" customHeight="false" outlineLevel="0" collapsed="false">
      <c r="H1003" s="26"/>
      <c r="I1003" s="27" t="str">
        <f aca="false">IF(A1003="","",IF(H1003&lt;&gt;"",UPPER(TRIM(H1003)),IFERROR(CHOOSE(VALUE(E1003)+1,"A","B","C","D"),IF(OR(LEFT(UPPER(TRIM(E1003)),1)="F",UPPER(TRIM(E1003))="A"),"A",IF(OR(LEFT(UPPER(TRIM(E1003)),1)="M",UPPER(TRIM(E1003))="B"),"B",IF(OR(LEFT(UPPER(TRIM(E1003)),2)="SL",UPPER(TRIM(E1003))="C"),"C",IF(OR(LEFT(UPPER(TRIM(E1003)),1)="D",UPPER(TRIM(E1003))="D"),"D","")))))))</f>
        <v/>
      </c>
      <c r="J1003" s="27" t="str">
        <f aca="false">IF(I1003="","",IF(AND(I1003="D",Settings!$B$6&lt;&gt;"Yes"),"",IFERROR(INDEX(Settings!$C$9:$C$12,MATCH(I1003,Settings!$A$9:$A$12,0)),"")))</f>
        <v/>
      </c>
      <c r="K1003" s="27" t="str">
        <f aca="false">IF(J1003="","",COUNTIF($I$2:I1003,I1003))</f>
        <v/>
      </c>
      <c r="L1003" s="27" t="str">
        <f aca="false">IF(J1003="","",CHOOSE(Q1003+1,"Tue","Wed","Thu","Fri"))</f>
        <v/>
      </c>
      <c r="M1003" s="27" t="str">
        <f aca="false">IF(J1003="","",IF(J1003=1,"Every week",R1003+1&amp;" of "&amp;J1003))</f>
        <v/>
      </c>
      <c r="N1003" s="28" t="str">
        <f aca="false">IF(J1003="","",Settings!$B$4+R1003*7+Q1003)</f>
        <v/>
      </c>
      <c r="O1003" s="28" t="str">
        <f aca="true">IF(J1003="","",N1003+MAX(0,ROUNDUP((TODAY()-N1003)/(J1003*7),0))*J1003*7)</f>
        <v/>
      </c>
      <c r="P1003" s="27" t="str">
        <f aca="false">IF(J1003="","",MOD(K1003-1,J1003*4))</f>
        <v/>
      </c>
      <c r="Q1003" s="27" t="str">
        <f aca="false">IF(J1003="","",MOD(P1003,4))</f>
        <v/>
      </c>
      <c r="R1003" s="27" t="str">
        <f aca="false">IF(J1003="","",INT(P1003/4))</f>
        <v/>
      </c>
      <c r="S1003" s="27" t="str">
        <f aca="false">IF(J1003="","",IF(AND('Daily Count Sheet'!$H$3=Q1003,MOD('Daily Count Sheet'!$I$3,J1003)=R1003),1,""))</f>
        <v/>
      </c>
      <c r="T1003" s="27" t="str">
        <f aca="false">IF(S1003=1,COUNTIF($S$2:S1003,1),"")</f>
        <v/>
      </c>
    </row>
    <row r="1004" customFormat="false" ht="15" hidden="false" customHeight="false" outlineLevel="0" collapsed="false">
      <c r="H1004" s="26"/>
      <c r="I1004" s="27" t="str">
        <f aca="false">IF(A1004="","",IF(H1004&lt;&gt;"",UPPER(TRIM(H1004)),IFERROR(CHOOSE(VALUE(E1004)+1,"A","B","C","D"),IF(OR(LEFT(UPPER(TRIM(E1004)),1)="F",UPPER(TRIM(E1004))="A"),"A",IF(OR(LEFT(UPPER(TRIM(E1004)),1)="M",UPPER(TRIM(E1004))="B"),"B",IF(OR(LEFT(UPPER(TRIM(E1004)),2)="SL",UPPER(TRIM(E1004))="C"),"C",IF(OR(LEFT(UPPER(TRIM(E1004)),1)="D",UPPER(TRIM(E1004))="D"),"D","")))))))</f>
        <v/>
      </c>
      <c r="J1004" s="27" t="str">
        <f aca="false">IF(I1004="","",IF(AND(I1004="D",Settings!$B$6&lt;&gt;"Yes"),"",IFERROR(INDEX(Settings!$C$9:$C$12,MATCH(I1004,Settings!$A$9:$A$12,0)),"")))</f>
        <v/>
      </c>
      <c r="K1004" s="27" t="str">
        <f aca="false">IF(J1004="","",COUNTIF($I$2:I1004,I1004))</f>
        <v/>
      </c>
      <c r="L1004" s="27" t="str">
        <f aca="false">IF(J1004="","",CHOOSE(Q1004+1,"Tue","Wed","Thu","Fri"))</f>
        <v/>
      </c>
      <c r="M1004" s="27" t="str">
        <f aca="false">IF(J1004="","",IF(J1004=1,"Every week",R1004+1&amp;" of "&amp;J1004))</f>
        <v/>
      </c>
      <c r="N1004" s="28" t="str">
        <f aca="false">IF(J1004="","",Settings!$B$4+R1004*7+Q1004)</f>
        <v/>
      </c>
      <c r="O1004" s="28" t="str">
        <f aca="true">IF(J1004="","",N1004+MAX(0,ROUNDUP((TODAY()-N1004)/(J1004*7),0))*J1004*7)</f>
        <v/>
      </c>
      <c r="P1004" s="27" t="str">
        <f aca="false">IF(J1004="","",MOD(K1004-1,J1004*4))</f>
        <v/>
      </c>
      <c r="Q1004" s="27" t="str">
        <f aca="false">IF(J1004="","",MOD(P1004,4))</f>
        <v/>
      </c>
      <c r="R1004" s="27" t="str">
        <f aca="false">IF(J1004="","",INT(P1004/4))</f>
        <v/>
      </c>
      <c r="S1004" s="27" t="str">
        <f aca="false">IF(J1004="","",IF(AND('Daily Count Sheet'!$H$3=Q1004,MOD('Daily Count Sheet'!$I$3,J1004)=R1004),1,""))</f>
        <v/>
      </c>
      <c r="T1004" s="27" t="str">
        <f aca="false">IF(S1004=1,COUNTIF($S$2:S1004,1),"")</f>
        <v/>
      </c>
    </row>
    <row r="1005" customFormat="false" ht="15" hidden="false" customHeight="false" outlineLevel="0" collapsed="false">
      <c r="H1005" s="26"/>
      <c r="I1005" s="27" t="str">
        <f aca="false">IF(A1005="","",IF(H1005&lt;&gt;"",UPPER(TRIM(H1005)),IFERROR(CHOOSE(VALUE(E1005)+1,"A","B","C","D"),IF(OR(LEFT(UPPER(TRIM(E1005)),1)="F",UPPER(TRIM(E1005))="A"),"A",IF(OR(LEFT(UPPER(TRIM(E1005)),1)="M",UPPER(TRIM(E1005))="B"),"B",IF(OR(LEFT(UPPER(TRIM(E1005)),2)="SL",UPPER(TRIM(E1005))="C"),"C",IF(OR(LEFT(UPPER(TRIM(E1005)),1)="D",UPPER(TRIM(E1005))="D"),"D","")))))))</f>
        <v/>
      </c>
      <c r="J1005" s="27" t="str">
        <f aca="false">IF(I1005="","",IF(AND(I1005="D",Settings!$B$6&lt;&gt;"Yes"),"",IFERROR(INDEX(Settings!$C$9:$C$12,MATCH(I1005,Settings!$A$9:$A$12,0)),"")))</f>
        <v/>
      </c>
      <c r="K1005" s="27" t="str">
        <f aca="false">IF(J1005="","",COUNTIF($I$2:I1005,I1005))</f>
        <v/>
      </c>
      <c r="L1005" s="27" t="str">
        <f aca="false">IF(J1005="","",CHOOSE(Q1005+1,"Tue","Wed","Thu","Fri"))</f>
        <v/>
      </c>
      <c r="M1005" s="27" t="str">
        <f aca="false">IF(J1005="","",IF(J1005=1,"Every week",R1005+1&amp;" of "&amp;J1005))</f>
        <v/>
      </c>
      <c r="N1005" s="28" t="str">
        <f aca="false">IF(J1005="","",Settings!$B$4+R1005*7+Q1005)</f>
        <v/>
      </c>
      <c r="O1005" s="28" t="str">
        <f aca="true">IF(J1005="","",N1005+MAX(0,ROUNDUP((TODAY()-N1005)/(J1005*7),0))*J1005*7)</f>
        <v/>
      </c>
      <c r="P1005" s="27" t="str">
        <f aca="false">IF(J1005="","",MOD(K1005-1,J1005*4))</f>
        <v/>
      </c>
      <c r="Q1005" s="27" t="str">
        <f aca="false">IF(J1005="","",MOD(P1005,4))</f>
        <v/>
      </c>
      <c r="R1005" s="27" t="str">
        <f aca="false">IF(J1005="","",INT(P1005/4))</f>
        <v/>
      </c>
      <c r="S1005" s="27" t="str">
        <f aca="false">IF(J1005="","",IF(AND('Daily Count Sheet'!$H$3=Q1005,MOD('Daily Count Sheet'!$I$3,J1005)=R1005),1,""))</f>
        <v/>
      </c>
      <c r="T1005" s="27" t="str">
        <f aca="false">IF(S1005=1,COUNTIF($S$2:S1005,1),"")</f>
        <v/>
      </c>
    </row>
    <row r="1006" customFormat="false" ht="15" hidden="false" customHeight="false" outlineLevel="0" collapsed="false">
      <c r="H1006" s="26"/>
      <c r="I1006" s="27" t="str">
        <f aca="false">IF(A1006="","",IF(H1006&lt;&gt;"",UPPER(TRIM(H1006)),IFERROR(CHOOSE(VALUE(E1006)+1,"A","B","C","D"),IF(OR(LEFT(UPPER(TRIM(E1006)),1)="F",UPPER(TRIM(E1006))="A"),"A",IF(OR(LEFT(UPPER(TRIM(E1006)),1)="M",UPPER(TRIM(E1006))="B"),"B",IF(OR(LEFT(UPPER(TRIM(E1006)),2)="SL",UPPER(TRIM(E1006))="C"),"C",IF(OR(LEFT(UPPER(TRIM(E1006)),1)="D",UPPER(TRIM(E1006))="D"),"D","")))))))</f>
        <v/>
      </c>
      <c r="J1006" s="27" t="str">
        <f aca="false">IF(I1006="","",IF(AND(I1006="D",Settings!$B$6&lt;&gt;"Yes"),"",IFERROR(INDEX(Settings!$C$9:$C$12,MATCH(I1006,Settings!$A$9:$A$12,0)),"")))</f>
        <v/>
      </c>
      <c r="K1006" s="27" t="str">
        <f aca="false">IF(J1006="","",COUNTIF($I$2:I1006,I1006))</f>
        <v/>
      </c>
      <c r="L1006" s="27" t="str">
        <f aca="false">IF(J1006="","",CHOOSE(Q1006+1,"Tue","Wed","Thu","Fri"))</f>
        <v/>
      </c>
      <c r="M1006" s="27" t="str">
        <f aca="false">IF(J1006="","",IF(J1006=1,"Every week",R1006+1&amp;" of "&amp;J1006))</f>
        <v/>
      </c>
      <c r="N1006" s="28" t="str">
        <f aca="false">IF(J1006="","",Settings!$B$4+R1006*7+Q1006)</f>
        <v/>
      </c>
      <c r="O1006" s="28" t="str">
        <f aca="true">IF(J1006="","",N1006+MAX(0,ROUNDUP((TODAY()-N1006)/(J1006*7),0))*J1006*7)</f>
        <v/>
      </c>
      <c r="P1006" s="27" t="str">
        <f aca="false">IF(J1006="","",MOD(K1006-1,J1006*4))</f>
        <v/>
      </c>
      <c r="Q1006" s="27" t="str">
        <f aca="false">IF(J1006="","",MOD(P1006,4))</f>
        <v/>
      </c>
      <c r="R1006" s="27" t="str">
        <f aca="false">IF(J1006="","",INT(P1006/4))</f>
        <v/>
      </c>
      <c r="S1006" s="27" t="str">
        <f aca="false">IF(J1006="","",IF(AND('Daily Count Sheet'!$H$3=Q1006,MOD('Daily Count Sheet'!$I$3,J1006)=R1006),1,""))</f>
        <v/>
      </c>
      <c r="T1006" s="27" t="str">
        <f aca="false">IF(S1006=1,COUNTIF($S$2:S1006,1),"")</f>
        <v/>
      </c>
    </row>
    <row r="1007" customFormat="false" ht="15" hidden="false" customHeight="false" outlineLevel="0" collapsed="false">
      <c r="H1007" s="26"/>
      <c r="I1007" s="27" t="str">
        <f aca="false">IF(A1007="","",IF(H1007&lt;&gt;"",UPPER(TRIM(H1007)),IFERROR(CHOOSE(VALUE(E1007)+1,"A","B","C","D"),IF(OR(LEFT(UPPER(TRIM(E1007)),1)="F",UPPER(TRIM(E1007))="A"),"A",IF(OR(LEFT(UPPER(TRIM(E1007)),1)="M",UPPER(TRIM(E1007))="B"),"B",IF(OR(LEFT(UPPER(TRIM(E1007)),2)="SL",UPPER(TRIM(E1007))="C"),"C",IF(OR(LEFT(UPPER(TRIM(E1007)),1)="D",UPPER(TRIM(E1007))="D"),"D","")))))))</f>
        <v/>
      </c>
      <c r="J1007" s="27" t="str">
        <f aca="false">IF(I1007="","",IF(AND(I1007="D",Settings!$B$6&lt;&gt;"Yes"),"",IFERROR(INDEX(Settings!$C$9:$C$12,MATCH(I1007,Settings!$A$9:$A$12,0)),"")))</f>
        <v/>
      </c>
      <c r="K1007" s="27" t="str">
        <f aca="false">IF(J1007="","",COUNTIF($I$2:I1007,I1007))</f>
        <v/>
      </c>
      <c r="L1007" s="27" t="str">
        <f aca="false">IF(J1007="","",CHOOSE(Q1007+1,"Tue","Wed","Thu","Fri"))</f>
        <v/>
      </c>
      <c r="M1007" s="27" t="str">
        <f aca="false">IF(J1007="","",IF(J1007=1,"Every week",R1007+1&amp;" of "&amp;J1007))</f>
        <v/>
      </c>
      <c r="N1007" s="28" t="str">
        <f aca="false">IF(J1007="","",Settings!$B$4+R1007*7+Q1007)</f>
        <v/>
      </c>
      <c r="O1007" s="28" t="str">
        <f aca="true">IF(J1007="","",N1007+MAX(0,ROUNDUP((TODAY()-N1007)/(J1007*7),0))*J1007*7)</f>
        <v/>
      </c>
      <c r="P1007" s="27" t="str">
        <f aca="false">IF(J1007="","",MOD(K1007-1,J1007*4))</f>
        <v/>
      </c>
      <c r="Q1007" s="27" t="str">
        <f aca="false">IF(J1007="","",MOD(P1007,4))</f>
        <v/>
      </c>
      <c r="R1007" s="27" t="str">
        <f aca="false">IF(J1007="","",INT(P1007/4))</f>
        <v/>
      </c>
      <c r="S1007" s="27" t="str">
        <f aca="false">IF(J1007="","",IF(AND('Daily Count Sheet'!$H$3=Q1007,MOD('Daily Count Sheet'!$I$3,J1007)=R1007),1,""))</f>
        <v/>
      </c>
      <c r="T1007" s="27" t="str">
        <f aca="false">IF(S1007=1,COUNTIF($S$2:S1007,1),"")</f>
        <v/>
      </c>
    </row>
    <row r="1008" customFormat="false" ht="15" hidden="false" customHeight="false" outlineLevel="0" collapsed="false">
      <c r="H1008" s="26"/>
      <c r="I1008" s="27" t="str">
        <f aca="false">IF(A1008="","",IF(H1008&lt;&gt;"",UPPER(TRIM(H1008)),IFERROR(CHOOSE(VALUE(E1008)+1,"A","B","C","D"),IF(OR(LEFT(UPPER(TRIM(E1008)),1)="F",UPPER(TRIM(E1008))="A"),"A",IF(OR(LEFT(UPPER(TRIM(E1008)),1)="M",UPPER(TRIM(E1008))="B"),"B",IF(OR(LEFT(UPPER(TRIM(E1008)),2)="SL",UPPER(TRIM(E1008))="C"),"C",IF(OR(LEFT(UPPER(TRIM(E1008)),1)="D",UPPER(TRIM(E1008))="D"),"D","")))))))</f>
        <v/>
      </c>
      <c r="J1008" s="27" t="str">
        <f aca="false">IF(I1008="","",IF(AND(I1008="D",Settings!$B$6&lt;&gt;"Yes"),"",IFERROR(INDEX(Settings!$C$9:$C$12,MATCH(I1008,Settings!$A$9:$A$12,0)),"")))</f>
        <v/>
      </c>
      <c r="K1008" s="27" t="str">
        <f aca="false">IF(J1008="","",COUNTIF($I$2:I1008,I1008))</f>
        <v/>
      </c>
      <c r="L1008" s="27" t="str">
        <f aca="false">IF(J1008="","",CHOOSE(Q1008+1,"Tue","Wed","Thu","Fri"))</f>
        <v/>
      </c>
      <c r="M1008" s="27" t="str">
        <f aca="false">IF(J1008="","",IF(J1008=1,"Every week",R1008+1&amp;" of "&amp;J1008))</f>
        <v/>
      </c>
      <c r="N1008" s="28" t="str">
        <f aca="false">IF(J1008="","",Settings!$B$4+R1008*7+Q1008)</f>
        <v/>
      </c>
      <c r="O1008" s="28" t="str">
        <f aca="true">IF(J1008="","",N1008+MAX(0,ROUNDUP((TODAY()-N1008)/(J1008*7),0))*J1008*7)</f>
        <v/>
      </c>
      <c r="P1008" s="27" t="str">
        <f aca="false">IF(J1008="","",MOD(K1008-1,J1008*4))</f>
        <v/>
      </c>
      <c r="Q1008" s="27" t="str">
        <f aca="false">IF(J1008="","",MOD(P1008,4))</f>
        <v/>
      </c>
      <c r="R1008" s="27" t="str">
        <f aca="false">IF(J1008="","",INT(P1008/4))</f>
        <v/>
      </c>
      <c r="S1008" s="27" t="str">
        <f aca="false">IF(J1008="","",IF(AND('Daily Count Sheet'!$H$3=Q1008,MOD('Daily Count Sheet'!$I$3,J1008)=R1008),1,""))</f>
        <v/>
      </c>
      <c r="T1008" s="27" t="str">
        <f aca="false">IF(S1008=1,COUNTIF($S$2:S1008,1),"")</f>
        <v/>
      </c>
    </row>
    <row r="1009" customFormat="false" ht="15" hidden="false" customHeight="false" outlineLevel="0" collapsed="false">
      <c r="H1009" s="26"/>
      <c r="I1009" s="27" t="str">
        <f aca="false">IF(A1009="","",IF(H1009&lt;&gt;"",UPPER(TRIM(H1009)),IFERROR(CHOOSE(VALUE(E1009)+1,"A","B","C","D"),IF(OR(LEFT(UPPER(TRIM(E1009)),1)="F",UPPER(TRIM(E1009))="A"),"A",IF(OR(LEFT(UPPER(TRIM(E1009)),1)="M",UPPER(TRIM(E1009))="B"),"B",IF(OR(LEFT(UPPER(TRIM(E1009)),2)="SL",UPPER(TRIM(E1009))="C"),"C",IF(OR(LEFT(UPPER(TRIM(E1009)),1)="D",UPPER(TRIM(E1009))="D"),"D","")))))))</f>
        <v/>
      </c>
      <c r="J1009" s="27" t="str">
        <f aca="false">IF(I1009="","",IF(AND(I1009="D",Settings!$B$6&lt;&gt;"Yes"),"",IFERROR(INDEX(Settings!$C$9:$C$12,MATCH(I1009,Settings!$A$9:$A$12,0)),"")))</f>
        <v/>
      </c>
      <c r="K1009" s="27" t="str">
        <f aca="false">IF(J1009="","",COUNTIF($I$2:I1009,I1009))</f>
        <v/>
      </c>
      <c r="L1009" s="27" t="str">
        <f aca="false">IF(J1009="","",CHOOSE(Q1009+1,"Tue","Wed","Thu","Fri"))</f>
        <v/>
      </c>
      <c r="M1009" s="27" t="str">
        <f aca="false">IF(J1009="","",IF(J1009=1,"Every week",R1009+1&amp;" of "&amp;J1009))</f>
        <v/>
      </c>
      <c r="N1009" s="28" t="str">
        <f aca="false">IF(J1009="","",Settings!$B$4+R1009*7+Q1009)</f>
        <v/>
      </c>
      <c r="O1009" s="28" t="str">
        <f aca="true">IF(J1009="","",N1009+MAX(0,ROUNDUP((TODAY()-N1009)/(J1009*7),0))*J1009*7)</f>
        <v/>
      </c>
      <c r="P1009" s="27" t="str">
        <f aca="false">IF(J1009="","",MOD(K1009-1,J1009*4))</f>
        <v/>
      </c>
      <c r="Q1009" s="27" t="str">
        <f aca="false">IF(J1009="","",MOD(P1009,4))</f>
        <v/>
      </c>
      <c r="R1009" s="27" t="str">
        <f aca="false">IF(J1009="","",INT(P1009/4))</f>
        <v/>
      </c>
      <c r="S1009" s="27" t="str">
        <f aca="false">IF(J1009="","",IF(AND('Daily Count Sheet'!$H$3=Q1009,MOD('Daily Count Sheet'!$I$3,J1009)=R1009),1,""))</f>
        <v/>
      </c>
      <c r="T1009" s="27" t="str">
        <f aca="false">IF(S1009=1,COUNTIF($S$2:S1009,1),"")</f>
        <v/>
      </c>
    </row>
    <row r="1010" customFormat="false" ht="15" hidden="false" customHeight="false" outlineLevel="0" collapsed="false">
      <c r="H1010" s="26"/>
      <c r="I1010" s="27" t="str">
        <f aca="false">IF(A1010="","",IF(H1010&lt;&gt;"",UPPER(TRIM(H1010)),IFERROR(CHOOSE(VALUE(E1010)+1,"A","B","C","D"),IF(OR(LEFT(UPPER(TRIM(E1010)),1)="F",UPPER(TRIM(E1010))="A"),"A",IF(OR(LEFT(UPPER(TRIM(E1010)),1)="M",UPPER(TRIM(E1010))="B"),"B",IF(OR(LEFT(UPPER(TRIM(E1010)),2)="SL",UPPER(TRIM(E1010))="C"),"C",IF(OR(LEFT(UPPER(TRIM(E1010)),1)="D",UPPER(TRIM(E1010))="D"),"D","")))))))</f>
        <v/>
      </c>
      <c r="J1010" s="27" t="str">
        <f aca="false">IF(I1010="","",IF(AND(I1010="D",Settings!$B$6&lt;&gt;"Yes"),"",IFERROR(INDEX(Settings!$C$9:$C$12,MATCH(I1010,Settings!$A$9:$A$12,0)),"")))</f>
        <v/>
      </c>
      <c r="K1010" s="27" t="str">
        <f aca="false">IF(J1010="","",COUNTIF($I$2:I1010,I1010))</f>
        <v/>
      </c>
      <c r="L1010" s="27" t="str">
        <f aca="false">IF(J1010="","",CHOOSE(Q1010+1,"Tue","Wed","Thu","Fri"))</f>
        <v/>
      </c>
      <c r="M1010" s="27" t="str">
        <f aca="false">IF(J1010="","",IF(J1010=1,"Every week",R1010+1&amp;" of "&amp;J1010))</f>
        <v/>
      </c>
      <c r="N1010" s="28" t="str">
        <f aca="false">IF(J1010="","",Settings!$B$4+R1010*7+Q1010)</f>
        <v/>
      </c>
      <c r="O1010" s="28" t="str">
        <f aca="true">IF(J1010="","",N1010+MAX(0,ROUNDUP((TODAY()-N1010)/(J1010*7),0))*J1010*7)</f>
        <v/>
      </c>
      <c r="P1010" s="27" t="str">
        <f aca="false">IF(J1010="","",MOD(K1010-1,J1010*4))</f>
        <v/>
      </c>
      <c r="Q1010" s="27" t="str">
        <f aca="false">IF(J1010="","",MOD(P1010,4))</f>
        <v/>
      </c>
      <c r="R1010" s="27" t="str">
        <f aca="false">IF(J1010="","",INT(P1010/4))</f>
        <v/>
      </c>
      <c r="S1010" s="27" t="str">
        <f aca="false">IF(J1010="","",IF(AND('Daily Count Sheet'!$H$3=Q1010,MOD('Daily Count Sheet'!$I$3,J1010)=R1010),1,""))</f>
        <v/>
      </c>
      <c r="T1010" s="27" t="str">
        <f aca="false">IF(S1010=1,COUNTIF($S$2:S1010,1),"")</f>
        <v/>
      </c>
    </row>
    <row r="1011" customFormat="false" ht="15" hidden="false" customHeight="false" outlineLevel="0" collapsed="false">
      <c r="H1011" s="26"/>
      <c r="I1011" s="27" t="str">
        <f aca="false">IF(A1011="","",IF(H1011&lt;&gt;"",UPPER(TRIM(H1011)),IFERROR(CHOOSE(VALUE(E1011)+1,"A","B","C","D"),IF(OR(LEFT(UPPER(TRIM(E1011)),1)="F",UPPER(TRIM(E1011))="A"),"A",IF(OR(LEFT(UPPER(TRIM(E1011)),1)="M",UPPER(TRIM(E1011))="B"),"B",IF(OR(LEFT(UPPER(TRIM(E1011)),2)="SL",UPPER(TRIM(E1011))="C"),"C",IF(OR(LEFT(UPPER(TRIM(E1011)),1)="D",UPPER(TRIM(E1011))="D"),"D","")))))))</f>
        <v/>
      </c>
      <c r="J1011" s="27" t="str">
        <f aca="false">IF(I1011="","",IF(AND(I1011="D",Settings!$B$6&lt;&gt;"Yes"),"",IFERROR(INDEX(Settings!$C$9:$C$12,MATCH(I1011,Settings!$A$9:$A$12,0)),"")))</f>
        <v/>
      </c>
      <c r="K1011" s="27" t="str">
        <f aca="false">IF(J1011="","",COUNTIF($I$2:I1011,I1011))</f>
        <v/>
      </c>
      <c r="L1011" s="27" t="str">
        <f aca="false">IF(J1011="","",CHOOSE(Q1011+1,"Tue","Wed","Thu","Fri"))</f>
        <v/>
      </c>
      <c r="M1011" s="27" t="str">
        <f aca="false">IF(J1011="","",IF(J1011=1,"Every week",R1011+1&amp;" of "&amp;J1011))</f>
        <v/>
      </c>
      <c r="N1011" s="28" t="str">
        <f aca="false">IF(J1011="","",Settings!$B$4+R1011*7+Q1011)</f>
        <v/>
      </c>
      <c r="O1011" s="28" t="str">
        <f aca="true">IF(J1011="","",N1011+MAX(0,ROUNDUP((TODAY()-N1011)/(J1011*7),0))*J1011*7)</f>
        <v/>
      </c>
      <c r="P1011" s="27" t="str">
        <f aca="false">IF(J1011="","",MOD(K1011-1,J1011*4))</f>
        <v/>
      </c>
      <c r="Q1011" s="27" t="str">
        <f aca="false">IF(J1011="","",MOD(P1011,4))</f>
        <v/>
      </c>
      <c r="R1011" s="27" t="str">
        <f aca="false">IF(J1011="","",INT(P1011/4))</f>
        <v/>
      </c>
      <c r="S1011" s="27" t="str">
        <f aca="false">IF(J1011="","",IF(AND('Daily Count Sheet'!$H$3=Q1011,MOD('Daily Count Sheet'!$I$3,J1011)=R1011),1,""))</f>
        <v/>
      </c>
      <c r="T1011" s="27" t="str">
        <f aca="false">IF(S1011=1,COUNTIF($S$2:S1011,1),"")</f>
        <v/>
      </c>
    </row>
    <row r="1012" customFormat="false" ht="15" hidden="false" customHeight="false" outlineLevel="0" collapsed="false">
      <c r="H1012" s="26"/>
      <c r="I1012" s="27" t="str">
        <f aca="false">IF(A1012="","",IF(H1012&lt;&gt;"",UPPER(TRIM(H1012)),IFERROR(CHOOSE(VALUE(E1012)+1,"A","B","C","D"),IF(OR(LEFT(UPPER(TRIM(E1012)),1)="F",UPPER(TRIM(E1012))="A"),"A",IF(OR(LEFT(UPPER(TRIM(E1012)),1)="M",UPPER(TRIM(E1012))="B"),"B",IF(OR(LEFT(UPPER(TRIM(E1012)),2)="SL",UPPER(TRIM(E1012))="C"),"C",IF(OR(LEFT(UPPER(TRIM(E1012)),1)="D",UPPER(TRIM(E1012))="D"),"D","")))))))</f>
        <v/>
      </c>
      <c r="J1012" s="27" t="str">
        <f aca="false">IF(I1012="","",IF(AND(I1012="D",Settings!$B$6&lt;&gt;"Yes"),"",IFERROR(INDEX(Settings!$C$9:$C$12,MATCH(I1012,Settings!$A$9:$A$12,0)),"")))</f>
        <v/>
      </c>
      <c r="K1012" s="27" t="str">
        <f aca="false">IF(J1012="","",COUNTIF($I$2:I1012,I1012))</f>
        <v/>
      </c>
      <c r="L1012" s="27" t="str">
        <f aca="false">IF(J1012="","",CHOOSE(Q1012+1,"Tue","Wed","Thu","Fri"))</f>
        <v/>
      </c>
      <c r="M1012" s="27" t="str">
        <f aca="false">IF(J1012="","",IF(J1012=1,"Every week",R1012+1&amp;" of "&amp;J1012))</f>
        <v/>
      </c>
      <c r="N1012" s="28" t="str">
        <f aca="false">IF(J1012="","",Settings!$B$4+R1012*7+Q1012)</f>
        <v/>
      </c>
      <c r="O1012" s="28" t="str">
        <f aca="true">IF(J1012="","",N1012+MAX(0,ROUNDUP((TODAY()-N1012)/(J1012*7),0))*J1012*7)</f>
        <v/>
      </c>
      <c r="P1012" s="27" t="str">
        <f aca="false">IF(J1012="","",MOD(K1012-1,J1012*4))</f>
        <v/>
      </c>
      <c r="Q1012" s="27" t="str">
        <f aca="false">IF(J1012="","",MOD(P1012,4))</f>
        <v/>
      </c>
      <c r="R1012" s="27" t="str">
        <f aca="false">IF(J1012="","",INT(P1012/4))</f>
        <v/>
      </c>
      <c r="S1012" s="27" t="str">
        <f aca="false">IF(J1012="","",IF(AND('Daily Count Sheet'!$H$3=Q1012,MOD('Daily Count Sheet'!$I$3,J1012)=R1012),1,""))</f>
        <v/>
      </c>
      <c r="T1012" s="27" t="str">
        <f aca="false">IF(S1012=1,COUNTIF($S$2:S1012,1),"")</f>
        <v/>
      </c>
    </row>
    <row r="1013" customFormat="false" ht="15" hidden="false" customHeight="false" outlineLevel="0" collapsed="false">
      <c r="H1013" s="26"/>
      <c r="I1013" s="27" t="str">
        <f aca="false">IF(A1013="","",IF(H1013&lt;&gt;"",UPPER(TRIM(H1013)),IFERROR(CHOOSE(VALUE(E1013)+1,"A","B","C","D"),IF(OR(LEFT(UPPER(TRIM(E1013)),1)="F",UPPER(TRIM(E1013))="A"),"A",IF(OR(LEFT(UPPER(TRIM(E1013)),1)="M",UPPER(TRIM(E1013))="B"),"B",IF(OR(LEFT(UPPER(TRIM(E1013)),2)="SL",UPPER(TRIM(E1013))="C"),"C",IF(OR(LEFT(UPPER(TRIM(E1013)),1)="D",UPPER(TRIM(E1013))="D"),"D","")))))))</f>
        <v/>
      </c>
      <c r="J1013" s="27" t="str">
        <f aca="false">IF(I1013="","",IF(AND(I1013="D",Settings!$B$6&lt;&gt;"Yes"),"",IFERROR(INDEX(Settings!$C$9:$C$12,MATCH(I1013,Settings!$A$9:$A$12,0)),"")))</f>
        <v/>
      </c>
      <c r="K1013" s="27" t="str">
        <f aca="false">IF(J1013="","",COUNTIF($I$2:I1013,I1013))</f>
        <v/>
      </c>
      <c r="L1013" s="27" t="str">
        <f aca="false">IF(J1013="","",CHOOSE(Q1013+1,"Tue","Wed","Thu","Fri"))</f>
        <v/>
      </c>
      <c r="M1013" s="27" t="str">
        <f aca="false">IF(J1013="","",IF(J1013=1,"Every week",R1013+1&amp;" of "&amp;J1013))</f>
        <v/>
      </c>
      <c r="N1013" s="28" t="str">
        <f aca="false">IF(J1013="","",Settings!$B$4+R1013*7+Q1013)</f>
        <v/>
      </c>
      <c r="O1013" s="28" t="str">
        <f aca="true">IF(J1013="","",N1013+MAX(0,ROUNDUP((TODAY()-N1013)/(J1013*7),0))*J1013*7)</f>
        <v/>
      </c>
      <c r="P1013" s="27" t="str">
        <f aca="false">IF(J1013="","",MOD(K1013-1,J1013*4))</f>
        <v/>
      </c>
      <c r="Q1013" s="27" t="str">
        <f aca="false">IF(J1013="","",MOD(P1013,4))</f>
        <v/>
      </c>
      <c r="R1013" s="27" t="str">
        <f aca="false">IF(J1013="","",INT(P1013/4))</f>
        <v/>
      </c>
      <c r="S1013" s="27" t="str">
        <f aca="false">IF(J1013="","",IF(AND('Daily Count Sheet'!$H$3=Q1013,MOD('Daily Count Sheet'!$I$3,J1013)=R1013),1,""))</f>
        <v/>
      </c>
      <c r="T1013" s="27" t="str">
        <f aca="false">IF(S1013=1,COUNTIF($S$2:S1013,1),"")</f>
        <v/>
      </c>
    </row>
    <row r="1014" customFormat="false" ht="15" hidden="false" customHeight="false" outlineLevel="0" collapsed="false">
      <c r="H1014" s="26"/>
      <c r="I1014" s="27" t="str">
        <f aca="false">IF(A1014="","",IF(H1014&lt;&gt;"",UPPER(TRIM(H1014)),IFERROR(CHOOSE(VALUE(E1014)+1,"A","B","C","D"),IF(OR(LEFT(UPPER(TRIM(E1014)),1)="F",UPPER(TRIM(E1014))="A"),"A",IF(OR(LEFT(UPPER(TRIM(E1014)),1)="M",UPPER(TRIM(E1014))="B"),"B",IF(OR(LEFT(UPPER(TRIM(E1014)),2)="SL",UPPER(TRIM(E1014))="C"),"C",IF(OR(LEFT(UPPER(TRIM(E1014)),1)="D",UPPER(TRIM(E1014))="D"),"D","")))))))</f>
        <v/>
      </c>
      <c r="J1014" s="27" t="str">
        <f aca="false">IF(I1014="","",IF(AND(I1014="D",Settings!$B$6&lt;&gt;"Yes"),"",IFERROR(INDEX(Settings!$C$9:$C$12,MATCH(I1014,Settings!$A$9:$A$12,0)),"")))</f>
        <v/>
      </c>
      <c r="K1014" s="27" t="str">
        <f aca="false">IF(J1014="","",COUNTIF($I$2:I1014,I1014))</f>
        <v/>
      </c>
      <c r="L1014" s="27" t="str">
        <f aca="false">IF(J1014="","",CHOOSE(Q1014+1,"Tue","Wed","Thu","Fri"))</f>
        <v/>
      </c>
      <c r="M1014" s="27" t="str">
        <f aca="false">IF(J1014="","",IF(J1014=1,"Every week",R1014+1&amp;" of "&amp;J1014))</f>
        <v/>
      </c>
      <c r="N1014" s="28" t="str">
        <f aca="false">IF(J1014="","",Settings!$B$4+R1014*7+Q1014)</f>
        <v/>
      </c>
      <c r="O1014" s="28" t="str">
        <f aca="true">IF(J1014="","",N1014+MAX(0,ROUNDUP((TODAY()-N1014)/(J1014*7),0))*J1014*7)</f>
        <v/>
      </c>
      <c r="P1014" s="27" t="str">
        <f aca="false">IF(J1014="","",MOD(K1014-1,J1014*4))</f>
        <v/>
      </c>
      <c r="Q1014" s="27" t="str">
        <f aca="false">IF(J1014="","",MOD(P1014,4))</f>
        <v/>
      </c>
      <c r="R1014" s="27" t="str">
        <f aca="false">IF(J1014="","",INT(P1014/4))</f>
        <v/>
      </c>
      <c r="S1014" s="27" t="str">
        <f aca="false">IF(J1014="","",IF(AND('Daily Count Sheet'!$H$3=Q1014,MOD('Daily Count Sheet'!$I$3,J1014)=R1014),1,""))</f>
        <v/>
      </c>
      <c r="T1014" s="27" t="str">
        <f aca="false">IF(S1014=1,COUNTIF($S$2:S1014,1),"")</f>
        <v/>
      </c>
    </row>
    <row r="1015" customFormat="false" ht="15" hidden="false" customHeight="false" outlineLevel="0" collapsed="false">
      <c r="H1015" s="26"/>
      <c r="I1015" s="27" t="str">
        <f aca="false">IF(A1015="","",IF(H1015&lt;&gt;"",UPPER(TRIM(H1015)),IFERROR(CHOOSE(VALUE(E1015)+1,"A","B","C","D"),IF(OR(LEFT(UPPER(TRIM(E1015)),1)="F",UPPER(TRIM(E1015))="A"),"A",IF(OR(LEFT(UPPER(TRIM(E1015)),1)="M",UPPER(TRIM(E1015))="B"),"B",IF(OR(LEFT(UPPER(TRIM(E1015)),2)="SL",UPPER(TRIM(E1015))="C"),"C",IF(OR(LEFT(UPPER(TRIM(E1015)),1)="D",UPPER(TRIM(E1015))="D"),"D","")))))))</f>
        <v/>
      </c>
      <c r="J1015" s="27" t="str">
        <f aca="false">IF(I1015="","",IF(AND(I1015="D",Settings!$B$6&lt;&gt;"Yes"),"",IFERROR(INDEX(Settings!$C$9:$C$12,MATCH(I1015,Settings!$A$9:$A$12,0)),"")))</f>
        <v/>
      </c>
      <c r="K1015" s="27" t="str">
        <f aca="false">IF(J1015="","",COUNTIF($I$2:I1015,I1015))</f>
        <v/>
      </c>
      <c r="L1015" s="27" t="str">
        <f aca="false">IF(J1015="","",CHOOSE(Q1015+1,"Tue","Wed","Thu","Fri"))</f>
        <v/>
      </c>
      <c r="M1015" s="27" t="str">
        <f aca="false">IF(J1015="","",IF(J1015=1,"Every week",R1015+1&amp;" of "&amp;J1015))</f>
        <v/>
      </c>
      <c r="N1015" s="28" t="str">
        <f aca="false">IF(J1015="","",Settings!$B$4+R1015*7+Q1015)</f>
        <v/>
      </c>
      <c r="O1015" s="28" t="str">
        <f aca="true">IF(J1015="","",N1015+MAX(0,ROUNDUP((TODAY()-N1015)/(J1015*7),0))*J1015*7)</f>
        <v/>
      </c>
      <c r="P1015" s="27" t="str">
        <f aca="false">IF(J1015="","",MOD(K1015-1,J1015*4))</f>
        <v/>
      </c>
      <c r="Q1015" s="27" t="str">
        <f aca="false">IF(J1015="","",MOD(P1015,4))</f>
        <v/>
      </c>
      <c r="R1015" s="27" t="str">
        <f aca="false">IF(J1015="","",INT(P1015/4))</f>
        <v/>
      </c>
      <c r="S1015" s="27" t="str">
        <f aca="false">IF(J1015="","",IF(AND('Daily Count Sheet'!$H$3=Q1015,MOD('Daily Count Sheet'!$I$3,J1015)=R1015),1,""))</f>
        <v/>
      </c>
      <c r="T1015" s="27" t="str">
        <f aca="false">IF(S1015=1,COUNTIF($S$2:S1015,1),"")</f>
        <v/>
      </c>
    </row>
    <row r="1016" customFormat="false" ht="15" hidden="false" customHeight="false" outlineLevel="0" collapsed="false">
      <c r="H1016" s="26"/>
      <c r="I1016" s="27" t="str">
        <f aca="false">IF(A1016="","",IF(H1016&lt;&gt;"",UPPER(TRIM(H1016)),IFERROR(CHOOSE(VALUE(E1016)+1,"A","B","C","D"),IF(OR(LEFT(UPPER(TRIM(E1016)),1)="F",UPPER(TRIM(E1016))="A"),"A",IF(OR(LEFT(UPPER(TRIM(E1016)),1)="M",UPPER(TRIM(E1016))="B"),"B",IF(OR(LEFT(UPPER(TRIM(E1016)),2)="SL",UPPER(TRIM(E1016))="C"),"C",IF(OR(LEFT(UPPER(TRIM(E1016)),1)="D",UPPER(TRIM(E1016))="D"),"D","")))))))</f>
        <v/>
      </c>
      <c r="J1016" s="27" t="str">
        <f aca="false">IF(I1016="","",IF(AND(I1016="D",Settings!$B$6&lt;&gt;"Yes"),"",IFERROR(INDEX(Settings!$C$9:$C$12,MATCH(I1016,Settings!$A$9:$A$12,0)),"")))</f>
        <v/>
      </c>
      <c r="K1016" s="27" t="str">
        <f aca="false">IF(J1016="","",COUNTIF($I$2:I1016,I1016))</f>
        <v/>
      </c>
      <c r="L1016" s="27" t="str">
        <f aca="false">IF(J1016="","",CHOOSE(Q1016+1,"Tue","Wed","Thu","Fri"))</f>
        <v/>
      </c>
      <c r="M1016" s="27" t="str">
        <f aca="false">IF(J1016="","",IF(J1016=1,"Every week",R1016+1&amp;" of "&amp;J1016))</f>
        <v/>
      </c>
      <c r="N1016" s="28" t="str">
        <f aca="false">IF(J1016="","",Settings!$B$4+R1016*7+Q1016)</f>
        <v/>
      </c>
      <c r="O1016" s="28" t="str">
        <f aca="true">IF(J1016="","",N1016+MAX(0,ROUNDUP((TODAY()-N1016)/(J1016*7),0))*J1016*7)</f>
        <v/>
      </c>
      <c r="P1016" s="27" t="str">
        <f aca="false">IF(J1016="","",MOD(K1016-1,J1016*4))</f>
        <v/>
      </c>
      <c r="Q1016" s="27" t="str">
        <f aca="false">IF(J1016="","",MOD(P1016,4))</f>
        <v/>
      </c>
      <c r="R1016" s="27" t="str">
        <f aca="false">IF(J1016="","",INT(P1016/4))</f>
        <v/>
      </c>
      <c r="S1016" s="27" t="str">
        <f aca="false">IF(J1016="","",IF(AND('Daily Count Sheet'!$H$3=Q1016,MOD('Daily Count Sheet'!$I$3,J1016)=R1016),1,""))</f>
        <v/>
      </c>
      <c r="T1016" s="27" t="str">
        <f aca="false">IF(S1016=1,COUNTIF($S$2:S1016,1),"")</f>
        <v/>
      </c>
    </row>
    <row r="1017" customFormat="false" ht="15" hidden="false" customHeight="false" outlineLevel="0" collapsed="false">
      <c r="H1017" s="26"/>
      <c r="I1017" s="27" t="str">
        <f aca="false">IF(A1017="","",IF(H1017&lt;&gt;"",UPPER(TRIM(H1017)),IFERROR(CHOOSE(VALUE(E1017)+1,"A","B","C","D"),IF(OR(LEFT(UPPER(TRIM(E1017)),1)="F",UPPER(TRIM(E1017))="A"),"A",IF(OR(LEFT(UPPER(TRIM(E1017)),1)="M",UPPER(TRIM(E1017))="B"),"B",IF(OR(LEFT(UPPER(TRIM(E1017)),2)="SL",UPPER(TRIM(E1017))="C"),"C",IF(OR(LEFT(UPPER(TRIM(E1017)),1)="D",UPPER(TRIM(E1017))="D"),"D","")))))))</f>
        <v/>
      </c>
      <c r="J1017" s="27" t="str">
        <f aca="false">IF(I1017="","",IF(AND(I1017="D",Settings!$B$6&lt;&gt;"Yes"),"",IFERROR(INDEX(Settings!$C$9:$C$12,MATCH(I1017,Settings!$A$9:$A$12,0)),"")))</f>
        <v/>
      </c>
      <c r="K1017" s="27" t="str">
        <f aca="false">IF(J1017="","",COUNTIF($I$2:I1017,I1017))</f>
        <v/>
      </c>
      <c r="L1017" s="27" t="str">
        <f aca="false">IF(J1017="","",CHOOSE(Q1017+1,"Tue","Wed","Thu","Fri"))</f>
        <v/>
      </c>
      <c r="M1017" s="27" t="str">
        <f aca="false">IF(J1017="","",IF(J1017=1,"Every week",R1017+1&amp;" of "&amp;J1017))</f>
        <v/>
      </c>
      <c r="N1017" s="28" t="str">
        <f aca="false">IF(J1017="","",Settings!$B$4+R1017*7+Q1017)</f>
        <v/>
      </c>
      <c r="O1017" s="28" t="str">
        <f aca="true">IF(J1017="","",N1017+MAX(0,ROUNDUP((TODAY()-N1017)/(J1017*7),0))*J1017*7)</f>
        <v/>
      </c>
      <c r="P1017" s="27" t="str">
        <f aca="false">IF(J1017="","",MOD(K1017-1,J1017*4))</f>
        <v/>
      </c>
      <c r="Q1017" s="27" t="str">
        <f aca="false">IF(J1017="","",MOD(P1017,4))</f>
        <v/>
      </c>
      <c r="R1017" s="27" t="str">
        <f aca="false">IF(J1017="","",INT(P1017/4))</f>
        <v/>
      </c>
      <c r="S1017" s="27" t="str">
        <f aca="false">IF(J1017="","",IF(AND('Daily Count Sheet'!$H$3=Q1017,MOD('Daily Count Sheet'!$I$3,J1017)=R1017),1,""))</f>
        <v/>
      </c>
      <c r="T1017" s="27" t="str">
        <f aca="false">IF(S1017=1,COUNTIF($S$2:S1017,1),"")</f>
        <v/>
      </c>
    </row>
    <row r="1018" customFormat="false" ht="15" hidden="false" customHeight="false" outlineLevel="0" collapsed="false">
      <c r="H1018" s="26"/>
      <c r="I1018" s="27" t="str">
        <f aca="false">IF(A1018="","",IF(H1018&lt;&gt;"",UPPER(TRIM(H1018)),IFERROR(CHOOSE(VALUE(E1018)+1,"A","B","C","D"),IF(OR(LEFT(UPPER(TRIM(E1018)),1)="F",UPPER(TRIM(E1018))="A"),"A",IF(OR(LEFT(UPPER(TRIM(E1018)),1)="M",UPPER(TRIM(E1018))="B"),"B",IF(OR(LEFT(UPPER(TRIM(E1018)),2)="SL",UPPER(TRIM(E1018))="C"),"C",IF(OR(LEFT(UPPER(TRIM(E1018)),1)="D",UPPER(TRIM(E1018))="D"),"D","")))))))</f>
        <v/>
      </c>
      <c r="J1018" s="27" t="str">
        <f aca="false">IF(I1018="","",IF(AND(I1018="D",Settings!$B$6&lt;&gt;"Yes"),"",IFERROR(INDEX(Settings!$C$9:$C$12,MATCH(I1018,Settings!$A$9:$A$12,0)),"")))</f>
        <v/>
      </c>
      <c r="K1018" s="27" t="str">
        <f aca="false">IF(J1018="","",COUNTIF($I$2:I1018,I1018))</f>
        <v/>
      </c>
      <c r="L1018" s="27" t="str">
        <f aca="false">IF(J1018="","",CHOOSE(Q1018+1,"Tue","Wed","Thu","Fri"))</f>
        <v/>
      </c>
      <c r="M1018" s="27" t="str">
        <f aca="false">IF(J1018="","",IF(J1018=1,"Every week",R1018+1&amp;" of "&amp;J1018))</f>
        <v/>
      </c>
      <c r="N1018" s="28" t="str">
        <f aca="false">IF(J1018="","",Settings!$B$4+R1018*7+Q1018)</f>
        <v/>
      </c>
      <c r="O1018" s="28" t="str">
        <f aca="true">IF(J1018="","",N1018+MAX(0,ROUNDUP((TODAY()-N1018)/(J1018*7),0))*J1018*7)</f>
        <v/>
      </c>
      <c r="P1018" s="27" t="str">
        <f aca="false">IF(J1018="","",MOD(K1018-1,J1018*4))</f>
        <v/>
      </c>
      <c r="Q1018" s="27" t="str">
        <f aca="false">IF(J1018="","",MOD(P1018,4))</f>
        <v/>
      </c>
      <c r="R1018" s="27" t="str">
        <f aca="false">IF(J1018="","",INT(P1018/4))</f>
        <v/>
      </c>
      <c r="S1018" s="27" t="str">
        <f aca="false">IF(J1018="","",IF(AND('Daily Count Sheet'!$H$3=Q1018,MOD('Daily Count Sheet'!$I$3,J1018)=R1018),1,""))</f>
        <v/>
      </c>
      <c r="T1018" s="27" t="str">
        <f aca="false">IF(S1018=1,COUNTIF($S$2:S1018,1),"")</f>
        <v/>
      </c>
    </row>
    <row r="1019" customFormat="false" ht="15" hidden="false" customHeight="false" outlineLevel="0" collapsed="false">
      <c r="H1019" s="26"/>
      <c r="I1019" s="27" t="str">
        <f aca="false">IF(A1019="","",IF(H1019&lt;&gt;"",UPPER(TRIM(H1019)),IFERROR(CHOOSE(VALUE(E1019)+1,"A","B","C","D"),IF(OR(LEFT(UPPER(TRIM(E1019)),1)="F",UPPER(TRIM(E1019))="A"),"A",IF(OR(LEFT(UPPER(TRIM(E1019)),1)="M",UPPER(TRIM(E1019))="B"),"B",IF(OR(LEFT(UPPER(TRIM(E1019)),2)="SL",UPPER(TRIM(E1019))="C"),"C",IF(OR(LEFT(UPPER(TRIM(E1019)),1)="D",UPPER(TRIM(E1019))="D"),"D","")))))))</f>
        <v/>
      </c>
      <c r="J1019" s="27" t="str">
        <f aca="false">IF(I1019="","",IF(AND(I1019="D",Settings!$B$6&lt;&gt;"Yes"),"",IFERROR(INDEX(Settings!$C$9:$C$12,MATCH(I1019,Settings!$A$9:$A$12,0)),"")))</f>
        <v/>
      </c>
      <c r="K1019" s="27" t="str">
        <f aca="false">IF(J1019="","",COUNTIF($I$2:I1019,I1019))</f>
        <v/>
      </c>
      <c r="L1019" s="27" t="str">
        <f aca="false">IF(J1019="","",CHOOSE(Q1019+1,"Tue","Wed","Thu","Fri"))</f>
        <v/>
      </c>
      <c r="M1019" s="27" t="str">
        <f aca="false">IF(J1019="","",IF(J1019=1,"Every week",R1019+1&amp;" of "&amp;J1019))</f>
        <v/>
      </c>
      <c r="N1019" s="28" t="str">
        <f aca="false">IF(J1019="","",Settings!$B$4+R1019*7+Q1019)</f>
        <v/>
      </c>
      <c r="O1019" s="28" t="str">
        <f aca="true">IF(J1019="","",N1019+MAX(0,ROUNDUP((TODAY()-N1019)/(J1019*7),0))*J1019*7)</f>
        <v/>
      </c>
      <c r="P1019" s="27" t="str">
        <f aca="false">IF(J1019="","",MOD(K1019-1,J1019*4))</f>
        <v/>
      </c>
      <c r="Q1019" s="27" t="str">
        <f aca="false">IF(J1019="","",MOD(P1019,4))</f>
        <v/>
      </c>
      <c r="R1019" s="27" t="str">
        <f aca="false">IF(J1019="","",INT(P1019/4))</f>
        <v/>
      </c>
      <c r="S1019" s="27" t="str">
        <f aca="false">IF(J1019="","",IF(AND('Daily Count Sheet'!$H$3=Q1019,MOD('Daily Count Sheet'!$I$3,J1019)=R1019),1,""))</f>
        <v/>
      </c>
      <c r="T1019" s="27" t="str">
        <f aca="false">IF(S1019=1,COUNTIF($S$2:S1019,1),"")</f>
        <v/>
      </c>
    </row>
    <row r="1020" customFormat="false" ht="15" hidden="false" customHeight="false" outlineLevel="0" collapsed="false">
      <c r="H1020" s="26"/>
      <c r="I1020" s="27" t="str">
        <f aca="false">IF(A1020="","",IF(H1020&lt;&gt;"",UPPER(TRIM(H1020)),IFERROR(CHOOSE(VALUE(E1020)+1,"A","B","C","D"),IF(OR(LEFT(UPPER(TRIM(E1020)),1)="F",UPPER(TRIM(E1020))="A"),"A",IF(OR(LEFT(UPPER(TRIM(E1020)),1)="M",UPPER(TRIM(E1020))="B"),"B",IF(OR(LEFT(UPPER(TRIM(E1020)),2)="SL",UPPER(TRIM(E1020))="C"),"C",IF(OR(LEFT(UPPER(TRIM(E1020)),1)="D",UPPER(TRIM(E1020))="D"),"D","")))))))</f>
        <v/>
      </c>
      <c r="J1020" s="27" t="str">
        <f aca="false">IF(I1020="","",IF(AND(I1020="D",Settings!$B$6&lt;&gt;"Yes"),"",IFERROR(INDEX(Settings!$C$9:$C$12,MATCH(I1020,Settings!$A$9:$A$12,0)),"")))</f>
        <v/>
      </c>
      <c r="K1020" s="27" t="str">
        <f aca="false">IF(J1020="","",COUNTIF($I$2:I1020,I1020))</f>
        <v/>
      </c>
      <c r="L1020" s="27" t="str">
        <f aca="false">IF(J1020="","",CHOOSE(Q1020+1,"Tue","Wed","Thu","Fri"))</f>
        <v/>
      </c>
      <c r="M1020" s="27" t="str">
        <f aca="false">IF(J1020="","",IF(J1020=1,"Every week",R1020+1&amp;" of "&amp;J1020))</f>
        <v/>
      </c>
      <c r="N1020" s="28" t="str">
        <f aca="false">IF(J1020="","",Settings!$B$4+R1020*7+Q1020)</f>
        <v/>
      </c>
      <c r="O1020" s="28" t="str">
        <f aca="true">IF(J1020="","",N1020+MAX(0,ROUNDUP((TODAY()-N1020)/(J1020*7),0))*J1020*7)</f>
        <v/>
      </c>
      <c r="P1020" s="27" t="str">
        <f aca="false">IF(J1020="","",MOD(K1020-1,J1020*4))</f>
        <v/>
      </c>
      <c r="Q1020" s="27" t="str">
        <f aca="false">IF(J1020="","",MOD(P1020,4))</f>
        <v/>
      </c>
      <c r="R1020" s="27" t="str">
        <f aca="false">IF(J1020="","",INT(P1020/4))</f>
        <v/>
      </c>
      <c r="S1020" s="27" t="str">
        <f aca="false">IF(J1020="","",IF(AND('Daily Count Sheet'!$H$3=Q1020,MOD('Daily Count Sheet'!$I$3,J1020)=R1020),1,""))</f>
        <v/>
      </c>
      <c r="T1020" s="27" t="str">
        <f aca="false">IF(S1020=1,COUNTIF($S$2:S1020,1),"")</f>
        <v/>
      </c>
    </row>
    <row r="1021" customFormat="false" ht="15" hidden="false" customHeight="false" outlineLevel="0" collapsed="false">
      <c r="H1021" s="26"/>
      <c r="I1021" s="27" t="str">
        <f aca="false">IF(A1021="","",IF(H1021&lt;&gt;"",UPPER(TRIM(H1021)),IFERROR(CHOOSE(VALUE(E1021)+1,"A","B","C","D"),IF(OR(LEFT(UPPER(TRIM(E1021)),1)="F",UPPER(TRIM(E1021))="A"),"A",IF(OR(LEFT(UPPER(TRIM(E1021)),1)="M",UPPER(TRIM(E1021))="B"),"B",IF(OR(LEFT(UPPER(TRIM(E1021)),2)="SL",UPPER(TRIM(E1021))="C"),"C",IF(OR(LEFT(UPPER(TRIM(E1021)),1)="D",UPPER(TRIM(E1021))="D"),"D","")))))))</f>
        <v/>
      </c>
      <c r="J1021" s="27" t="str">
        <f aca="false">IF(I1021="","",IF(AND(I1021="D",Settings!$B$6&lt;&gt;"Yes"),"",IFERROR(INDEX(Settings!$C$9:$C$12,MATCH(I1021,Settings!$A$9:$A$12,0)),"")))</f>
        <v/>
      </c>
      <c r="K1021" s="27" t="str">
        <f aca="false">IF(J1021="","",COUNTIF($I$2:I1021,I1021))</f>
        <v/>
      </c>
      <c r="L1021" s="27" t="str">
        <f aca="false">IF(J1021="","",CHOOSE(Q1021+1,"Tue","Wed","Thu","Fri"))</f>
        <v/>
      </c>
      <c r="M1021" s="27" t="str">
        <f aca="false">IF(J1021="","",IF(J1021=1,"Every week",R1021+1&amp;" of "&amp;J1021))</f>
        <v/>
      </c>
      <c r="N1021" s="28" t="str">
        <f aca="false">IF(J1021="","",Settings!$B$4+R1021*7+Q1021)</f>
        <v/>
      </c>
      <c r="O1021" s="28" t="str">
        <f aca="true">IF(J1021="","",N1021+MAX(0,ROUNDUP((TODAY()-N1021)/(J1021*7),0))*J1021*7)</f>
        <v/>
      </c>
      <c r="P1021" s="27" t="str">
        <f aca="false">IF(J1021="","",MOD(K1021-1,J1021*4))</f>
        <v/>
      </c>
      <c r="Q1021" s="27" t="str">
        <f aca="false">IF(J1021="","",MOD(P1021,4))</f>
        <v/>
      </c>
      <c r="R1021" s="27" t="str">
        <f aca="false">IF(J1021="","",INT(P1021/4))</f>
        <v/>
      </c>
      <c r="S1021" s="27" t="str">
        <f aca="false">IF(J1021="","",IF(AND('Daily Count Sheet'!$H$3=Q1021,MOD('Daily Count Sheet'!$I$3,J1021)=R1021),1,""))</f>
        <v/>
      </c>
      <c r="T1021" s="27" t="str">
        <f aca="false">IF(S1021=1,COUNTIF($S$2:S1021,1),"")</f>
        <v/>
      </c>
    </row>
    <row r="1022" customFormat="false" ht="15" hidden="false" customHeight="false" outlineLevel="0" collapsed="false">
      <c r="H1022" s="26"/>
      <c r="I1022" s="27" t="str">
        <f aca="false">IF(A1022="","",IF(H1022&lt;&gt;"",UPPER(TRIM(H1022)),IFERROR(CHOOSE(VALUE(E1022)+1,"A","B","C","D"),IF(OR(LEFT(UPPER(TRIM(E1022)),1)="F",UPPER(TRIM(E1022))="A"),"A",IF(OR(LEFT(UPPER(TRIM(E1022)),1)="M",UPPER(TRIM(E1022))="B"),"B",IF(OR(LEFT(UPPER(TRIM(E1022)),2)="SL",UPPER(TRIM(E1022))="C"),"C",IF(OR(LEFT(UPPER(TRIM(E1022)),1)="D",UPPER(TRIM(E1022))="D"),"D","")))))))</f>
        <v/>
      </c>
      <c r="J1022" s="27" t="str">
        <f aca="false">IF(I1022="","",IF(AND(I1022="D",Settings!$B$6&lt;&gt;"Yes"),"",IFERROR(INDEX(Settings!$C$9:$C$12,MATCH(I1022,Settings!$A$9:$A$12,0)),"")))</f>
        <v/>
      </c>
      <c r="K1022" s="27" t="str">
        <f aca="false">IF(J1022="","",COUNTIF($I$2:I1022,I1022))</f>
        <v/>
      </c>
      <c r="L1022" s="27" t="str">
        <f aca="false">IF(J1022="","",CHOOSE(Q1022+1,"Tue","Wed","Thu","Fri"))</f>
        <v/>
      </c>
      <c r="M1022" s="27" t="str">
        <f aca="false">IF(J1022="","",IF(J1022=1,"Every week",R1022+1&amp;" of "&amp;J1022))</f>
        <v/>
      </c>
      <c r="N1022" s="28" t="str">
        <f aca="false">IF(J1022="","",Settings!$B$4+R1022*7+Q1022)</f>
        <v/>
      </c>
      <c r="O1022" s="28" t="str">
        <f aca="true">IF(J1022="","",N1022+MAX(0,ROUNDUP((TODAY()-N1022)/(J1022*7),0))*J1022*7)</f>
        <v/>
      </c>
      <c r="P1022" s="27" t="str">
        <f aca="false">IF(J1022="","",MOD(K1022-1,J1022*4))</f>
        <v/>
      </c>
      <c r="Q1022" s="27" t="str">
        <f aca="false">IF(J1022="","",MOD(P1022,4))</f>
        <v/>
      </c>
      <c r="R1022" s="27" t="str">
        <f aca="false">IF(J1022="","",INT(P1022/4))</f>
        <v/>
      </c>
      <c r="S1022" s="27" t="str">
        <f aca="false">IF(J1022="","",IF(AND('Daily Count Sheet'!$H$3=Q1022,MOD('Daily Count Sheet'!$I$3,J1022)=R1022),1,""))</f>
        <v/>
      </c>
      <c r="T1022" s="27" t="str">
        <f aca="false">IF(S1022=1,COUNTIF($S$2:S1022,1),"")</f>
        <v/>
      </c>
    </row>
    <row r="1023" customFormat="false" ht="15" hidden="false" customHeight="false" outlineLevel="0" collapsed="false">
      <c r="H1023" s="26"/>
      <c r="I1023" s="27" t="str">
        <f aca="false">IF(A1023="","",IF(H1023&lt;&gt;"",UPPER(TRIM(H1023)),IFERROR(CHOOSE(VALUE(E1023)+1,"A","B","C","D"),IF(OR(LEFT(UPPER(TRIM(E1023)),1)="F",UPPER(TRIM(E1023))="A"),"A",IF(OR(LEFT(UPPER(TRIM(E1023)),1)="M",UPPER(TRIM(E1023))="B"),"B",IF(OR(LEFT(UPPER(TRIM(E1023)),2)="SL",UPPER(TRIM(E1023))="C"),"C",IF(OR(LEFT(UPPER(TRIM(E1023)),1)="D",UPPER(TRIM(E1023))="D"),"D","")))))))</f>
        <v/>
      </c>
      <c r="J1023" s="27" t="str">
        <f aca="false">IF(I1023="","",IF(AND(I1023="D",Settings!$B$6&lt;&gt;"Yes"),"",IFERROR(INDEX(Settings!$C$9:$C$12,MATCH(I1023,Settings!$A$9:$A$12,0)),"")))</f>
        <v/>
      </c>
      <c r="K1023" s="27" t="str">
        <f aca="false">IF(J1023="","",COUNTIF($I$2:I1023,I1023))</f>
        <v/>
      </c>
      <c r="L1023" s="27" t="str">
        <f aca="false">IF(J1023="","",CHOOSE(Q1023+1,"Tue","Wed","Thu","Fri"))</f>
        <v/>
      </c>
      <c r="M1023" s="27" t="str">
        <f aca="false">IF(J1023="","",IF(J1023=1,"Every week",R1023+1&amp;" of "&amp;J1023))</f>
        <v/>
      </c>
      <c r="N1023" s="28" t="str">
        <f aca="false">IF(J1023="","",Settings!$B$4+R1023*7+Q1023)</f>
        <v/>
      </c>
      <c r="O1023" s="28" t="str">
        <f aca="true">IF(J1023="","",N1023+MAX(0,ROUNDUP((TODAY()-N1023)/(J1023*7),0))*J1023*7)</f>
        <v/>
      </c>
      <c r="P1023" s="27" t="str">
        <f aca="false">IF(J1023="","",MOD(K1023-1,J1023*4))</f>
        <v/>
      </c>
      <c r="Q1023" s="27" t="str">
        <f aca="false">IF(J1023="","",MOD(P1023,4))</f>
        <v/>
      </c>
      <c r="R1023" s="27" t="str">
        <f aca="false">IF(J1023="","",INT(P1023/4))</f>
        <v/>
      </c>
      <c r="S1023" s="27" t="str">
        <f aca="false">IF(J1023="","",IF(AND('Daily Count Sheet'!$H$3=Q1023,MOD('Daily Count Sheet'!$I$3,J1023)=R1023),1,""))</f>
        <v/>
      </c>
      <c r="T1023" s="27" t="str">
        <f aca="false">IF(S1023=1,COUNTIF($S$2:S1023,1),"")</f>
        <v/>
      </c>
    </row>
    <row r="1024" customFormat="false" ht="15" hidden="false" customHeight="false" outlineLevel="0" collapsed="false">
      <c r="H1024" s="26"/>
      <c r="I1024" s="27" t="str">
        <f aca="false">IF(A1024="","",IF(H1024&lt;&gt;"",UPPER(TRIM(H1024)),IFERROR(CHOOSE(VALUE(E1024)+1,"A","B","C","D"),IF(OR(LEFT(UPPER(TRIM(E1024)),1)="F",UPPER(TRIM(E1024))="A"),"A",IF(OR(LEFT(UPPER(TRIM(E1024)),1)="M",UPPER(TRIM(E1024))="B"),"B",IF(OR(LEFT(UPPER(TRIM(E1024)),2)="SL",UPPER(TRIM(E1024))="C"),"C",IF(OR(LEFT(UPPER(TRIM(E1024)),1)="D",UPPER(TRIM(E1024))="D"),"D","")))))))</f>
        <v/>
      </c>
      <c r="J1024" s="27" t="str">
        <f aca="false">IF(I1024="","",IF(AND(I1024="D",Settings!$B$6&lt;&gt;"Yes"),"",IFERROR(INDEX(Settings!$C$9:$C$12,MATCH(I1024,Settings!$A$9:$A$12,0)),"")))</f>
        <v/>
      </c>
      <c r="K1024" s="27" t="str">
        <f aca="false">IF(J1024="","",COUNTIF($I$2:I1024,I1024))</f>
        <v/>
      </c>
      <c r="L1024" s="27" t="str">
        <f aca="false">IF(J1024="","",CHOOSE(Q1024+1,"Tue","Wed","Thu","Fri"))</f>
        <v/>
      </c>
      <c r="M1024" s="27" t="str">
        <f aca="false">IF(J1024="","",IF(J1024=1,"Every week",R1024+1&amp;" of "&amp;J1024))</f>
        <v/>
      </c>
      <c r="N1024" s="28" t="str">
        <f aca="false">IF(J1024="","",Settings!$B$4+R1024*7+Q1024)</f>
        <v/>
      </c>
      <c r="O1024" s="28" t="str">
        <f aca="true">IF(J1024="","",N1024+MAX(0,ROUNDUP((TODAY()-N1024)/(J1024*7),0))*J1024*7)</f>
        <v/>
      </c>
      <c r="P1024" s="27" t="str">
        <f aca="false">IF(J1024="","",MOD(K1024-1,J1024*4))</f>
        <v/>
      </c>
      <c r="Q1024" s="27" t="str">
        <f aca="false">IF(J1024="","",MOD(P1024,4))</f>
        <v/>
      </c>
      <c r="R1024" s="27" t="str">
        <f aca="false">IF(J1024="","",INT(P1024/4))</f>
        <v/>
      </c>
      <c r="S1024" s="27" t="str">
        <f aca="false">IF(J1024="","",IF(AND('Daily Count Sheet'!$H$3=Q1024,MOD('Daily Count Sheet'!$I$3,J1024)=R1024),1,""))</f>
        <v/>
      </c>
      <c r="T1024" s="27" t="str">
        <f aca="false">IF(S1024=1,COUNTIF($S$2:S1024,1),"")</f>
        <v/>
      </c>
    </row>
    <row r="1025" customFormat="false" ht="15" hidden="false" customHeight="false" outlineLevel="0" collapsed="false">
      <c r="H1025" s="26"/>
      <c r="I1025" s="27" t="str">
        <f aca="false">IF(A1025="","",IF(H1025&lt;&gt;"",UPPER(TRIM(H1025)),IFERROR(CHOOSE(VALUE(E1025)+1,"A","B","C","D"),IF(OR(LEFT(UPPER(TRIM(E1025)),1)="F",UPPER(TRIM(E1025))="A"),"A",IF(OR(LEFT(UPPER(TRIM(E1025)),1)="M",UPPER(TRIM(E1025))="B"),"B",IF(OR(LEFT(UPPER(TRIM(E1025)),2)="SL",UPPER(TRIM(E1025))="C"),"C",IF(OR(LEFT(UPPER(TRIM(E1025)),1)="D",UPPER(TRIM(E1025))="D"),"D","")))))))</f>
        <v/>
      </c>
      <c r="J1025" s="27" t="str">
        <f aca="false">IF(I1025="","",IF(AND(I1025="D",Settings!$B$6&lt;&gt;"Yes"),"",IFERROR(INDEX(Settings!$C$9:$C$12,MATCH(I1025,Settings!$A$9:$A$12,0)),"")))</f>
        <v/>
      </c>
      <c r="K1025" s="27" t="str">
        <f aca="false">IF(J1025="","",COUNTIF($I$2:I1025,I1025))</f>
        <v/>
      </c>
      <c r="L1025" s="27" t="str">
        <f aca="false">IF(J1025="","",CHOOSE(Q1025+1,"Tue","Wed","Thu","Fri"))</f>
        <v/>
      </c>
      <c r="M1025" s="27" t="str">
        <f aca="false">IF(J1025="","",IF(J1025=1,"Every week",R1025+1&amp;" of "&amp;J1025))</f>
        <v/>
      </c>
      <c r="N1025" s="28" t="str">
        <f aca="false">IF(J1025="","",Settings!$B$4+R1025*7+Q1025)</f>
        <v/>
      </c>
      <c r="O1025" s="28" t="str">
        <f aca="true">IF(J1025="","",N1025+MAX(0,ROUNDUP((TODAY()-N1025)/(J1025*7),0))*J1025*7)</f>
        <v/>
      </c>
      <c r="P1025" s="27" t="str">
        <f aca="false">IF(J1025="","",MOD(K1025-1,J1025*4))</f>
        <v/>
      </c>
      <c r="Q1025" s="27" t="str">
        <f aca="false">IF(J1025="","",MOD(P1025,4))</f>
        <v/>
      </c>
      <c r="R1025" s="27" t="str">
        <f aca="false">IF(J1025="","",INT(P1025/4))</f>
        <v/>
      </c>
      <c r="S1025" s="27" t="str">
        <f aca="false">IF(J1025="","",IF(AND('Daily Count Sheet'!$H$3=Q1025,MOD('Daily Count Sheet'!$I$3,J1025)=R1025),1,""))</f>
        <v/>
      </c>
      <c r="T1025" s="27" t="str">
        <f aca="false">IF(S1025=1,COUNTIF($S$2:S1025,1),"")</f>
        <v/>
      </c>
    </row>
    <row r="1026" customFormat="false" ht="15" hidden="false" customHeight="false" outlineLevel="0" collapsed="false">
      <c r="H1026" s="26"/>
      <c r="I1026" s="27" t="str">
        <f aca="false">IF(A1026="","",IF(H1026&lt;&gt;"",UPPER(TRIM(H1026)),IFERROR(CHOOSE(VALUE(E1026)+1,"A","B","C","D"),IF(OR(LEFT(UPPER(TRIM(E1026)),1)="F",UPPER(TRIM(E1026))="A"),"A",IF(OR(LEFT(UPPER(TRIM(E1026)),1)="M",UPPER(TRIM(E1026))="B"),"B",IF(OR(LEFT(UPPER(TRIM(E1026)),2)="SL",UPPER(TRIM(E1026))="C"),"C",IF(OR(LEFT(UPPER(TRIM(E1026)),1)="D",UPPER(TRIM(E1026))="D"),"D","")))))))</f>
        <v/>
      </c>
      <c r="J1026" s="27" t="str">
        <f aca="false">IF(I1026="","",IF(AND(I1026="D",Settings!$B$6&lt;&gt;"Yes"),"",IFERROR(INDEX(Settings!$C$9:$C$12,MATCH(I1026,Settings!$A$9:$A$12,0)),"")))</f>
        <v/>
      </c>
      <c r="K1026" s="27" t="str">
        <f aca="false">IF(J1026="","",COUNTIF($I$2:I1026,I1026))</f>
        <v/>
      </c>
      <c r="L1026" s="27" t="str">
        <f aca="false">IF(J1026="","",CHOOSE(Q1026+1,"Tue","Wed","Thu","Fri"))</f>
        <v/>
      </c>
      <c r="M1026" s="27" t="str">
        <f aca="false">IF(J1026="","",IF(J1026=1,"Every week",R1026+1&amp;" of "&amp;J1026))</f>
        <v/>
      </c>
      <c r="N1026" s="28" t="str">
        <f aca="false">IF(J1026="","",Settings!$B$4+R1026*7+Q1026)</f>
        <v/>
      </c>
      <c r="O1026" s="28" t="str">
        <f aca="true">IF(J1026="","",N1026+MAX(0,ROUNDUP((TODAY()-N1026)/(J1026*7),0))*J1026*7)</f>
        <v/>
      </c>
      <c r="P1026" s="27" t="str">
        <f aca="false">IF(J1026="","",MOD(K1026-1,J1026*4))</f>
        <v/>
      </c>
      <c r="Q1026" s="27" t="str">
        <f aca="false">IF(J1026="","",MOD(P1026,4))</f>
        <v/>
      </c>
      <c r="R1026" s="27" t="str">
        <f aca="false">IF(J1026="","",INT(P1026/4))</f>
        <v/>
      </c>
      <c r="S1026" s="27" t="str">
        <f aca="false">IF(J1026="","",IF(AND('Daily Count Sheet'!$H$3=Q1026,MOD('Daily Count Sheet'!$I$3,J1026)=R1026),1,""))</f>
        <v/>
      </c>
      <c r="T1026" s="27" t="str">
        <f aca="false">IF(S1026=1,COUNTIF($S$2:S1026,1),"")</f>
        <v/>
      </c>
    </row>
    <row r="1027" customFormat="false" ht="15" hidden="false" customHeight="false" outlineLevel="0" collapsed="false">
      <c r="H1027" s="26"/>
      <c r="I1027" s="27" t="str">
        <f aca="false">IF(A1027="","",IF(H1027&lt;&gt;"",UPPER(TRIM(H1027)),IFERROR(CHOOSE(VALUE(E1027)+1,"A","B","C","D"),IF(OR(LEFT(UPPER(TRIM(E1027)),1)="F",UPPER(TRIM(E1027))="A"),"A",IF(OR(LEFT(UPPER(TRIM(E1027)),1)="M",UPPER(TRIM(E1027))="B"),"B",IF(OR(LEFT(UPPER(TRIM(E1027)),2)="SL",UPPER(TRIM(E1027))="C"),"C",IF(OR(LEFT(UPPER(TRIM(E1027)),1)="D",UPPER(TRIM(E1027))="D"),"D","")))))))</f>
        <v/>
      </c>
      <c r="J1027" s="27" t="str">
        <f aca="false">IF(I1027="","",IF(AND(I1027="D",Settings!$B$6&lt;&gt;"Yes"),"",IFERROR(INDEX(Settings!$C$9:$C$12,MATCH(I1027,Settings!$A$9:$A$12,0)),"")))</f>
        <v/>
      </c>
      <c r="K1027" s="27" t="str">
        <f aca="false">IF(J1027="","",COUNTIF($I$2:I1027,I1027))</f>
        <v/>
      </c>
      <c r="L1027" s="27" t="str">
        <f aca="false">IF(J1027="","",CHOOSE(Q1027+1,"Tue","Wed","Thu","Fri"))</f>
        <v/>
      </c>
      <c r="M1027" s="27" t="str">
        <f aca="false">IF(J1027="","",IF(J1027=1,"Every week",R1027+1&amp;" of "&amp;J1027))</f>
        <v/>
      </c>
      <c r="N1027" s="28" t="str">
        <f aca="false">IF(J1027="","",Settings!$B$4+R1027*7+Q1027)</f>
        <v/>
      </c>
      <c r="O1027" s="28" t="str">
        <f aca="true">IF(J1027="","",N1027+MAX(0,ROUNDUP((TODAY()-N1027)/(J1027*7),0))*J1027*7)</f>
        <v/>
      </c>
      <c r="P1027" s="27" t="str">
        <f aca="false">IF(J1027="","",MOD(K1027-1,J1027*4))</f>
        <v/>
      </c>
      <c r="Q1027" s="27" t="str">
        <f aca="false">IF(J1027="","",MOD(P1027,4))</f>
        <v/>
      </c>
      <c r="R1027" s="27" t="str">
        <f aca="false">IF(J1027="","",INT(P1027/4))</f>
        <v/>
      </c>
      <c r="S1027" s="27" t="str">
        <f aca="false">IF(J1027="","",IF(AND('Daily Count Sheet'!$H$3=Q1027,MOD('Daily Count Sheet'!$I$3,J1027)=R1027),1,""))</f>
        <v/>
      </c>
      <c r="T1027" s="27" t="str">
        <f aca="false">IF(S1027=1,COUNTIF($S$2:S1027,1),"")</f>
        <v/>
      </c>
    </row>
    <row r="1028" customFormat="false" ht="15" hidden="false" customHeight="false" outlineLevel="0" collapsed="false">
      <c r="H1028" s="26"/>
      <c r="I1028" s="27" t="str">
        <f aca="false">IF(A1028="","",IF(H1028&lt;&gt;"",UPPER(TRIM(H1028)),IFERROR(CHOOSE(VALUE(E1028)+1,"A","B","C","D"),IF(OR(LEFT(UPPER(TRIM(E1028)),1)="F",UPPER(TRIM(E1028))="A"),"A",IF(OR(LEFT(UPPER(TRIM(E1028)),1)="M",UPPER(TRIM(E1028))="B"),"B",IF(OR(LEFT(UPPER(TRIM(E1028)),2)="SL",UPPER(TRIM(E1028))="C"),"C",IF(OR(LEFT(UPPER(TRIM(E1028)),1)="D",UPPER(TRIM(E1028))="D"),"D","")))))))</f>
        <v/>
      </c>
      <c r="J1028" s="27" t="str">
        <f aca="false">IF(I1028="","",IF(AND(I1028="D",Settings!$B$6&lt;&gt;"Yes"),"",IFERROR(INDEX(Settings!$C$9:$C$12,MATCH(I1028,Settings!$A$9:$A$12,0)),"")))</f>
        <v/>
      </c>
      <c r="K1028" s="27" t="str">
        <f aca="false">IF(J1028="","",COUNTIF($I$2:I1028,I1028))</f>
        <v/>
      </c>
      <c r="L1028" s="27" t="str">
        <f aca="false">IF(J1028="","",CHOOSE(Q1028+1,"Tue","Wed","Thu","Fri"))</f>
        <v/>
      </c>
      <c r="M1028" s="27" t="str">
        <f aca="false">IF(J1028="","",IF(J1028=1,"Every week",R1028+1&amp;" of "&amp;J1028))</f>
        <v/>
      </c>
      <c r="N1028" s="28" t="str">
        <f aca="false">IF(J1028="","",Settings!$B$4+R1028*7+Q1028)</f>
        <v/>
      </c>
      <c r="O1028" s="28" t="str">
        <f aca="true">IF(J1028="","",N1028+MAX(0,ROUNDUP((TODAY()-N1028)/(J1028*7),0))*J1028*7)</f>
        <v/>
      </c>
      <c r="P1028" s="27" t="str">
        <f aca="false">IF(J1028="","",MOD(K1028-1,J1028*4))</f>
        <v/>
      </c>
      <c r="Q1028" s="27" t="str">
        <f aca="false">IF(J1028="","",MOD(P1028,4))</f>
        <v/>
      </c>
      <c r="R1028" s="27" t="str">
        <f aca="false">IF(J1028="","",INT(P1028/4))</f>
        <v/>
      </c>
      <c r="S1028" s="27" t="str">
        <f aca="false">IF(J1028="","",IF(AND('Daily Count Sheet'!$H$3=Q1028,MOD('Daily Count Sheet'!$I$3,J1028)=R1028),1,""))</f>
        <v/>
      </c>
      <c r="T1028" s="27" t="str">
        <f aca="false">IF(S1028=1,COUNTIF($S$2:S1028,1),"")</f>
        <v/>
      </c>
    </row>
    <row r="1029" customFormat="false" ht="15" hidden="false" customHeight="false" outlineLevel="0" collapsed="false">
      <c r="H1029" s="26"/>
      <c r="I1029" s="27" t="str">
        <f aca="false">IF(A1029="","",IF(H1029&lt;&gt;"",UPPER(TRIM(H1029)),IFERROR(CHOOSE(VALUE(E1029)+1,"A","B","C","D"),IF(OR(LEFT(UPPER(TRIM(E1029)),1)="F",UPPER(TRIM(E1029))="A"),"A",IF(OR(LEFT(UPPER(TRIM(E1029)),1)="M",UPPER(TRIM(E1029))="B"),"B",IF(OR(LEFT(UPPER(TRIM(E1029)),2)="SL",UPPER(TRIM(E1029))="C"),"C",IF(OR(LEFT(UPPER(TRIM(E1029)),1)="D",UPPER(TRIM(E1029))="D"),"D","")))))))</f>
        <v/>
      </c>
      <c r="J1029" s="27" t="str">
        <f aca="false">IF(I1029="","",IF(AND(I1029="D",Settings!$B$6&lt;&gt;"Yes"),"",IFERROR(INDEX(Settings!$C$9:$C$12,MATCH(I1029,Settings!$A$9:$A$12,0)),"")))</f>
        <v/>
      </c>
      <c r="K1029" s="27" t="str">
        <f aca="false">IF(J1029="","",COUNTIF($I$2:I1029,I1029))</f>
        <v/>
      </c>
      <c r="L1029" s="27" t="str">
        <f aca="false">IF(J1029="","",CHOOSE(Q1029+1,"Tue","Wed","Thu","Fri"))</f>
        <v/>
      </c>
      <c r="M1029" s="27" t="str">
        <f aca="false">IF(J1029="","",IF(J1029=1,"Every week",R1029+1&amp;" of "&amp;J1029))</f>
        <v/>
      </c>
      <c r="N1029" s="28" t="str">
        <f aca="false">IF(J1029="","",Settings!$B$4+R1029*7+Q1029)</f>
        <v/>
      </c>
      <c r="O1029" s="28" t="str">
        <f aca="true">IF(J1029="","",N1029+MAX(0,ROUNDUP((TODAY()-N1029)/(J1029*7),0))*J1029*7)</f>
        <v/>
      </c>
      <c r="P1029" s="27" t="str">
        <f aca="false">IF(J1029="","",MOD(K1029-1,J1029*4))</f>
        <v/>
      </c>
      <c r="Q1029" s="27" t="str">
        <f aca="false">IF(J1029="","",MOD(P1029,4))</f>
        <v/>
      </c>
      <c r="R1029" s="27" t="str">
        <f aca="false">IF(J1029="","",INT(P1029/4))</f>
        <v/>
      </c>
      <c r="S1029" s="27" t="str">
        <f aca="false">IF(J1029="","",IF(AND('Daily Count Sheet'!$H$3=Q1029,MOD('Daily Count Sheet'!$I$3,J1029)=R1029),1,""))</f>
        <v/>
      </c>
      <c r="T1029" s="27" t="str">
        <f aca="false">IF(S1029=1,COUNTIF($S$2:S1029,1),"")</f>
        <v/>
      </c>
    </row>
    <row r="1030" customFormat="false" ht="15" hidden="false" customHeight="false" outlineLevel="0" collapsed="false">
      <c r="H1030" s="26"/>
      <c r="I1030" s="27" t="str">
        <f aca="false">IF(A1030="","",IF(H1030&lt;&gt;"",UPPER(TRIM(H1030)),IFERROR(CHOOSE(VALUE(E1030)+1,"A","B","C","D"),IF(OR(LEFT(UPPER(TRIM(E1030)),1)="F",UPPER(TRIM(E1030))="A"),"A",IF(OR(LEFT(UPPER(TRIM(E1030)),1)="M",UPPER(TRIM(E1030))="B"),"B",IF(OR(LEFT(UPPER(TRIM(E1030)),2)="SL",UPPER(TRIM(E1030))="C"),"C",IF(OR(LEFT(UPPER(TRIM(E1030)),1)="D",UPPER(TRIM(E1030))="D"),"D","")))))))</f>
        <v/>
      </c>
      <c r="J1030" s="27" t="str">
        <f aca="false">IF(I1030="","",IF(AND(I1030="D",Settings!$B$6&lt;&gt;"Yes"),"",IFERROR(INDEX(Settings!$C$9:$C$12,MATCH(I1030,Settings!$A$9:$A$12,0)),"")))</f>
        <v/>
      </c>
      <c r="K1030" s="27" t="str">
        <f aca="false">IF(J1030="","",COUNTIF($I$2:I1030,I1030))</f>
        <v/>
      </c>
      <c r="L1030" s="27" t="str">
        <f aca="false">IF(J1030="","",CHOOSE(Q1030+1,"Tue","Wed","Thu","Fri"))</f>
        <v/>
      </c>
      <c r="M1030" s="27" t="str">
        <f aca="false">IF(J1030="","",IF(J1030=1,"Every week",R1030+1&amp;" of "&amp;J1030))</f>
        <v/>
      </c>
      <c r="N1030" s="28" t="str">
        <f aca="false">IF(J1030="","",Settings!$B$4+R1030*7+Q1030)</f>
        <v/>
      </c>
      <c r="O1030" s="28" t="str">
        <f aca="true">IF(J1030="","",N1030+MAX(0,ROUNDUP((TODAY()-N1030)/(J1030*7),0))*J1030*7)</f>
        <v/>
      </c>
      <c r="P1030" s="27" t="str">
        <f aca="false">IF(J1030="","",MOD(K1030-1,J1030*4))</f>
        <v/>
      </c>
      <c r="Q1030" s="27" t="str">
        <f aca="false">IF(J1030="","",MOD(P1030,4))</f>
        <v/>
      </c>
      <c r="R1030" s="27" t="str">
        <f aca="false">IF(J1030="","",INT(P1030/4))</f>
        <v/>
      </c>
      <c r="S1030" s="27" t="str">
        <f aca="false">IF(J1030="","",IF(AND('Daily Count Sheet'!$H$3=Q1030,MOD('Daily Count Sheet'!$I$3,J1030)=R1030),1,""))</f>
        <v/>
      </c>
      <c r="T1030" s="27" t="str">
        <f aca="false">IF(S1030=1,COUNTIF($S$2:S1030,1),"")</f>
        <v/>
      </c>
    </row>
    <row r="1031" customFormat="false" ht="15" hidden="false" customHeight="false" outlineLevel="0" collapsed="false">
      <c r="H1031" s="26"/>
      <c r="I1031" s="27" t="str">
        <f aca="false">IF(A1031="","",IF(H1031&lt;&gt;"",UPPER(TRIM(H1031)),IFERROR(CHOOSE(VALUE(E1031)+1,"A","B","C","D"),IF(OR(LEFT(UPPER(TRIM(E1031)),1)="F",UPPER(TRIM(E1031))="A"),"A",IF(OR(LEFT(UPPER(TRIM(E1031)),1)="M",UPPER(TRIM(E1031))="B"),"B",IF(OR(LEFT(UPPER(TRIM(E1031)),2)="SL",UPPER(TRIM(E1031))="C"),"C",IF(OR(LEFT(UPPER(TRIM(E1031)),1)="D",UPPER(TRIM(E1031))="D"),"D","")))))))</f>
        <v/>
      </c>
      <c r="J1031" s="27" t="str">
        <f aca="false">IF(I1031="","",IF(AND(I1031="D",Settings!$B$6&lt;&gt;"Yes"),"",IFERROR(INDEX(Settings!$C$9:$C$12,MATCH(I1031,Settings!$A$9:$A$12,0)),"")))</f>
        <v/>
      </c>
      <c r="K1031" s="27" t="str">
        <f aca="false">IF(J1031="","",COUNTIF($I$2:I1031,I1031))</f>
        <v/>
      </c>
      <c r="L1031" s="27" t="str">
        <f aca="false">IF(J1031="","",CHOOSE(Q1031+1,"Tue","Wed","Thu","Fri"))</f>
        <v/>
      </c>
      <c r="M1031" s="27" t="str">
        <f aca="false">IF(J1031="","",IF(J1031=1,"Every week",R1031+1&amp;" of "&amp;J1031))</f>
        <v/>
      </c>
      <c r="N1031" s="28" t="str">
        <f aca="false">IF(J1031="","",Settings!$B$4+R1031*7+Q1031)</f>
        <v/>
      </c>
      <c r="O1031" s="28" t="str">
        <f aca="true">IF(J1031="","",N1031+MAX(0,ROUNDUP((TODAY()-N1031)/(J1031*7),0))*J1031*7)</f>
        <v/>
      </c>
      <c r="P1031" s="27" t="str">
        <f aca="false">IF(J1031="","",MOD(K1031-1,J1031*4))</f>
        <v/>
      </c>
      <c r="Q1031" s="27" t="str">
        <f aca="false">IF(J1031="","",MOD(P1031,4))</f>
        <v/>
      </c>
      <c r="R1031" s="27" t="str">
        <f aca="false">IF(J1031="","",INT(P1031/4))</f>
        <v/>
      </c>
      <c r="S1031" s="27" t="str">
        <f aca="false">IF(J1031="","",IF(AND('Daily Count Sheet'!$H$3=Q1031,MOD('Daily Count Sheet'!$I$3,J1031)=R1031),1,""))</f>
        <v/>
      </c>
      <c r="T1031" s="27" t="str">
        <f aca="false">IF(S1031=1,COUNTIF($S$2:S1031,1),"")</f>
        <v/>
      </c>
    </row>
    <row r="1032" customFormat="false" ht="15" hidden="false" customHeight="false" outlineLevel="0" collapsed="false">
      <c r="H1032" s="26"/>
      <c r="I1032" s="27" t="str">
        <f aca="false">IF(A1032="","",IF(H1032&lt;&gt;"",UPPER(TRIM(H1032)),IFERROR(CHOOSE(VALUE(E1032)+1,"A","B","C","D"),IF(OR(LEFT(UPPER(TRIM(E1032)),1)="F",UPPER(TRIM(E1032))="A"),"A",IF(OR(LEFT(UPPER(TRIM(E1032)),1)="M",UPPER(TRIM(E1032))="B"),"B",IF(OR(LEFT(UPPER(TRIM(E1032)),2)="SL",UPPER(TRIM(E1032))="C"),"C",IF(OR(LEFT(UPPER(TRIM(E1032)),1)="D",UPPER(TRIM(E1032))="D"),"D","")))))))</f>
        <v/>
      </c>
      <c r="J1032" s="27" t="str">
        <f aca="false">IF(I1032="","",IF(AND(I1032="D",Settings!$B$6&lt;&gt;"Yes"),"",IFERROR(INDEX(Settings!$C$9:$C$12,MATCH(I1032,Settings!$A$9:$A$12,0)),"")))</f>
        <v/>
      </c>
      <c r="K1032" s="27" t="str">
        <f aca="false">IF(J1032="","",COUNTIF($I$2:I1032,I1032))</f>
        <v/>
      </c>
      <c r="L1032" s="27" t="str">
        <f aca="false">IF(J1032="","",CHOOSE(Q1032+1,"Tue","Wed","Thu","Fri"))</f>
        <v/>
      </c>
      <c r="M1032" s="27" t="str">
        <f aca="false">IF(J1032="","",IF(J1032=1,"Every week",R1032+1&amp;" of "&amp;J1032))</f>
        <v/>
      </c>
      <c r="N1032" s="28" t="str">
        <f aca="false">IF(J1032="","",Settings!$B$4+R1032*7+Q1032)</f>
        <v/>
      </c>
      <c r="O1032" s="28" t="str">
        <f aca="true">IF(J1032="","",N1032+MAX(0,ROUNDUP((TODAY()-N1032)/(J1032*7),0))*J1032*7)</f>
        <v/>
      </c>
      <c r="P1032" s="27" t="str">
        <f aca="false">IF(J1032="","",MOD(K1032-1,J1032*4))</f>
        <v/>
      </c>
      <c r="Q1032" s="27" t="str">
        <f aca="false">IF(J1032="","",MOD(P1032,4))</f>
        <v/>
      </c>
      <c r="R1032" s="27" t="str">
        <f aca="false">IF(J1032="","",INT(P1032/4))</f>
        <v/>
      </c>
      <c r="S1032" s="27" t="str">
        <f aca="false">IF(J1032="","",IF(AND('Daily Count Sheet'!$H$3=Q1032,MOD('Daily Count Sheet'!$I$3,J1032)=R1032),1,""))</f>
        <v/>
      </c>
      <c r="T1032" s="27" t="str">
        <f aca="false">IF(S1032=1,COUNTIF($S$2:S1032,1),"")</f>
        <v/>
      </c>
    </row>
    <row r="1033" customFormat="false" ht="15" hidden="false" customHeight="false" outlineLevel="0" collapsed="false">
      <c r="H1033" s="26"/>
      <c r="I1033" s="27" t="str">
        <f aca="false">IF(A1033="","",IF(H1033&lt;&gt;"",UPPER(TRIM(H1033)),IFERROR(CHOOSE(VALUE(E1033)+1,"A","B","C","D"),IF(OR(LEFT(UPPER(TRIM(E1033)),1)="F",UPPER(TRIM(E1033))="A"),"A",IF(OR(LEFT(UPPER(TRIM(E1033)),1)="M",UPPER(TRIM(E1033))="B"),"B",IF(OR(LEFT(UPPER(TRIM(E1033)),2)="SL",UPPER(TRIM(E1033))="C"),"C",IF(OR(LEFT(UPPER(TRIM(E1033)),1)="D",UPPER(TRIM(E1033))="D"),"D","")))))))</f>
        <v/>
      </c>
      <c r="J1033" s="27" t="str">
        <f aca="false">IF(I1033="","",IF(AND(I1033="D",Settings!$B$6&lt;&gt;"Yes"),"",IFERROR(INDEX(Settings!$C$9:$C$12,MATCH(I1033,Settings!$A$9:$A$12,0)),"")))</f>
        <v/>
      </c>
      <c r="K1033" s="27" t="str">
        <f aca="false">IF(J1033="","",COUNTIF($I$2:I1033,I1033))</f>
        <v/>
      </c>
      <c r="L1033" s="27" t="str">
        <f aca="false">IF(J1033="","",CHOOSE(Q1033+1,"Tue","Wed","Thu","Fri"))</f>
        <v/>
      </c>
      <c r="M1033" s="27" t="str">
        <f aca="false">IF(J1033="","",IF(J1033=1,"Every week",R1033+1&amp;" of "&amp;J1033))</f>
        <v/>
      </c>
      <c r="N1033" s="28" t="str">
        <f aca="false">IF(J1033="","",Settings!$B$4+R1033*7+Q1033)</f>
        <v/>
      </c>
      <c r="O1033" s="28" t="str">
        <f aca="true">IF(J1033="","",N1033+MAX(0,ROUNDUP((TODAY()-N1033)/(J1033*7),0))*J1033*7)</f>
        <v/>
      </c>
      <c r="P1033" s="27" t="str">
        <f aca="false">IF(J1033="","",MOD(K1033-1,J1033*4))</f>
        <v/>
      </c>
      <c r="Q1033" s="27" t="str">
        <f aca="false">IF(J1033="","",MOD(P1033,4))</f>
        <v/>
      </c>
      <c r="R1033" s="27" t="str">
        <f aca="false">IF(J1033="","",INT(P1033/4))</f>
        <v/>
      </c>
      <c r="S1033" s="27" t="str">
        <f aca="false">IF(J1033="","",IF(AND('Daily Count Sheet'!$H$3=Q1033,MOD('Daily Count Sheet'!$I$3,J1033)=R1033),1,""))</f>
        <v/>
      </c>
      <c r="T1033" s="27" t="str">
        <f aca="false">IF(S1033=1,COUNTIF($S$2:S1033,1),"")</f>
        <v/>
      </c>
    </row>
    <row r="1034" customFormat="false" ht="15" hidden="false" customHeight="false" outlineLevel="0" collapsed="false">
      <c r="H1034" s="26"/>
      <c r="I1034" s="27" t="str">
        <f aca="false">IF(A1034="","",IF(H1034&lt;&gt;"",UPPER(TRIM(H1034)),IFERROR(CHOOSE(VALUE(E1034)+1,"A","B","C","D"),IF(OR(LEFT(UPPER(TRIM(E1034)),1)="F",UPPER(TRIM(E1034))="A"),"A",IF(OR(LEFT(UPPER(TRIM(E1034)),1)="M",UPPER(TRIM(E1034))="B"),"B",IF(OR(LEFT(UPPER(TRIM(E1034)),2)="SL",UPPER(TRIM(E1034))="C"),"C",IF(OR(LEFT(UPPER(TRIM(E1034)),1)="D",UPPER(TRIM(E1034))="D"),"D","")))))))</f>
        <v/>
      </c>
      <c r="J1034" s="27" t="str">
        <f aca="false">IF(I1034="","",IF(AND(I1034="D",Settings!$B$6&lt;&gt;"Yes"),"",IFERROR(INDEX(Settings!$C$9:$C$12,MATCH(I1034,Settings!$A$9:$A$12,0)),"")))</f>
        <v/>
      </c>
      <c r="K1034" s="27" t="str">
        <f aca="false">IF(J1034="","",COUNTIF($I$2:I1034,I1034))</f>
        <v/>
      </c>
      <c r="L1034" s="27" t="str">
        <f aca="false">IF(J1034="","",CHOOSE(Q1034+1,"Tue","Wed","Thu","Fri"))</f>
        <v/>
      </c>
      <c r="M1034" s="27" t="str">
        <f aca="false">IF(J1034="","",IF(J1034=1,"Every week",R1034+1&amp;" of "&amp;J1034))</f>
        <v/>
      </c>
      <c r="N1034" s="28" t="str">
        <f aca="false">IF(J1034="","",Settings!$B$4+R1034*7+Q1034)</f>
        <v/>
      </c>
      <c r="O1034" s="28" t="str">
        <f aca="true">IF(J1034="","",N1034+MAX(0,ROUNDUP((TODAY()-N1034)/(J1034*7),0))*J1034*7)</f>
        <v/>
      </c>
      <c r="P1034" s="27" t="str">
        <f aca="false">IF(J1034="","",MOD(K1034-1,J1034*4))</f>
        <v/>
      </c>
      <c r="Q1034" s="27" t="str">
        <f aca="false">IF(J1034="","",MOD(P1034,4))</f>
        <v/>
      </c>
      <c r="R1034" s="27" t="str">
        <f aca="false">IF(J1034="","",INT(P1034/4))</f>
        <v/>
      </c>
      <c r="S1034" s="27" t="str">
        <f aca="false">IF(J1034="","",IF(AND('Daily Count Sheet'!$H$3=Q1034,MOD('Daily Count Sheet'!$I$3,J1034)=R1034),1,""))</f>
        <v/>
      </c>
      <c r="T1034" s="27" t="str">
        <f aca="false">IF(S1034=1,COUNTIF($S$2:S1034,1),"")</f>
        <v/>
      </c>
    </row>
    <row r="1035" customFormat="false" ht="15" hidden="false" customHeight="false" outlineLevel="0" collapsed="false">
      <c r="H1035" s="26"/>
      <c r="I1035" s="27" t="str">
        <f aca="false">IF(A1035="","",IF(H1035&lt;&gt;"",UPPER(TRIM(H1035)),IFERROR(CHOOSE(VALUE(E1035)+1,"A","B","C","D"),IF(OR(LEFT(UPPER(TRIM(E1035)),1)="F",UPPER(TRIM(E1035))="A"),"A",IF(OR(LEFT(UPPER(TRIM(E1035)),1)="M",UPPER(TRIM(E1035))="B"),"B",IF(OR(LEFT(UPPER(TRIM(E1035)),2)="SL",UPPER(TRIM(E1035))="C"),"C",IF(OR(LEFT(UPPER(TRIM(E1035)),1)="D",UPPER(TRIM(E1035))="D"),"D","")))))))</f>
        <v/>
      </c>
      <c r="J1035" s="27" t="str">
        <f aca="false">IF(I1035="","",IF(AND(I1035="D",Settings!$B$6&lt;&gt;"Yes"),"",IFERROR(INDEX(Settings!$C$9:$C$12,MATCH(I1035,Settings!$A$9:$A$12,0)),"")))</f>
        <v/>
      </c>
      <c r="K1035" s="27" t="str">
        <f aca="false">IF(J1035="","",COUNTIF($I$2:I1035,I1035))</f>
        <v/>
      </c>
      <c r="L1035" s="27" t="str">
        <f aca="false">IF(J1035="","",CHOOSE(Q1035+1,"Tue","Wed","Thu","Fri"))</f>
        <v/>
      </c>
      <c r="M1035" s="27" t="str">
        <f aca="false">IF(J1035="","",IF(J1035=1,"Every week",R1035+1&amp;" of "&amp;J1035))</f>
        <v/>
      </c>
      <c r="N1035" s="28" t="str">
        <f aca="false">IF(J1035="","",Settings!$B$4+R1035*7+Q1035)</f>
        <v/>
      </c>
      <c r="O1035" s="28" t="str">
        <f aca="true">IF(J1035="","",N1035+MAX(0,ROUNDUP((TODAY()-N1035)/(J1035*7),0))*J1035*7)</f>
        <v/>
      </c>
      <c r="P1035" s="27" t="str">
        <f aca="false">IF(J1035="","",MOD(K1035-1,J1035*4))</f>
        <v/>
      </c>
      <c r="Q1035" s="27" t="str">
        <f aca="false">IF(J1035="","",MOD(P1035,4))</f>
        <v/>
      </c>
      <c r="R1035" s="27" t="str">
        <f aca="false">IF(J1035="","",INT(P1035/4))</f>
        <v/>
      </c>
      <c r="S1035" s="27" t="str">
        <f aca="false">IF(J1035="","",IF(AND('Daily Count Sheet'!$H$3=Q1035,MOD('Daily Count Sheet'!$I$3,J1035)=R1035),1,""))</f>
        <v/>
      </c>
      <c r="T1035" s="27" t="str">
        <f aca="false">IF(S1035=1,COUNTIF($S$2:S1035,1),"")</f>
        <v/>
      </c>
    </row>
    <row r="1036" customFormat="false" ht="15" hidden="false" customHeight="false" outlineLevel="0" collapsed="false">
      <c r="H1036" s="26"/>
      <c r="I1036" s="27" t="str">
        <f aca="false">IF(A1036="","",IF(H1036&lt;&gt;"",UPPER(TRIM(H1036)),IFERROR(CHOOSE(VALUE(E1036)+1,"A","B","C","D"),IF(OR(LEFT(UPPER(TRIM(E1036)),1)="F",UPPER(TRIM(E1036))="A"),"A",IF(OR(LEFT(UPPER(TRIM(E1036)),1)="M",UPPER(TRIM(E1036))="B"),"B",IF(OR(LEFT(UPPER(TRIM(E1036)),2)="SL",UPPER(TRIM(E1036))="C"),"C",IF(OR(LEFT(UPPER(TRIM(E1036)),1)="D",UPPER(TRIM(E1036))="D"),"D","")))))))</f>
        <v/>
      </c>
      <c r="J1036" s="27" t="str">
        <f aca="false">IF(I1036="","",IF(AND(I1036="D",Settings!$B$6&lt;&gt;"Yes"),"",IFERROR(INDEX(Settings!$C$9:$C$12,MATCH(I1036,Settings!$A$9:$A$12,0)),"")))</f>
        <v/>
      </c>
      <c r="K1036" s="27" t="str">
        <f aca="false">IF(J1036="","",COUNTIF($I$2:I1036,I1036))</f>
        <v/>
      </c>
      <c r="L1036" s="27" t="str">
        <f aca="false">IF(J1036="","",CHOOSE(Q1036+1,"Tue","Wed","Thu","Fri"))</f>
        <v/>
      </c>
      <c r="M1036" s="27" t="str">
        <f aca="false">IF(J1036="","",IF(J1036=1,"Every week",R1036+1&amp;" of "&amp;J1036))</f>
        <v/>
      </c>
      <c r="N1036" s="28" t="str">
        <f aca="false">IF(J1036="","",Settings!$B$4+R1036*7+Q1036)</f>
        <v/>
      </c>
      <c r="O1036" s="28" t="str">
        <f aca="true">IF(J1036="","",N1036+MAX(0,ROUNDUP((TODAY()-N1036)/(J1036*7),0))*J1036*7)</f>
        <v/>
      </c>
      <c r="P1036" s="27" t="str">
        <f aca="false">IF(J1036="","",MOD(K1036-1,J1036*4))</f>
        <v/>
      </c>
      <c r="Q1036" s="27" t="str">
        <f aca="false">IF(J1036="","",MOD(P1036,4))</f>
        <v/>
      </c>
      <c r="R1036" s="27" t="str">
        <f aca="false">IF(J1036="","",INT(P1036/4))</f>
        <v/>
      </c>
      <c r="S1036" s="27" t="str">
        <f aca="false">IF(J1036="","",IF(AND('Daily Count Sheet'!$H$3=Q1036,MOD('Daily Count Sheet'!$I$3,J1036)=R1036),1,""))</f>
        <v/>
      </c>
      <c r="T1036" s="27" t="str">
        <f aca="false">IF(S1036=1,COUNTIF($S$2:S1036,1),"")</f>
        <v/>
      </c>
    </row>
    <row r="1037" customFormat="false" ht="15" hidden="false" customHeight="false" outlineLevel="0" collapsed="false">
      <c r="H1037" s="26"/>
      <c r="I1037" s="27" t="str">
        <f aca="false">IF(A1037="","",IF(H1037&lt;&gt;"",UPPER(TRIM(H1037)),IFERROR(CHOOSE(VALUE(E1037)+1,"A","B","C","D"),IF(OR(LEFT(UPPER(TRIM(E1037)),1)="F",UPPER(TRIM(E1037))="A"),"A",IF(OR(LEFT(UPPER(TRIM(E1037)),1)="M",UPPER(TRIM(E1037))="B"),"B",IF(OR(LEFT(UPPER(TRIM(E1037)),2)="SL",UPPER(TRIM(E1037))="C"),"C",IF(OR(LEFT(UPPER(TRIM(E1037)),1)="D",UPPER(TRIM(E1037))="D"),"D","")))))))</f>
        <v/>
      </c>
      <c r="J1037" s="27" t="str">
        <f aca="false">IF(I1037="","",IF(AND(I1037="D",Settings!$B$6&lt;&gt;"Yes"),"",IFERROR(INDEX(Settings!$C$9:$C$12,MATCH(I1037,Settings!$A$9:$A$12,0)),"")))</f>
        <v/>
      </c>
      <c r="K1037" s="27" t="str">
        <f aca="false">IF(J1037="","",COUNTIF($I$2:I1037,I1037))</f>
        <v/>
      </c>
      <c r="L1037" s="27" t="str">
        <f aca="false">IF(J1037="","",CHOOSE(Q1037+1,"Tue","Wed","Thu","Fri"))</f>
        <v/>
      </c>
      <c r="M1037" s="27" t="str">
        <f aca="false">IF(J1037="","",IF(J1037=1,"Every week",R1037+1&amp;" of "&amp;J1037))</f>
        <v/>
      </c>
      <c r="N1037" s="28" t="str">
        <f aca="false">IF(J1037="","",Settings!$B$4+R1037*7+Q1037)</f>
        <v/>
      </c>
      <c r="O1037" s="28" t="str">
        <f aca="true">IF(J1037="","",N1037+MAX(0,ROUNDUP((TODAY()-N1037)/(J1037*7),0))*J1037*7)</f>
        <v/>
      </c>
      <c r="P1037" s="27" t="str">
        <f aca="false">IF(J1037="","",MOD(K1037-1,J1037*4))</f>
        <v/>
      </c>
      <c r="Q1037" s="27" t="str">
        <f aca="false">IF(J1037="","",MOD(P1037,4))</f>
        <v/>
      </c>
      <c r="R1037" s="27" t="str">
        <f aca="false">IF(J1037="","",INT(P1037/4))</f>
        <v/>
      </c>
      <c r="S1037" s="27" t="str">
        <f aca="false">IF(J1037="","",IF(AND('Daily Count Sheet'!$H$3=Q1037,MOD('Daily Count Sheet'!$I$3,J1037)=R1037),1,""))</f>
        <v/>
      </c>
      <c r="T1037" s="27" t="str">
        <f aca="false">IF(S1037=1,COUNTIF($S$2:S1037,1),"")</f>
        <v/>
      </c>
    </row>
    <row r="1038" customFormat="false" ht="15" hidden="false" customHeight="false" outlineLevel="0" collapsed="false">
      <c r="H1038" s="26"/>
      <c r="I1038" s="27" t="str">
        <f aca="false">IF(A1038="","",IF(H1038&lt;&gt;"",UPPER(TRIM(H1038)),IFERROR(CHOOSE(VALUE(E1038)+1,"A","B","C","D"),IF(OR(LEFT(UPPER(TRIM(E1038)),1)="F",UPPER(TRIM(E1038))="A"),"A",IF(OR(LEFT(UPPER(TRIM(E1038)),1)="M",UPPER(TRIM(E1038))="B"),"B",IF(OR(LEFT(UPPER(TRIM(E1038)),2)="SL",UPPER(TRIM(E1038))="C"),"C",IF(OR(LEFT(UPPER(TRIM(E1038)),1)="D",UPPER(TRIM(E1038))="D"),"D","")))))))</f>
        <v/>
      </c>
      <c r="J1038" s="27" t="str">
        <f aca="false">IF(I1038="","",IF(AND(I1038="D",Settings!$B$6&lt;&gt;"Yes"),"",IFERROR(INDEX(Settings!$C$9:$C$12,MATCH(I1038,Settings!$A$9:$A$12,0)),"")))</f>
        <v/>
      </c>
      <c r="K1038" s="27" t="str">
        <f aca="false">IF(J1038="","",COUNTIF($I$2:I1038,I1038))</f>
        <v/>
      </c>
      <c r="L1038" s="27" t="str">
        <f aca="false">IF(J1038="","",CHOOSE(Q1038+1,"Tue","Wed","Thu","Fri"))</f>
        <v/>
      </c>
      <c r="M1038" s="27" t="str">
        <f aca="false">IF(J1038="","",IF(J1038=1,"Every week",R1038+1&amp;" of "&amp;J1038))</f>
        <v/>
      </c>
      <c r="N1038" s="28" t="str">
        <f aca="false">IF(J1038="","",Settings!$B$4+R1038*7+Q1038)</f>
        <v/>
      </c>
      <c r="O1038" s="28" t="str">
        <f aca="true">IF(J1038="","",N1038+MAX(0,ROUNDUP((TODAY()-N1038)/(J1038*7),0))*J1038*7)</f>
        <v/>
      </c>
      <c r="P1038" s="27" t="str">
        <f aca="false">IF(J1038="","",MOD(K1038-1,J1038*4))</f>
        <v/>
      </c>
      <c r="Q1038" s="27" t="str">
        <f aca="false">IF(J1038="","",MOD(P1038,4))</f>
        <v/>
      </c>
      <c r="R1038" s="27" t="str">
        <f aca="false">IF(J1038="","",INT(P1038/4))</f>
        <v/>
      </c>
      <c r="S1038" s="27" t="str">
        <f aca="false">IF(J1038="","",IF(AND('Daily Count Sheet'!$H$3=Q1038,MOD('Daily Count Sheet'!$I$3,J1038)=R1038),1,""))</f>
        <v/>
      </c>
      <c r="T1038" s="27" t="str">
        <f aca="false">IF(S1038=1,COUNTIF($S$2:S1038,1),"")</f>
        <v/>
      </c>
    </row>
    <row r="1039" customFormat="false" ht="15" hidden="false" customHeight="false" outlineLevel="0" collapsed="false">
      <c r="H1039" s="26"/>
      <c r="I1039" s="27" t="str">
        <f aca="false">IF(A1039="","",IF(H1039&lt;&gt;"",UPPER(TRIM(H1039)),IFERROR(CHOOSE(VALUE(E1039)+1,"A","B","C","D"),IF(OR(LEFT(UPPER(TRIM(E1039)),1)="F",UPPER(TRIM(E1039))="A"),"A",IF(OR(LEFT(UPPER(TRIM(E1039)),1)="M",UPPER(TRIM(E1039))="B"),"B",IF(OR(LEFT(UPPER(TRIM(E1039)),2)="SL",UPPER(TRIM(E1039))="C"),"C",IF(OR(LEFT(UPPER(TRIM(E1039)),1)="D",UPPER(TRIM(E1039))="D"),"D","")))))))</f>
        <v/>
      </c>
      <c r="J1039" s="27" t="str">
        <f aca="false">IF(I1039="","",IF(AND(I1039="D",Settings!$B$6&lt;&gt;"Yes"),"",IFERROR(INDEX(Settings!$C$9:$C$12,MATCH(I1039,Settings!$A$9:$A$12,0)),"")))</f>
        <v/>
      </c>
      <c r="K1039" s="27" t="str">
        <f aca="false">IF(J1039="","",COUNTIF($I$2:I1039,I1039))</f>
        <v/>
      </c>
      <c r="L1039" s="27" t="str">
        <f aca="false">IF(J1039="","",CHOOSE(Q1039+1,"Tue","Wed","Thu","Fri"))</f>
        <v/>
      </c>
      <c r="M1039" s="27" t="str">
        <f aca="false">IF(J1039="","",IF(J1039=1,"Every week",R1039+1&amp;" of "&amp;J1039))</f>
        <v/>
      </c>
      <c r="N1039" s="28" t="str">
        <f aca="false">IF(J1039="","",Settings!$B$4+R1039*7+Q1039)</f>
        <v/>
      </c>
      <c r="O1039" s="28" t="str">
        <f aca="true">IF(J1039="","",N1039+MAX(0,ROUNDUP((TODAY()-N1039)/(J1039*7),0))*J1039*7)</f>
        <v/>
      </c>
      <c r="P1039" s="27" t="str">
        <f aca="false">IF(J1039="","",MOD(K1039-1,J1039*4))</f>
        <v/>
      </c>
      <c r="Q1039" s="27" t="str">
        <f aca="false">IF(J1039="","",MOD(P1039,4))</f>
        <v/>
      </c>
      <c r="R1039" s="27" t="str">
        <f aca="false">IF(J1039="","",INT(P1039/4))</f>
        <v/>
      </c>
      <c r="S1039" s="27" t="str">
        <f aca="false">IF(J1039="","",IF(AND('Daily Count Sheet'!$H$3=Q1039,MOD('Daily Count Sheet'!$I$3,J1039)=R1039),1,""))</f>
        <v/>
      </c>
      <c r="T1039" s="27" t="str">
        <f aca="false">IF(S1039=1,COUNTIF($S$2:S1039,1),"")</f>
        <v/>
      </c>
    </row>
    <row r="1040" customFormat="false" ht="15" hidden="false" customHeight="false" outlineLevel="0" collapsed="false">
      <c r="H1040" s="26"/>
      <c r="I1040" s="27" t="str">
        <f aca="false">IF(A1040="","",IF(H1040&lt;&gt;"",UPPER(TRIM(H1040)),IFERROR(CHOOSE(VALUE(E1040)+1,"A","B","C","D"),IF(OR(LEFT(UPPER(TRIM(E1040)),1)="F",UPPER(TRIM(E1040))="A"),"A",IF(OR(LEFT(UPPER(TRIM(E1040)),1)="M",UPPER(TRIM(E1040))="B"),"B",IF(OR(LEFT(UPPER(TRIM(E1040)),2)="SL",UPPER(TRIM(E1040))="C"),"C",IF(OR(LEFT(UPPER(TRIM(E1040)),1)="D",UPPER(TRIM(E1040))="D"),"D","")))))))</f>
        <v/>
      </c>
      <c r="J1040" s="27" t="str">
        <f aca="false">IF(I1040="","",IF(AND(I1040="D",Settings!$B$6&lt;&gt;"Yes"),"",IFERROR(INDEX(Settings!$C$9:$C$12,MATCH(I1040,Settings!$A$9:$A$12,0)),"")))</f>
        <v/>
      </c>
      <c r="K1040" s="27" t="str">
        <f aca="false">IF(J1040="","",COUNTIF($I$2:I1040,I1040))</f>
        <v/>
      </c>
      <c r="L1040" s="27" t="str">
        <f aca="false">IF(J1040="","",CHOOSE(Q1040+1,"Tue","Wed","Thu","Fri"))</f>
        <v/>
      </c>
      <c r="M1040" s="27" t="str">
        <f aca="false">IF(J1040="","",IF(J1040=1,"Every week",R1040+1&amp;" of "&amp;J1040))</f>
        <v/>
      </c>
      <c r="N1040" s="28" t="str">
        <f aca="false">IF(J1040="","",Settings!$B$4+R1040*7+Q1040)</f>
        <v/>
      </c>
      <c r="O1040" s="28" t="str">
        <f aca="true">IF(J1040="","",N1040+MAX(0,ROUNDUP((TODAY()-N1040)/(J1040*7),0))*J1040*7)</f>
        <v/>
      </c>
      <c r="P1040" s="27" t="str">
        <f aca="false">IF(J1040="","",MOD(K1040-1,J1040*4))</f>
        <v/>
      </c>
      <c r="Q1040" s="27" t="str">
        <f aca="false">IF(J1040="","",MOD(P1040,4))</f>
        <v/>
      </c>
      <c r="R1040" s="27" t="str">
        <f aca="false">IF(J1040="","",INT(P1040/4))</f>
        <v/>
      </c>
      <c r="S1040" s="27" t="str">
        <f aca="false">IF(J1040="","",IF(AND('Daily Count Sheet'!$H$3=Q1040,MOD('Daily Count Sheet'!$I$3,J1040)=R1040),1,""))</f>
        <v/>
      </c>
      <c r="T1040" s="27" t="str">
        <f aca="false">IF(S1040=1,COUNTIF($S$2:S1040,1),"")</f>
        <v/>
      </c>
    </row>
    <row r="1041" customFormat="false" ht="15" hidden="false" customHeight="false" outlineLevel="0" collapsed="false">
      <c r="H1041" s="26"/>
      <c r="I1041" s="27" t="str">
        <f aca="false">IF(A1041="","",IF(H1041&lt;&gt;"",UPPER(TRIM(H1041)),IFERROR(CHOOSE(VALUE(E1041)+1,"A","B","C","D"),IF(OR(LEFT(UPPER(TRIM(E1041)),1)="F",UPPER(TRIM(E1041))="A"),"A",IF(OR(LEFT(UPPER(TRIM(E1041)),1)="M",UPPER(TRIM(E1041))="B"),"B",IF(OR(LEFT(UPPER(TRIM(E1041)),2)="SL",UPPER(TRIM(E1041))="C"),"C",IF(OR(LEFT(UPPER(TRIM(E1041)),1)="D",UPPER(TRIM(E1041))="D"),"D","")))))))</f>
        <v/>
      </c>
      <c r="J1041" s="27" t="str">
        <f aca="false">IF(I1041="","",IF(AND(I1041="D",Settings!$B$6&lt;&gt;"Yes"),"",IFERROR(INDEX(Settings!$C$9:$C$12,MATCH(I1041,Settings!$A$9:$A$12,0)),"")))</f>
        <v/>
      </c>
      <c r="K1041" s="27" t="str">
        <f aca="false">IF(J1041="","",COUNTIF($I$2:I1041,I1041))</f>
        <v/>
      </c>
      <c r="L1041" s="27" t="str">
        <f aca="false">IF(J1041="","",CHOOSE(Q1041+1,"Tue","Wed","Thu","Fri"))</f>
        <v/>
      </c>
      <c r="M1041" s="27" t="str">
        <f aca="false">IF(J1041="","",IF(J1041=1,"Every week",R1041+1&amp;" of "&amp;J1041))</f>
        <v/>
      </c>
      <c r="N1041" s="28" t="str">
        <f aca="false">IF(J1041="","",Settings!$B$4+R1041*7+Q1041)</f>
        <v/>
      </c>
      <c r="O1041" s="28" t="str">
        <f aca="true">IF(J1041="","",N1041+MAX(0,ROUNDUP((TODAY()-N1041)/(J1041*7),0))*J1041*7)</f>
        <v/>
      </c>
      <c r="P1041" s="27" t="str">
        <f aca="false">IF(J1041="","",MOD(K1041-1,J1041*4))</f>
        <v/>
      </c>
      <c r="Q1041" s="27" t="str">
        <f aca="false">IF(J1041="","",MOD(P1041,4))</f>
        <v/>
      </c>
      <c r="R1041" s="27" t="str">
        <f aca="false">IF(J1041="","",INT(P1041/4))</f>
        <v/>
      </c>
      <c r="S1041" s="27" t="str">
        <f aca="false">IF(J1041="","",IF(AND('Daily Count Sheet'!$H$3=Q1041,MOD('Daily Count Sheet'!$I$3,J1041)=R1041),1,""))</f>
        <v/>
      </c>
      <c r="T1041" s="27" t="str">
        <f aca="false">IF(S1041=1,COUNTIF($S$2:S1041,1),"")</f>
        <v/>
      </c>
    </row>
    <row r="1042" customFormat="false" ht="15" hidden="false" customHeight="false" outlineLevel="0" collapsed="false">
      <c r="H1042" s="26"/>
      <c r="I1042" s="27" t="str">
        <f aca="false">IF(A1042="","",IF(H1042&lt;&gt;"",UPPER(TRIM(H1042)),IFERROR(CHOOSE(VALUE(E1042)+1,"A","B","C","D"),IF(OR(LEFT(UPPER(TRIM(E1042)),1)="F",UPPER(TRIM(E1042))="A"),"A",IF(OR(LEFT(UPPER(TRIM(E1042)),1)="M",UPPER(TRIM(E1042))="B"),"B",IF(OR(LEFT(UPPER(TRIM(E1042)),2)="SL",UPPER(TRIM(E1042))="C"),"C",IF(OR(LEFT(UPPER(TRIM(E1042)),1)="D",UPPER(TRIM(E1042))="D"),"D","")))))))</f>
        <v/>
      </c>
      <c r="J1042" s="27" t="str">
        <f aca="false">IF(I1042="","",IF(AND(I1042="D",Settings!$B$6&lt;&gt;"Yes"),"",IFERROR(INDEX(Settings!$C$9:$C$12,MATCH(I1042,Settings!$A$9:$A$12,0)),"")))</f>
        <v/>
      </c>
      <c r="K1042" s="27" t="str">
        <f aca="false">IF(J1042="","",COUNTIF($I$2:I1042,I1042))</f>
        <v/>
      </c>
      <c r="L1042" s="27" t="str">
        <f aca="false">IF(J1042="","",CHOOSE(Q1042+1,"Tue","Wed","Thu","Fri"))</f>
        <v/>
      </c>
      <c r="M1042" s="27" t="str">
        <f aca="false">IF(J1042="","",IF(J1042=1,"Every week",R1042+1&amp;" of "&amp;J1042))</f>
        <v/>
      </c>
      <c r="N1042" s="28" t="str">
        <f aca="false">IF(J1042="","",Settings!$B$4+R1042*7+Q1042)</f>
        <v/>
      </c>
      <c r="O1042" s="28" t="str">
        <f aca="true">IF(J1042="","",N1042+MAX(0,ROUNDUP((TODAY()-N1042)/(J1042*7),0))*J1042*7)</f>
        <v/>
      </c>
      <c r="P1042" s="27" t="str">
        <f aca="false">IF(J1042="","",MOD(K1042-1,J1042*4))</f>
        <v/>
      </c>
      <c r="Q1042" s="27" t="str">
        <f aca="false">IF(J1042="","",MOD(P1042,4))</f>
        <v/>
      </c>
      <c r="R1042" s="27" t="str">
        <f aca="false">IF(J1042="","",INT(P1042/4))</f>
        <v/>
      </c>
      <c r="S1042" s="27" t="str">
        <f aca="false">IF(J1042="","",IF(AND('Daily Count Sheet'!$H$3=Q1042,MOD('Daily Count Sheet'!$I$3,J1042)=R1042),1,""))</f>
        <v/>
      </c>
      <c r="T1042" s="27" t="str">
        <f aca="false">IF(S1042=1,COUNTIF($S$2:S1042,1),"")</f>
        <v/>
      </c>
    </row>
    <row r="1043" customFormat="false" ht="15" hidden="false" customHeight="false" outlineLevel="0" collapsed="false">
      <c r="H1043" s="26"/>
      <c r="I1043" s="27" t="str">
        <f aca="false">IF(A1043="","",IF(H1043&lt;&gt;"",UPPER(TRIM(H1043)),IFERROR(CHOOSE(VALUE(E1043)+1,"A","B","C","D"),IF(OR(LEFT(UPPER(TRIM(E1043)),1)="F",UPPER(TRIM(E1043))="A"),"A",IF(OR(LEFT(UPPER(TRIM(E1043)),1)="M",UPPER(TRIM(E1043))="B"),"B",IF(OR(LEFT(UPPER(TRIM(E1043)),2)="SL",UPPER(TRIM(E1043))="C"),"C",IF(OR(LEFT(UPPER(TRIM(E1043)),1)="D",UPPER(TRIM(E1043))="D"),"D","")))))))</f>
        <v/>
      </c>
      <c r="J1043" s="27" t="str">
        <f aca="false">IF(I1043="","",IF(AND(I1043="D",Settings!$B$6&lt;&gt;"Yes"),"",IFERROR(INDEX(Settings!$C$9:$C$12,MATCH(I1043,Settings!$A$9:$A$12,0)),"")))</f>
        <v/>
      </c>
      <c r="K1043" s="27" t="str">
        <f aca="false">IF(J1043="","",COUNTIF($I$2:I1043,I1043))</f>
        <v/>
      </c>
      <c r="L1043" s="27" t="str">
        <f aca="false">IF(J1043="","",CHOOSE(Q1043+1,"Tue","Wed","Thu","Fri"))</f>
        <v/>
      </c>
      <c r="M1043" s="27" t="str">
        <f aca="false">IF(J1043="","",IF(J1043=1,"Every week",R1043+1&amp;" of "&amp;J1043))</f>
        <v/>
      </c>
      <c r="N1043" s="28" t="str">
        <f aca="false">IF(J1043="","",Settings!$B$4+R1043*7+Q1043)</f>
        <v/>
      </c>
      <c r="O1043" s="28" t="str">
        <f aca="true">IF(J1043="","",N1043+MAX(0,ROUNDUP((TODAY()-N1043)/(J1043*7),0))*J1043*7)</f>
        <v/>
      </c>
      <c r="P1043" s="27" t="str">
        <f aca="false">IF(J1043="","",MOD(K1043-1,J1043*4))</f>
        <v/>
      </c>
      <c r="Q1043" s="27" t="str">
        <f aca="false">IF(J1043="","",MOD(P1043,4))</f>
        <v/>
      </c>
      <c r="R1043" s="27" t="str">
        <f aca="false">IF(J1043="","",INT(P1043/4))</f>
        <v/>
      </c>
      <c r="S1043" s="27" t="str">
        <f aca="false">IF(J1043="","",IF(AND('Daily Count Sheet'!$H$3=Q1043,MOD('Daily Count Sheet'!$I$3,J1043)=R1043),1,""))</f>
        <v/>
      </c>
      <c r="T1043" s="27" t="str">
        <f aca="false">IF(S1043=1,COUNTIF($S$2:S1043,1),"")</f>
        <v/>
      </c>
    </row>
    <row r="1044" customFormat="false" ht="15" hidden="false" customHeight="false" outlineLevel="0" collapsed="false">
      <c r="H1044" s="26"/>
      <c r="I1044" s="27" t="str">
        <f aca="false">IF(A1044="","",IF(H1044&lt;&gt;"",UPPER(TRIM(H1044)),IFERROR(CHOOSE(VALUE(E1044)+1,"A","B","C","D"),IF(OR(LEFT(UPPER(TRIM(E1044)),1)="F",UPPER(TRIM(E1044))="A"),"A",IF(OR(LEFT(UPPER(TRIM(E1044)),1)="M",UPPER(TRIM(E1044))="B"),"B",IF(OR(LEFT(UPPER(TRIM(E1044)),2)="SL",UPPER(TRIM(E1044))="C"),"C",IF(OR(LEFT(UPPER(TRIM(E1044)),1)="D",UPPER(TRIM(E1044))="D"),"D","")))))))</f>
        <v/>
      </c>
      <c r="J1044" s="27" t="str">
        <f aca="false">IF(I1044="","",IF(AND(I1044="D",Settings!$B$6&lt;&gt;"Yes"),"",IFERROR(INDEX(Settings!$C$9:$C$12,MATCH(I1044,Settings!$A$9:$A$12,0)),"")))</f>
        <v/>
      </c>
      <c r="K1044" s="27" t="str">
        <f aca="false">IF(J1044="","",COUNTIF($I$2:I1044,I1044))</f>
        <v/>
      </c>
      <c r="L1044" s="27" t="str">
        <f aca="false">IF(J1044="","",CHOOSE(Q1044+1,"Tue","Wed","Thu","Fri"))</f>
        <v/>
      </c>
      <c r="M1044" s="27" t="str">
        <f aca="false">IF(J1044="","",IF(J1044=1,"Every week",R1044+1&amp;" of "&amp;J1044))</f>
        <v/>
      </c>
      <c r="N1044" s="28" t="str">
        <f aca="false">IF(J1044="","",Settings!$B$4+R1044*7+Q1044)</f>
        <v/>
      </c>
      <c r="O1044" s="28" t="str">
        <f aca="true">IF(J1044="","",N1044+MAX(0,ROUNDUP((TODAY()-N1044)/(J1044*7),0))*J1044*7)</f>
        <v/>
      </c>
      <c r="P1044" s="27" t="str">
        <f aca="false">IF(J1044="","",MOD(K1044-1,J1044*4))</f>
        <v/>
      </c>
      <c r="Q1044" s="27" t="str">
        <f aca="false">IF(J1044="","",MOD(P1044,4))</f>
        <v/>
      </c>
      <c r="R1044" s="27" t="str">
        <f aca="false">IF(J1044="","",INT(P1044/4))</f>
        <v/>
      </c>
      <c r="S1044" s="27" t="str">
        <f aca="false">IF(J1044="","",IF(AND('Daily Count Sheet'!$H$3=Q1044,MOD('Daily Count Sheet'!$I$3,J1044)=R1044),1,""))</f>
        <v/>
      </c>
      <c r="T1044" s="27" t="str">
        <f aca="false">IF(S1044=1,COUNTIF($S$2:S1044,1),"")</f>
        <v/>
      </c>
    </row>
    <row r="1045" customFormat="false" ht="15" hidden="false" customHeight="false" outlineLevel="0" collapsed="false">
      <c r="H1045" s="26"/>
      <c r="I1045" s="27" t="str">
        <f aca="false">IF(A1045="","",IF(H1045&lt;&gt;"",UPPER(TRIM(H1045)),IFERROR(CHOOSE(VALUE(E1045)+1,"A","B","C","D"),IF(OR(LEFT(UPPER(TRIM(E1045)),1)="F",UPPER(TRIM(E1045))="A"),"A",IF(OR(LEFT(UPPER(TRIM(E1045)),1)="M",UPPER(TRIM(E1045))="B"),"B",IF(OR(LEFT(UPPER(TRIM(E1045)),2)="SL",UPPER(TRIM(E1045))="C"),"C",IF(OR(LEFT(UPPER(TRIM(E1045)),1)="D",UPPER(TRIM(E1045))="D"),"D","")))))))</f>
        <v/>
      </c>
      <c r="J1045" s="27" t="str">
        <f aca="false">IF(I1045="","",IF(AND(I1045="D",Settings!$B$6&lt;&gt;"Yes"),"",IFERROR(INDEX(Settings!$C$9:$C$12,MATCH(I1045,Settings!$A$9:$A$12,0)),"")))</f>
        <v/>
      </c>
      <c r="K1045" s="27" t="str">
        <f aca="false">IF(J1045="","",COUNTIF($I$2:I1045,I1045))</f>
        <v/>
      </c>
      <c r="L1045" s="27" t="str">
        <f aca="false">IF(J1045="","",CHOOSE(Q1045+1,"Tue","Wed","Thu","Fri"))</f>
        <v/>
      </c>
      <c r="M1045" s="27" t="str">
        <f aca="false">IF(J1045="","",IF(J1045=1,"Every week",R1045+1&amp;" of "&amp;J1045))</f>
        <v/>
      </c>
      <c r="N1045" s="28" t="str">
        <f aca="false">IF(J1045="","",Settings!$B$4+R1045*7+Q1045)</f>
        <v/>
      </c>
      <c r="O1045" s="28" t="str">
        <f aca="true">IF(J1045="","",N1045+MAX(0,ROUNDUP((TODAY()-N1045)/(J1045*7),0))*J1045*7)</f>
        <v/>
      </c>
      <c r="P1045" s="27" t="str">
        <f aca="false">IF(J1045="","",MOD(K1045-1,J1045*4))</f>
        <v/>
      </c>
      <c r="Q1045" s="27" t="str">
        <f aca="false">IF(J1045="","",MOD(P1045,4))</f>
        <v/>
      </c>
      <c r="R1045" s="27" t="str">
        <f aca="false">IF(J1045="","",INT(P1045/4))</f>
        <v/>
      </c>
      <c r="S1045" s="27" t="str">
        <f aca="false">IF(J1045="","",IF(AND('Daily Count Sheet'!$H$3=Q1045,MOD('Daily Count Sheet'!$I$3,J1045)=R1045),1,""))</f>
        <v/>
      </c>
      <c r="T1045" s="27" t="str">
        <f aca="false">IF(S1045=1,COUNTIF($S$2:S1045,1),"")</f>
        <v/>
      </c>
    </row>
    <row r="1046" customFormat="false" ht="15" hidden="false" customHeight="false" outlineLevel="0" collapsed="false">
      <c r="H1046" s="26"/>
      <c r="I1046" s="27" t="str">
        <f aca="false">IF(A1046="","",IF(H1046&lt;&gt;"",UPPER(TRIM(H1046)),IFERROR(CHOOSE(VALUE(E1046)+1,"A","B","C","D"),IF(OR(LEFT(UPPER(TRIM(E1046)),1)="F",UPPER(TRIM(E1046))="A"),"A",IF(OR(LEFT(UPPER(TRIM(E1046)),1)="M",UPPER(TRIM(E1046))="B"),"B",IF(OR(LEFT(UPPER(TRIM(E1046)),2)="SL",UPPER(TRIM(E1046))="C"),"C",IF(OR(LEFT(UPPER(TRIM(E1046)),1)="D",UPPER(TRIM(E1046))="D"),"D","")))))))</f>
        <v/>
      </c>
      <c r="J1046" s="27" t="str">
        <f aca="false">IF(I1046="","",IF(AND(I1046="D",Settings!$B$6&lt;&gt;"Yes"),"",IFERROR(INDEX(Settings!$C$9:$C$12,MATCH(I1046,Settings!$A$9:$A$12,0)),"")))</f>
        <v/>
      </c>
      <c r="K1046" s="27" t="str">
        <f aca="false">IF(J1046="","",COUNTIF($I$2:I1046,I1046))</f>
        <v/>
      </c>
      <c r="L1046" s="27" t="str">
        <f aca="false">IF(J1046="","",CHOOSE(Q1046+1,"Tue","Wed","Thu","Fri"))</f>
        <v/>
      </c>
      <c r="M1046" s="27" t="str">
        <f aca="false">IF(J1046="","",IF(J1046=1,"Every week",R1046+1&amp;" of "&amp;J1046))</f>
        <v/>
      </c>
      <c r="N1046" s="28" t="str">
        <f aca="false">IF(J1046="","",Settings!$B$4+R1046*7+Q1046)</f>
        <v/>
      </c>
      <c r="O1046" s="28" t="str">
        <f aca="true">IF(J1046="","",N1046+MAX(0,ROUNDUP((TODAY()-N1046)/(J1046*7),0))*J1046*7)</f>
        <v/>
      </c>
      <c r="P1046" s="27" t="str">
        <f aca="false">IF(J1046="","",MOD(K1046-1,J1046*4))</f>
        <v/>
      </c>
      <c r="Q1046" s="27" t="str">
        <f aca="false">IF(J1046="","",MOD(P1046,4))</f>
        <v/>
      </c>
      <c r="R1046" s="27" t="str">
        <f aca="false">IF(J1046="","",INT(P1046/4))</f>
        <v/>
      </c>
      <c r="S1046" s="27" t="str">
        <f aca="false">IF(J1046="","",IF(AND('Daily Count Sheet'!$H$3=Q1046,MOD('Daily Count Sheet'!$I$3,J1046)=R1046),1,""))</f>
        <v/>
      </c>
      <c r="T1046" s="27" t="str">
        <f aca="false">IF(S1046=1,COUNTIF($S$2:S1046,1),"")</f>
        <v/>
      </c>
    </row>
    <row r="1047" customFormat="false" ht="15" hidden="false" customHeight="false" outlineLevel="0" collapsed="false">
      <c r="H1047" s="26"/>
      <c r="I1047" s="27" t="str">
        <f aca="false">IF(A1047="","",IF(H1047&lt;&gt;"",UPPER(TRIM(H1047)),IFERROR(CHOOSE(VALUE(E1047)+1,"A","B","C","D"),IF(OR(LEFT(UPPER(TRIM(E1047)),1)="F",UPPER(TRIM(E1047))="A"),"A",IF(OR(LEFT(UPPER(TRIM(E1047)),1)="M",UPPER(TRIM(E1047))="B"),"B",IF(OR(LEFT(UPPER(TRIM(E1047)),2)="SL",UPPER(TRIM(E1047))="C"),"C",IF(OR(LEFT(UPPER(TRIM(E1047)),1)="D",UPPER(TRIM(E1047))="D"),"D","")))))))</f>
        <v/>
      </c>
      <c r="J1047" s="27" t="str">
        <f aca="false">IF(I1047="","",IF(AND(I1047="D",Settings!$B$6&lt;&gt;"Yes"),"",IFERROR(INDEX(Settings!$C$9:$C$12,MATCH(I1047,Settings!$A$9:$A$12,0)),"")))</f>
        <v/>
      </c>
      <c r="K1047" s="27" t="str">
        <f aca="false">IF(J1047="","",COUNTIF($I$2:I1047,I1047))</f>
        <v/>
      </c>
      <c r="L1047" s="27" t="str">
        <f aca="false">IF(J1047="","",CHOOSE(Q1047+1,"Tue","Wed","Thu","Fri"))</f>
        <v/>
      </c>
      <c r="M1047" s="27" t="str">
        <f aca="false">IF(J1047="","",IF(J1047=1,"Every week",R1047+1&amp;" of "&amp;J1047))</f>
        <v/>
      </c>
      <c r="N1047" s="28" t="str">
        <f aca="false">IF(J1047="","",Settings!$B$4+R1047*7+Q1047)</f>
        <v/>
      </c>
      <c r="O1047" s="28" t="str">
        <f aca="true">IF(J1047="","",N1047+MAX(0,ROUNDUP((TODAY()-N1047)/(J1047*7),0))*J1047*7)</f>
        <v/>
      </c>
      <c r="P1047" s="27" t="str">
        <f aca="false">IF(J1047="","",MOD(K1047-1,J1047*4))</f>
        <v/>
      </c>
      <c r="Q1047" s="27" t="str">
        <f aca="false">IF(J1047="","",MOD(P1047,4))</f>
        <v/>
      </c>
      <c r="R1047" s="27" t="str">
        <f aca="false">IF(J1047="","",INT(P1047/4))</f>
        <v/>
      </c>
      <c r="S1047" s="27" t="str">
        <f aca="false">IF(J1047="","",IF(AND('Daily Count Sheet'!$H$3=Q1047,MOD('Daily Count Sheet'!$I$3,J1047)=R1047),1,""))</f>
        <v/>
      </c>
      <c r="T1047" s="27" t="str">
        <f aca="false">IF(S1047=1,COUNTIF($S$2:S1047,1),"")</f>
        <v/>
      </c>
    </row>
    <row r="1048" customFormat="false" ht="15" hidden="false" customHeight="false" outlineLevel="0" collapsed="false">
      <c r="H1048" s="26"/>
      <c r="I1048" s="27" t="str">
        <f aca="false">IF(A1048="","",IF(H1048&lt;&gt;"",UPPER(TRIM(H1048)),IFERROR(CHOOSE(VALUE(E1048)+1,"A","B","C","D"),IF(OR(LEFT(UPPER(TRIM(E1048)),1)="F",UPPER(TRIM(E1048))="A"),"A",IF(OR(LEFT(UPPER(TRIM(E1048)),1)="M",UPPER(TRIM(E1048))="B"),"B",IF(OR(LEFT(UPPER(TRIM(E1048)),2)="SL",UPPER(TRIM(E1048))="C"),"C",IF(OR(LEFT(UPPER(TRIM(E1048)),1)="D",UPPER(TRIM(E1048))="D"),"D","")))))))</f>
        <v/>
      </c>
      <c r="J1048" s="27" t="str">
        <f aca="false">IF(I1048="","",IF(AND(I1048="D",Settings!$B$6&lt;&gt;"Yes"),"",IFERROR(INDEX(Settings!$C$9:$C$12,MATCH(I1048,Settings!$A$9:$A$12,0)),"")))</f>
        <v/>
      </c>
      <c r="K1048" s="27" t="str">
        <f aca="false">IF(J1048="","",COUNTIF($I$2:I1048,I1048))</f>
        <v/>
      </c>
      <c r="L1048" s="27" t="str">
        <f aca="false">IF(J1048="","",CHOOSE(Q1048+1,"Tue","Wed","Thu","Fri"))</f>
        <v/>
      </c>
      <c r="M1048" s="27" t="str">
        <f aca="false">IF(J1048="","",IF(J1048=1,"Every week",R1048+1&amp;" of "&amp;J1048))</f>
        <v/>
      </c>
      <c r="N1048" s="28" t="str">
        <f aca="false">IF(J1048="","",Settings!$B$4+R1048*7+Q1048)</f>
        <v/>
      </c>
      <c r="O1048" s="28" t="str">
        <f aca="true">IF(J1048="","",N1048+MAX(0,ROUNDUP((TODAY()-N1048)/(J1048*7),0))*J1048*7)</f>
        <v/>
      </c>
      <c r="P1048" s="27" t="str">
        <f aca="false">IF(J1048="","",MOD(K1048-1,J1048*4))</f>
        <v/>
      </c>
      <c r="Q1048" s="27" t="str">
        <f aca="false">IF(J1048="","",MOD(P1048,4))</f>
        <v/>
      </c>
      <c r="R1048" s="27" t="str">
        <f aca="false">IF(J1048="","",INT(P1048/4))</f>
        <v/>
      </c>
      <c r="S1048" s="27" t="str">
        <f aca="false">IF(J1048="","",IF(AND('Daily Count Sheet'!$H$3=Q1048,MOD('Daily Count Sheet'!$I$3,J1048)=R1048),1,""))</f>
        <v/>
      </c>
      <c r="T1048" s="27" t="str">
        <f aca="false">IF(S1048=1,COUNTIF($S$2:S1048,1),"")</f>
        <v/>
      </c>
    </row>
    <row r="1049" customFormat="false" ht="15" hidden="false" customHeight="false" outlineLevel="0" collapsed="false">
      <c r="H1049" s="26"/>
      <c r="I1049" s="27" t="str">
        <f aca="false">IF(A1049="","",IF(H1049&lt;&gt;"",UPPER(TRIM(H1049)),IFERROR(CHOOSE(VALUE(E1049)+1,"A","B","C","D"),IF(OR(LEFT(UPPER(TRIM(E1049)),1)="F",UPPER(TRIM(E1049))="A"),"A",IF(OR(LEFT(UPPER(TRIM(E1049)),1)="M",UPPER(TRIM(E1049))="B"),"B",IF(OR(LEFT(UPPER(TRIM(E1049)),2)="SL",UPPER(TRIM(E1049))="C"),"C",IF(OR(LEFT(UPPER(TRIM(E1049)),1)="D",UPPER(TRIM(E1049))="D"),"D","")))))))</f>
        <v/>
      </c>
      <c r="J1049" s="27" t="str">
        <f aca="false">IF(I1049="","",IF(AND(I1049="D",Settings!$B$6&lt;&gt;"Yes"),"",IFERROR(INDEX(Settings!$C$9:$C$12,MATCH(I1049,Settings!$A$9:$A$12,0)),"")))</f>
        <v/>
      </c>
      <c r="K1049" s="27" t="str">
        <f aca="false">IF(J1049="","",COUNTIF($I$2:I1049,I1049))</f>
        <v/>
      </c>
      <c r="L1049" s="27" t="str">
        <f aca="false">IF(J1049="","",CHOOSE(Q1049+1,"Tue","Wed","Thu","Fri"))</f>
        <v/>
      </c>
      <c r="M1049" s="27" t="str">
        <f aca="false">IF(J1049="","",IF(J1049=1,"Every week",R1049+1&amp;" of "&amp;J1049))</f>
        <v/>
      </c>
      <c r="N1049" s="28" t="str">
        <f aca="false">IF(J1049="","",Settings!$B$4+R1049*7+Q1049)</f>
        <v/>
      </c>
      <c r="O1049" s="28" t="str">
        <f aca="true">IF(J1049="","",N1049+MAX(0,ROUNDUP((TODAY()-N1049)/(J1049*7),0))*J1049*7)</f>
        <v/>
      </c>
      <c r="P1049" s="27" t="str">
        <f aca="false">IF(J1049="","",MOD(K1049-1,J1049*4))</f>
        <v/>
      </c>
      <c r="Q1049" s="27" t="str">
        <f aca="false">IF(J1049="","",MOD(P1049,4))</f>
        <v/>
      </c>
      <c r="R1049" s="27" t="str">
        <f aca="false">IF(J1049="","",INT(P1049/4))</f>
        <v/>
      </c>
      <c r="S1049" s="27" t="str">
        <f aca="false">IF(J1049="","",IF(AND('Daily Count Sheet'!$H$3=Q1049,MOD('Daily Count Sheet'!$I$3,J1049)=R1049),1,""))</f>
        <v/>
      </c>
      <c r="T1049" s="27" t="str">
        <f aca="false">IF(S1049=1,COUNTIF($S$2:S1049,1),"")</f>
        <v/>
      </c>
    </row>
    <row r="1050" customFormat="false" ht="15" hidden="false" customHeight="false" outlineLevel="0" collapsed="false">
      <c r="H1050" s="26"/>
      <c r="I1050" s="27" t="str">
        <f aca="false">IF(A1050="","",IF(H1050&lt;&gt;"",UPPER(TRIM(H1050)),IFERROR(CHOOSE(VALUE(E1050)+1,"A","B","C","D"),IF(OR(LEFT(UPPER(TRIM(E1050)),1)="F",UPPER(TRIM(E1050))="A"),"A",IF(OR(LEFT(UPPER(TRIM(E1050)),1)="M",UPPER(TRIM(E1050))="B"),"B",IF(OR(LEFT(UPPER(TRIM(E1050)),2)="SL",UPPER(TRIM(E1050))="C"),"C",IF(OR(LEFT(UPPER(TRIM(E1050)),1)="D",UPPER(TRIM(E1050))="D"),"D","")))))))</f>
        <v/>
      </c>
      <c r="J1050" s="27" t="str">
        <f aca="false">IF(I1050="","",IF(AND(I1050="D",Settings!$B$6&lt;&gt;"Yes"),"",IFERROR(INDEX(Settings!$C$9:$C$12,MATCH(I1050,Settings!$A$9:$A$12,0)),"")))</f>
        <v/>
      </c>
      <c r="K1050" s="27" t="str">
        <f aca="false">IF(J1050="","",COUNTIF($I$2:I1050,I1050))</f>
        <v/>
      </c>
      <c r="L1050" s="27" t="str">
        <f aca="false">IF(J1050="","",CHOOSE(Q1050+1,"Tue","Wed","Thu","Fri"))</f>
        <v/>
      </c>
      <c r="M1050" s="27" t="str">
        <f aca="false">IF(J1050="","",IF(J1050=1,"Every week",R1050+1&amp;" of "&amp;J1050))</f>
        <v/>
      </c>
      <c r="N1050" s="28" t="str">
        <f aca="false">IF(J1050="","",Settings!$B$4+R1050*7+Q1050)</f>
        <v/>
      </c>
      <c r="O1050" s="28" t="str">
        <f aca="true">IF(J1050="","",N1050+MAX(0,ROUNDUP((TODAY()-N1050)/(J1050*7),0))*J1050*7)</f>
        <v/>
      </c>
      <c r="P1050" s="27" t="str">
        <f aca="false">IF(J1050="","",MOD(K1050-1,J1050*4))</f>
        <v/>
      </c>
      <c r="Q1050" s="27" t="str">
        <f aca="false">IF(J1050="","",MOD(P1050,4))</f>
        <v/>
      </c>
      <c r="R1050" s="27" t="str">
        <f aca="false">IF(J1050="","",INT(P1050/4))</f>
        <v/>
      </c>
      <c r="S1050" s="27" t="str">
        <f aca="false">IF(J1050="","",IF(AND('Daily Count Sheet'!$H$3=Q1050,MOD('Daily Count Sheet'!$I$3,J1050)=R1050),1,""))</f>
        <v/>
      </c>
      <c r="T1050" s="27" t="str">
        <f aca="false">IF(S1050=1,COUNTIF($S$2:S1050,1),"")</f>
        <v/>
      </c>
    </row>
    <row r="1051" customFormat="false" ht="15" hidden="false" customHeight="false" outlineLevel="0" collapsed="false">
      <c r="H1051" s="26"/>
      <c r="I1051" s="27" t="str">
        <f aca="false">IF(A1051="","",IF(H1051&lt;&gt;"",UPPER(TRIM(H1051)),IFERROR(CHOOSE(VALUE(E1051)+1,"A","B","C","D"),IF(OR(LEFT(UPPER(TRIM(E1051)),1)="F",UPPER(TRIM(E1051))="A"),"A",IF(OR(LEFT(UPPER(TRIM(E1051)),1)="M",UPPER(TRIM(E1051))="B"),"B",IF(OR(LEFT(UPPER(TRIM(E1051)),2)="SL",UPPER(TRIM(E1051))="C"),"C",IF(OR(LEFT(UPPER(TRIM(E1051)),1)="D",UPPER(TRIM(E1051))="D"),"D","")))))))</f>
        <v/>
      </c>
      <c r="J1051" s="27" t="str">
        <f aca="false">IF(I1051="","",IF(AND(I1051="D",Settings!$B$6&lt;&gt;"Yes"),"",IFERROR(INDEX(Settings!$C$9:$C$12,MATCH(I1051,Settings!$A$9:$A$12,0)),"")))</f>
        <v/>
      </c>
      <c r="K1051" s="27" t="str">
        <f aca="false">IF(J1051="","",COUNTIF($I$2:I1051,I1051))</f>
        <v/>
      </c>
      <c r="L1051" s="27" t="str">
        <f aca="false">IF(J1051="","",CHOOSE(Q1051+1,"Tue","Wed","Thu","Fri"))</f>
        <v/>
      </c>
      <c r="M1051" s="27" t="str">
        <f aca="false">IF(J1051="","",IF(J1051=1,"Every week",R1051+1&amp;" of "&amp;J1051))</f>
        <v/>
      </c>
      <c r="N1051" s="28" t="str">
        <f aca="false">IF(J1051="","",Settings!$B$4+R1051*7+Q1051)</f>
        <v/>
      </c>
      <c r="O1051" s="28" t="str">
        <f aca="true">IF(J1051="","",N1051+MAX(0,ROUNDUP((TODAY()-N1051)/(J1051*7),0))*J1051*7)</f>
        <v/>
      </c>
      <c r="P1051" s="27" t="str">
        <f aca="false">IF(J1051="","",MOD(K1051-1,J1051*4))</f>
        <v/>
      </c>
      <c r="Q1051" s="27" t="str">
        <f aca="false">IF(J1051="","",MOD(P1051,4))</f>
        <v/>
      </c>
      <c r="R1051" s="27" t="str">
        <f aca="false">IF(J1051="","",INT(P1051/4))</f>
        <v/>
      </c>
      <c r="S1051" s="27" t="str">
        <f aca="false">IF(J1051="","",IF(AND('Daily Count Sheet'!$H$3=Q1051,MOD('Daily Count Sheet'!$I$3,J1051)=R1051),1,""))</f>
        <v/>
      </c>
      <c r="T1051" s="27" t="str">
        <f aca="false">IF(S1051=1,COUNTIF($S$2:S1051,1),"")</f>
        <v/>
      </c>
    </row>
    <row r="1052" customFormat="false" ht="15" hidden="false" customHeight="false" outlineLevel="0" collapsed="false">
      <c r="H1052" s="26"/>
      <c r="I1052" s="27" t="str">
        <f aca="false">IF(A1052="","",IF(H1052&lt;&gt;"",UPPER(TRIM(H1052)),IFERROR(CHOOSE(VALUE(E1052)+1,"A","B","C","D"),IF(OR(LEFT(UPPER(TRIM(E1052)),1)="F",UPPER(TRIM(E1052))="A"),"A",IF(OR(LEFT(UPPER(TRIM(E1052)),1)="M",UPPER(TRIM(E1052))="B"),"B",IF(OR(LEFT(UPPER(TRIM(E1052)),2)="SL",UPPER(TRIM(E1052))="C"),"C",IF(OR(LEFT(UPPER(TRIM(E1052)),1)="D",UPPER(TRIM(E1052))="D"),"D","")))))))</f>
        <v/>
      </c>
      <c r="J1052" s="27" t="str">
        <f aca="false">IF(I1052="","",IF(AND(I1052="D",Settings!$B$6&lt;&gt;"Yes"),"",IFERROR(INDEX(Settings!$C$9:$C$12,MATCH(I1052,Settings!$A$9:$A$12,0)),"")))</f>
        <v/>
      </c>
      <c r="K1052" s="27" t="str">
        <f aca="false">IF(J1052="","",COUNTIF($I$2:I1052,I1052))</f>
        <v/>
      </c>
      <c r="L1052" s="27" t="str">
        <f aca="false">IF(J1052="","",CHOOSE(Q1052+1,"Tue","Wed","Thu","Fri"))</f>
        <v/>
      </c>
      <c r="M1052" s="27" t="str">
        <f aca="false">IF(J1052="","",IF(J1052=1,"Every week",R1052+1&amp;" of "&amp;J1052))</f>
        <v/>
      </c>
      <c r="N1052" s="28" t="str">
        <f aca="false">IF(J1052="","",Settings!$B$4+R1052*7+Q1052)</f>
        <v/>
      </c>
      <c r="O1052" s="28" t="str">
        <f aca="true">IF(J1052="","",N1052+MAX(0,ROUNDUP((TODAY()-N1052)/(J1052*7),0))*J1052*7)</f>
        <v/>
      </c>
      <c r="P1052" s="27" t="str">
        <f aca="false">IF(J1052="","",MOD(K1052-1,J1052*4))</f>
        <v/>
      </c>
      <c r="Q1052" s="27" t="str">
        <f aca="false">IF(J1052="","",MOD(P1052,4))</f>
        <v/>
      </c>
      <c r="R1052" s="27" t="str">
        <f aca="false">IF(J1052="","",INT(P1052/4))</f>
        <v/>
      </c>
      <c r="S1052" s="27" t="str">
        <f aca="false">IF(J1052="","",IF(AND('Daily Count Sheet'!$H$3=Q1052,MOD('Daily Count Sheet'!$I$3,J1052)=R1052),1,""))</f>
        <v/>
      </c>
      <c r="T1052" s="27" t="str">
        <f aca="false">IF(S1052=1,COUNTIF($S$2:S1052,1),"")</f>
        <v/>
      </c>
    </row>
    <row r="1053" customFormat="false" ht="15" hidden="false" customHeight="false" outlineLevel="0" collapsed="false">
      <c r="H1053" s="26"/>
      <c r="I1053" s="27" t="str">
        <f aca="false">IF(A1053="","",IF(H1053&lt;&gt;"",UPPER(TRIM(H1053)),IFERROR(CHOOSE(VALUE(E1053)+1,"A","B","C","D"),IF(OR(LEFT(UPPER(TRIM(E1053)),1)="F",UPPER(TRIM(E1053))="A"),"A",IF(OR(LEFT(UPPER(TRIM(E1053)),1)="M",UPPER(TRIM(E1053))="B"),"B",IF(OR(LEFT(UPPER(TRIM(E1053)),2)="SL",UPPER(TRIM(E1053))="C"),"C",IF(OR(LEFT(UPPER(TRIM(E1053)),1)="D",UPPER(TRIM(E1053))="D"),"D","")))))))</f>
        <v/>
      </c>
      <c r="J1053" s="27" t="str">
        <f aca="false">IF(I1053="","",IF(AND(I1053="D",Settings!$B$6&lt;&gt;"Yes"),"",IFERROR(INDEX(Settings!$C$9:$C$12,MATCH(I1053,Settings!$A$9:$A$12,0)),"")))</f>
        <v/>
      </c>
      <c r="K1053" s="27" t="str">
        <f aca="false">IF(J1053="","",COUNTIF($I$2:I1053,I1053))</f>
        <v/>
      </c>
      <c r="L1053" s="27" t="str">
        <f aca="false">IF(J1053="","",CHOOSE(Q1053+1,"Tue","Wed","Thu","Fri"))</f>
        <v/>
      </c>
      <c r="M1053" s="27" t="str">
        <f aca="false">IF(J1053="","",IF(J1053=1,"Every week",R1053+1&amp;" of "&amp;J1053))</f>
        <v/>
      </c>
      <c r="N1053" s="28" t="str">
        <f aca="false">IF(J1053="","",Settings!$B$4+R1053*7+Q1053)</f>
        <v/>
      </c>
      <c r="O1053" s="28" t="str">
        <f aca="true">IF(J1053="","",N1053+MAX(0,ROUNDUP((TODAY()-N1053)/(J1053*7),0))*J1053*7)</f>
        <v/>
      </c>
      <c r="P1053" s="27" t="str">
        <f aca="false">IF(J1053="","",MOD(K1053-1,J1053*4))</f>
        <v/>
      </c>
      <c r="Q1053" s="27" t="str">
        <f aca="false">IF(J1053="","",MOD(P1053,4))</f>
        <v/>
      </c>
      <c r="R1053" s="27" t="str">
        <f aca="false">IF(J1053="","",INT(P1053/4))</f>
        <v/>
      </c>
      <c r="S1053" s="27" t="str">
        <f aca="false">IF(J1053="","",IF(AND('Daily Count Sheet'!$H$3=Q1053,MOD('Daily Count Sheet'!$I$3,J1053)=R1053),1,""))</f>
        <v/>
      </c>
      <c r="T1053" s="27" t="str">
        <f aca="false">IF(S1053=1,COUNTIF($S$2:S1053,1),"")</f>
        <v/>
      </c>
    </row>
    <row r="1054" customFormat="false" ht="15" hidden="false" customHeight="false" outlineLevel="0" collapsed="false">
      <c r="H1054" s="26"/>
      <c r="I1054" s="27" t="str">
        <f aca="false">IF(A1054="","",IF(H1054&lt;&gt;"",UPPER(TRIM(H1054)),IFERROR(CHOOSE(VALUE(E1054)+1,"A","B","C","D"),IF(OR(LEFT(UPPER(TRIM(E1054)),1)="F",UPPER(TRIM(E1054))="A"),"A",IF(OR(LEFT(UPPER(TRIM(E1054)),1)="M",UPPER(TRIM(E1054))="B"),"B",IF(OR(LEFT(UPPER(TRIM(E1054)),2)="SL",UPPER(TRIM(E1054))="C"),"C",IF(OR(LEFT(UPPER(TRIM(E1054)),1)="D",UPPER(TRIM(E1054))="D"),"D","")))))))</f>
        <v/>
      </c>
      <c r="J1054" s="27" t="str">
        <f aca="false">IF(I1054="","",IF(AND(I1054="D",Settings!$B$6&lt;&gt;"Yes"),"",IFERROR(INDEX(Settings!$C$9:$C$12,MATCH(I1054,Settings!$A$9:$A$12,0)),"")))</f>
        <v/>
      </c>
      <c r="K1054" s="27" t="str">
        <f aca="false">IF(J1054="","",COUNTIF($I$2:I1054,I1054))</f>
        <v/>
      </c>
      <c r="L1054" s="27" t="str">
        <f aca="false">IF(J1054="","",CHOOSE(Q1054+1,"Tue","Wed","Thu","Fri"))</f>
        <v/>
      </c>
      <c r="M1054" s="27" t="str">
        <f aca="false">IF(J1054="","",IF(J1054=1,"Every week",R1054+1&amp;" of "&amp;J1054))</f>
        <v/>
      </c>
      <c r="N1054" s="28" t="str">
        <f aca="false">IF(J1054="","",Settings!$B$4+R1054*7+Q1054)</f>
        <v/>
      </c>
      <c r="O1054" s="28" t="str">
        <f aca="true">IF(J1054="","",N1054+MAX(0,ROUNDUP((TODAY()-N1054)/(J1054*7),0))*J1054*7)</f>
        <v/>
      </c>
      <c r="P1054" s="27" t="str">
        <f aca="false">IF(J1054="","",MOD(K1054-1,J1054*4))</f>
        <v/>
      </c>
      <c r="Q1054" s="27" t="str">
        <f aca="false">IF(J1054="","",MOD(P1054,4))</f>
        <v/>
      </c>
      <c r="R1054" s="27" t="str">
        <f aca="false">IF(J1054="","",INT(P1054/4))</f>
        <v/>
      </c>
      <c r="S1054" s="27" t="str">
        <f aca="false">IF(J1054="","",IF(AND('Daily Count Sheet'!$H$3=Q1054,MOD('Daily Count Sheet'!$I$3,J1054)=R1054),1,""))</f>
        <v/>
      </c>
      <c r="T1054" s="27" t="str">
        <f aca="false">IF(S1054=1,COUNTIF($S$2:S1054,1),"")</f>
        <v/>
      </c>
    </row>
    <row r="1055" customFormat="false" ht="15" hidden="false" customHeight="false" outlineLevel="0" collapsed="false">
      <c r="H1055" s="26"/>
      <c r="I1055" s="27" t="str">
        <f aca="false">IF(A1055="","",IF(H1055&lt;&gt;"",UPPER(TRIM(H1055)),IFERROR(CHOOSE(VALUE(E1055)+1,"A","B","C","D"),IF(OR(LEFT(UPPER(TRIM(E1055)),1)="F",UPPER(TRIM(E1055))="A"),"A",IF(OR(LEFT(UPPER(TRIM(E1055)),1)="M",UPPER(TRIM(E1055))="B"),"B",IF(OR(LEFT(UPPER(TRIM(E1055)),2)="SL",UPPER(TRIM(E1055))="C"),"C",IF(OR(LEFT(UPPER(TRIM(E1055)),1)="D",UPPER(TRIM(E1055))="D"),"D","")))))))</f>
        <v/>
      </c>
      <c r="J1055" s="27" t="str">
        <f aca="false">IF(I1055="","",IF(AND(I1055="D",Settings!$B$6&lt;&gt;"Yes"),"",IFERROR(INDEX(Settings!$C$9:$C$12,MATCH(I1055,Settings!$A$9:$A$12,0)),"")))</f>
        <v/>
      </c>
      <c r="K1055" s="27" t="str">
        <f aca="false">IF(J1055="","",COUNTIF($I$2:I1055,I1055))</f>
        <v/>
      </c>
      <c r="L1055" s="27" t="str">
        <f aca="false">IF(J1055="","",CHOOSE(Q1055+1,"Tue","Wed","Thu","Fri"))</f>
        <v/>
      </c>
      <c r="M1055" s="27" t="str">
        <f aca="false">IF(J1055="","",IF(J1055=1,"Every week",R1055+1&amp;" of "&amp;J1055))</f>
        <v/>
      </c>
      <c r="N1055" s="28" t="str">
        <f aca="false">IF(J1055="","",Settings!$B$4+R1055*7+Q1055)</f>
        <v/>
      </c>
      <c r="O1055" s="28" t="str">
        <f aca="true">IF(J1055="","",N1055+MAX(0,ROUNDUP((TODAY()-N1055)/(J1055*7),0))*J1055*7)</f>
        <v/>
      </c>
      <c r="P1055" s="27" t="str">
        <f aca="false">IF(J1055="","",MOD(K1055-1,J1055*4))</f>
        <v/>
      </c>
      <c r="Q1055" s="27" t="str">
        <f aca="false">IF(J1055="","",MOD(P1055,4))</f>
        <v/>
      </c>
      <c r="R1055" s="27" t="str">
        <f aca="false">IF(J1055="","",INT(P1055/4))</f>
        <v/>
      </c>
      <c r="S1055" s="27" t="str">
        <f aca="false">IF(J1055="","",IF(AND('Daily Count Sheet'!$H$3=Q1055,MOD('Daily Count Sheet'!$I$3,J1055)=R1055),1,""))</f>
        <v/>
      </c>
      <c r="T1055" s="27" t="str">
        <f aca="false">IF(S1055=1,COUNTIF($S$2:S1055,1),"")</f>
        <v/>
      </c>
    </row>
    <row r="1056" customFormat="false" ht="15" hidden="false" customHeight="false" outlineLevel="0" collapsed="false">
      <c r="H1056" s="26"/>
      <c r="I1056" s="27" t="str">
        <f aca="false">IF(A1056="","",IF(H1056&lt;&gt;"",UPPER(TRIM(H1056)),IFERROR(CHOOSE(VALUE(E1056)+1,"A","B","C","D"),IF(OR(LEFT(UPPER(TRIM(E1056)),1)="F",UPPER(TRIM(E1056))="A"),"A",IF(OR(LEFT(UPPER(TRIM(E1056)),1)="M",UPPER(TRIM(E1056))="B"),"B",IF(OR(LEFT(UPPER(TRIM(E1056)),2)="SL",UPPER(TRIM(E1056))="C"),"C",IF(OR(LEFT(UPPER(TRIM(E1056)),1)="D",UPPER(TRIM(E1056))="D"),"D","")))))))</f>
        <v/>
      </c>
      <c r="J1056" s="27" t="str">
        <f aca="false">IF(I1056="","",IF(AND(I1056="D",Settings!$B$6&lt;&gt;"Yes"),"",IFERROR(INDEX(Settings!$C$9:$C$12,MATCH(I1056,Settings!$A$9:$A$12,0)),"")))</f>
        <v/>
      </c>
      <c r="K1056" s="27" t="str">
        <f aca="false">IF(J1056="","",COUNTIF($I$2:I1056,I1056))</f>
        <v/>
      </c>
      <c r="L1056" s="27" t="str">
        <f aca="false">IF(J1056="","",CHOOSE(Q1056+1,"Tue","Wed","Thu","Fri"))</f>
        <v/>
      </c>
      <c r="M1056" s="27" t="str">
        <f aca="false">IF(J1056="","",IF(J1056=1,"Every week",R1056+1&amp;" of "&amp;J1056))</f>
        <v/>
      </c>
      <c r="N1056" s="28" t="str">
        <f aca="false">IF(J1056="","",Settings!$B$4+R1056*7+Q1056)</f>
        <v/>
      </c>
      <c r="O1056" s="28" t="str">
        <f aca="true">IF(J1056="","",N1056+MAX(0,ROUNDUP((TODAY()-N1056)/(J1056*7),0))*J1056*7)</f>
        <v/>
      </c>
      <c r="P1056" s="27" t="str">
        <f aca="false">IF(J1056="","",MOD(K1056-1,J1056*4))</f>
        <v/>
      </c>
      <c r="Q1056" s="27" t="str">
        <f aca="false">IF(J1056="","",MOD(P1056,4))</f>
        <v/>
      </c>
      <c r="R1056" s="27" t="str">
        <f aca="false">IF(J1056="","",INT(P1056/4))</f>
        <v/>
      </c>
      <c r="S1056" s="27" t="str">
        <f aca="false">IF(J1056="","",IF(AND('Daily Count Sheet'!$H$3=Q1056,MOD('Daily Count Sheet'!$I$3,J1056)=R1056),1,""))</f>
        <v/>
      </c>
      <c r="T1056" s="27" t="str">
        <f aca="false">IF(S1056=1,COUNTIF($S$2:S1056,1),"")</f>
        <v/>
      </c>
    </row>
    <row r="1057" customFormat="false" ht="15" hidden="false" customHeight="false" outlineLevel="0" collapsed="false">
      <c r="H1057" s="26"/>
      <c r="I1057" s="27" t="str">
        <f aca="false">IF(A1057="","",IF(H1057&lt;&gt;"",UPPER(TRIM(H1057)),IFERROR(CHOOSE(VALUE(E1057)+1,"A","B","C","D"),IF(OR(LEFT(UPPER(TRIM(E1057)),1)="F",UPPER(TRIM(E1057))="A"),"A",IF(OR(LEFT(UPPER(TRIM(E1057)),1)="M",UPPER(TRIM(E1057))="B"),"B",IF(OR(LEFT(UPPER(TRIM(E1057)),2)="SL",UPPER(TRIM(E1057))="C"),"C",IF(OR(LEFT(UPPER(TRIM(E1057)),1)="D",UPPER(TRIM(E1057))="D"),"D","")))))))</f>
        <v/>
      </c>
      <c r="J1057" s="27" t="str">
        <f aca="false">IF(I1057="","",IF(AND(I1057="D",Settings!$B$6&lt;&gt;"Yes"),"",IFERROR(INDEX(Settings!$C$9:$C$12,MATCH(I1057,Settings!$A$9:$A$12,0)),"")))</f>
        <v/>
      </c>
      <c r="K1057" s="27" t="str">
        <f aca="false">IF(J1057="","",COUNTIF($I$2:I1057,I1057))</f>
        <v/>
      </c>
      <c r="L1057" s="27" t="str">
        <f aca="false">IF(J1057="","",CHOOSE(Q1057+1,"Tue","Wed","Thu","Fri"))</f>
        <v/>
      </c>
      <c r="M1057" s="27" t="str">
        <f aca="false">IF(J1057="","",IF(J1057=1,"Every week",R1057+1&amp;" of "&amp;J1057))</f>
        <v/>
      </c>
      <c r="N1057" s="28" t="str">
        <f aca="false">IF(J1057="","",Settings!$B$4+R1057*7+Q1057)</f>
        <v/>
      </c>
      <c r="O1057" s="28" t="str">
        <f aca="true">IF(J1057="","",N1057+MAX(0,ROUNDUP((TODAY()-N1057)/(J1057*7),0))*J1057*7)</f>
        <v/>
      </c>
      <c r="P1057" s="27" t="str">
        <f aca="false">IF(J1057="","",MOD(K1057-1,J1057*4))</f>
        <v/>
      </c>
      <c r="Q1057" s="27" t="str">
        <f aca="false">IF(J1057="","",MOD(P1057,4))</f>
        <v/>
      </c>
      <c r="R1057" s="27" t="str">
        <f aca="false">IF(J1057="","",INT(P1057/4))</f>
        <v/>
      </c>
      <c r="S1057" s="27" t="str">
        <f aca="false">IF(J1057="","",IF(AND('Daily Count Sheet'!$H$3=Q1057,MOD('Daily Count Sheet'!$I$3,J1057)=R1057),1,""))</f>
        <v/>
      </c>
      <c r="T1057" s="27" t="str">
        <f aca="false">IF(S1057=1,COUNTIF($S$2:S1057,1),"")</f>
        <v/>
      </c>
    </row>
    <row r="1058" customFormat="false" ht="15" hidden="false" customHeight="false" outlineLevel="0" collapsed="false">
      <c r="H1058" s="26"/>
      <c r="I1058" s="27" t="str">
        <f aca="false">IF(A1058="","",IF(H1058&lt;&gt;"",UPPER(TRIM(H1058)),IFERROR(CHOOSE(VALUE(E1058)+1,"A","B","C","D"),IF(OR(LEFT(UPPER(TRIM(E1058)),1)="F",UPPER(TRIM(E1058))="A"),"A",IF(OR(LEFT(UPPER(TRIM(E1058)),1)="M",UPPER(TRIM(E1058))="B"),"B",IF(OR(LEFT(UPPER(TRIM(E1058)),2)="SL",UPPER(TRIM(E1058))="C"),"C",IF(OR(LEFT(UPPER(TRIM(E1058)),1)="D",UPPER(TRIM(E1058))="D"),"D","")))))))</f>
        <v/>
      </c>
      <c r="J1058" s="27" t="str">
        <f aca="false">IF(I1058="","",IF(AND(I1058="D",Settings!$B$6&lt;&gt;"Yes"),"",IFERROR(INDEX(Settings!$C$9:$C$12,MATCH(I1058,Settings!$A$9:$A$12,0)),"")))</f>
        <v/>
      </c>
      <c r="K1058" s="27" t="str">
        <f aca="false">IF(J1058="","",COUNTIF($I$2:I1058,I1058))</f>
        <v/>
      </c>
      <c r="L1058" s="27" t="str">
        <f aca="false">IF(J1058="","",CHOOSE(Q1058+1,"Tue","Wed","Thu","Fri"))</f>
        <v/>
      </c>
      <c r="M1058" s="27" t="str">
        <f aca="false">IF(J1058="","",IF(J1058=1,"Every week",R1058+1&amp;" of "&amp;J1058))</f>
        <v/>
      </c>
      <c r="N1058" s="28" t="str">
        <f aca="false">IF(J1058="","",Settings!$B$4+R1058*7+Q1058)</f>
        <v/>
      </c>
      <c r="O1058" s="28" t="str">
        <f aca="true">IF(J1058="","",N1058+MAX(0,ROUNDUP((TODAY()-N1058)/(J1058*7),0))*J1058*7)</f>
        <v/>
      </c>
      <c r="P1058" s="27" t="str">
        <f aca="false">IF(J1058="","",MOD(K1058-1,J1058*4))</f>
        <v/>
      </c>
      <c r="Q1058" s="27" t="str">
        <f aca="false">IF(J1058="","",MOD(P1058,4))</f>
        <v/>
      </c>
      <c r="R1058" s="27" t="str">
        <f aca="false">IF(J1058="","",INT(P1058/4))</f>
        <v/>
      </c>
      <c r="S1058" s="27" t="str">
        <f aca="false">IF(J1058="","",IF(AND('Daily Count Sheet'!$H$3=Q1058,MOD('Daily Count Sheet'!$I$3,J1058)=R1058),1,""))</f>
        <v/>
      </c>
      <c r="T1058" s="27" t="str">
        <f aca="false">IF(S1058=1,COUNTIF($S$2:S1058,1),"")</f>
        <v/>
      </c>
    </row>
    <row r="1059" customFormat="false" ht="15" hidden="false" customHeight="false" outlineLevel="0" collapsed="false">
      <c r="H1059" s="26"/>
      <c r="I1059" s="27" t="str">
        <f aca="false">IF(A1059="","",IF(H1059&lt;&gt;"",UPPER(TRIM(H1059)),IFERROR(CHOOSE(VALUE(E1059)+1,"A","B","C","D"),IF(OR(LEFT(UPPER(TRIM(E1059)),1)="F",UPPER(TRIM(E1059))="A"),"A",IF(OR(LEFT(UPPER(TRIM(E1059)),1)="M",UPPER(TRIM(E1059))="B"),"B",IF(OR(LEFT(UPPER(TRIM(E1059)),2)="SL",UPPER(TRIM(E1059))="C"),"C",IF(OR(LEFT(UPPER(TRIM(E1059)),1)="D",UPPER(TRIM(E1059))="D"),"D","")))))))</f>
        <v/>
      </c>
      <c r="J1059" s="27" t="str">
        <f aca="false">IF(I1059="","",IF(AND(I1059="D",Settings!$B$6&lt;&gt;"Yes"),"",IFERROR(INDEX(Settings!$C$9:$C$12,MATCH(I1059,Settings!$A$9:$A$12,0)),"")))</f>
        <v/>
      </c>
      <c r="K1059" s="27" t="str">
        <f aca="false">IF(J1059="","",COUNTIF($I$2:I1059,I1059))</f>
        <v/>
      </c>
      <c r="L1059" s="27" t="str">
        <f aca="false">IF(J1059="","",CHOOSE(Q1059+1,"Tue","Wed","Thu","Fri"))</f>
        <v/>
      </c>
      <c r="M1059" s="27" t="str">
        <f aca="false">IF(J1059="","",IF(J1059=1,"Every week",R1059+1&amp;" of "&amp;J1059))</f>
        <v/>
      </c>
      <c r="N1059" s="28" t="str">
        <f aca="false">IF(J1059="","",Settings!$B$4+R1059*7+Q1059)</f>
        <v/>
      </c>
      <c r="O1059" s="28" t="str">
        <f aca="true">IF(J1059="","",N1059+MAX(0,ROUNDUP((TODAY()-N1059)/(J1059*7),0))*J1059*7)</f>
        <v/>
      </c>
      <c r="P1059" s="27" t="str">
        <f aca="false">IF(J1059="","",MOD(K1059-1,J1059*4))</f>
        <v/>
      </c>
      <c r="Q1059" s="27" t="str">
        <f aca="false">IF(J1059="","",MOD(P1059,4))</f>
        <v/>
      </c>
      <c r="R1059" s="27" t="str">
        <f aca="false">IF(J1059="","",INT(P1059/4))</f>
        <v/>
      </c>
      <c r="S1059" s="27" t="str">
        <f aca="false">IF(J1059="","",IF(AND('Daily Count Sheet'!$H$3=Q1059,MOD('Daily Count Sheet'!$I$3,J1059)=R1059),1,""))</f>
        <v/>
      </c>
      <c r="T1059" s="27" t="str">
        <f aca="false">IF(S1059=1,COUNTIF($S$2:S1059,1),"")</f>
        <v/>
      </c>
    </row>
    <row r="1060" customFormat="false" ht="15" hidden="false" customHeight="false" outlineLevel="0" collapsed="false">
      <c r="H1060" s="26"/>
      <c r="I1060" s="27" t="str">
        <f aca="false">IF(A1060="","",IF(H1060&lt;&gt;"",UPPER(TRIM(H1060)),IFERROR(CHOOSE(VALUE(E1060)+1,"A","B","C","D"),IF(OR(LEFT(UPPER(TRIM(E1060)),1)="F",UPPER(TRIM(E1060))="A"),"A",IF(OR(LEFT(UPPER(TRIM(E1060)),1)="M",UPPER(TRIM(E1060))="B"),"B",IF(OR(LEFT(UPPER(TRIM(E1060)),2)="SL",UPPER(TRIM(E1060))="C"),"C",IF(OR(LEFT(UPPER(TRIM(E1060)),1)="D",UPPER(TRIM(E1060))="D"),"D","")))))))</f>
        <v/>
      </c>
      <c r="J1060" s="27" t="str">
        <f aca="false">IF(I1060="","",IF(AND(I1060="D",Settings!$B$6&lt;&gt;"Yes"),"",IFERROR(INDEX(Settings!$C$9:$C$12,MATCH(I1060,Settings!$A$9:$A$12,0)),"")))</f>
        <v/>
      </c>
      <c r="K1060" s="27" t="str">
        <f aca="false">IF(J1060="","",COUNTIF($I$2:I1060,I1060))</f>
        <v/>
      </c>
      <c r="L1060" s="27" t="str">
        <f aca="false">IF(J1060="","",CHOOSE(Q1060+1,"Tue","Wed","Thu","Fri"))</f>
        <v/>
      </c>
      <c r="M1060" s="27" t="str">
        <f aca="false">IF(J1060="","",IF(J1060=1,"Every week",R1060+1&amp;" of "&amp;J1060))</f>
        <v/>
      </c>
      <c r="N1060" s="28" t="str">
        <f aca="false">IF(J1060="","",Settings!$B$4+R1060*7+Q1060)</f>
        <v/>
      </c>
      <c r="O1060" s="28" t="str">
        <f aca="true">IF(J1060="","",N1060+MAX(0,ROUNDUP((TODAY()-N1060)/(J1060*7),0))*J1060*7)</f>
        <v/>
      </c>
      <c r="P1060" s="27" t="str">
        <f aca="false">IF(J1060="","",MOD(K1060-1,J1060*4))</f>
        <v/>
      </c>
      <c r="Q1060" s="27" t="str">
        <f aca="false">IF(J1060="","",MOD(P1060,4))</f>
        <v/>
      </c>
      <c r="R1060" s="27" t="str">
        <f aca="false">IF(J1060="","",INT(P1060/4))</f>
        <v/>
      </c>
      <c r="S1060" s="27" t="str">
        <f aca="false">IF(J1060="","",IF(AND('Daily Count Sheet'!$H$3=Q1060,MOD('Daily Count Sheet'!$I$3,J1060)=R1060),1,""))</f>
        <v/>
      </c>
      <c r="T1060" s="27" t="str">
        <f aca="false">IF(S1060=1,COUNTIF($S$2:S1060,1),"")</f>
        <v/>
      </c>
    </row>
    <row r="1061" customFormat="false" ht="15" hidden="false" customHeight="false" outlineLevel="0" collapsed="false">
      <c r="H1061" s="26"/>
      <c r="I1061" s="27" t="str">
        <f aca="false">IF(A1061="","",IF(H1061&lt;&gt;"",UPPER(TRIM(H1061)),IFERROR(CHOOSE(VALUE(E1061)+1,"A","B","C","D"),IF(OR(LEFT(UPPER(TRIM(E1061)),1)="F",UPPER(TRIM(E1061))="A"),"A",IF(OR(LEFT(UPPER(TRIM(E1061)),1)="M",UPPER(TRIM(E1061))="B"),"B",IF(OR(LEFT(UPPER(TRIM(E1061)),2)="SL",UPPER(TRIM(E1061))="C"),"C",IF(OR(LEFT(UPPER(TRIM(E1061)),1)="D",UPPER(TRIM(E1061))="D"),"D","")))))))</f>
        <v/>
      </c>
      <c r="J1061" s="27" t="str">
        <f aca="false">IF(I1061="","",IF(AND(I1061="D",Settings!$B$6&lt;&gt;"Yes"),"",IFERROR(INDEX(Settings!$C$9:$C$12,MATCH(I1061,Settings!$A$9:$A$12,0)),"")))</f>
        <v/>
      </c>
      <c r="K1061" s="27" t="str">
        <f aca="false">IF(J1061="","",COUNTIF($I$2:I1061,I1061))</f>
        <v/>
      </c>
      <c r="L1061" s="27" t="str">
        <f aca="false">IF(J1061="","",CHOOSE(Q1061+1,"Tue","Wed","Thu","Fri"))</f>
        <v/>
      </c>
      <c r="M1061" s="27" t="str">
        <f aca="false">IF(J1061="","",IF(J1061=1,"Every week",R1061+1&amp;" of "&amp;J1061))</f>
        <v/>
      </c>
      <c r="N1061" s="28" t="str">
        <f aca="false">IF(J1061="","",Settings!$B$4+R1061*7+Q1061)</f>
        <v/>
      </c>
      <c r="O1061" s="28" t="str">
        <f aca="true">IF(J1061="","",N1061+MAX(0,ROUNDUP((TODAY()-N1061)/(J1061*7),0))*J1061*7)</f>
        <v/>
      </c>
      <c r="P1061" s="27" t="str">
        <f aca="false">IF(J1061="","",MOD(K1061-1,J1061*4))</f>
        <v/>
      </c>
      <c r="Q1061" s="27" t="str">
        <f aca="false">IF(J1061="","",MOD(P1061,4))</f>
        <v/>
      </c>
      <c r="R1061" s="27" t="str">
        <f aca="false">IF(J1061="","",INT(P1061/4))</f>
        <v/>
      </c>
      <c r="S1061" s="27" t="str">
        <f aca="false">IF(J1061="","",IF(AND('Daily Count Sheet'!$H$3=Q1061,MOD('Daily Count Sheet'!$I$3,J1061)=R1061),1,""))</f>
        <v/>
      </c>
      <c r="T1061" s="27" t="str">
        <f aca="false">IF(S1061=1,COUNTIF($S$2:S1061,1),"")</f>
        <v/>
      </c>
    </row>
    <row r="1062" customFormat="false" ht="15" hidden="false" customHeight="false" outlineLevel="0" collapsed="false">
      <c r="H1062" s="26"/>
      <c r="I1062" s="27" t="str">
        <f aca="false">IF(A1062="","",IF(H1062&lt;&gt;"",UPPER(TRIM(H1062)),IFERROR(CHOOSE(VALUE(E1062)+1,"A","B","C","D"),IF(OR(LEFT(UPPER(TRIM(E1062)),1)="F",UPPER(TRIM(E1062))="A"),"A",IF(OR(LEFT(UPPER(TRIM(E1062)),1)="M",UPPER(TRIM(E1062))="B"),"B",IF(OR(LEFT(UPPER(TRIM(E1062)),2)="SL",UPPER(TRIM(E1062))="C"),"C",IF(OR(LEFT(UPPER(TRIM(E1062)),1)="D",UPPER(TRIM(E1062))="D"),"D","")))))))</f>
        <v/>
      </c>
      <c r="J1062" s="27" t="str">
        <f aca="false">IF(I1062="","",IF(AND(I1062="D",Settings!$B$6&lt;&gt;"Yes"),"",IFERROR(INDEX(Settings!$C$9:$C$12,MATCH(I1062,Settings!$A$9:$A$12,0)),"")))</f>
        <v/>
      </c>
      <c r="K1062" s="27" t="str">
        <f aca="false">IF(J1062="","",COUNTIF($I$2:I1062,I1062))</f>
        <v/>
      </c>
      <c r="L1062" s="27" t="str">
        <f aca="false">IF(J1062="","",CHOOSE(Q1062+1,"Tue","Wed","Thu","Fri"))</f>
        <v/>
      </c>
      <c r="M1062" s="27" t="str">
        <f aca="false">IF(J1062="","",IF(J1062=1,"Every week",R1062+1&amp;" of "&amp;J1062))</f>
        <v/>
      </c>
      <c r="N1062" s="28" t="str">
        <f aca="false">IF(J1062="","",Settings!$B$4+R1062*7+Q1062)</f>
        <v/>
      </c>
      <c r="O1062" s="28" t="str">
        <f aca="true">IF(J1062="","",N1062+MAX(0,ROUNDUP((TODAY()-N1062)/(J1062*7),0))*J1062*7)</f>
        <v/>
      </c>
      <c r="P1062" s="27" t="str">
        <f aca="false">IF(J1062="","",MOD(K1062-1,J1062*4))</f>
        <v/>
      </c>
      <c r="Q1062" s="27" t="str">
        <f aca="false">IF(J1062="","",MOD(P1062,4))</f>
        <v/>
      </c>
      <c r="R1062" s="27" t="str">
        <f aca="false">IF(J1062="","",INT(P1062/4))</f>
        <v/>
      </c>
      <c r="S1062" s="27" t="str">
        <f aca="false">IF(J1062="","",IF(AND('Daily Count Sheet'!$H$3=Q1062,MOD('Daily Count Sheet'!$I$3,J1062)=R1062),1,""))</f>
        <v/>
      </c>
      <c r="T1062" s="27" t="str">
        <f aca="false">IF(S1062=1,COUNTIF($S$2:S1062,1),"")</f>
        <v/>
      </c>
    </row>
    <row r="1063" customFormat="false" ht="15" hidden="false" customHeight="false" outlineLevel="0" collapsed="false">
      <c r="H1063" s="26"/>
      <c r="I1063" s="27" t="str">
        <f aca="false">IF(A1063="","",IF(H1063&lt;&gt;"",UPPER(TRIM(H1063)),IFERROR(CHOOSE(VALUE(E1063)+1,"A","B","C","D"),IF(OR(LEFT(UPPER(TRIM(E1063)),1)="F",UPPER(TRIM(E1063))="A"),"A",IF(OR(LEFT(UPPER(TRIM(E1063)),1)="M",UPPER(TRIM(E1063))="B"),"B",IF(OR(LEFT(UPPER(TRIM(E1063)),2)="SL",UPPER(TRIM(E1063))="C"),"C",IF(OR(LEFT(UPPER(TRIM(E1063)),1)="D",UPPER(TRIM(E1063))="D"),"D","")))))))</f>
        <v/>
      </c>
      <c r="J1063" s="27" t="str">
        <f aca="false">IF(I1063="","",IF(AND(I1063="D",Settings!$B$6&lt;&gt;"Yes"),"",IFERROR(INDEX(Settings!$C$9:$C$12,MATCH(I1063,Settings!$A$9:$A$12,0)),"")))</f>
        <v/>
      </c>
      <c r="K1063" s="27" t="str">
        <f aca="false">IF(J1063="","",COUNTIF($I$2:I1063,I1063))</f>
        <v/>
      </c>
      <c r="L1063" s="27" t="str">
        <f aca="false">IF(J1063="","",CHOOSE(Q1063+1,"Tue","Wed","Thu","Fri"))</f>
        <v/>
      </c>
      <c r="M1063" s="27" t="str">
        <f aca="false">IF(J1063="","",IF(J1063=1,"Every week",R1063+1&amp;" of "&amp;J1063))</f>
        <v/>
      </c>
      <c r="N1063" s="28" t="str">
        <f aca="false">IF(J1063="","",Settings!$B$4+R1063*7+Q1063)</f>
        <v/>
      </c>
      <c r="O1063" s="28" t="str">
        <f aca="true">IF(J1063="","",N1063+MAX(0,ROUNDUP((TODAY()-N1063)/(J1063*7),0))*J1063*7)</f>
        <v/>
      </c>
      <c r="P1063" s="27" t="str">
        <f aca="false">IF(J1063="","",MOD(K1063-1,J1063*4))</f>
        <v/>
      </c>
      <c r="Q1063" s="27" t="str">
        <f aca="false">IF(J1063="","",MOD(P1063,4))</f>
        <v/>
      </c>
      <c r="R1063" s="27" t="str">
        <f aca="false">IF(J1063="","",INT(P1063/4))</f>
        <v/>
      </c>
      <c r="S1063" s="27" t="str">
        <f aca="false">IF(J1063="","",IF(AND('Daily Count Sheet'!$H$3=Q1063,MOD('Daily Count Sheet'!$I$3,J1063)=R1063),1,""))</f>
        <v/>
      </c>
      <c r="T1063" s="27" t="str">
        <f aca="false">IF(S1063=1,COUNTIF($S$2:S1063,1),"")</f>
        <v/>
      </c>
    </row>
    <row r="1064" customFormat="false" ht="15" hidden="false" customHeight="false" outlineLevel="0" collapsed="false">
      <c r="H1064" s="26"/>
      <c r="I1064" s="27" t="str">
        <f aca="false">IF(A1064="","",IF(H1064&lt;&gt;"",UPPER(TRIM(H1064)),IFERROR(CHOOSE(VALUE(E1064)+1,"A","B","C","D"),IF(OR(LEFT(UPPER(TRIM(E1064)),1)="F",UPPER(TRIM(E1064))="A"),"A",IF(OR(LEFT(UPPER(TRIM(E1064)),1)="M",UPPER(TRIM(E1064))="B"),"B",IF(OR(LEFT(UPPER(TRIM(E1064)),2)="SL",UPPER(TRIM(E1064))="C"),"C",IF(OR(LEFT(UPPER(TRIM(E1064)),1)="D",UPPER(TRIM(E1064))="D"),"D","")))))))</f>
        <v/>
      </c>
      <c r="J1064" s="27" t="str">
        <f aca="false">IF(I1064="","",IF(AND(I1064="D",Settings!$B$6&lt;&gt;"Yes"),"",IFERROR(INDEX(Settings!$C$9:$C$12,MATCH(I1064,Settings!$A$9:$A$12,0)),"")))</f>
        <v/>
      </c>
      <c r="K1064" s="27" t="str">
        <f aca="false">IF(J1064="","",COUNTIF($I$2:I1064,I1064))</f>
        <v/>
      </c>
      <c r="L1064" s="27" t="str">
        <f aca="false">IF(J1064="","",CHOOSE(Q1064+1,"Tue","Wed","Thu","Fri"))</f>
        <v/>
      </c>
      <c r="M1064" s="27" t="str">
        <f aca="false">IF(J1064="","",IF(J1064=1,"Every week",R1064+1&amp;" of "&amp;J1064))</f>
        <v/>
      </c>
      <c r="N1064" s="28" t="str">
        <f aca="false">IF(J1064="","",Settings!$B$4+R1064*7+Q1064)</f>
        <v/>
      </c>
      <c r="O1064" s="28" t="str">
        <f aca="true">IF(J1064="","",N1064+MAX(0,ROUNDUP((TODAY()-N1064)/(J1064*7),0))*J1064*7)</f>
        <v/>
      </c>
      <c r="P1064" s="27" t="str">
        <f aca="false">IF(J1064="","",MOD(K1064-1,J1064*4))</f>
        <v/>
      </c>
      <c r="Q1064" s="27" t="str">
        <f aca="false">IF(J1064="","",MOD(P1064,4))</f>
        <v/>
      </c>
      <c r="R1064" s="27" t="str">
        <f aca="false">IF(J1064="","",INT(P1064/4))</f>
        <v/>
      </c>
      <c r="S1064" s="27" t="str">
        <f aca="false">IF(J1064="","",IF(AND('Daily Count Sheet'!$H$3=Q1064,MOD('Daily Count Sheet'!$I$3,J1064)=R1064),1,""))</f>
        <v/>
      </c>
      <c r="T1064" s="27" t="str">
        <f aca="false">IF(S1064=1,COUNTIF($S$2:S1064,1),"")</f>
        <v/>
      </c>
    </row>
    <row r="1065" customFormat="false" ht="15" hidden="false" customHeight="false" outlineLevel="0" collapsed="false">
      <c r="H1065" s="26"/>
      <c r="I1065" s="27" t="str">
        <f aca="false">IF(A1065="","",IF(H1065&lt;&gt;"",UPPER(TRIM(H1065)),IFERROR(CHOOSE(VALUE(E1065)+1,"A","B","C","D"),IF(OR(LEFT(UPPER(TRIM(E1065)),1)="F",UPPER(TRIM(E1065))="A"),"A",IF(OR(LEFT(UPPER(TRIM(E1065)),1)="M",UPPER(TRIM(E1065))="B"),"B",IF(OR(LEFT(UPPER(TRIM(E1065)),2)="SL",UPPER(TRIM(E1065))="C"),"C",IF(OR(LEFT(UPPER(TRIM(E1065)),1)="D",UPPER(TRIM(E1065))="D"),"D","")))))))</f>
        <v/>
      </c>
      <c r="J1065" s="27" t="str">
        <f aca="false">IF(I1065="","",IF(AND(I1065="D",Settings!$B$6&lt;&gt;"Yes"),"",IFERROR(INDEX(Settings!$C$9:$C$12,MATCH(I1065,Settings!$A$9:$A$12,0)),"")))</f>
        <v/>
      </c>
      <c r="K1065" s="27" t="str">
        <f aca="false">IF(J1065="","",COUNTIF($I$2:I1065,I1065))</f>
        <v/>
      </c>
      <c r="L1065" s="27" t="str">
        <f aca="false">IF(J1065="","",CHOOSE(Q1065+1,"Tue","Wed","Thu","Fri"))</f>
        <v/>
      </c>
      <c r="M1065" s="27" t="str">
        <f aca="false">IF(J1065="","",IF(J1065=1,"Every week",R1065+1&amp;" of "&amp;J1065))</f>
        <v/>
      </c>
      <c r="N1065" s="28" t="str">
        <f aca="false">IF(J1065="","",Settings!$B$4+R1065*7+Q1065)</f>
        <v/>
      </c>
      <c r="O1065" s="28" t="str">
        <f aca="true">IF(J1065="","",N1065+MAX(0,ROUNDUP((TODAY()-N1065)/(J1065*7),0))*J1065*7)</f>
        <v/>
      </c>
      <c r="P1065" s="27" t="str">
        <f aca="false">IF(J1065="","",MOD(K1065-1,J1065*4))</f>
        <v/>
      </c>
      <c r="Q1065" s="27" t="str">
        <f aca="false">IF(J1065="","",MOD(P1065,4))</f>
        <v/>
      </c>
      <c r="R1065" s="27" t="str">
        <f aca="false">IF(J1065="","",INT(P1065/4))</f>
        <v/>
      </c>
      <c r="S1065" s="27" t="str">
        <f aca="false">IF(J1065="","",IF(AND('Daily Count Sheet'!$H$3=Q1065,MOD('Daily Count Sheet'!$I$3,J1065)=R1065),1,""))</f>
        <v/>
      </c>
      <c r="T1065" s="27" t="str">
        <f aca="false">IF(S1065=1,COUNTIF($S$2:S1065,1),"")</f>
        <v/>
      </c>
    </row>
    <row r="1066" customFormat="false" ht="15" hidden="false" customHeight="false" outlineLevel="0" collapsed="false">
      <c r="H1066" s="26"/>
      <c r="I1066" s="27" t="str">
        <f aca="false">IF(A1066="","",IF(H1066&lt;&gt;"",UPPER(TRIM(H1066)),IFERROR(CHOOSE(VALUE(E1066)+1,"A","B","C","D"),IF(OR(LEFT(UPPER(TRIM(E1066)),1)="F",UPPER(TRIM(E1066))="A"),"A",IF(OR(LEFT(UPPER(TRIM(E1066)),1)="M",UPPER(TRIM(E1066))="B"),"B",IF(OR(LEFT(UPPER(TRIM(E1066)),2)="SL",UPPER(TRIM(E1066))="C"),"C",IF(OR(LEFT(UPPER(TRIM(E1066)),1)="D",UPPER(TRIM(E1066))="D"),"D","")))))))</f>
        <v/>
      </c>
      <c r="J1066" s="27" t="str">
        <f aca="false">IF(I1066="","",IF(AND(I1066="D",Settings!$B$6&lt;&gt;"Yes"),"",IFERROR(INDEX(Settings!$C$9:$C$12,MATCH(I1066,Settings!$A$9:$A$12,0)),"")))</f>
        <v/>
      </c>
      <c r="K1066" s="27" t="str">
        <f aca="false">IF(J1066="","",COUNTIF($I$2:I1066,I1066))</f>
        <v/>
      </c>
      <c r="L1066" s="27" t="str">
        <f aca="false">IF(J1066="","",CHOOSE(Q1066+1,"Tue","Wed","Thu","Fri"))</f>
        <v/>
      </c>
      <c r="M1066" s="27" t="str">
        <f aca="false">IF(J1066="","",IF(J1066=1,"Every week",R1066+1&amp;" of "&amp;J1066))</f>
        <v/>
      </c>
      <c r="N1066" s="28" t="str">
        <f aca="false">IF(J1066="","",Settings!$B$4+R1066*7+Q1066)</f>
        <v/>
      </c>
      <c r="O1066" s="28" t="str">
        <f aca="true">IF(J1066="","",N1066+MAX(0,ROUNDUP((TODAY()-N1066)/(J1066*7),0))*J1066*7)</f>
        <v/>
      </c>
      <c r="P1066" s="27" t="str">
        <f aca="false">IF(J1066="","",MOD(K1066-1,J1066*4))</f>
        <v/>
      </c>
      <c r="Q1066" s="27" t="str">
        <f aca="false">IF(J1066="","",MOD(P1066,4))</f>
        <v/>
      </c>
      <c r="R1066" s="27" t="str">
        <f aca="false">IF(J1066="","",INT(P1066/4))</f>
        <v/>
      </c>
      <c r="S1066" s="27" t="str">
        <f aca="false">IF(J1066="","",IF(AND('Daily Count Sheet'!$H$3=Q1066,MOD('Daily Count Sheet'!$I$3,J1066)=R1066),1,""))</f>
        <v/>
      </c>
      <c r="T1066" s="27" t="str">
        <f aca="false">IF(S1066=1,COUNTIF($S$2:S1066,1),"")</f>
        <v/>
      </c>
    </row>
    <row r="1067" customFormat="false" ht="15" hidden="false" customHeight="false" outlineLevel="0" collapsed="false">
      <c r="H1067" s="26"/>
      <c r="I1067" s="27" t="str">
        <f aca="false">IF(A1067="","",IF(H1067&lt;&gt;"",UPPER(TRIM(H1067)),IFERROR(CHOOSE(VALUE(E1067)+1,"A","B","C","D"),IF(OR(LEFT(UPPER(TRIM(E1067)),1)="F",UPPER(TRIM(E1067))="A"),"A",IF(OR(LEFT(UPPER(TRIM(E1067)),1)="M",UPPER(TRIM(E1067))="B"),"B",IF(OR(LEFT(UPPER(TRIM(E1067)),2)="SL",UPPER(TRIM(E1067))="C"),"C",IF(OR(LEFT(UPPER(TRIM(E1067)),1)="D",UPPER(TRIM(E1067))="D"),"D","")))))))</f>
        <v/>
      </c>
      <c r="J1067" s="27" t="str">
        <f aca="false">IF(I1067="","",IF(AND(I1067="D",Settings!$B$6&lt;&gt;"Yes"),"",IFERROR(INDEX(Settings!$C$9:$C$12,MATCH(I1067,Settings!$A$9:$A$12,0)),"")))</f>
        <v/>
      </c>
      <c r="K1067" s="27" t="str">
        <f aca="false">IF(J1067="","",COUNTIF($I$2:I1067,I1067))</f>
        <v/>
      </c>
      <c r="L1067" s="27" t="str">
        <f aca="false">IF(J1067="","",CHOOSE(Q1067+1,"Tue","Wed","Thu","Fri"))</f>
        <v/>
      </c>
      <c r="M1067" s="27" t="str">
        <f aca="false">IF(J1067="","",IF(J1067=1,"Every week",R1067+1&amp;" of "&amp;J1067))</f>
        <v/>
      </c>
      <c r="N1067" s="28" t="str">
        <f aca="false">IF(J1067="","",Settings!$B$4+R1067*7+Q1067)</f>
        <v/>
      </c>
      <c r="O1067" s="28" t="str">
        <f aca="true">IF(J1067="","",N1067+MAX(0,ROUNDUP((TODAY()-N1067)/(J1067*7),0))*J1067*7)</f>
        <v/>
      </c>
      <c r="P1067" s="27" t="str">
        <f aca="false">IF(J1067="","",MOD(K1067-1,J1067*4))</f>
        <v/>
      </c>
      <c r="Q1067" s="27" t="str">
        <f aca="false">IF(J1067="","",MOD(P1067,4))</f>
        <v/>
      </c>
      <c r="R1067" s="27" t="str">
        <f aca="false">IF(J1067="","",INT(P1067/4))</f>
        <v/>
      </c>
      <c r="S1067" s="27" t="str">
        <f aca="false">IF(J1067="","",IF(AND('Daily Count Sheet'!$H$3=Q1067,MOD('Daily Count Sheet'!$I$3,J1067)=R1067),1,""))</f>
        <v/>
      </c>
      <c r="T1067" s="27" t="str">
        <f aca="false">IF(S1067=1,COUNTIF($S$2:S1067,1),"")</f>
        <v/>
      </c>
    </row>
    <row r="1068" customFormat="false" ht="15" hidden="false" customHeight="false" outlineLevel="0" collapsed="false">
      <c r="H1068" s="26"/>
      <c r="I1068" s="27" t="str">
        <f aca="false">IF(A1068="","",IF(H1068&lt;&gt;"",UPPER(TRIM(H1068)),IFERROR(CHOOSE(VALUE(E1068)+1,"A","B","C","D"),IF(OR(LEFT(UPPER(TRIM(E1068)),1)="F",UPPER(TRIM(E1068))="A"),"A",IF(OR(LEFT(UPPER(TRIM(E1068)),1)="M",UPPER(TRIM(E1068))="B"),"B",IF(OR(LEFT(UPPER(TRIM(E1068)),2)="SL",UPPER(TRIM(E1068))="C"),"C",IF(OR(LEFT(UPPER(TRIM(E1068)),1)="D",UPPER(TRIM(E1068))="D"),"D","")))))))</f>
        <v/>
      </c>
      <c r="J1068" s="27" t="str">
        <f aca="false">IF(I1068="","",IF(AND(I1068="D",Settings!$B$6&lt;&gt;"Yes"),"",IFERROR(INDEX(Settings!$C$9:$C$12,MATCH(I1068,Settings!$A$9:$A$12,0)),"")))</f>
        <v/>
      </c>
      <c r="K1068" s="27" t="str">
        <f aca="false">IF(J1068="","",COUNTIF($I$2:I1068,I1068))</f>
        <v/>
      </c>
      <c r="L1068" s="27" t="str">
        <f aca="false">IF(J1068="","",CHOOSE(Q1068+1,"Tue","Wed","Thu","Fri"))</f>
        <v/>
      </c>
      <c r="M1068" s="27" t="str">
        <f aca="false">IF(J1068="","",IF(J1068=1,"Every week",R1068+1&amp;" of "&amp;J1068))</f>
        <v/>
      </c>
      <c r="N1068" s="28" t="str">
        <f aca="false">IF(J1068="","",Settings!$B$4+R1068*7+Q1068)</f>
        <v/>
      </c>
      <c r="O1068" s="28" t="str">
        <f aca="true">IF(J1068="","",N1068+MAX(0,ROUNDUP((TODAY()-N1068)/(J1068*7),0))*J1068*7)</f>
        <v/>
      </c>
      <c r="P1068" s="27" t="str">
        <f aca="false">IF(J1068="","",MOD(K1068-1,J1068*4))</f>
        <v/>
      </c>
      <c r="Q1068" s="27" t="str">
        <f aca="false">IF(J1068="","",MOD(P1068,4))</f>
        <v/>
      </c>
      <c r="R1068" s="27" t="str">
        <f aca="false">IF(J1068="","",INT(P1068/4))</f>
        <v/>
      </c>
      <c r="S1068" s="27" t="str">
        <f aca="false">IF(J1068="","",IF(AND('Daily Count Sheet'!$H$3=Q1068,MOD('Daily Count Sheet'!$I$3,J1068)=R1068),1,""))</f>
        <v/>
      </c>
      <c r="T1068" s="27" t="str">
        <f aca="false">IF(S1068=1,COUNTIF($S$2:S1068,1),"")</f>
        <v/>
      </c>
    </row>
    <row r="1069" customFormat="false" ht="15" hidden="false" customHeight="false" outlineLevel="0" collapsed="false">
      <c r="H1069" s="26"/>
      <c r="I1069" s="27" t="str">
        <f aca="false">IF(A1069="","",IF(H1069&lt;&gt;"",UPPER(TRIM(H1069)),IFERROR(CHOOSE(VALUE(E1069)+1,"A","B","C","D"),IF(OR(LEFT(UPPER(TRIM(E1069)),1)="F",UPPER(TRIM(E1069))="A"),"A",IF(OR(LEFT(UPPER(TRIM(E1069)),1)="M",UPPER(TRIM(E1069))="B"),"B",IF(OR(LEFT(UPPER(TRIM(E1069)),2)="SL",UPPER(TRIM(E1069))="C"),"C",IF(OR(LEFT(UPPER(TRIM(E1069)),1)="D",UPPER(TRIM(E1069))="D"),"D","")))))))</f>
        <v/>
      </c>
      <c r="J1069" s="27" t="str">
        <f aca="false">IF(I1069="","",IF(AND(I1069="D",Settings!$B$6&lt;&gt;"Yes"),"",IFERROR(INDEX(Settings!$C$9:$C$12,MATCH(I1069,Settings!$A$9:$A$12,0)),"")))</f>
        <v/>
      </c>
      <c r="K1069" s="27" t="str">
        <f aca="false">IF(J1069="","",COUNTIF($I$2:I1069,I1069))</f>
        <v/>
      </c>
      <c r="L1069" s="27" t="str">
        <f aca="false">IF(J1069="","",CHOOSE(Q1069+1,"Tue","Wed","Thu","Fri"))</f>
        <v/>
      </c>
      <c r="M1069" s="27" t="str">
        <f aca="false">IF(J1069="","",IF(J1069=1,"Every week",R1069+1&amp;" of "&amp;J1069))</f>
        <v/>
      </c>
      <c r="N1069" s="28" t="str">
        <f aca="false">IF(J1069="","",Settings!$B$4+R1069*7+Q1069)</f>
        <v/>
      </c>
      <c r="O1069" s="28" t="str">
        <f aca="true">IF(J1069="","",N1069+MAX(0,ROUNDUP((TODAY()-N1069)/(J1069*7),0))*J1069*7)</f>
        <v/>
      </c>
      <c r="P1069" s="27" t="str">
        <f aca="false">IF(J1069="","",MOD(K1069-1,J1069*4))</f>
        <v/>
      </c>
      <c r="Q1069" s="27" t="str">
        <f aca="false">IF(J1069="","",MOD(P1069,4))</f>
        <v/>
      </c>
      <c r="R1069" s="27" t="str">
        <f aca="false">IF(J1069="","",INT(P1069/4))</f>
        <v/>
      </c>
      <c r="S1069" s="27" t="str">
        <f aca="false">IF(J1069="","",IF(AND('Daily Count Sheet'!$H$3=Q1069,MOD('Daily Count Sheet'!$I$3,J1069)=R1069),1,""))</f>
        <v/>
      </c>
      <c r="T1069" s="27" t="str">
        <f aca="false">IF(S1069=1,COUNTIF($S$2:S1069,1),"")</f>
        <v/>
      </c>
    </row>
    <row r="1070" customFormat="false" ht="15" hidden="false" customHeight="false" outlineLevel="0" collapsed="false">
      <c r="H1070" s="26"/>
      <c r="I1070" s="27" t="str">
        <f aca="false">IF(A1070="","",IF(H1070&lt;&gt;"",UPPER(TRIM(H1070)),IFERROR(CHOOSE(VALUE(E1070)+1,"A","B","C","D"),IF(OR(LEFT(UPPER(TRIM(E1070)),1)="F",UPPER(TRIM(E1070))="A"),"A",IF(OR(LEFT(UPPER(TRIM(E1070)),1)="M",UPPER(TRIM(E1070))="B"),"B",IF(OR(LEFT(UPPER(TRIM(E1070)),2)="SL",UPPER(TRIM(E1070))="C"),"C",IF(OR(LEFT(UPPER(TRIM(E1070)),1)="D",UPPER(TRIM(E1070))="D"),"D","")))))))</f>
        <v/>
      </c>
      <c r="J1070" s="27" t="str">
        <f aca="false">IF(I1070="","",IF(AND(I1070="D",Settings!$B$6&lt;&gt;"Yes"),"",IFERROR(INDEX(Settings!$C$9:$C$12,MATCH(I1070,Settings!$A$9:$A$12,0)),"")))</f>
        <v/>
      </c>
      <c r="K1070" s="27" t="str">
        <f aca="false">IF(J1070="","",COUNTIF($I$2:I1070,I1070))</f>
        <v/>
      </c>
      <c r="L1070" s="27" t="str">
        <f aca="false">IF(J1070="","",CHOOSE(Q1070+1,"Tue","Wed","Thu","Fri"))</f>
        <v/>
      </c>
      <c r="M1070" s="27" t="str">
        <f aca="false">IF(J1070="","",IF(J1070=1,"Every week",R1070+1&amp;" of "&amp;J1070))</f>
        <v/>
      </c>
      <c r="N1070" s="28" t="str">
        <f aca="false">IF(J1070="","",Settings!$B$4+R1070*7+Q1070)</f>
        <v/>
      </c>
      <c r="O1070" s="28" t="str">
        <f aca="true">IF(J1070="","",N1070+MAX(0,ROUNDUP((TODAY()-N1070)/(J1070*7),0))*J1070*7)</f>
        <v/>
      </c>
      <c r="P1070" s="27" t="str">
        <f aca="false">IF(J1070="","",MOD(K1070-1,J1070*4))</f>
        <v/>
      </c>
      <c r="Q1070" s="27" t="str">
        <f aca="false">IF(J1070="","",MOD(P1070,4))</f>
        <v/>
      </c>
      <c r="R1070" s="27" t="str">
        <f aca="false">IF(J1070="","",INT(P1070/4))</f>
        <v/>
      </c>
      <c r="S1070" s="27" t="str">
        <f aca="false">IF(J1070="","",IF(AND('Daily Count Sheet'!$H$3=Q1070,MOD('Daily Count Sheet'!$I$3,J1070)=R1070),1,""))</f>
        <v/>
      </c>
      <c r="T1070" s="27" t="str">
        <f aca="false">IF(S1070=1,COUNTIF($S$2:S1070,1),"")</f>
        <v/>
      </c>
    </row>
    <row r="1071" customFormat="false" ht="15" hidden="false" customHeight="false" outlineLevel="0" collapsed="false">
      <c r="H1071" s="26"/>
      <c r="I1071" s="27" t="str">
        <f aca="false">IF(A1071="","",IF(H1071&lt;&gt;"",UPPER(TRIM(H1071)),IFERROR(CHOOSE(VALUE(E1071)+1,"A","B","C","D"),IF(OR(LEFT(UPPER(TRIM(E1071)),1)="F",UPPER(TRIM(E1071))="A"),"A",IF(OR(LEFT(UPPER(TRIM(E1071)),1)="M",UPPER(TRIM(E1071))="B"),"B",IF(OR(LEFT(UPPER(TRIM(E1071)),2)="SL",UPPER(TRIM(E1071))="C"),"C",IF(OR(LEFT(UPPER(TRIM(E1071)),1)="D",UPPER(TRIM(E1071))="D"),"D","")))))))</f>
        <v/>
      </c>
      <c r="J1071" s="27" t="str">
        <f aca="false">IF(I1071="","",IF(AND(I1071="D",Settings!$B$6&lt;&gt;"Yes"),"",IFERROR(INDEX(Settings!$C$9:$C$12,MATCH(I1071,Settings!$A$9:$A$12,0)),"")))</f>
        <v/>
      </c>
      <c r="K1071" s="27" t="str">
        <f aca="false">IF(J1071="","",COUNTIF($I$2:I1071,I1071))</f>
        <v/>
      </c>
      <c r="L1071" s="27" t="str">
        <f aca="false">IF(J1071="","",CHOOSE(Q1071+1,"Tue","Wed","Thu","Fri"))</f>
        <v/>
      </c>
      <c r="M1071" s="27" t="str">
        <f aca="false">IF(J1071="","",IF(J1071=1,"Every week",R1071+1&amp;" of "&amp;J1071))</f>
        <v/>
      </c>
      <c r="N1071" s="28" t="str">
        <f aca="false">IF(J1071="","",Settings!$B$4+R1071*7+Q1071)</f>
        <v/>
      </c>
      <c r="O1071" s="28" t="str">
        <f aca="true">IF(J1071="","",N1071+MAX(0,ROUNDUP((TODAY()-N1071)/(J1071*7),0))*J1071*7)</f>
        <v/>
      </c>
      <c r="P1071" s="27" t="str">
        <f aca="false">IF(J1071="","",MOD(K1071-1,J1071*4))</f>
        <v/>
      </c>
      <c r="Q1071" s="27" t="str">
        <f aca="false">IF(J1071="","",MOD(P1071,4))</f>
        <v/>
      </c>
      <c r="R1071" s="27" t="str">
        <f aca="false">IF(J1071="","",INT(P1071/4))</f>
        <v/>
      </c>
      <c r="S1071" s="27" t="str">
        <f aca="false">IF(J1071="","",IF(AND('Daily Count Sheet'!$H$3=Q1071,MOD('Daily Count Sheet'!$I$3,J1071)=R1071),1,""))</f>
        <v/>
      </c>
      <c r="T1071" s="27" t="str">
        <f aca="false">IF(S1071=1,COUNTIF($S$2:S1071,1),"")</f>
        <v/>
      </c>
    </row>
    <row r="1072" customFormat="false" ht="15" hidden="false" customHeight="false" outlineLevel="0" collapsed="false">
      <c r="H1072" s="26"/>
      <c r="I1072" s="27" t="str">
        <f aca="false">IF(A1072="","",IF(H1072&lt;&gt;"",UPPER(TRIM(H1072)),IFERROR(CHOOSE(VALUE(E1072)+1,"A","B","C","D"),IF(OR(LEFT(UPPER(TRIM(E1072)),1)="F",UPPER(TRIM(E1072))="A"),"A",IF(OR(LEFT(UPPER(TRIM(E1072)),1)="M",UPPER(TRIM(E1072))="B"),"B",IF(OR(LEFT(UPPER(TRIM(E1072)),2)="SL",UPPER(TRIM(E1072))="C"),"C",IF(OR(LEFT(UPPER(TRIM(E1072)),1)="D",UPPER(TRIM(E1072))="D"),"D","")))))))</f>
        <v/>
      </c>
      <c r="J1072" s="27" t="str">
        <f aca="false">IF(I1072="","",IF(AND(I1072="D",Settings!$B$6&lt;&gt;"Yes"),"",IFERROR(INDEX(Settings!$C$9:$C$12,MATCH(I1072,Settings!$A$9:$A$12,0)),"")))</f>
        <v/>
      </c>
      <c r="K1072" s="27" t="str">
        <f aca="false">IF(J1072="","",COUNTIF($I$2:I1072,I1072))</f>
        <v/>
      </c>
      <c r="L1072" s="27" t="str">
        <f aca="false">IF(J1072="","",CHOOSE(Q1072+1,"Tue","Wed","Thu","Fri"))</f>
        <v/>
      </c>
      <c r="M1072" s="27" t="str">
        <f aca="false">IF(J1072="","",IF(J1072=1,"Every week",R1072+1&amp;" of "&amp;J1072))</f>
        <v/>
      </c>
      <c r="N1072" s="28" t="str">
        <f aca="false">IF(J1072="","",Settings!$B$4+R1072*7+Q1072)</f>
        <v/>
      </c>
      <c r="O1072" s="28" t="str">
        <f aca="true">IF(J1072="","",N1072+MAX(0,ROUNDUP((TODAY()-N1072)/(J1072*7),0))*J1072*7)</f>
        <v/>
      </c>
      <c r="P1072" s="27" t="str">
        <f aca="false">IF(J1072="","",MOD(K1072-1,J1072*4))</f>
        <v/>
      </c>
      <c r="Q1072" s="27" t="str">
        <f aca="false">IF(J1072="","",MOD(P1072,4))</f>
        <v/>
      </c>
      <c r="R1072" s="27" t="str">
        <f aca="false">IF(J1072="","",INT(P1072/4))</f>
        <v/>
      </c>
      <c r="S1072" s="27" t="str">
        <f aca="false">IF(J1072="","",IF(AND('Daily Count Sheet'!$H$3=Q1072,MOD('Daily Count Sheet'!$I$3,J1072)=R1072),1,""))</f>
        <v/>
      </c>
      <c r="T1072" s="27" t="str">
        <f aca="false">IF(S1072=1,COUNTIF($S$2:S1072,1),"")</f>
        <v/>
      </c>
    </row>
    <row r="1073" customFormat="false" ht="15" hidden="false" customHeight="false" outlineLevel="0" collapsed="false">
      <c r="H1073" s="26"/>
      <c r="I1073" s="27" t="str">
        <f aca="false">IF(A1073="","",IF(H1073&lt;&gt;"",UPPER(TRIM(H1073)),IFERROR(CHOOSE(VALUE(E1073)+1,"A","B","C","D"),IF(OR(LEFT(UPPER(TRIM(E1073)),1)="F",UPPER(TRIM(E1073))="A"),"A",IF(OR(LEFT(UPPER(TRIM(E1073)),1)="M",UPPER(TRIM(E1073))="B"),"B",IF(OR(LEFT(UPPER(TRIM(E1073)),2)="SL",UPPER(TRIM(E1073))="C"),"C",IF(OR(LEFT(UPPER(TRIM(E1073)),1)="D",UPPER(TRIM(E1073))="D"),"D","")))))))</f>
        <v/>
      </c>
      <c r="J1073" s="27" t="str">
        <f aca="false">IF(I1073="","",IF(AND(I1073="D",Settings!$B$6&lt;&gt;"Yes"),"",IFERROR(INDEX(Settings!$C$9:$C$12,MATCH(I1073,Settings!$A$9:$A$12,0)),"")))</f>
        <v/>
      </c>
      <c r="K1073" s="27" t="str">
        <f aca="false">IF(J1073="","",COUNTIF($I$2:I1073,I1073))</f>
        <v/>
      </c>
      <c r="L1073" s="27" t="str">
        <f aca="false">IF(J1073="","",CHOOSE(Q1073+1,"Tue","Wed","Thu","Fri"))</f>
        <v/>
      </c>
      <c r="M1073" s="27" t="str">
        <f aca="false">IF(J1073="","",IF(J1073=1,"Every week",R1073+1&amp;" of "&amp;J1073))</f>
        <v/>
      </c>
      <c r="N1073" s="28" t="str">
        <f aca="false">IF(J1073="","",Settings!$B$4+R1073*7+Q1073)</f>
        <v/>
      </c>
      <c r="O1073" s="28" t="str">
        <f aca="true">IF(J1073="","",N1073+MAX(0,ROUNDUP((TODAY()-N1073)/(J1073*7),0))*J1073*7)</f>
        <v/>
      </c>
      <c r="P1073" s="27" t="str">
        <f aca="false">IF(J1073="","",MOD(K1073-1,J1073*4))</f>
        <v/>
      </c>
      <c r="Q1073" s="27" t="str">
        <f aca="false">IF(J1073="","",MOD(P1073,4))</f>
        <v/>
      </c>
      <c r="R1073" s="27" t="str">
        <f aca="false">IF(J1073="","",INT(P1073/4))</f>
        <v/>
      </c>
      <c r="S1073" s="27" t="str">
        <f aca="false">IF(J1073="","",IF(AND('Daily Count Sheet'!$H$3=Q1073,MOD('Daily Count Sheet'!$I$3,J1073)=R1073),1,""))</f>
        <v/>
      </c>
      <c r="T1073" s="27" t="str">
        <f aca="false">IF(S1073=1,COUNTIF($S$2:S1073,1),"")</f>
        <v/>
      </c>
    </row>
    <row r="1074" customFormat="false" ht="15" hidden="false" customHeight="false" outlineLevel="0" collapsed="false">
      <c r="H1074" s="26"/>
      <c r="I1074" s="27" t="str">
        <f aca="false">IF(A1074="","",IF(H1074&lt;&gt;"",UPPER(TRIM(H1074)),IFERROR(CHOOSE(VALUE(E1074)+1,"A","B","C","D"),IF(OR(LEFT(UPPER(TRIM(E1074)),1)="F",UPPER(TRIM(E1074))="A"),"A",IF(OR(LEFT(UPPER(TRIM(E1074)),1)="M",UPPER(TRIM(E1074))="B"),"B",IF(OR(LEFT(UPPER(TRIM(E1074)),2)="SL",UPPER(TRIM(E1074))="C"),"C",IF(OR(LEFT(UPPER(TRIM(E1074)),1)="D",UPPER(TRIM(E1074))="D"),"D","")))))))</f>
        <v/>
      </c>
      <c r="J1074" s="27" t="str">
        <f aca="false">IF(I1074="","",IF(AND(I1074="D",Settings!$B$6&lt;&gt;"Yes"),"",IFERROR(INDEX(Settings!$C$9:$C$12,MATCH(I1074,Settings!$A$9:$A$12,0)),"")))</f>
        <v/>
      </c>
      <c r="K1074" s="27" t="str">
        <f aca="false">IF(J1074="","",COUNTIF($I$2:I1074,I1074))</f>
        <v/>
      </c>
      <c r="L1074" s="27" t="str">
        <f aca="false">IF(J1074="","",CHOOSE(Q1074+1,"Tue","Wed","Thu","Fri"))</f>
        <v/>
      </c>
      <c r="M1074" s="27" t="str">
        <f aca="false">IF(J1074="","",IF(J1074=1,"Every week",R1074+1&amp;" of "&amp;J1074))</f>
        <v/>
      </c>
      <c r="N1074" s="28" t="str">
        <f aca="false">IF(J1074="","",Settings!$B$4+R1074*7+Q1074)</f>
        <v/>
      </c>
      <c r="O1074" s="28" t="str">
        <f aca="true">IF(J1074="","",N1074+MAX(0,ROUNDUP((TODAY()-N1074)/(J1074*7),0))*J1074*7)</f>
        <v/>
      </c>
      <c r="P1074" s="27" t="str">
        <f aca="false">IF(J1074="","",MOD(K1074-1,J1074*4))</f>
        <v/>
      </c>
      <c r="Q1074" s="27" t="str">
        <f aca="false">IF(J1074="","",MOD(P1074,4))</f>
        <v/>
      </c>
      <c r="R1074" s="27" t="str">
        <f aca="false">IF(J1074="","",INT(P1074/4))</f>
        <v/>
      </c>
      <c r="S1074" s="27" t="str">
        <f aca="false">IF(J1074="","",IF(AND('Daily Count Sheet'!$H$3=Q1074,MOD('Daily Count Sheet'!$I$3,J1074)=R1074),1,""))</f>
        <v/>
      </c>
      <c r="T1074" s="27" t="str">
        <f aca="false">IF(S1074=1,COUNTIF($S$2:S1074,1),"")</f>
        <v/>
      </c>
    </row>
    <row r="1075" customFormat="false" ht="15" hidden="false" customHeight="false" outlineLevel="0" collapsed="false">
      <c r="H1075" s="26"/>
      <c r="I1075" s="27" t="str">
        <f aca="false">IF(A1075="","",IF(H1075&lt;&gt;"",UPPER(TRIM(H1075)),IFERROR(CHOOSE(VALUE(E1075)+1,"A","B","C","D"),IF(OR(LEFT(UPPER(TRIM(E1075)),1)="F",UPPER(TRIM(E1075))="A"),"A",IF(OR(LEFT(UPPER(TRIM(E1075)),1)="M",UPPER(TRIM(E1075))="B"),"B",IF(OR(LEFT(UPPER(TRIM(E1075)),2)="SL",UPPER(TRIM(E1075))="C"),"C",IF(OR(LEFT(UPPER(TRIM(E1075)),1)="D",UPPER(TRIM(E1075))="D"),"D","")))))))</f>
        <v/>
      </c>
      <c r="J1075" s="27" t="str">
        <f aca="false">IF(I1075="","",IF(AND(I1075="D",Settings!$B$6&lt;&gt;"Yes"),"",IFERROR(INDEX(Settings!$C$9:$C$12,MATCH(I1075,Settings!$A$9:$A$12,0)),"")))</f>
        <v/>
      </c>
      <c r="K1075" s="27" t="str">
        <f aca="false">IF(J1075="","",COUNTIF($I$2:I1075,I1075))</f>
        <v/>
      </c>
      <c r="L1075" s="27" t="str">
        <f aca="false">IF(J1075="","",CHOOSE(Q1075+1,"Tue","Wed","Thu","Fri"))</f>
        <v/>
      </c>
      <c r="M1075" s="27" t="str">
        <f aca="false">IF(J1075="","",IF(J1075=1,"Every week",R1075+1&amp;" of "&amp;J1075))</f>
        <v/>
      </c>
      <c r="N1075" s="28" t="str">
        <f aca="false">IF(J1075="","",Settings!$B$4+R1075*7+Q1075)</f>
        <v/>
      </c>
      <c r="O1075" s="28" t="str">
        <f aca="true">IF(J1075="","",N1075+MAX(0,ROUNDUP((TODAY()-N1075)/(J1075*7),0))*J1075*7)</f>
        <v/>
      </c>
      <c r="P1075" s="27" t="str">
        <f aca="false">IF(J1075="","",MOD(K1075-1,J1075*4))</f>
        <v/>
      </c>
      <c r="Q1075" s="27" t="str">
        <f aca="false">IF(J1075="","",MOD(P1075,4))</f>
        <v/>
      </c>
      <c r="R1075" s="27" t="str">
        <f aca="false">IF(J1075="","",INT(P1075/4))</f>
        <v/>
      </c>
      <c r="S1075" s="27" t="str">
        <f aca="false">IF(J1075="","",IF(AND('Daily Count Sheet'!$H$3=Q1075,MOD('Daily Count Sheet'!$I$3,J1075)=R1075),1,""))</f>
        <v/>
      </c>
      <c r="T1075" s="27" t="str">
        <f aca="false">IF(S1075=1,COUNTIF($S$2:S1075,1),"")</f>
        <v/>
      </c>
    </row>
    <row r="1076" customFormat="false" ht="15" hidden="false" customHeight="false" outlineLevel="0" collapsed="false">
      <c r="H1076" s="26"/>
      <c r="I1076" s="27" t="str">
        <f aca="false">IF(A1076="","",IF(H1076&lt;&gt;"",UPPER(TRIM(H1076)),IFERROR(CHOOSE(VALUE(E1076)+1,"A","B","C","D"),IF(OR(LEFT(UPPER(TRIM(E1076)),1)="F",UPPER(TRIM(E1076))="A"),"A",IF(OR(LEFT(UPPER(TRIM(E1076)),1)="M",UPPER(TRIM(E1076))="B"),"B",IF(OR(LEFT(UPPER(TRIM(E1076)),2)="SL",UPPER(TRIM(E1076))="C"),"C",IF(OR(LEFT(UPPER(TRIM(E1076)),1)="D",UPPER(TRIM(E1076))="D"),"D","")))))))</f>
        <v/>
      </c>
      <c r="J1076" s="27" t="str">
        <f aca="false">IF(I1076="","",IF(AND(I1076="D",Settings!$B$6&lt;&gt;"Yes"),"",IFERROR(INDEX(Settings!$C$9:$C$12,MATCH(I1076,Settings!$A$9:$A$12,0)),"")))</f>
        <v/>
      </c>
      <c r="K1076" s="27" t="str">
        <f aca="false">IF(J1076="","",COUNTIF($I$2:I1076,I1076))</f>
        <v/>
      </c>
      <c r="L1076" s="27" t="str">
        <f aca="false">IF(J1076="","",CHOOSE(Q1076+1,"Tue","Wed","Thu","Fri"))</f>
        <v/>
      </c>
      <c r="M1076" s="27" t="str">
        <f aca="false">IF(J1076="","",IF(J1076=1,"Every week",R1076+1&amp;" of "&amp;J1076))</f>
        <v/>
      </c>
      <c r="N1076" s="28" t="str">
        <f aca="false">IF(J1076="","",Settings!$B$4+R1076*7+Q1076)</f>
        <v/>
      </c>
      <c r="O1076" s="28" t="str">
        <f aca="true">IF(J1076="","",N1076+MAX(0,ROUNDUP((TODAY()-N1076)/(J1076*7),0))*J1076*7)</f>
        <v/>
      </c>
      <c r="P1076" s="27" t="str">
        <f aca="false">IF(J1076="","",MOD(K1076-1,J1076*4))</f>
        <v/>
      </c>
      <c r="Q1076" s="27" t="str">
        <f aca="false">IF(J1076="","",MOD(P1076,4))</f>
        <v/>
      </c>
      <c r="R1076" s="27" t="str">
        <f aca="false">IF(J1076="","",INT(P1076/4))</f>
        <v/>
      </c>
      <c r="S1076" s="27" t="str">
        <f aca="false">IF(J1076="","",IF(AND('Daily Count Sheet'!$H$3=Q1076,MOD('Daily Count Sheet'!$I$3,J1076)=R1076),1,""))</f>
        <v/>
      </c>
      <c r="T1076" s="27" t="str">
        <f aca="false">IF(S1076=1,COUNTIF($S$2:S1076,1),"")</f>
        <v/>
      </c>
    </row>
    <row r="1077" customFormat="false" ht="15" hidden="false" customHeight="false" outlineLevel="0" collapsed="false">
      <c r="H1077" s="26"/>
      <c r="I1077" s="27" t="str">
        <f aca="false">IF(A1077="","",IF(H1077&lt;&gt;"",UPPER(TRIM(H1077)),IFERROR(CHOOSE(VALUE(E1077)+1,"A","B","C","D"),IF(OR(LEFT(UPPER(TRIM(E1077)),1)="F",UPPER(TRIM(E1077))="A"),"A",IF(OR(LEFT(UPPER(TRIM(E1077)),1)="M",UPPER(TRIM(E1077))="B"),"B",IF(OR(LEFT(UPPER(TRIM(E1077)),2)="SL",UPPER(TRIM(E1077))="C"),"C",IF(OR(LEFT(UPPER(TRIM(E1077)),1)="D",UPPER(TRIM(E1077))="D"),"D","")))))))</f>
        <v/>
      </c>
      <c r="J1077" s="27" t="str">
        <f aca="false">IF(I1077="","",IF(AND(I1077="D",Settings!$B$6&lt;&gt;"Yes"),"",IFERROR(INDEX(Settings!$C$9:$C$12,MATCH(I1077,Settings!$A$9:$A$12,0)),"")))</f>
        <v/>
      </c>
      <c r="K1077" s="27" t="str">
        <f aca="false">IF(J1077="","",COUNTIF($I$2:I1077,I1077))</f>
        <v/>
      </c>
      <c r="L1077" s="27" t="str">
        <f aca="false">IF(J1077="","",CHOOSE(Q1077+1,"Tue","Wed","Thu","Fri"))</f>
        <v/>
      </c>
      <c r="M1077" s="27" t="str">
        <f aca="false">IF(J1077="","",IF(J1077=1,"Every week",R1077+1&amp;" of "&amp;J1077))</f>
        <v/>
      </c>
      <c r="N1077" s="28" t="str">
        <f aca="false">IF(J1077="","",Settings!$B$4+R1077*7+Q1077)</f>
        <v/>
      </c>
      <c r="O1077" s="28" t="str">
        <f aca="true">IF(J1077="","",N1077+MAX(0,ROUNDUP((TODAY()-N1077)/(J1077*7),0))*J1077*7)</f>
        <v/>
      </c>
      <c r="P1077" s="27" t="str">
        <f aca="false">IF(J1077="","",MOD(K1077-1,J1077*4))</f>
        <v/>
      </c>
      <c r="Q1077" s="27" t="str">
        <f aca="false">IF(J1077="","",MOD(P1077,4))</f>
        <v/>
      </c>
      <c r="R1077" s="27" t="str">
        <f aca="false">IF(J1077="","",INT(P1077/4))</f>
        <v/>
      </c>
      <c r="S1077" s="27" t="str">
        <f aca="false">IF(J1077="","",IF(AND('Daily Count Sheet'!$H$3=Q1077,MOD('Daily Count Sheet'!$I$3,J1077)=R1077),1,""))</f>
        <v/>
      </c>
      <c r="T1077" s="27" t="str">
        <f aca="false">IF(S1077=1,COUNTIF($S$2:S1077,1),"")</f>
        <v/>
      </c>
    </row>
    <row r="1078" customFormat="false" ht="15" hidden="false" customHeight="false" outlineLevel="0" collapsed="false">
      <c r="H1078" s="26"/>
      <c r="I1078" s="27" t="str">
        <f aca="false">IF(A1078="","",IF(H1078&lt;&gt;"",UPPER(TRIM(H1078)),IFERROR(CHOOSE(VALUE(E1078)+1,"A","B","C","D"),IF(OR(LEFT(UPPER(TRIM(E1078)),1)="F",UPPER(TRIM(E1078))="A"),"A",IF(OR(LEFT(UPPER(TRIM(E1078)),1)="M",UPPER(TRIM(E1078))="B"),"B",IF(OR(LEFT(UPPER(TRIM(E1078)),2)="SL",UPPER(TRIM(E1078))="C"),"C",IF(OR(LEFT(UPPER(TRIM(E1078)),1)="D",UPPER(TRIM(E1078))="D"),"D","")))))))</f>
        <v/>
      </c>
      <c r="J1078" s="27" t="str">
        <f aca="false">IF(I1078="","",IF(AND(I1078="D",Settings!$B$6&lt;&gt;"Yes"),"",IFERROR(INDEX(Settings!$C$9:$C$12,MATCH(I1078,Settings!$A$9:$A$12,0)),"")))</f>
        <v/>
      </c>
      <c r="K1078" s="27" t="str">
        <f aca="false">IF(J1078="","",COUNTIF($I$2:I1078,I1078))</f>
        <v/>
      </c>
      <c r="L1078" s="27" t="str">
        <f aca="false">IF(J1078="","",CHOOSE(Q1078+1,"Tue","Wed","Thu","Fri"))</f>
        <v/>
      </c>
      <c r="M1078" s="27" t="str">
        <f aca="false">IF(J1078="","",IF(J1078=1,"Every week",R1078+1&amp;" of "&amp;J1078))</f>
        <v/>
      </c>
      <c r="N1078" s="28" t="str">
        <f aca="false">IF(J1078="","",Settings!$B$4+R1078*7+Q1078)</f>
        <v/>
      </c>
      <c r="O1078" s="28" t="str">
        <f aca="true">IF(J1078="","",N1078+MAX(0,ROUNDUP((TODAY()-N1078)/(J1078*7),0))*J1078*7)</f>
        <v/>
      </c>
      <c r="P1078" s="27" t="str">
        <f aca="false">IF(J1078="","",MOD(K1078-1,J1078*4))</f>
        <v/>
      </c>
      <c r="Q1078" s="27" t="str">
        <f aca="false">IF(J1078="","",MOD(P1078,4))</f>
        <v/>
      </c>
      <c r="R1078" s="27" t="str">
        <f aca="false">IF(J1078="","",INT(P1078/4))</f>
        <v/>
      </c>
      <c r="S1078" s="27" t="str">
        <f aca="false">IF(J1078="","",IF(AND('Daily Count Sheet'!$H$3=Q1078,MOD('Daily Count Sheet'!$I$3,J1078)=R1078),1,""))</f>
        <v/>
      </c>
      <c r="T1078" s="27" t="str">
        <f aca="false">IF(S1078=1,COUNTIF($S$2:S1078,1),"")</f>
        <v/>
      </c>
    </row>
    <row r="1079" customFormat="false" ht="15" hidden="false" customHeight="false" outlineLevel="0" collapsed="false">
      <c r="H1079" s="26"/>
      <c r="I1079" s="27" t="str">
        <f aca="false">IF(A1079="","",IF(H1079&lt;&gt;"",UPPER(TRIM(H1079)),IFERROR(CHOOSE(VALUE(E1079)+1,"A","B","C","D"),IF(OR(LEFT(UPPER(TRIM(E1079)),1)="F",UPPER(TRIM(E1079))="A"),"A",IF(OR(LEFT(UPPER(TRIM(E1079)),1)="M",UPPER(TRIM(E1079))="B"),"B",IF(OR(LEFT(UPPER(TRIM(E1079)),2)="SL",UPPER(TRIM(E1079))="C"),"C",IF(OR(LEFT(UPPER(TRIM(E1079)),1)="D",UPPER(TRIM(E1079))="D"),"D","")))))))</f>
        <v/>
      </c>
      <c r="J1079" s="27" t="str">
        <f aca="false">IF(I1079="","",IF(AND(I1079="D",Settings!$B$6&lt;&gt;"Yes"),"",IFERROR(INDEX(Settings!$C$9:$C$12,MATCH(I1079,Settings!$A$9:$A$12,0)),"")))</f>
        <v/>
      </c>
      <c r="K1079" s="27" t="str">
        <f aca="false">IF(J1079="","",COUNTIF($I$2:I1079,I1079))</f>
        <v/>
      </c>
      <c r="L1079" s="27" t="str">
        <f aca="false">IF(J1079="","",CHOOSE(Q1079+1,"Tue","Wed","Thu","Fri"))</f>
        <v/>
      </c>
      <c r="M1079" s="27" t="str">
        <f aca="false">IF(J1079="","",IF(J1079=1,"Every week",R1079+1&amp;" of "&amp;J1079))</f>
        <v/>
      </c>
      <c r="N1079" s="28" t="str">
        <f aca="false">IF(J1079="","",Settings!$B$4+R1079*7+Q1079)</f>
        <v/>
      </c>
      <c r="O1079" s="28" t="str">
        <f aca="true">IF(J1079="","",N1079+MAX(0,ROUNDUP((TODAY()-N1079)/(J1079*7),0))*J1079*7)</f>
        <v/>
      </c>
      <c r="P1079" s="27" t="str">
        <f aca="false">IF(J1079="","",MOD(K1079-1,J1079*4))</f>
        <v/>
      </c>
      <c r="Q1079" s="27" t="str">
        <f aca="false">IF(J1079="","",MOD(P1079,4))</f>
        <v/>
      </c>
      <c r="R1079" s="27" t="str">
        <f aca="false">IF(J1079="","",INT(P1079/4))</f>
        <v/>
      </c>
      <c r="S1079" s="27" t="str">
        <f aca="false">IF(J1079="","",IF(AND('Daily Count Sheet'!$H$3=Q1079,MOD('Daily Count Sheet'!$I$3,J1079)=R1079),1,""))</f>
        <v/>
      </c>
      <c r="T1079" s="27" t="str">
        <f aca="false">IF(S1079=1,COUNTIF($S$2:S1079,1),"")</f>
        <v/>
      </c>
    </row>
    <row r="1080" customFormat="false" ht="15" hidden="false" customHeight="false" outlineLevel="0" collapsed="false">
      <c r="H1080" s="26"/>
      <c r="I1080" s="27" t="str">
        <f aca="false">IF(A1080="","",IF(H1080&lt;&gt;"",UPPER(TRIM(H1080)),IFERROR(CHOOSE(VALUE(E1080)+1,"A","B","C","D"),IF(OR(LEFT(UPPER(TRIM(E1080)),1)="F",UPPER(TRIM(E1080))="A"),"A",IF(OR(LEFT(UPPER(TRIM(E1080)),1)="M",UPPER(TRIM(E1080))="B"),"B",IF(OR(LEFT(UPPER(TRIM(E1080)),2)="SL",UPPER(TRIM(E1080))="C"),"C",IF(OR(LEFT(UPPER(TRIM(E1080)),1)="D",UPPER(TRIM(E1080))="D"),"D","")))))))</f>
        <v/>
      </c>
      <c r="J1080" s="27" t="str">
        <f aca="false">IF(I1080="","",IF(AND(I1080="D",Settings!$B$6&lt;&gt;"Yes"),"",IFERROR(INDEX(Settings!$C$9:$C$12,MATCH(I1080,Settings!$A$9:$A$12,0)),"")))</f>
        <v/>
      </c>
      <c r="K1080" s="27" t="str">
        <f aca="false">IF(J1080="","",COUNTIF($I$2:I1080,I1080))</f>
        <v/>
      </c>
      <c r="L1080" s="27" t="str">
        <f aca="false">IF(J1080="","",CHOOSE(Q1080+1,"Tue","Wed","Thu","Fri"))</f>
        <v/>
      </c>
      <c r="M1080" s="27" t="str">
        <f aca="false">IF(J1080="","",IF(J1080=1,"Every week",R1080+1&amp;" of "&amp;J1080))</f>
        <v/>
      </c>
      <c r="N1080" s="28" t="str">
        <f aca="false">IF(J1080="","",Settings!$B$4+R1080*7+Q1080)</f>
        <v/>
      </c>
      <c r="O1080" s="28" t="str">
        <f aca="true">IF(J1080="","",N1080+MAX(0,ROUNDUP((TODAY()-N1080)/(J1080*7),0))*J1080*7)</f>
        <v/>
      </c>
      <c r="P1080" s="27" t="str">
        <f aca="false">IF(J1080="","",MOD(K1080-1,J1080*4))</f>
        <v/>
      </c>
      <c r="Q1080" s="27" t="str">
        <f aca="false">IF(J1080="","",MOD(P1080,4))</f>
        <v/>
      </c>
      <c r="R1080" s="27" t="str">
        <f aca="false">IF(J1080="","",INT(P1080/4))</f>
        <v/>
      </c>
      <c r="S1080" s="27" t="str">
        <f aca="false">IF(J1080="","",IF(AND('Daily Count Sheet'!$H$3=Q1080,MOD('Daily Count Sheet'!$I$3,J1080)=R1080),1,""))</f>
        <v/>
      </c>
      <c r="T1080" s="27" t="str">
        <f aca="false">IF(S1080=1,COUNTIF($S$2:S1080,1),"")</f>
        <v/>
      </c>
    </row>
    <row r="1081" customFormat="false" ht="15" hidden="false" customHeight="false" outlineLevel="0" collapsed="false">
      <c r="H1081" s="26"/>
      <c r="I1081" s="27" t="str">
        <f aca="false">IF(A1081="","",IF(H1081&lt;&gt;"",UPPER(TRIM(H1081)),IFERROR(CHOOSE(VALUE(E1081)+1,"A","B","C","D"),IF(OR(LEFT(UPPER(TRIM(E1081)),1)="F",UPPER(TRIM(E1081))="A"),"A",IF(OR(LEFT(UPPER(TRIM(E1081)),1)="M",UPPER(TRIM(E1081))="B"),"B",IF(OR(LEFT(UPPER(TRIM(E1081)),2)="SL",UPPER(TRIM(E1081))="C"),"C",IF(OR(LEFT(UPPER(TRIM(E1081)),1)="D",UPPER(TRIM(E1081))="D"),"D","")))))))</f>
        <v/>
      </c>
      <c r="J1081" s="27" t="str">
        <f aca="false">IF(I1081="","",IF(AND(I1081="D",Settings!$B$6&lt;&gt;"Yes"),"",IFERROR(INDEX(Settings!$C$9:$C$12,MATCH(I1081,Settings!$A$9:$A$12,0)),"")))</f>
        <v/>
      </c>
      <c r="K1081" s="27" t="str">
        <f aca="false">IF(J1081="","",COUNTIF($I$2:I1081,I1081))</f>
        <v/>
      </c>
      <c r="L1081" s="27" t="str">
        <f aca="false">IF(J1081="","",CHOOSE(Q1081+1,"Tue","Wed","Thu","Fri"))</f>
        <v/>
      </c>
      <c r="M1081" s="27" t="str">
        <f aca="false">IF(J1081="","",IF(J1081=1,"Every week",R1081+1&amp;" of "&amp;J1081))</f>
        <v/>
      </c>
      <c r="N1081" s="28" t="str">
        <f aca="false">IF(J1081="","",Settings!$B$4+R1081*7+Q1081)</f>
        <v/>
      </c>
      <c r="O1081" s="28" t="str">
        <f aca="true">IF(J1081="","",N1081+MAX(0,ROUNDUP((TODAY()-N1081)/(J1081*7),0))*J1081*7)</f>
        <v/>
      </c>
      <c r="P1081" s="27" t="str">
        <f aca="false">IF(J1081="","",MOD(K1081-1,J1081*4))</f>
        <v/>
      </c>
      <c r="Q1081" s="27" t="str">
        <f aca="false">IF(J1081="","",MOD(P1081,4))</f>
        <v/>
      </c>
      <c r="R1081" s="27" t="str">
        <f aca="false">IF(J1081="","",INT(P1081/4))</f>
        <v/>
      </c>
      <c r="S1081" s="27" t="str">
        <f aca="false">IF(J1081="","",IF(AND('Daily Count Sheet'!$H$3=Q1081,MOD('Daily Count Sheet'!$I$3,J1081)=R1081),1,""))</f>
        <v/>
      </c>
      <c r="T1081" s="27" t="str">
        <f aca="false">IF(S1081=1,COUNTIF($S$2:S1081,1),"")</f>
        <v/>
      </c>
    </row>
    <row r="1082" customFormat="false" ht="15" hidden="false" customHeight="false" outlineLevel="0" collapsed="false">
      <c r="H1082" s="26"/>
      <c r="I1082" s="27" t="str">
        <f aca="false">IF(A1082="","",IF(H1082&lt;&gt;"",UPPER(TRIM(H1082)),IFERROR(CHOOSE(VALUE(E1082)+1,"A","B","C","D"),IF(OR(LEFT(UPPER(TRIM(E1082)),1)="F",UPPER(TRIM(E1082))="A"),"A",IF(OR(LEFT(UPPER(TRIM(E1082)),1)="M",UPPER(TRIM(E1082))="B"),"B",IF(OR(LEFT(UPPER(TRIM(E1082)),2)="SL",UPPER(TRIM(E1082))="C"),"C",IF(OR(LEFT(UPPER(TRIM(E1082)),1)="D",UPPER(TRIM(E1082))="D"),"D","")))))))</f>
        <v/>
      </c>
      <c r="J1082" s="27" t="str">
        <f aca="false">IF(I1082="","",IF(AND(I1082="D",Settings!$B$6&lt;&gt;"Yes"),"",IFERROR(INDEX(Settings!$C$9:$C$12,MATCH(I1082,Settings!$A$9:$A$12,0)),"")))</f>
        <v/>
      </c>
      <c r="K1082" s="27" t="str">
        <f aca="false">IF(J1082="","",COUNTIF($I$2:I1082,I1082))</f>
        <v/>
      </c>
      <c r="L1082" s="27" t="str">
        <f aca="false">IF(J1082="","",CHOOSE(Q1082+1,"Tue","Wed","Thu","Fri"))</f>
        <v/>
      </c>
      <c r="M1082" s="27" t="str">
        <f aca="false">IF(J1082="","",IF(J1082=1,"Every week",R1082+1&amp;" of "&amp;J1082))</f>
        <v/>
      </c>
      <c r="N1082" s="28" t="str">
        <f aca="false">IF(J1082="","",Settings!$B$4+R1082*7+Q1082)</f>
        <v/>
      </c>
      <c r="O1082" s="28" t="str">
        <f aca="true">IF(J1082="","",N1082+MAX(0,ROUNDUP((TODAY()-N1082)/(J1082*7),0))*J1082*7)</f>
        <v/>
      </c>
      <c r="P1082" s="27" t="str">
        <f aca="false">IF(J1082="","",MOD(K1082-1,J1082*4))</f>
        <v/>
      </c>
      <c r="Q1082" s="27" t="str">
        <f aca="false">IF(J1082="","",MOD(P1082,4))</f>
        <v/>
      </c>
      <c r="R1082" s="27" t="str">
        <f aca="false">IF(J1082="","",INT(P1082/4))</f>
        <v/>
      </c>
      <c r="S1082" s="27" t="str">
        <f aca="false">IF(J1082="","",IF(AND('Daily Count Sheet'!$H$3=Q1082,MOD('Daily Count Sheet'!$I$3,J1082)=R1082),1,""))</f>
        <v/>
      </c>
      <c r="T1082" s="27" t="str">
        <f aca="false">IF(S1082=1,COUNTIF($S$2:S1082,1),"")</f>
        <v/>
      </c>
    </row>
    <row r="1083" customFormat="false" ht="15" hidden="false" customHeight="false" outlineLevel="0" collapsed="false">
      <c r="H1083" s="26"/>
      <c r="I1083" s="27" t="str">
        <f aca="false">IF(A1083="","",IF(H1083&lt;&gt;"",UPPER(TRIM(H1083)),IFERROR(CHOOSE(VALUE(E1083)+1,"A","B","C","D"),IF(OR(LEFT(UPPER(TRIM(E1083)),1)="F",UPPER(TRIM(E1083))="A"),"A",IF(OR(LEFT(UPPER(TRIM(E1083)),1)="M",UPPER(TRIM(E1083))="B"),"B",IF(OR(LEFT(UPPER(TRIM(E1083)),2)="SL",UPPER(TRIM(E1083))="C"),"C",IF(OR(LEFT(UPPER(TRIM(E1083)),1)="D",UPPER(TRIM(E1083))="D"),"D","")))))))</f>
        <v/>
      </c>
      <c r="J1083" s="27" t="str">
        <f aca="false">IF(I1083="","",IF(AND(I1083="D",Settings!$B$6&lt;&gt;"Yes"),"",IFERROR(INDEX(Settings!$C$9:$C$12,MATCH(I1083,Settings!$A$9:$A$12,0)),"")))</f>
        <v/>
      </c>
      <c r="K1083" s="27" t="str">
        <f aca="false">IF(J1083="","",COUNTIF($I$2:I1083,I1083))</f>
        <v/>
      </c>
      <c r="L1083" s="27" t="str">
        <f aca="false">IF(J1083="","",CHOOSE(Q1083+1,"Tue","Wed","Thu","Fri"))</f>
        <v/>
      </c>
      <c r="M1083" s="27" t="str">
        <f aca="false">IF(J1083="","",IF(J1083=1,"Every week",R1083+1&amp;" of "&amp;J1083))</f>
        <v/>
      </c>
      <c r="N1083" s="28" t="str">
        <f aca="false">IF(J1083="","",Settings!$B$4+R1083*7+Q1083)</f>
        <v/>
      </c>
      <c r="O1083" s="28" t="str">
        <f aca="true">IF(J1083="","",N1083+MAX(0,ROUNDUP((TODAY()-N1083)/(J1083*7),0))*J1083*7)</f>
        <v/>
      </c>
      <c r="P1083" s="27" t="str">
        <f aca="false">IF(J1083="","",MOD(K1083-1,J1083*4))</f>
        <v/>
      </c>
      <c r="Q1083" s="27" t="str">
        <f aca="false">IF(J1083="","",MOD(P1083,4))</f>
        <v/>
      </c>
      <c r="R1083" s="27" t="str">
        <f aca="false">IF(J1083="","",INT(P1083/4))</f>
        <v/>
      </c>
      <c r="S1083" s="27" t="str">
        <f aca="false">IF(J1083="","",IF(AND('Daily Count Sheet'!$H$3=Q1083,MOD('Daily Count Sheet'!$I$3,J1083)=R1083),1,""))</f>
        <v/>
      </c>
      <c r="T1083" s="27" t="str">
        <f aca="false">IF(S1083=1,COUNTIF($S$2:S1083,1),"")</f>
        <v/>
      </c>
    </row>
    <row r="1084" customFormat="false" ht="15" hidden="false" customHeight="false" outlineLevel="0" collapsed="false">
      <c r="H1084" s="26"/>
      <c r="I1084" s="27" t="str">
        <f aca="false">IF(A1084="","",IF(H1084&lt;&gt;"",UPPER(TRIM(H1084)),IFERROR(CHOOSE(VALUE(E1084)+1,"A","B","C","D"),IF(OR(LEFT(UPPER(TRIM(E1084)),1)="F",UPPER(TRIM(E1084))="A"),"A",IF(OR(LEFT(UPPER(TRIM(E1084)),1)="M",UPPER(TRIM(E1084))="B"),"B",IF(OR(LEFT(UPPER(TRIM(E1084)),2)="SL",UPPER(TRIM(E1084))="C"),"C",IF(OR(LEFT(UPPER(TRIM(E1084)),1)="D",UPPER(TRIM(E1084))="D"),"D","")))))))</f>
        <v/>
      </c>
      <c r="J1084" s="27" t="str">
        <f aca="false">IF(I1084="","",IF(AND(I1084="D",Settings!$B$6&lt;&gt;"Yes"),"",IFERROR(INDEX(Settings!$C$9:$C$12,MATCH(I1084,Settings!$A$9:$A$12,0)),"")))</f>
        <v/>
      </c>
      <c r="K1084" s="27" t="str">
        <f aca="false">IF(J1084="","",COUNTIF($I$2:I1084,I1084))</f>
        <v/>
      </c>
      <c r="L1084" s="27" t="str">
        <f aca="false">IF(J1084="","",CHOOSE(Q1084+1,"Tue","Wed","Thu","Fri"))</f>
        <v/>
      </c>
      <c r="M1084" s="27" t="str">
        <f aca="false">IF(J1084="","",IF(J1084=1,"Every week",R1084+1&amp;" of "&amp;J1084))</f>
        <v/>
      </c>
      <c r="N1084" s="28" t="str">
        <f aca="false">IF(J1084="","",Settings!$B$4+R1084*7+Q1084)</f>
        <v/>
      </c>
      <c r="O1084" s="28" t="str">
        <f aca="true">IF(J1084="","",N1084+MAX(0,ROUNDUP((TODAY()-N1084)/(J1084*7),0))*J1084*7)</f>
        <v/>
      </c>
      <c r="P1084" s="27" t="str">
        <f aca="false">IF(J1084="","",MOD(K1084-1,J1084*4))</f>
        <v/>
      </c>
      <c r="Q1084" s="27" t="str">
        <f aca="false">IF(J1084="","",MOD(P1084,4))</f>
        <v/>
      </c>
      <c r="R1084" s="27" t="str">
        <f aca="false">IF(J1084="","",INT(P1084/4))</f>
        <v/>
      </c>
      <c r="S1084" s="27" t="str">
        <f aca="false">IF(J1084="","",IF(AND('Daily Count Sheet'!$H$3=Q1084,MOD('Daily Count Sheet'!$I$3,J1084)=R1084),1,""))</f>
        <v/>
      </c>
      <c r="T1084" s="27" t="str">
        <f aca="false">IF(S1084=1,COUNTIF($S$2:S1084,1),"")</f>
        <v/>
      </c>
    </row>
    <row r="1085" customFormat="false" ht="15" hidden="false" customHeight="false" outlineLevel="0" collapsed="false">
      <c r="H1085" s="26"/>
      <c r="I1085" s="27" t="str">
        <f aca="false">IF(A1085="","",IF(H1085&lt;&gt;"",UPPER(TRIM(H1085)),IFERROR(CHOOSE(VALUE(E1085)+1,"A","B","C","D"),IF(OR(LEFT(UPPER(TRIM(E1085)),1)="F",UPPER(TRIM(E1085))="A"),"A",IF(OR(LEFT(UPPER(TRIM(E1085)),1)="M",UPPER(TRIM(E1085))="B"),"B",IF(OR(LEFT(UPPER(TRIM(E1085)),2)="SL",UPPER(TRIM(E1085))="C"),"C",IF(OR(LEFT(UPPER(TRIM(E1085)),1)="D",UPPER(TRIM(E1085))="D"),"D","")))))))</f>
        <v/>
      </c>
      <c r="J1085" s="27" t="str">
        <f aca="false">IF(I1085="","",IF(AND(I1085="D",Settings!$B$6&lt;&gt;"Yes"),"",IFERROR(INDEX(Settings!$C$9:$C$12,MATCH(I1085,Settings!$A$9:$A$12,0)),"")))</f>
        <v/>
      </c>
      <c r="K1085" s="27" t="str">
        <f aca="false">IF(J1085="","",COUNTIF($I$2:I1085,I1085))</f>
        <v/>
      </c>
      <c r="L1085" s="27" t="str">
        <f aca="false">IF(J1085="","",CHOOSE(Q1085+1,"Tue","Wed","Thu","Fri"))</f>
        <v/>
      </c>
      <c r="M1085" s="27" t="str">
        <f aca="false">IF(J1085="","",IF(J1085=1,"Every week",R1085+1&amp;" of "&amp;J1085))</f>
        <v/>
      </c>
      <c r="N1085" s="28" t="str">
        <f aca="false">IF(J1085="","",Settings!$B$4+R1085*7+Q1085)</f>
        <v/>
      </c>
      <c r="O1085" s="28" t="str">
        <f aca="true">IF(J1085="","",N1085+MAX(0,ROUNDUP((TODAY()-N1085)/(J1085*7),0))*J1085*7)</f>
        <v/>
      </c>
      <c r="P1085" s="27" t="str">
        <f aca="false">IF(J1085="","",MOD(K1085-1,J1085*4))</f>
        <v/>
      </c>
      <c r="Q1085" s="27" t="str">
        <f aca="false">IF(J1085="","",MOD(P1085,4))</f>
        <v/>
      </c>
      <c r="R1085" s="27" t="str">
        <f aca="false">IF(J1085="","",INT(P1085/4))</f>
        <v/>
      </c>
      <c r="S1085" s="27" t="str">
        <f aca="false">IF(J1085="","",IF(AND('Daily Count Sheet'!$H$3=Q1085,MOD('Daily Count Sheet'!$I$3,J1085)=R1085),1,""))</f>
        <v/>
      </c>
      <c r="T1085" s="27" t="str">
        <f aca="false">IF(S1085=1,COUNTIF($S$2:S1085,1),"")</f>
        <v/>
      </c>
    </row>
    <row r="1086" customFormat="false" ht="15" hidden="false" customHeight="false" outlineLevel="0" collapsed="false">
      <c r="H1086" s="26"/>
      <c r="I1086" s="27" t="str">
        <f aca="false">IF(A1086="","",IF(H1086&lt;&gt;"",UPPER(TRIM(H1086)),IFERROR(CHOOSE(VALUE(E1086)+1,"A","B","C","D"),IF(OR(LEFT(UPPER(TRIM(E1086)),1)="F",UPPER(TRIM(E1086))="A"),"A",IF(OR(LEFT(UPPER(TRIM(E1086)),1)="M",UPPER(TRIM(E1086))="B"),"B",IF(OR(LEFT(UPPER(TRIM(E1086)),2)="SL",UPPER(TRIM(E1086))="C"),"C",IF(OR(LEFT(UPPER(TRIM(E1086)),1)="D",UPPER(TRIM(E1086))="D"),"D","")))))))</f>
        <v/>
      </c>
      <c r="J1086" s="27" t="str">
        <f aca="false">IF(I1086="","",IF(AND(I1086="D",Settings!$B$6&lt;&gt;"Yes"),"",IFERROR(INDEX(Settings!$C$9:$C$12,MATCH(I1086,Settings!$A$9:$A$12,0)),"")))</f>
        <v/>
      </c>
      <c r="K1086" s="27" t="str">
        <f aca="false">IF(J1086="","",COUNTIF($I$2:I1086,I1086))</f>
        <v/>
      </c>
      <c r="L1086" s="27" t="str">
        <f aca="false">IF(J1086="","",CHOOSE(Q1086+1,"Tue","Wed","Thu","Fri"))</f>
        <v/>
      </c>
      <c r="M1086" s="27" t="str">
        <f aca="false">IF(J1086="","",IF(J1086=1,"Every week",R1086+1&amp;" of "&amp;J1086))</f>
        <v/>
      </c>
      <c r="N1086" s="28" t="str">
        <f aca="false">IF(J1086="","",Settings!$B$4+R1086*7+Q1086)</f>
        <v/>
      </c>
      <c r="O1086" s="28" t="str">
        <f aca="true">IF(J1086="","",N1086+MAX(0,ROUNDUP((TODAY()-N1086)/(J1086*7),0))*J1086*7)</f>
        <v/>
      </c>
      <c r="P1086" s="27" t="str">
        <f aca="false">IF(J1086="","",MOD(K1086-1,J1086*4))</f>
        <v/>
      </c>
      <c r="Q1086" s="27" t="str">
        <f aca="false">IF(J1086="","",MOD(P1086,4))</f>
        <v/>
      </c>
      <c r="R1086" s="27" t="str">
        <f aca="false">IF(J1086="","",INT(P1086/4))</f>
        <v/>
      </c>
      <c r="S1086" s="27" t="str">
        <f aca="false">IF(J1086="","",IF(AND('Daily Count Sheet'!$H$3=Q1086,MOD('Daily Count Sheet'!$I$3,J1086)=R1086),1,""))</f>
        <v/>
      </c>
      <c r="T1086" s="27" t="str">
        <f aca="false">IF(S1086=1,COUNTIF($S$2:S1086,1),"")</f>
        <v/>
      </c>
    </row>
    <row r="1087" customFormat="false" ht="15" hidden="false" customHeight="false" outlineLevel="0" collapsed="false">
      <c r="H1087" s="26"/>
      <c r="I1087" s="27" t="str">
        <f aca="false">IF(A1087="","",IF(H1087&lt;&gt;"",UPPER(TRIM(H1087)),IFERROR(CHOOSE(VALUE(E1087)+1,"A","B","C","D"),IF(OR(LEFT(UPPER(TRIM(E1087)),1)="F",UPPER(TRIM(E1087))="A"),"A",IF(OR(LEFT(UPPER(TRIM(E1087)),1)="M",UPPER(TRIM(E1087))="B"),"B",IF(OR(LEFT(UPPER(TRIM(E1087)),2)="SL",UPPER(TRIM(E1087))="C"),"C",IF(OR(LEFT(UPPER(TRIM(E1087)),1)="D",UPPER(TRIM(E1087))="D"),"D","")))))))</f>
        <v/>
      </c>
      <c r="J1087" s="27" t="str">
        <f aca="false">IF(I1087="","",IF(AND(I1087="D",Settings!$B$6&lt;&gt;"Yes"),"",IFERROR(INDEX(Settings!$C$9:$C$12,MATCH(I1087,Settings!$A$9:$A$12,0)),"")))</f>
        <v/>
      </c>
      <c r="K1087" s="27" t="str">
        <f aca="false">IF(J1087="","",COUNTIF($I$2:I1087,I1087))</f>
        <v/>
      </c>
      <c r="L1087" s="27" t="str">
        <f aca="false">IF(J1087="","",CHOOSE(Q1087+1,"Tue","Wed","Thu","Fri"))</f>
        <v/>
      </c>
      <c r="M1087" s="27" t="str">
        <f aca="false">IF(J1087="","",IF(J1087=1,"Every week",R1087+1&amp;" of "&amp;J1087))</f>
        <v/>
      </c>
      <c r="N1087" s="28" t="str">
        <f aca="false">IF(J1087="","",Settings!$B$4+R1087*7+Q1087)</f>
        <v/>
      </c>
      <c r="O1087" s="28" t="str">
        <f aca="true">IF(J1087="","",N1087+MAX(0,ROUNDUP((TODAY()-N1087)/(J1087*7),0))*J1087*7)</f>
        <v/>
      </c>
      <c r="P1087" s="27" t="str">
        <f aca="false">IF(J1087="","",MOD(K1087-1,J1087*4))</f>
        <v/>
      </c>
      <c r="Q1087" s="27" t="str">
        <f aca="false">IF(J1087="","",MOD(P1087,4))</f>
        <v/>
      </c>
      <c r="R1087" s="27" t="str">
        <f aca="false">IF(J1087="","",INT(P1087/4))</f>
        <v/>
      </c>
      <c r="S1087" s="27" t="str">
        <f aca="false">IF(J1087="","",IF(AND('Daily Count Sheet'!$H$3=Q1087,MOD('Daily Count Sheet'!$I$3,J1087)=R1087),1,""))</f>
        <v/>
      </c>
      <c r="T1087" s="27" t="str">
        <f aca="false">IF(S1087=1,COUNTIF($S$2:S1087,1),"")</f>
        <v/>
      </c>
    </row>
    <row r="1088" customFormat="false" ht="15" hidden="false" customHeight="false" outlineLevel="0" collapsed="false">
      <c r="H1088" s="26"/>
      <c r="I1088" s="27" t="str">
        <f aca="false">IF(A1088="","",IF(H1088&lt;&gt;"",UPPER(TRIM(H1088)),IFERROR(CHOOSE(VALUE(E1088)+1,"A","B","C","D"),IF(OR(LEFT(UPPER(TRIM(E1088)),1)="F",UPPER(TRIM(E1088))="A"),"A",IF(OR(LEFT(UPPER(TRIM(E1088)),1)="M",UPPER(TRIM(E1088))="B"),"B",IF(OR(LEFT(UPPER(TRIM(E1088)),2)="SL",UPPER(TRIM(E1088))="C"),"C",IF(OR(LEFT(UPPER(TRIM(E1088)),1)="D",UPPER(TRIM(E1088))="D"),"D","")))))))</f>
        <v/>
      </c>
      <c r="J1088" s="27" t="str">
        <f aca="false">IF(I1088="","",IF(AND(I1088="D",Settings!$B$6&lt;&gt;"Yes"),"",IFERROR(INDEX(Settings!$C$9:$C$12,MATCH(I1088,Settings!$A$9:$A$12,0)),"")))</f>
        <v/>
      </c>
      <c r="K1088" s="27" t="str">
        <f aca="false">IF(J1088="","",COUNTIF($I$2:I1088,I1088))</f>
        <v/>
      </c>
      <c r="L1088" s="27" t="str">
        <f aca="false">IF(J1088="","",CHOOSE(Q1088+1,"Tue","Wed","Thu","Fri"))</f>
        <v/>
      </c>
      <c r="M1088" s="27" t="str">
        <f aca="false">IF(J1088="","",IF(J1088=1,"Every week",R1088+1&amp;" of "&amp;J1088))</f>
        <v/>
      </c>
      <c r="N1088" s="28" t="str">
        <f aca="false">IF(J1088="","",Settings!$B$4+R1088*7+Q1088)</f>
        <v/>
      </c>
      <c r="O1088" s="28" t="str">
        <f aca="true">IF(J1088="","",N1088+MAX(0,ROUNDUP((TODAY()-N1088)/(J1088*7),0))*J1088*7)</f>
        <v/>
      </c>
      <c r="P1088" s="27" t="str">
        <f aca="false">IF(J1088="","",MOD(K1088-1,J1088*4))</f>
        <v/>
      </c>
      <c r="Q1088" s="27" t="str">
        <f aca="false">IF(J1088="","",MOD(P1088,4))</f>
        <v/>
      </c>
      <c r="R1088" s="27" t="str">
        <f aca="false">IF(J1088="","",INT(P1088/4))</f>
        <v/>
      </c>
      <c r="S1088" s="27" t="str">
        <f aca="false">IF(J1088="","",IF(AND('Daily Count Sheet'!$H$3=Q1088,MOD('Daily Count Sheet'!$I$3,J1088)=R1088),1,""))</f>
        <v/>
      </c>
      <c r="T1088" s="27" t="str">
        <f aca="false">IF(S1088=1,COUNTIF($S$2:S1088,1),"")</f>
        <v/>
      </c>
    </row>
    <row r="1089" customFormat="false" ht="15" hidden="false" customHeight="false" outlineLevel="0" collapsed="false">
      <c r="H1089" s="26"/>
      <c r="I1089" s="27" t="str">
        <f aca="false">IF(A1089="","",IF(H1089&lt;&gt;"",UPPER(TRIM(H1089)),IFERROR(CHOOSE(VALUE(E1089)+1,"A","B","C","D"),IF(OR(LEFT(UPPER(TRIM(E1089)),1)="F",UPPER(TRIM(E1089))="A"),"A",IF(OR(LEFT(UPPER(TRIM(E1089)),1)="M",UPPER(TRIM(E1089))="B"),"B",IF(OR(LEFT(UPPER(TRIM(E1089)),2)="SL",UPPER(TRIM(E1089))="C"),"C",IF(OR(LEFT(UPPER(TRIM(E1089)),1)="D",UPPER(TRIM(E1089))="D"),"D","")))))))</f>
        <v/>
      </c>
      <c r="J1089" s="27" t="str">
        <f aca="false">IF(I1089="","",IF(AND(I1089="D",Settings!$B$6&lt;&gt;"Yes"),"",IFERROR(INDEX(Settings!$C$9:$C$12,MATCH(I1089,Settings!$A$9:$A$12,0)),"")))</f>
        <v/>
      </c>
      <c r="K1089" s="27" t="str">
        <f aca="false">IF(J1089="","",COUNTIF($I$2:I1089,I1089))</f>
        <v/>
      </c>
      <c r="L1089" s="27" t="str">
        <f aca="false">IF(J1089="","",CHOOSE(Q1089+1,"Tue","Wed","Thu","Fri"))</f>
        <v/>
      </c>
      <c r="M1089" s="27" t="str">
        <f aca="false">IF(J1089="","",IF(J1089=1,"Every week",R1089+1&amp;" of "&amp;J1089))</f>
        <v/>
      </c>
      <c r="N1089" s="28" t="str">
        <f aca="false">IF(J1089="","",Settings!$B$4+R1089*7+Q1089)</f>
        <v/>
      </c>
      <c r="O1089" s="28" t="str">
        <f aca="true">IF(J1089="","",N1089+MAX(0,ROUNDUP((TODAY()-N1089)/(J1089*7),0))*J1089*7)</f>
        <v/>
      </c>
      <c r="P1089" s="27" t="str">
        <f aca="false">IF(J1089="","",MOD(K1089-1,J1089*4))</f>
        <v/>
      </c>
      <c r="Q1089" s="27" t="str">
        <f aca="false">IF(J1089="","",MOD(P1089,4))</f>
        <v/>
      </c>
      <c r="R1089" s="27" t="str">
        <f aca="false">IF(J1089="","",INT(P1089/4))</f>
        <v/>
      </c>
      <c r="S1089" s="27" t="str">
        <f aca="false">IF(J1089="","",IF(AND('Daily Count Sheet'!$H$3=Q1089,MOD('Daily Count Sheet'!$I$3,J1089)=R1089),1,""))</f>
        <v/>
      </c>
      <c r="T1089" s="27" t="str">
        <f aca="false">IF(S1089=1,COUNTIF($S$2:S1089,1),"")</f>
        <v/>
      </c>
    </row>
    <row r="1090" customFormat="false" ht="15" hidden="false" customHeight="false" outlineLevel="0" collapsed="false">
      <c r="H1090" s="26"/>
      <c r="I1090" s="27" t="str">
        <f aca="false">IF(A1090="","",IF(H1090&lt;&gt;"",UPPER(TRIM(H1090)),IFERROR(CHOOSE(VALUE(E1090)+1,"A","B","C","D"),IF(OR(LEFT(UPPER(TRIM(E1090)),1)="F",UPPER(TRIM(E1090))="A"),"A",IF(OR(LEFT(UPPER(TRIM(E1090)),1)="M",UPPER(TRIM(E1090))="B"),"B",IF(OR(LEFT(UPPER(TRIM(E1090)),2)="SL",UPPER(TRIM(E1090))="C"),"C",IF(OR(LEFT(UPPER(TRIM(E1090)),1)="D",UPPER(TRIM(E1090))="D"),"D","")))))))</f>
        <v/>
      </c>
      <c r="J1090" s="27" t="str">
        <f aca="false">IF(I1090="","",IF(AND(I1090="D",Settings!$B$6&lt;&gt;"Yes"),"",IFERROR(INDEX(Settings!$C$9:$C$12,MATCH(I1090,Settings!$A$9:$A$12,0)),"")))</f>
        <v/>
      </c>
      <c r="K1090" s="27" t="str">
        <f aca="false">IF(J1090="","",COUNTIF($I$2:I1090,I1090))</f>
        <v/>
      </c>
      <c r="L1090" s="27" t="str">
        <f aca="false">IF(J1090="","",CHOOSE(Q1090+1,"Tue","Wed","Thu","Fri"))</f>
        <v/>
      </c>
      <c r="M1090" s="27" t="str">
        <f aca="false">IF(J1090="","",IF(J1090=1,"Every week",R1090+1&amp;" of "&amp;J1090))</f>
        <v/>
      </c>
      <c r="N1090" s="28" t="str">
        <f aca="false">IF(J1090="","",Settings!$B$4+R1090*7+Q1090)</f>
        <v/>
      </c>
      <c r="O1090" s="28" t="str">
        <f aca="true">IF(J1090="","",N1090+MAX(0,ROUNDUP((TODAY()-N1090)/(J1090*7),0))*J1090*7)</f>
        <v/>
      </c>
      <c r="P1090" s="27" t="str">
        <f aca="false">IF(J1090="","",MOD(K1090-1,J1090*4))</f>
        <v/>
      </c>
      <c r="Q1090" s="27" t="str">
        <f aca="false">IF(J1090="","",MOD(P1090,4))</f>
        <v/>
      </c>
      <c r="R1090" s="27" t="str">
        <f aca="false">IF(J1090="","",INT(P1090/4))</f>
        <v/>
      </c>
      <c r="S1090" s="27" t="str">
        <f aca="false">IF(J1090="","",IF(AND('Daily Count Sheet'!$H$3=Q1090,MOD('Daily Count Sheet'!$I$3,J1090)=R1090),1,""))</f>
        <v/>
      </c>
      <c r="T1090" s="27" t="str">
        <f aca="false">IF(S1090=1,COUNTIF($S$2:S1090,1),"")</f>
        <v/>
      </c>
    </row>
    <row r="1091" customFormat="false" ht="15" hidden="false" customHeight="false" outlineLevel="0" collapsed="false">
      <c r="H1091" s="26"/>
      <c r="I1091" s="27" t="str">
        <f aca="false">IF(A1091="","",IF(H1091&lt;&gt;"",UPPER(TRIM(H1091)),IFERROR(CHOOSE(VALUE(E1091)+1,"A","B","C","D"),IF(OR(LEFT(UPPER(TRIM(E1091)),1)="F",UPPER(TRIM(E1091))="A"),"A",IF(OR(LEFT(UPPER(TRIM(E1091)),1)="M",UPPER(TRIM(E1091))="B"),"B",IF(OR(LEFT(UPPER(TRIM(E1091)),2)="SL",UPPER(TRIM(E1091))="C"),"C",IF(OR(LEFT(UPPER(TRIM(E1091)),1)="D",UPPER(TRIM(E1091))="D"),"D","")))))))</f>
        <v/>
      </c>
      <c r="J1091" s="27" t="str">
        <f aca="false">IF(I1091="","",IF(AND(I1091="D",Settings!$B$6&lt;&gt;"Yes"),"",IFERROR(INDEX(Settings!$C$9:$C$12,MATCH(I1091,Settings!$A$9:$A$12,0)),"")))</f>
        <v/>
      </c>
      <c r="K1091" s="27" t="str">
        <f aca="false">IF(J1091="","",COUNTIF($I$2:I1091,I1091))</f>
        <v/>
      </c>
      <c r="L1091" s="27" t="str">
        <f aca="false">IF(J1091="","",CHOOSE(Q1091+1,"Tue","Wed","Thu","Fri"))</f>
        <v/>
      </c>
      <c r="M1091" s="27" t="str">
        <f aca="false">IF(J1091="","",IF(J1091=1,"Every week",R1091+1&amp;" of "&amp;J1091))</f>
        <v/>
      </c>
      <c r="N1091" s="28" t="str">
        <f aca="false">IF(J1091="","",Settings!$B$4+R1091*7+Q1091)</f>
        <v/>
      </c>
      <c r="O1091" s="28" t="str">
        <f aca="true">IF(J1091="","",N1091+MAX(0,ROUNDUP((TODAY()-N1091)/(J1091*7),0))*J1091*7)</f>
        <v/>
      </c>
      <c r="P1091" s="27" t="str">
        <f aca="false">IF(J1091="","",MOD(K1091-1,J1091*4))</f>
        <v/>
      </c>
      <c r="Q1091" s="27" t="str">
        <f aca="false">IF(J1091="","",MOD(P1091,4))</f>
        <v/>
      </c>
      <c r="R1091" s="27" t="str">
        <f aca="false">IF(J1091="","",INT(P1091/4))</f>
        <v/>
      </c>
      <c r="S1091" s="27" t="str">
        <f aca="false">IF(J1091="","",IF(AND('Daily Count Sheet'!$H$3=Q1091,MOD('Daily Count Sheet'!$I$3,J1091)=R1091),1,""))</f>
        <v/>
      </c>
      <c r="T1091" s="27" t="str">
        <f aca="false">IF(S1091=1,COUNTIF($S$2:S1091,1),"")</f>
        <v/>
      </c>
    </row>
    <row r="1092" customFormat="false" ht="15" hidden="false" customHeight="false" outlineLevel="0" collapsed="false">
      <c r="H1092" s="26"/>
      <c r="I1092" s="27" t="str">
        <f aca="false">IF(A1092="","",IF(H1092&lt;&gt;"",UPPER(TRIM(H1092)),IFERROR(CHOOSE(VALUE(E1092)+1,"A","B","C","D"),IF(OR(LEFT(UPPER(TRIM(E1092)),1)="F",UPPER(TRIM(E1092))="A"),"A",IF(OR(LEFT(UPPER(TRIM(E1092)),1)="M",UPPER(TRIM(E1092))="B"),"B",IF(OR(LEFT(UPPER(TRIM(E1092)),2)="SL",UPPER(TRIM(E1092))="C"),"C",IF(OR(LEFT(UPPER(TRIM(E1092)),1)="D",UPPER(TRIM(E1092))="D"),"D","")))))))</f>
        <v/>
      </c>
      <c r="J1092" s="27" t="str">
        <f aca="false">IF(I1092="","",IF(AND(I1092="D",Settings!$B$6&lt;&gt;"Yes"),"",IFERROR(INDEX(Settings!$C$9:$C$12,MATCH(I1092,Settings!$A$9:$A$12,0)),"")))</f>
        <v/>
      </c>
      <c r="K1092" s="27" t="str">
        <f aca="false">IF(J1092="","",COUNTIF($I$2:I1092,I1092))</f>
        <v/>
      </c>
      <c r="L1092" s="27" t="str">
        <f aca="false">IF(J1092="","",CHOOSE(Q1092+1,"Tue","Wed","Thu","Fri"))</f>
        <v/>
      </c>
      <c r="M1092" s="27" t="str">
        <f aca="false">IF(J1092="","",IF(J1092=1,"Every week",R1092+1&amp;" of "&amp;J1092))</f>
        <v/>
      </c>
      <c r="N1092" s="28" t="str">
        <f aca="false">IF(J1092="","",Settings!$B$4+R1092*7+Q1092)</f>
        <v/>
      </c>
      <c r="O1092" s="28" t="str">
        <f aca="true">IF(J1092="","",N1092+MAX(0,ROUNDUP((TODAY()-N1092)/(J1092*7),0))*J1092*7)</f>
        <v/>
      </c>
      <c r="P1092" s="27" t="str">
        <f aca="false">IF(J1092="","",MOD(K1092-1,J1092*4))</f>
        <v/>
      </c>
      <c r="Q1092" s="27" t="str">
        <f aca="false">IF(J1092="","",MOD(P1092,4))</f>
        <v/>
      </c>
      <c r="R1092" s="27" t="str">
        <f aca="false">IF(J1092="","",INT(P1092/4))</f>
        <v/>
      </c>
      <c r="S1092" s="27" t="str">
        <f aca="false">IF(J1092="","",IF(AND('Daily Count Sheet'!$H$3=Q1092,MOD('Daily Count Sheet'!$I$3,J1092)=R1092),1,""))</f>
        <v/>
      </c>
      <c r="T1092" s="27" t="str">
        <f aca="false">IF(S1092=1,COUNTIF($S$2:S1092,1),"")</f>
        <v/>
      </c>
    </row>
    <row r="1093" customFormat="false" ht="15" hidden="false" customHeight="false" outlineLevel="0" collapsed="false">
      <c r="H1093" s="26"/>
      <c r="I1093" s="27" t="str">
        <f aca="false">IF(A1093="","",IF(H1093&lt;&gt;"",UPPER(TRIM(H1093)),IFERROR(CHOOSE(VALUE(E1093)+1,"A","B","C","D"),IF(OR(LEFT(UPPER(TRIM(E1093)),1)="F",UPPER(TRIM(E1093))="A"),"A",IF(OR(LEFT(UPPER(TRIM(E1093)),1)="M",UPPER(TRIM(E1093))="B"),"B",IF(OR(LEFT(UPPER(TRIM(E1093)),2)="SL",UPPER(TRIM(E1093))="C"),"C",IF(OR(LEFT(UPPER(TRIM(E1093)),1)="D",UPPER(TRIM(E1093))="D"),"D","")))))))</f>
        <v/>
      </c>
      <c r="J1093" s="27" t="str">
        <f aca="false">IF(I1093="","",IF(AND(I1093="D",Settings!$B$6&lt;&gt;"Yes"),"",IFERROR(INDEX(Settings!$C$9:$C$12,MATCH(I1093,Settings!$A$9:$A$12,0)),"")))</f>
        <v/>
      </c>
      <c r="K1093" s="27" t="str">
        <f aca="false">IF(J1093="","",COUNTIF($I$2:I1093,I1093))</f>
        <v/>
      </c>
      <c r="L1093" s="27" t="str">
        <f aca="false">IF(J1093="","",CHOOSE(Q1093+1,"Tue","Wed","Thu","Fri"))</f>
        <v/>
      </c>
      <c r="M1093" s="27" t="str">
        <f aca="false">IF(J1093="","",IF(J1093=1,"Every week",R1093+1&amp;" of "&amp;J1093))</f>
        <v/>
      </c>
      <c r="N1093" s="28" t="str">
        <f aca="false">IF(J1093="","",Settings!$B$4+R1093*7+Q1093)</f>
        <v/>
      </c>
      <c r="O1093" s="28" t="str">
        <f aca="true">IF(J1093="","",N1093+MAX(0,ROUNDUP((TODAY()-N1093)/(J1093*7),0))*J1093*7)</f>
        <v/>
      </c>
      <c r="P1093" s="27" t="str">
        <f aca="false">IF(J1093="","",MOD(K1093-1,J1093*4))</f>
        <v/>
      </c>
      <c r="Q1093" s="27" t="str">
        <f aca="false">IF(J1093="","",MOD(P1093,4))</f>
        <v/>
      </c>
      <c r="R1093" s="27" t="str">
        <f aca="false">IF(J1093="","",INT(P1093/4))</f>
        <v/>
      </c>
      <c r="S1093" s="27" t="str">
        <f aca="false">IF(J1093="","",IF(AND('Daily Count Sheet'!$H$3=Q1093,MOD('Daily Count Sheet'!$I$3,J1093)=R1093),1,""))</f>
        <v/>
      </c>
      <c r="T1093" s="27" t="str">
        <f aca="false">IF(S1093=1,COUNTIF($S$2:S1093,1),"")</f>
        <v/>
      </c>
    </row>
    <row r="1094" customFormat="false" ht="15" hidden="false" customHeight="false" outlineLevel="0" collapsed="false">
      <c r="H1094" s="26"/>
      <c r="I1094" s="27" t="str">
        <f aca="false">IF(A1094="","",IF(H1094&lt;&gt;"",UPPER(TRIM(H1094)),IFERROR(CHOOSE(VALUE(E1094)+1,"A","B","C","D"),IF(OR(LEFT(UPPER(TRIM(E1094)),1)="F",UPPER(TRIM(E1094))="A"),"A",IF(OR(LEFT(UPPER(TRIM(E1094)),1)="M",UPPER(TRIM(E1094))="B"),"B",IF(OR(LEFT(UPPER(TRIM(E1094)),2)="SL",UPPER(TRIM(E1094))="C"),"C",IF(OR(LEFT(UPPER(TRIM(E1094)),1)="D",UPPER(TRIM(E1094))="D"),"D","")))))))</f>
        <v/>
      </c>
      <c r="J1094" s="27" t="str">
        <f aca="false">IF(I1094="","",IF(AND(I1094="D",Settings!$B$6&lt;&gt;"Yes"),"",IFERROR(INDEX(Settings!$C$9:$C$12,MATCH(I1094,Settings!$A$9:$A$12,0)),"")))</f>
        <v/>
      </c>
      <c r="K1094" s="27" t="str">
        <f aca="false">IF(J1094="","",COUNTIF($I$2:I1094,I1094))</f>
        <v/>
      </c>
      <c r="L1094" s="27" t="str">
        <f aca="false">IF(J1094="","",CHOOSE(Q1094+1,"Tue","Wed","Thu","Fri"))</f>
        <v/>
      </c>
      <c r="M1094" s="27" t="str">
        <f aca="false">IF(J1094="","",IF(J1094=1,"Every week",R1094+1&amp;" of "&amp;J1094))</f>
        <v/>
      </c>
      <c r="N1094" s="28" t="str">
        <f aca="false">IF(J1094="","",Settings!$B$4+R1094*7+Q1094)</f>
        <v/>
      </c>
      <c r="O1094" s="28" t="str">
        <f aca="true">IF(J1094="","",N1094+MAX(0,ROUNDUP((TODAY()-N1094)/(J1094*7),0))*J1094*7)</f>
        <v/>
      </c>
      <c r="P1094" s="27" t="str">
        <f aca="false">IF(J1094="","",MOD(K1094-1,J1094*4))</f>
        <v/>
      </c>
      <c r="Q1094" s="27" t="str">
        <f aca="false">IF(J1094="","",MOD(P1094,4))</f>
        <v/>
      </c>
      <c r="R1094" s="27" t="str">
        <f aca="false">IF(J1094="","",INT(P1094/4))</f>
        <v/>
      </c>
      <c r="S1094" s="27" t="str">
        <f aca="false">IF(J1094="","",IF(AND('Daily Count Sheet'!$H$3=Q1094,MOD('Daily Count Sheet'!$I$3,J1094)=R1094),1,""))</f>
        <v/>
      </c>
      <c r="T1094" s="27" t="str">
        <f aca="false">IF(S1094=1,COUNTIF($S$2:S1094,1),"")</f>
        <v/>
      </c>
    </row>
    <row r="1095" customFormat="false" ht="15" hidden="false" customHeight="false" outlineLevel="0" collapsed="false">
      <c r="H1095" s="26"/>
      <c r="I1095" s="27" t="str">
        <f aca="false">IF(A1095="","",IF(H1095&lt;&gt;"",UPPER(TRIM(H1095)),IFERROR(CHOOSE(VALUE(E1095)+1,"A","B","C","D"),IF(OR(LEFT(UPPER(TRIM(E1095)),1)="F",UPPER(TRIM(E1095))="A"),"A",IF(OR(LEFT(UPPER(TRIM(E1095)),1)="M",UPPER(TRIM(E1095))="B"),"B",IF(OR(LEFT(UPPER(TRIM(E1095)),2)="SL",UPPER(TRIM(E1095))="C"),"C",IF(OR(LEFT(UPPER(TRIM(E1095)),1)="D",UPPER(TRIM(E1095))="D"),"D","")))))))</f>
        <v/>
      </c>
      <c r="J1095" s="27" t="str">
        <f aca="false">IF(I1095="","",IF(AND(I1095="D",Settings!$B$6&lt;&gt;"Yes"),"",IFERROR(INDEX(Settings!$C$9:$C$12,MATCH(I1095,Settings!$A$9:$A$12,0)),"")))</f>
        <v/>
      </c>
      <c r="K1095" s="27" t="str">
        <f aca="false">IF(J1095="","",COUNTIF($I$2:I1095,I1095))</f>
        <v/>
      </c>
      <c r="L1095" s="27" t="str">
        <f aca="false">IF(J1095="","",CHOOSE(Q1095+1,"Tue","Wed","Thu","Fri"))</f>
        <v/>
      </c>
      <c r="M1095" s="27" t="str">
        <f aca="false">IF(J1095="","",IF(J1095=1,"Every week",R1095+1&amp;" of "&amp;J1095))</f>
        <v/>
      </c>
      <c r="N1095" s="28" t="str">
        <f aca="false">IF(J1095="","",Settings!$B$4+R1095*7+Q1095)</f>
        <v/>
      </c>
      <c r="O1095" s="28" t="str">
        <f aca="true">IF(J1095="","",N1095+MAX(0,ROUNDUP((TODAY()-N1095)/(J1095*7),0))*J1095*7)</f>
        <v/>
      </c>
      <c r="P1095" s="27" t="str">
        <f aca="false">IF(J1095="","",MOD(K1095-1,J1095*4))</f>
        <v/>
      </c>
      <c r="Q1095" s="27" t="str">
        <f aca="false">IF(J1095="","",MOD(P1095,4))</f>
        <v/>
      </c>
      <c r="R1095" s="27" t="str">
        <f aca="false">IF(J1095="","",INT(P1095/4))</f>
        <v/>
      </c>
      <c r="S1095" s="27" t="str">
        <f aca="false">IF(J1095="","",IF(AND('Daily Count Sheet'!$H$3=Q1095,MOD('Daily Count Sheet'!$I$3,J1095)=R1095),1,""))</f>
        <v/>
      </c>
      <c r="T1095" s="27" t="str">
        <f aca="false">IF(S1095=1,COUNTIF($S$2:S1095,1),"")</f>
        <v/>
      </c>
    </row>
    <row r="1096" customFormat="false" ht="15" hidden="false" customHeight="false" outlineLevel="0" collapsed="false">
      <c r="H1096" s="26"/>
      <c r="I1096" s="27" t="str">
        <f aca="false">IF(A1096="","",IF(H1096&lt;&gt;"",UPPER(TRIM(H1096)),IFERROR(CHOOSE(VALUE(E1096)+1,"A","B","C","D"),IF(OR(LEFT(UPPER(TRIM(E1096)),1)="F",UPPER(TRIM(E1096))="A"),"A",IF(OR(LEFT(UPPER(TRIM(E1096)),1)="M",UPPER(TRIM(E1096))="B"),"B",IF(OR(LEFT(UPPER(TRIM(E1096)),2)="SL",UPPER(TRIM(E1096))="C"),"C",IF(OR(LEFT(UPPER(TRIM(E1096)),1)="D",UPPER(TRIM(E1096))="D"),"D","")))))))</f>
        <v/>
      </c>
      <c r="J1096" s="27" t="str">
        <f aca="false">IF(I1096="","",IF(AND(I1096="D",Settings!$B$6&lt;&gt;"Yes"),"",IFERROR(INDEX(Settings!$C$9:$C$12,MATCH(I1096,Settings!$A$9:$A$12,0)),"")))</f>
        <v/>
      </c>
      <c r="K1096" s="27" t="str">
        <f aca="false">IF(J1096="","",COUNTIF($I$2:I1096,I1096))</f>
        <v/>
      </c>
      <c r="L1096" s="27" t="str">
        <f aca="false">IF(J1096="","",CHOOSE(Q1096+1,"Tue","Wed","Thu","Fri"))</f>
        <v/>
      </c>
      <c r="M1096" s="27" t="str">
        <f aca="false">IF(J1096="","",IF(J1096=1,"Every week",R1096+1&amp;" of "&amp;J1096))</f>
        <v/>
      </c>
      <c r="N1096" s="28" t="str">
        <f aca="false">IF(J1096="","",Settings!$B$4+R1096*7+Q1096)</f>
        <v/>
      </c>
      <c r="O1096" s="28" t="str">
        <f aca="true">IF(J1096="","",N1096+MAX(0,ROUNDUP((TODAY()-N1096)/(J1096*7),0))*J1096*7)</f>
        <v/>
      </c>
      <c r="P1096" s="27" t="str">
        <f aca="false">IF(J1096="","",MOD(K1096-1,J1096*4))</f>
        <v/>
      </c>
      <c r="Q1096" s="27" t="str">
        <f aca="false">IF(J1096="","",MOD(P1096,4))</f>
        <v/>
      </c>
      <c r="R1096" s="27" t="str">
        <f aca="false">IF(J1096="","",INT(P1096/4))</f>
        <v/>
      </c>
      <c r="S1096" s="27" t="str">
        <f aca="false">IF(J1096="","",IF(AND('Daily Count Sheet'!$H$3=Q1096,MOD('Daily Count Sheet'!$I$3,J1096)=R1096),1,""))</f>
        <v/>
      </c>
      <c r="T1096" s="27" t="str">
        <f aca="false">IF(S1096=1,COUNTIF($S$2:S1096,1),"")</f>
        <v/>
      </c>
    </row>
    <row r="1097" customFormat="false" ht="15" hidden="false" customHeight="false" outlineLevel="0" collapsed="false">
      <c r="H1097" s="26"/>
      <c r="I1097" s="27" t="str">
        <f aca="false">IF(A1097="","",IF(H1097&lt;&gt;"",UPPER(TRIM(H1097)),IFERROR(CHOOSE(VALUE(E1097)+1,"A","B","C","D"),IF(OR(LEFT(UPPER(TRIM(E1097)),1)="F",UPPER(TRIM(E1097))="A"),"A",IF(OR(LEFT(UPPER(TRIM(E1097)),1)="M",UPPER(TRIM(E1097))="B"),"B",IF(OR(LEFT(UPPER(TRIM(E1097)),2)="SL",UPPER(TRIM(E1097))="C"),"C",IF(OR(LEFT(UPPER(TRIM(E1097)),1)="D",UPPER(TRIM(E1097))="D"),"D","")))))))</f>
        <v/>
      </c>
      <c r="J1097" s="27" t="str">
        <f aca="false">IF(I1097="","",IF(AND(I1097="D",Settings!$B$6&lt;&gt;"Yes"),"",IFERROR(INDEX(Settings!$C$9:$C$12,MATCH(I1097,Settings!$A$9:$A$12,0)),"")))</f>
        <v/>
      </c>
      <c r="K1097" s="27" t="str">
        <f aca="false">IF(J1097="","",COUNTIF($I$2:I1097,I1097))</f>
        <v/>
      </c>
      <c r="L1097" s="27" t="str">
        <f aca="false">IF(J1097="","",CHOOSE(Q1097+1,"Tue","Wed","Thu","Fri"))</f>
        <v/>
      </c>
      <c r="M1097" s="27" t="str">
        <f aca="false">IF(J1097="","",IF(J1097=1,"Every week",R1097+1&amp;" of "&amp;J1097))</f>
        <v/>
      </c>
      <c r="N1097" s="28" t="str">
        <f aca="false">IF(J1097="","",Settings!$B$4+R1097*7+Q1097)</f>
        <v/>
      </c>
      <c r="O1097" s="28" t="str">
        <f aca="true">IF(J1097="","",N1097+MAX(0,ROUNDUP((TODAY()-N1097)/(J1097*7),0))*J1097*7)</f>
        <v/>
      </c>
      <c r="P1097" s="27" t="str">
        <f aca="false">IF(J1097="","",MOD(K1097-1,J1097*4))</f>
        <v/>
      </c>
      <c r="Q1097" s="27" t="str">
        <f aca="false">IF(J1097="","",MOD(P1097,4))</f>
        <v/>
      </c>
      <c r="R1097" s="27" t="str">
        <f aca="false">IF(J1097="","",INT(P1097/4))</f>
        <v/>
      </c>
      <c r="S1097" s="27" t="str">
        <f aca="false">IF(J1097="","",IF(AND('Daily Count Sheet'!$H$3=Q1097,MOD('Daily Count Sheet'!$I$3,J1097)=R1097),1,""))</f>
        <v/>
      </c>
      <c r="T1097" s="27" t="str">
        <f aca="false">IF(S1097=1,COUNTIF($S$2:S1097,1),"")</f>
        <v/>
      </c>
    </row>
    <row r="1098" customFormat="false" ht="15" hidden="false" customHeight="false" outlineLevel="0" collapsed="false">
      <c r="H1098" s="26"/>
      <c r="I1098" s="27" t="str">
        <f aca="false">IF(A1098="","",IF(H1098&lt;&gt;"",UPPER(TRIM(H1098)),IFERROR(CHOOSE(VALUE(E1098)+1,"A","B","C","D"),IF(OR(LEFT(UPPER(TRIM(E1098)),1)="F",UPPER(TRIM(E1098))="A"),"A",IF(OR(LEFT(UPPER(TRIM(E1098)),1)="M",UPPER(TRIM(E1098))="B"),"B",IF(OR(LEFT(UPPER(TRIM(E1098)),2)="SL",UPPER(TRIM(E1098))="C"),"C",IF(OR(LEFT(UPPER(TRIM(E1098)),1)="D",UPPER(TRIM(E1098))="D"),"D","")))))))</f>
        <v/>
      </c>
      <c r="J1098" s="27" t="str">
        <f aca="false">IF(I1098="","",IF(AND(I1098="D",Settings!$B$6&lt;&gt;"Yes"),"",IFERROR(INDEX(Settings!$C$9:$C$12,MATCH(I1098,Settings!$A$9:$A$12,0)),"")))</f>
        <v/>
      </c>
      <c r="K1098" s="27" t="str">
        <f aca="false">IF(J1098="","",COUNTIF($I$2:I1098,I1098))</f>
        <v/>
      </c>
      <c r="L1098" s="27" t="str">
        <f aca="false">IF(J1098="","",CHOOSE(Q1098+1,"Tue","Wed","Thu","Fri"))</f>
        <v/>
      </c>
      <c r="M1098" s="27" t="str">
        <f aca="false">IF(J1098="","",IF(J1098=1,"Every week",R1098+1&amp;" of "&amp;J1098))</f>
        <v/>
      </c>
      <c r="N1098" s="28" t="str">
        <f aca="false">IF(J1098="","",Settings!$B$4+R1098*7+Q1098)</f>
        <v/>
      </c>
      <c r="O1098" s="28" t="str">
        <f aca="true">IF(J1098="","",N1098+MAX(0,ROUNDUP((TODAY()-N1098)/(J1098*7),0))*J1098*7)</f>
        <v/>
      </c>
      <c r="P1098" s="27" t="str">
        <f aca="false">IF(J1098="","",MOD(K1098-1,J1098*4))</f>
        <v/>
      </c>
      <c r="Q1098" s="27" t="str">
        <f aca="false">IF(J1098="","",MOD(P1098,4))</f>
        <v/>
      </c>
      <c r="R1098" s="27" t="str">
        <f aca="false">IF(J1098="","",INT(P1098/4))</f>
        <v/>
      </c>
      <c r="S1098" s="27" t="str">
        <f aca="false">IF(J1098="","",IF(AND('Daily Count Sheet'!$H$3=Q1098,MOD('Daily Count Sheet'!$I$3,J1098)=R1098),1,""))</f>
        <v/>
      </c>
      <c r="T1098" s="27" t="str">
        <f aca="false">IF(S1098=1,COUNTIF($S$2:S1098,1),"")</f>
        <v/>
      </c>
    </row>
    <row r="1099" customFormat="false" ht="15" hidden="false" customHeight="false" outlineLevel="0" collapsed="false">
      <c r="H1099" s="26"/>
      <c r="I1099" s="27" t="str">
        <f aca="false">IF(A1099="","",IF(H1099&lt;&gt;"",UPPER(TRIM(H1099)),IFERROR(CHOOSE(VALUE(E1099)+1,"A","B","C","D"),IF(OR(LEFT(UPPER(TRIM(E1099)),1)="F",UPPER(TRIM(E1099))="A"),"A",IF(OR(LEFT(UPPER(TRIM(E1099)),1)="M",UPPER(TRIM(E1099))="B"),"B",IF(OR(LEFT(UPPER(TRIM(E1099)),2)="SL",UPPER(TRIM(E1099))="C"),"C",IF(OR(LEFT(UPPER(TRIM(E1099)),1)="D",UPPER(TRIM(E1099))="D"),"D","")))))))</f>
        <v/>
      </c>
      <c r="J1099" s="27" t="str">
        <f aca="false">IF(I1099="","",IF(AND(I1099="D",Settings!$B$6&lt;&gt;"Yes"),"",IFERROR(INDEX(Settings!$C$9:$C$12,MATCH(I1099,Settings!$A$9:$A$12,0)),"")))</f>
        <v/>
      </c>
      <c r="K1099" s="27" t="str">
        <f aca="false">IF(J1099="","",COUNTIF($I$2:I1099,I1099))</f>
        <v/>
      </c>
      <c r="L1099" s="27" t="str">
        <f aca="false">IF(J1099="","",CHOOSE(Q1099+1,"Tue","Wed","Thu","Fri"))</f>
        <v/>
      </c>
      <c r="M1099" s="27" t="str">
        <f aca="false">IF(J1099="","",IF(J1099=1,"Every week",R1099+1&amp;" of "&amp;J1099))</f>
        <v/>
      </c>
      <c r="N1099" s="28" t="str">
        <f aca="false">IF(J1099="","",Settings!$B$4+R1099*7+Q1099)</f>
        <v/>
      </c>
      <c r="O1099" s="28" t="str">
        <f aca="true">IF(J1099="","",N1099+MAX(0,ROUNDUP((TODAY()-N1099)/(J1099*7),0))*J1099*7)</f>
        <v/>
      </c>
      <c r="P1099" s="27" t="str">
        <f aca="false">IF(J1099="","",MOD(K1099-1,J1099*4))</f>
        <v/>
      </c>
      <c r="Q1099" s="27" t="str">
        <f aca="false">IF(J1099="","",MOD(P1099,4))</f>
        <v/>
      </c>
      <c r="R1099" s="27" t="str">
        <f aca="false">IF(J1099="","",INT(P1099/4))</f>
        <v/>
      </c>
      <c r="S1099" s="27" t="str">
        <f aca="false">IF(J1099="","",IF(AND('Daily Count Sheet'!$H$3=Q1099,MOD('Daily Count Sheet'!$I$3,J1099)=R1099),1,""))</f>
        <v/>
      </c>
      <c r="T1099" s="27" t="str">
        <f aca="false">IF(S1099=1,COUNTIF($S$2:S1099,1),"")</f>
        <v/>
      </c>
    </row>
    <row r="1100" customFormat="false" ht="15" hidden="false" customHeight="false" outlineLevel="0" collapsed="false">
      <c r="H1100" s="26"/>
      <c r="I1100" s="27" t="str">
        <f aca="false">IF(A1100="","",IF(H1100&lt;&gt;"",UPPER(TRIM(H1100)),IFERROR(CHOOSE(VALUE(E1100)+1,"A","B","C","D"),IF(OR(LEFT(UPPER(TRIM(E1100)),1)="F",UPPER(TRIM(E1100))="A"),"A",IF(OR(LEFT(UPPER(TRIM(E1100)),1)="M",UPPER(TRIM(E1100))="B"),"B",IF(OR(LEFT(UPPER(TRIM(E1100)),2)="SL",UPPER(TRIM(E1100))="C"),"C",IF(OR(LEFT(UPPER(TRIM(E1100)),1)="D",UPPER(TRIM(E1100))="D"),"D","")))))))</f>
        <v/>
      </c>
      <c r="J1100" s="27" t="str">
        <f aca="false">IF(I1100="","",IF(AND(I1100="D",Settings!$B$6&lt;&gt;"Yes"),"",IFERROR(INDEX(Settings!$C$9:$C$12,MATCH(I1100,Settings!$A$9:$A$12,0)),"")))</f>
        <v/>
      </c>
      <c r="K1100" s="27" t="str">
        <f aca="false">IF(J1100="","",COUNTIF($I$2:I1100,I1100))</f>
        <v/>
      </c>
      <c r="L1100" s="27" t="str">
        <f aca="false">IF(J1100="","",CHOOSE(Q1100+1,"Tue","Wed","Thu","Fri"))</f>
        <v/>
      </c>
      <c r="M1100" s="27" t="str">
        <f aca="false">IF(J1100="","",IF(J1100=1,"Every week",R1100+1&amp;" of "&amp;J1100))</f>
        <v/>
      </c>
      <c r="N1100" s="28" t="str">
        <f aca="false">IF(J1100="","",Settings!$B$4+R1100*7+Q1100)</f>
        <v/>
      </c>
      <c r="O1100" s="28" t="str">
        <f aca="true">IF(J1100="","",N1100+MAX(0,ROUNDUP((TODAY()-N1100)/(J1100*7),0))*J1100*7)</f>
        <v/>
      </c>
      <c r="P1100" s="27" t="str">
        <f aca="false">IF(J1100="","",MOD(K1100-1,J1100*4))</f>
        <v/>
      </c>
      <c r="Q1100" s="27" t="str">
        <f aca="false">IF(J1100="","",MOD(P1100,4))</f>
        <v/>
      </c>
      <c r="R1100" s="27" t="str">
        <f aca="false">IF(J1100="","",INT(P1100/4))</f>
        <v/>
      </c>
      <c r="S1100" s="27" t="str">
        <f aca="false">IF(J1100="","",IF(AND('Daily Count Sheet'!$H$3=Q1100,MOD('Daily Count Sheet'!$I$3,J1100)=R1100),1,""))</f>
        <v/>
      </c>
      <c r="T1100" s="27" t="str">
        <f aca="false">IF(S1100=1,COUNTIF($S$2:S1100,1),"")</f>
        <v/>
      </c>
    </row>
    <row r="1101" customFormat="false" ht="15" hidden="false" customHeight="false" outlineLevel="0" collapsed="false">
      <c r="H1101" s="26"/>
      <c r="I1101" s="27" t="str">
        <f aca="false">IF(A1101="","",IF(H1101&lt;&gt;"",UPPER(TRIM(H1101)),IFERROR(CHOOSE(VALUE(E1101)+1,"A","B","C","D"),IF(OR(LEFT(UPPER(TRIM(E1101)),1)="F",UPPER(TRIM(E1101))="A"),"A",IF(OR(LEFT(UPPER(TRIM(E1101)),1)="M",UPPER(TRIM(E1101))="B"),"B",IF(OR(LEFT(UPPER(TRIM(E1101)),2)="SL",UPPER(TRIM(E1101))="C"),"C",IF(OR(LEFT(UPPER(TRIM(E1101)),1)="D",UPPER(TRIM(E1101))="D"),"D","")))))))</f>
        <v/>
      </c>
      <c r="J1101" s="27" t="str">
        <f aca="false">IF(I1101="","",IF(AND(I1101="D",Settings!$B$6&lt;&gt;"Yes"),"",IFERROR(INDEX(Settings!$C$9:$C$12,MATCH(I1101,Settings!$A$9:$A$12,0)),"")))</f>
        <v/>
      </c>
      <c r="K1101" s="27" t="str">
        <f aca="false">IF(J1101="","",COUNTIF($I$2:I1101,I1101))</f>
        <v/>
      </c>
      <c r="L1101" s="27" t="str">
        <f aca="false">IF(J1101="","",CHOOSE(Q1101+1,"Tue","Wed","Thu","Fri"))</f>
        <v/>
      </c>
      <c r="M1101" s="27" t="str">
        <f aca="false">IF(J1101="","",IF(J1101=1,"Every week",R1101+1&amp;" of "&amp;J1101))</f>
        <v/>
      </c>
      <c r="N1101" s="28" t="str">
        <f aca="false">IF(J1101="","",Settings!$B$4+R1101*7+Q1101)</f>
        <v/>
      </c>
      <c r="O1101" s="28" t="str">
        <f aca="true">IF(J1101="","",N1101+MAX(0,ROUNDUP((TODAY()-N1101)/(J1101*7),0))*J1101*7)</f>
        <v/>
      </c>
      <c r="P1101" s="27" t="str">
        <f aca="false">IF(J1101="","",MOD(K1101-1,J1101*4))</f>
        <v/>
      </c>
      <c r="Q1101" s="27" t="str">
        <f aca="false">IF(J1101="","",MOD(P1101,4))</f>
        <v/>
      </c>
      <c r="R1101" s="27" t="str">
        <f aca="false">IF(J1101="","",INT(P1101/4))</f>
        <v/>
      </c>
      <c r="S1101" s="27" t="str">
        <f aca="false">IF(J1101="","",IF(AND('Daily Count Sheet'!$H$3=Q1101,MOD('Daily Count Sheet'!$I$3,J1101)=R1101),1,""))</f>
        <v/>
      </c>
      <c r="T1101" s="27" t="str">
        <f aca="false">IF(S1101=1,COUNTIF($S$2:S1101,1),"")</f>
        <v/>
      </c>
    </row>
    <row r="1102" customFormat="false" ht="15" hidden="false" customHeight="false" outlineLevel="0" collapsed="false">
      <c r="H1102" s="26"/>
      <c r="I1102" s="27" t="str">
        <f aca="false">IF(A1102="","",IF(H1102&lt;&gt;"",UPPER(TRIM(H1102)),IFERROR(CHOOSE(VALUE(E1102)+1,"A","B","C","D"),IF(OR(LEFT(UPPER(TRIM(E1102)),1)="F",UPPER(TRIM(E1102))="A"),"A",IF(OR(LEFT(UPPER(TRIM(E1102)),1)="M",UPPER(TRIM(E1102))="B"),"B",IF(OR(LEFT(UPPER(TRIM(E1102)),2)="SL",UPPER(TRIM(E1102))="C"),"C",IF(OR(LEFT(UPPER(TRIM(E1102)),1)="D",UPPER(TRIM(E1102))="D"),"D","")))))))</f>
        <v/>
      </c>
      <c r="J1102" s="27" t="str">
        <f aca="false">IF(I1102="","",IF(AND(I1102="D",Settings!$B$6&lt;&gt;"Yes"),"",IFERROR(INDEX(Settings!$C$9:$C$12,MATCH(I1102,Settings!$A$9:$A$12,0)),"")))</f>
        <v/>
      </c>
      <c r="K1102" s="27" t="str">
        <f aca="false">IF(J1102="","",COUNTIF($I$2:I1102,I1102))</f>
        <v/>
      </c>
      <c r="L1102" s="27" t="str">
        <f aca="false">IF(J1102="","",CHOOSE(Q1102+1,"Tue","Wed","Thu","Fri"))</f>
        <v/>
      </c>
      <c r="M1102" s="27" t="str">
        <f aca="false">IF(J1102="","",IF(J1102=1,"Every week",R1102+1&amp;" of "&amp;J1102))</f>
        <v/>
      </c>
      <c r="N1102" s="28" t="str">
        <f aca="false">IF(J1102="","",Settings!$B$4+R1102*7+Q1102)</f>
        <v/>
      </c>
      <c r="O1102" s="28" t="str">
        <f aca="true">IF(J1102="","",N1102+MAX(0,ROUNDUP((TODAY()-N1102)/(J1102*7),0))*J1102*7)</f>
        <v/>
      </c>
      <c r="P1102" s="27" t="str">
        <f aca="false">IF(J1102="","",MOD(K1102-1,J1102*4))</f>
        <v/>
      </c>
      <c r="Q1102" s="27" t="str">
        <f aca="false">IF(J1102="","",MOD(P1102,4))</f>
        <v/>
      </c>
      <c r="R1102" s="27" t="str">
        <f aca="false">IF(J1102="","",INT(P1102/4))</f>
        <v/>
      </c>
      <c r="S1102" s="27" t="str">
        <f aca="false">IF(J1102="","",IF(AND('Daily Count Sheet'!$H$3=Q1102,MOD('Daily Count Sheet'!$I$3,J1102)=R1102),1,""))</f>
        <v/>
      </c>
      <c r="T1102" s="27" t="str">
        <f aca="false">IF(S1102=1,COUNTIF($S$2:S1102,1),"")</f>
        <v/>
      </c>
    </row>
    <row r="1103" customFormat="false" ht="15" hidden="false" customHeight="false" outlineLevel="0" collapsed="false">
      <c r="H1103" s="26"/>
      <c r="I1103" s="27" t="str">
        <f aca="false">IF(A1103="","",IF(H1103&lt;&gt;"",UPPER(TRIM(H1103)),IFERROR(CHOOSE(VALUE(E1103)+1,"A","B","C","D"),IF(OR(LEFT(UPPER(TRIM(E1103)),1)="F",UPPER(TRIM(E1103))="A"),"A",IF(OR(LEFT(UPPER(TRIM(E1103)),1)="M",UPPER(TRIM(E1103))="B"),"B",IF(OR(LEFT(UPPER(TRIM(E1103)),2)="SL",UPPER(TRIM(E1103))="C"),"C",IF(OR(LEFT(UPPER(TRIM(E1103)),1)="D",UPPER(TRIM(E1103))="D"),"D","")))))))</f>
        <v/>
      </c>
      <c r="J1103" s="27" t="str">
        <f aca="false">IF(I1103="","",IF(AND(I1103="D",Settings!$B$6&lt;&gt;"Yes"),"",IFERROR(INDEX(Settings!$C$9:$C$12,MATCH(I1103,Settings!$A$9:$A$12,0)),"")))</f>
        <v/>
      </c>
      <c r="K1103" s="27" t="str">
        <f aca="false">IF(J1103="","",COUNTIF($I$2:I1103,I1103))</f>
        <v/>
      </c>
      <c r="L1103" s="27" t="str">
        <f aca="false">IF(J1103="","",CHOOSE(Q1103+1,"Tue","Wed","Thu","Fri"))</f>
        <v/>
      </c>
      <c r="M1103" s="27" t="str">
        <f aca="false">IF(J1103="","",IF(J1103=1,"Every week",R1103+1&amp;" of "&amp;J1103))</f>
        <v/>
      </c>
      <c r="N1103" s="28" t="str">
        <f aca="false">IF(J1103="","",Settings!$B$4+R1103*7+Q1103)</f>
        <v/>
      </c>
      <c r="O1103" s="28" t="str">
        <f aca="true">IF(J1103="","",N1103+MAX(0,ROUNDUP((TODAY()-N1103)/(J1103*7),0))*J1103*7)</f>
        <v/>
      </c>
      <c r="P1103" s="27" t="str">
        <f aca="false">IF(J1103="","",MOD(K1103-1,J1103*4))</f>
        <v/>
      </c>
      <c r="Q1103" s="27" t="str">
        <f aca="false">IF(J1103="","",MOD(P1103,4))</f>
        <v/>
      </c>
      <c r="R1103" s="27" t="str">
        <f aca="false">IF(J1103="","",INT(P1103/4))</f>
        <v/>
      </c>
      <c r="S1103" s="27" t="str">
        <f aca="false">IF(J1103="","",IF(AND('Daily Count Sheet'!$H$3=Q1103,MOD('Daily Count Sheet'!$I$3,J1103)=R1103),1,""))</f>
        <v/>
      </c>
      <c r="T1103" s="27" t="str">
        <f aca="false">IF(S1103=1,COUNTIF($S$2:S1103,1),"")</f>
        <v/>
      </c>
    </row>
    <row r="1104" customFormat="false" ht="15" hidden="false" customHeight="false" outlineLevel="0" collapsed="false">
      <c r="H1104" s="26"/>
      <c r="I1104" s="27" t="str">
        <f aca="false">IF(A1104="","",IF(H1104&lt;&gt;"",UPPER(TRIM(H1104)),IFERROR(CHOOSE(VALUE(E1104)+1,"A","B","C","D"),IF(OR(LEFT(UPPER(TRIM(E1104)),1)="F",UPPER(TRIM(E1104))="A"),"A",IF(OR(LEFT(UPPER(TRIM(E1104)),1)="M",UPPER(TRIM(E1104))="B"),"B",IF(OR(LEFT(UPPER(TRIM(E1104)),2)="SL",UPPER(TRIM(E1104))="C"),"C",IF(OR(LEFT(UPPER(TRIM(E1104)),1)="D",UPPER(TRIM(E1104))="D"),"D","")))))))</f>
        <v/>
      </c>
      <c r="J1104" s="27" t="str">
        <f aca="false">IF(I1104="","",IF(AND(I1104="D",Settings!$B$6&lt;&gt;"Yes"),"",IFERROR(INDEX(Settings!$C$9:$C$12,MATCH(I1104,Settings!$A$9:$A$12,0)),"")))</f>
        <v/>
      </c>
      <c r="K1104" s="27" t="str">
        <f aca="false">IF(J1104="","",COUNTIF($I$2:I1104,I1104))</f>
        <v/>
      </c>
      <c r="L1104" s="27" t="str">
        <f aca="false">IF(J1104="","",CHOOSE(Q1104+1,"Tue","Wed","Thu","Fri"))</f>
        <v/>
      </c>
      <c r="M1104" s="27" t="str">
        <f aca="false">IF(J1104="","",IF(J1104=1,"Every week",R1104+1&amp;" of "&amp;J1104))</f>
        <v/>
      </c>
      <c r="N1104" s="28" t="str">
        <f aca="false">IF(J1104="","",Settings!$B$4+R1104*7+Q1104)</f>
        <v/>
      </c>
      <c r="O1104" s="28" t="str">
        <f aca="true">IF(J1104="","",N1104+MAX(0,ROUNDUP((TODAY()-N1104)/(J1104*7),0))*J1104*7)</f>
        <v/>
      </c>
      <c r="P1104" s="27" t="str">
        <f aca="false">IF(J1104="","",MOD(K1104-1,J1104*4))</f>
        <v/>
      </c>
      <c r="Q1104" s="27" t="str">
        <f aca="false">IF(J1104="","",MOD(P1104,4))</f>
        <v/>
      </c>
      <c r="R1104" s="27" t="str">
        <f aca="false">IF(J1104="","",INT(P1104/4))</f>
        <v/>
      </c>
      <c r="S1104" s="27" t="str">
        <f aca="false">IF(J1104="","",IF(AND('Daily Count Sheet'!$H$3=Q1104,MOD('Daily Count Sheet'!$I$3,J1104)=R1104),1,""))</f>
        <v/>
      </c>
      <c r="T1104" s="27" t="str">
        <f aca="false">IF(S1104=1,COUNTIF($S$2:S1104,1),"")</f>
        <v/>
      </c>
    </row>
    <row r="1105" customFormat="false" ht="15" hidden="false" customHeight="false" outlineLevel="0" collapsed="false">
      <c r="H1105" s="26"/>
      <c r="I1105" s="27" t="str">
        <f aca="false">IF(A1105="","",IF(H1105&lt;&gt;"",UPPER(TRIM(H1105)),IFERROR(CHOOSE(VALUE(E1105)+1,"A","B","C","D"),IF(OR(LEFT(UPPER(TRIM(E1105)),1)="F",UPPER(TRIM(E1105))="A"),"A",IF(OR(LEFT(UPPER(TRIM(E1105)),1)="M",UPPER(TRIM(E1105))="B"),"B",IF(OR(LEFT(UPPER(TRIM(E1105)),2)="SL",UPPER(TRIM(E1105))="C"),"C",IF(OR(LEFT(UPPER(TRIM(E1105)),1)="D",UPPER(TRIM(E1105))="D"),"D","")))))))</f>
        <v/>
      </c>
      <c r="J1105" s="27" t="str">
        <f aca="false">IF(I1105="","",IF(AND(I1105="D",Settings!$B$6&lt;&gt;"Yes"),"",IFERROR(INDEX(Settings!$C$9:$C$12,MATCH(I1105,Settings!$A$9:$A$12,0)),"")))</f>
        <v/>
      </c>
      <c r="K1105" s="27" t="str">
        <f aca="false">IF(J1105="","",COUNTIF($I$2:I1105,I1105))</f>
        <v/>
      </c>
      <c r="L1105" s="27" t="str">
        <f aca="false">IF(J1105="","",CHOOSE(Q1105+1,"Tue","Wed","Thu","Fri"))</f>
        <v/>
      </c>
      <c r="M1105" s="27" t="str">
        <f aca="false">IF(J1105="","",IF(J1105=1,"Every week",R1105+1&amp;" of "&amp;J1105))</f>
        <v/>
      </c>
      <c r="N1105" s="28" t="str">
        <f aca="false">IF(J1105="","",Settings!$B$4+R1105*7+Q1105)</f>
        <v/>
      </c>
      <c r="O1105" s="28" t="str">
        <f aca="true">IF(J1105="","",N1105+MAX(0,ROUNDUP((TODAY()-N1105)/(J1105*7),0))*J1105*7)</f>
        <v/>
      </c>
      <c r="P1105" s="27" t="str">
        <f aca="false">IF(J1105="","",MOD(K1105-1,J1105*4))</f>
        <v/>
      </c>
      <c r="Q1105" s="27" t="str">
        <f aca="false">IF(J1105="","",MOD(P1105,4))</f>
        <v/>
      </c>
      <c r="R1105" s="27" t="str">
        <f aca="false">IF(J1105="","",INT(P1105/4))</f>
        <v/>
      </c>
      <c r="S1105" s="27" t="str">
        <f aca="false">IF(J1105="","",IF(AND('Daily Count Sheet'!$H$3=Q1105,MOD('Daily Count Sheet'!$I$3,J1105)=R1105),1,""))</f>
        <v/>
      </c>
      <c r="T1105" s="27" t="str">
        <f aca="false">IF(S1105=1,COUNTIF($S$2:S1105,1),"")</f>
        <v/>
      </c>
    </row>
    <row r="1106" customFormat="false" ht="15" hidden="false" customHeight="false" outlineLevel="0" collapsed="false">
      <c r="H1106" s="26"/>
      <c r="I1106" s="27" t="str">
        <f aca="false">IF(A1106="","",IF(H1106&lt;&gt;"",UPPER(TRIM(H1106)),IFERROR(CHOOSE(VALUE(E1106)+1,"A","B","C","D"),IF(OR(LEFT(UPPER(TRIM(E1106)),1)="F",UPPER(TRIM(E1106))="A"),"A",IF(OR(LEFT(UPPER(TRIM(E1106)),1)="M",UPPER(TRIM(E1106))="B"),"B",IF(OR(LEFT(UPPER(TRIM(E1106)),2)="SL",UPPER(TRIM(E1106))="C"),"C",IF(OR(LEFT(UPPER(TRIM(E1106)),1)="D",UPPER(TRIM(E1106))="D"),"D","")))))))</f>
        <v/>
      </c>
      <c r="J1106" s="27" t="str">
        <f aca="false">IF(I1106="","",IF(AND(I1106="D",Settings!$B$6&lt;&gt;"Yes"),"",IFERROR(INDEX(Settings!$C$9:$C$12,MATCH(I1106,Settings!$A$9:$A$12,0)),"")))</f>
        <v/>
      </c>
      <c r="K1106" s="27" t="str">
        <f aca="false">IF(J1106="","",COUNTIF($I$2:I1106,I1106))</f>
        <v/>
      </c>
      <c r="L1106" s="27" t="str">
        <f aca="false">IF(J1106="","",CHOOSE(Q1106+1,"Tue","Wed","Thu","Fri"))</f>
        <v/>
      </c>
      <c r="M1106" s="27" t="str">
        <f aca="false">IF(J1106="","",IF(J1106=1,"Every week",R1106+1&amp;" of "&amp;J1106))</f>
        <v/>
      </c>
      <c r="N1106" s="28" t="str">
        <f aca="false">IF(J1106="","",Settings!$B$4+R1106*7+Q1106)</f>
        <v/>
      </c>
      <c r="O1106" s="28" t="str">
        <f aca="true">IF(J1106="","",N1106+MAX(0,ROUNDUP((TODAY()-N1106)/(J1106*7),0))*J1106*7)</f>
        <v/>
      </c>
      <c r="P1106" s="27" t="str">
        <f aca="false">IF(J1106="","",MOD(K1106-1,J1106*4))</f>
        <v/>
      </c>
      <c r="Q1106" s="27" t="str">
        <f aca="false">IF(J1106="","",MOD(P1106,4))</f>
        <v/>
      </c>
      <c r="R1106" s="27" t="str">
        <f aca="false">IF(J1106="","",INT(P1106/4))</f>
        <v/>
      </c>
      <c r="S1106" s="27" t="str">
        <f aca="false">IF(J1106="","",IF(AND('Daily Count Sheet'!$H$3=Q1106,MOD('Daily Count Sheet'!$I$3,J1106)=R1106),1,""))</f>
        <v/>
      </c>
      <c r="T1106" s="27" t="str">
        <f aca="false">IF(S1106=1,COUNTIF($S$2:S1106,1),"")</f>
        <v/>
      </c>
    </row>
    <row r="1107" customFormat="false" ht="15" hidden="false" customHeight="false" outlineLevel="0" collapsed="false">
      <c r="H1107" s="26"/>
      <c r="I1107" s="27" t="str">
        <f aca="false">IF(A1107="","",IF(H1107&lt;&gt;"",UPPER(TRIM(H1107)),IFERROR(CHOOSE(VALUE(E1107)+1,"A","B","C","D"),IF(OR(LEFT(UPPER(TRIM(E1107)),1)="F",UPPER(TRIM(E1107))="A"),"A",IF(OR(LEFT(UPPER(TRIM(E1107)),1)="M",UPPER(TRIM(E1107))="B"),"B",IF(OR(LEFT(UPPER(TRIM(E1107)),2)="SL",UPPER(TRIM(E1107))="C"),"C",IF(OR(LEFT(UPPER(TRIM(E1107)),1)="D",UPPER(TRIM(E1107))="D"),"D","")))))))</f>
        <v/>
      </c>
      <c r="J1107" s="27" t="str">
        <f aca="false">IF(I1107="","",IF(AND(I1107="D",Settings!$B$6&lt;&gt;"Yes"),"",IFERROR(INDEX(Settings!$C$9:$C$12,MATCH(I1107,Settings!$A$9:$A$12,0)),"")))</f>
        <v/>
      </c>
      <c r="K1107" s="27" t="str">
        <f aca="false">IF(J1107="","",COUNTIF($I$2:I1107,I1107))</f>
        <v/>
      </c>
      <c r="L1107" s="27" t="str">
        <f aca="false">IF(J1107="","",CHOOSE(Q1107+1,"Tue","Wed","Thu","Fri"))</f>
        <v/>
      </c>
      <c r="M1107" s="27" t="str">
        <f aca="false">IF(J1107="","",IF(J1107=1,"Every week",R1107+1&amp;" of "&amp;J1107))</f>
        <v/>
      </c>
      <c r="N1107" s="28" t="str">
        <f aca="false">IF(J1107="","",Settings!$B$4+R1107*7+Q1107)</f>
        <v/>
      </c>
      <c r="O1107" s="28" t="str">
        <f aca="true">IF(J1107="","",N1107+MAX(0,ROUNDUP((TODAY()-N1107)/(J1107*7),0))*J1107*7)</f>
        <v/>
      </c>
      <c r="P1107" s="27" t="str">
        <f aca="false">IF(J1107="","",MOD(K1107-1,J1107*4))</f>
        <v/>
      </c>
      <c r="Q1107" s="27" t="str">
        <f aca="false">IF(J1107="","",MOD(P1107,4))</f>
        <v/>
      </c>
      <c r="R1107" s="27" t="str">
        <f aca="false">IF(J1107="","",INT(P1107/4))</f>
        <v/>
      </c>
      <c r="S1107" s="27" t="str">
        <f aca="false">IF(J1107="","",IF(AND('Daily Count Sheet'!$H$3=Q1107,MOD('Daily Count Sheet'!$I$3,J1107)=R1107),1,""))</f>
        <v/>
      </c>
      <c r="T1107" s="27" t="str">
        <f aca="false">IF(S1107=1,COUNTIF($S$2:S1107,1),"")</f>
        <v/>
      </c>
    </row>
    <row r="1108" customFormat="false" ht="15" hidden="false" customHeight="false" outlineLevel="0" collapsed="false">
      <c r="H1108" s="26"/>
      <c r="I1108" s="27" t="str">
        <f aca="false">IF(A1108="","",IF(H1108&lt;&gt;"",UPPER(TRIM(H1108)),IFERROR(CHOOSE(VALUE(E1108)+1,"A","B","C","D"),IF(OR(LEFT(UPPER(TRIM(E1108)),1)="F",UPPER(TRIM(E1108))="A"),"A",IF(OR(LEFT(UPPER(TRIM(E1108)),1)="M",UPPER(TRIM(E1108))="B"),"B",IF(OR(LEFT(UPPER(TRIM(E1108)),2)="SL",UPPER(TRIM(E1108))="C"),"C",IF(OR(LEFT(UPPER(TRIM(E1108)),1)="D",UPPER(TRIM(E1108))="D"),"D","")))))))</f>
        <v/>
      </c>
      <c r="J1108" s="27" t="str">
        <f aca="false">IF(I1108="","",IF(AND(I1108="D",Settings!$B$6&lt;&gt;"Yes"),"",IFERROR(INDEX(Settings!$C$9:$C$12,MATCH(I1108,Settings!$A$9:$A$12,0)),"")))</f>
        <v/>
      </c>
      <c r="K1108" s="27" t="str">
        <f aca="false">IF(J1108="","",COUNTIF($I$2:I1108,I1108))</f>
        <v/>
      </c>
      <c r="L1108" s="27" t="str">
        <f aca="false">IF(J1108="","",CHOOSE(Q1108+1,"Tue","Wed","Thu","Fri"))</f>
        <v/>
      </c>
      <c r="M1108" s="27" t="str">
        <f aca="false">IF(J1108="","",IF(J1108=1,"Every week",R1108+1&amp;" of "&amp;J1108))</f>
        <v/>
      </c>
      <c r="N1108" s="28" t="str">
        <f aca="false">IF(J1108="","",Settings!$B$4+R1108*7+Q1108)</f>
        <v/>
      </c>
      <c r="O1108" s="28" t="str">
        <f aca="true">IF(J1108="","",N1108+MAX(0,ROUNDUP((TODAY()-N1108)/(J1108*7),0))*J1108*7)</f>
        <v/>
      </c>
      <c r="P1108" s="27" t="str">
        <f aca="false">IF(J1108="","",MOD(K1108-1,J1108*4))</f>
        <v/>
      </c>
      <c r="Q1108" s="27" t="str">
        <f aca="false">IF(J1108="","",MOD(P1108,4))</f>
        <v/>
      </c>
      <c r="R1108" s="27" t="str">
        <f aca="false">IF(J1108="","",INT(P1108/4))</f>
        <v/>
      </c>
      <c r="S1108" s="27" t="str">
        <f aca="false">IF(J1108="","",IF(AND('Daily Count Sheet'!$H$3=Q1108,MOD('Daily Count Sheet'!$I$3,J1108)=R1108),1,""))</f>
        <v/>
      </c>
      <c r="T1108" s="27" t="str">
        <f aca="false">IF(S1108=1,COUNTIF($S$2:S1108,1),"")</f>
        <v/>
      </c>
    </row>
    <row r="1109" customFormat="false" ht="15" hidden="false" customHeight="false" outlineLevel="0" collapsed="false">
      <c r="H1109" s="26"/>
      <c r="I1109" s="27" t="str">
        <f aca="false">IF(A1109="","",IF(H1109&lt;&gt;"",UPPER(TRIM(H1109)),IFERROR(CHOOSE(VALUE(E1109)+1,"A","B","C","D"),IF(OR(LEFT(UPPER(TRIM(E1109)),1)="F",UPPER(TRIM(E1109))="A"),"A",IF(OR(LEFT(UPPER(TRIM(E1109)),1)="M",UPPER(TRIM(E1109))="B"),"B",IF(OR(LEFT(UPPER(TRIM(E1109)),2)="SL",UPPER(TRIM(E1109))="C"),"C",IF(OR(LEFT(UPPER(TRIM(E1109)),1)="D",UPPER(TRIM(E1109))="D"),"D","")))))))</f>
        <v/>
      </c>
      <c r="J1109" s="27" t="str">
        <f aca="false">IF(I1109="","",IF(AND(I1109="D",Settings!$B$6&lt;&gt;"Yes"),"",IFERROR(INDEX(Settings!$C$9:$C$12,MATCH(I1109,Settings!$A$9:$A$12,0)),"")))</f>
        <v/>
      </c>
      <c r="K1109" s="27" t="str">
        <f aca="false">IF(J1109="","",COUNTIF($I$2:I1109,I1109))</f>
        <v/>
      </c>
      <c r="L1109" s="27" t="str">
        <f aca="false">IF(J1109="","",CHOOSE(Q1109+1,"Tue","Wed","Thu","Fri"))</f>
        <v/>
      </c>
      <c r="M1109" s="27" t="str">
        <f aca="false">IF(J1109="","",IF(J1109=1,"Every week",R1109+1&amp;" of "&amp;J1109))</f>
        <v/>
      </c>
      <c r="N1109" s="28" t="str">
        <f aca="false">IF(J1109="","",Settings!$B$4+R1109*7+Q1109)</f>
        <v/>
      </c>
      <c r="O1109" s="28" t="str">
        <f aca="true">IF(J1109="","",N1109+MAX(0,ROUNDUP((TODAY()-N1109)/(J1109*7),0))*J1109*7)</f>
        <v/>
      </c>
      <c r="P1109" s="27" t="str">
        <f aca="false">IF(J1109="","",MOD(K1109-1,J1109*4))</f>
        <v/>
      </c>
      <c r="Q1109" s="27" t="str">
        <f aca="false">IF(J1109="","",MOD(P1109,4))</f>
        <v/>
      </c>
      <c r="R1109" s="27" t="str">
        <f aca="false">IF(J1109="","",INT(P1109/4))</f>
        <v/>
      </c>
      <c r="S1109" s="27" t="str">
        <f aca="false">IF(J1109="","",IF(AND('Daily Count Sheet'!$H$3=Q1109,MOD('Daily Count Sheet'!$I$3,J1109)=R1109),1,""))</f>
        <v/>
      </c>
      <c r="T1109" s="27" t="str">
        <f aca="false">IF(S1109=1,COUNTIF($S$2:S1109,1),"")</f>
        <v/>
      </c>
    </row>
    <row r="1110" customFormat="false" ht="15" hidden="false" customHeight="false" outlineLevel="0" collapsed="false">
      <c r="H1110" s="26"/>
      <c r="I1110" s="27" t="str">
        <f aca="false">IF(A1110="","",IF(H1110&lt;&gt;"",UPPER(TRIM(H1110)),IFERROR(CHOOSE(VALUE(E1110)+1,"A","B","C","D"),IF(OR(LEFT(UPPER(TRIM(E1110)),1)="F",UPPER(TRIM(E1110))="A"),"A",IF(OR(LEFT(UPPER(TRIM(E1110)),1)="M",UPPER(TRIM(E1110))="B"),"B",IF(OR(LEFT(UPPER(TRIM(E1110)),2)="SL",UPPER(TRIM(E1110))="C"),"C",IF(OR(LEFT(UPPER(TRIM(E1110)),1)="D",UPPER(TRIM(E1110))="D"),"D","")))))))</f>
        <v/>
      </c>
      <c r="J1110" s="27" t="str">
        <f aca="false">IF(I1110="","",IF(AND(I1110="D",Settings!$B$6&lt;&gt;"Yes"),"",IFERROR(INDEX(Settings!$C$9:$C$12,MATCH(I1110,Settings!$A$9:$A$12,0)),"")))</f>
        <v/>
      </c>
      <c r="K1110" s="27" t="str">
        <f aca="false">IF(J1110="","",COUNTIF($I$2:I1110,I1110))</f>
        <v/>
      </c>
      <c r="L1110" s="27" t="str">
        <f aca="false">IF(J1110="","",CHOOSE(Q1110+1,"Tue","Wed","Thu","Fri"))</f>
        <v/>
      </c>
      <c r="M1110" s="27" t="str">
        <f aca="false">IF(J1110="","",IF(J1110=1,"Every week",R1110+1&amp;" of "&amp;J1110))</f>
        <v/>
      </c>
      <c r="N1110" s="28" t="str">
        <f aca="false">IF(J1110="","",Settings!$B$4+R1110*7+Q1110)</f>
        <v/>
      </c>
      <c r="O1110" s="28" t="str">
        <f aca="true">IF(J1110="","",N1110+MAX(0,ROUNDUP((TODAY()-N1110)/(J1110*7),0))*J1110*7)</f>
        <v/>
      </c>
      <c r="P1110" s="27" t="str">
        <f aca="false">IF(J1110="","",MOD(K1110-1,J1110*4))</f>
        <v/>
      </c>
      <c r="Q1110" s="27" t="str">
        <f aca="false">IF(J1110="","",MOD(P1110,4))</f>
        <v/>
      </c>
      <c r="R1110" s="27" t="str">
        <f aca="false">IF(J1110="","",INT(P1110/4))</f>
        <v/>
      </c>
      <c r="S1110" s="27" t="str">
        <f aca="false">IF(J1110="","",IF(AND('Daily Count Sheet'!$H$3=Q1110,MOD('Daily Count Sheet'!$I$3,J1110)=R1110),1,""))</f>
        <v/>
      </c>
      <c r="T1110" s="27" t="str">
        <f aca="false">IF(S1110=1,COUNTIF($S$2:S1110,1),"")</f>
        <v/>
      </c>
    </row>
    <row r="1111" customFormat="false" ht="15" hidden="false" customHeight="false" outlineLevel="0" collapsed="false">
      <c r="H1111" s="26"/>
      <c r="I1111" s="27" t="str">
        <f aca="false">IF(A1111="","",IF(H1111&lt;&gt;"",UPPER(TRIM(H1111)),IFERROR(CHOOSE(VALUE(E1111)+1,"A","B","C","D"),IF(OR(LEFT(UPPER(TRIM(E1111)),1)="F",UPPER(TRIM(E1111))="A"),"A",IF(OR(LEFT(UPPER(TRIM(E1111)),1)="M",UPPER(TRIM(E1111))="B"),"B",IF(OR(LEFT(UPPER(TRIM(E1111)),2)="SL",UPPER(TRIM(E1111))="C"),"C",IF(OR(LEFT(UPPER(TRIM(E1111)),1)="D",UPPER(TRIM(E1111))="D"),"D","")))))))</f>
        <v/>
      </c>
      <c r="J1111" s="27" t="str">
        <f aca="false">IF(I1111="","",IF(AND(I1111="D",Settings!$B$6&lt;&gt;"Yes"),"",IFERROR(INDEX(Settings!$C$9:$C$12,MATCH(I1111,Settings!$A$9:$A$12,0)),"")))</f>
        <v/>
      </c>
      <c r="K1111" s="27" t="str">
        <f aca="false">IF(J1111="","",COUNTIF($I$2:I1111,I1111))</f>
        <v/>
      </c>
      <c r="L1111" s="27" t="str">
        <f aca="false">IF(J1111="","",CHOOSE(Q1111+1,"Tue","Wed","Thu","Fri"))</f>
        <v/>
      </c>
      <c r="M1111" s="27" t="str">
        <f aca="false">IF(J1111="","",IF(J1111=1,"Every week",R1111+1&amp;" of "&amp;J1111))</f>
        <v/>
      </c>
      <c r="N1111" s="28" t="str">
        <f aca="false">IF(J1111="","",Settings!$B$4+R1111*7+Q1111)</f>
        <v/>
      </c>
      <c r="O1111" s="28" t="str">
        <f aca="true">IF(J1111="","",N1111+MAX(0,ROUNDUP((TODAY()-N1111)/(J1111*7),0))*J1111*7)</f>
        <v/>
      </c>
      <c r="P1111" s="27" t="str">
        <f aca="false">IF(J1111="","",MOD(K1111-1,J1111*4))</f>
        <v/>
      </c>
      <c r="Q1111" s="27" t="str">
        <f aca="false">IF(J1111="","",MOD(P1111,4))</f>
        <v/>
      </c>
      <c r="R1111" s="27" t="str">
        <f aca="false">IF(J1111="","",INT(P1111/4))</f>
        <v/>
      </c>
      <c r="S1111" s="27" t="str">
        <f aca="false">IF(J1111="","",IF(AND('Daily Count Sheet'!$H$3=Q1111,MOD('Daily Count Sheet'!$I$3,J1111)=R1111),1,""))</f>
        <v/>
      </c>
      <c r="T1111" s="27" t="str">
        <f aca="false">IF(S1111=1,COUNTIF($S$2:S1111,1),"")</f>
        <v/>
      </c>
    </row>
    <row r="1112" customFormat="false" ht="15" hidden="false" customHeight="false" outlineLevel="0" collapsed="false">
      <c r="H1112" s="26"/>
      <c r="I1112" s="27" t="str">
        <f aca="false">IF(A1112="","",IF(H1112&lt;&gt;"",UPPER(TRIM(H1112)),IFERROR(CHOOSE(VALUE(E1112)+1,"A","B","C","D"),IF(OR(LEFT(UPPER(TRIM(E1112)),1)="F",UPPER(TRIM(E1112))="A"),"A",IF(OR(LEFT(UPPER(TRIM(E1112)),1)="M",UPPER(TRIM(E1112))="B"),"B",IF(OR(LEFT(UPPER(TRIM(E1112)),2)="SL",UPPER(TRIM(E1112))="C"),"C",IF(OR(LEFT(UPPER(TRIM(E1112)),1)="D",UPPER(TRIM(E1112))="D"),"D","")))))))</f>
        <v/>
      </c>
      <c r="J1112" s="27" t="str">
        <f aca="false">IF(I1112="","",IF(AND(I1112="D",Settings!$B$6&lt;&gt;"Yes"),"",IFERROR(INDEX(Settings!$C$9:$C$12,MATCH(I1112,Settings!$A$9:$A$12,0)),"")))</f>
        <v/>
      </c>
      <c r="K1112" s="27" t="str">
        <f aca="false">IF(J1112="","",COUNTIF($I$2:I1112,I1112))</f>
        <v/>
      </c>
      <c r="L1112" s="27" t="str">
        <f aca="false">IF(J1112="","",CHOOSE(Q1112+1,"Tue","Wed","Thu","Fri"))</f>
        <v/>
      </c>
      <c r="M1112" s="27" t="str">
        <f aca="false">IF(J1112="","",IF(J1112=1,"Every week",R1112+1&amp;" of "&amp;J1112))</f>
        <v/>
      </c>
      <c r="N1112" s="28" t="str">
        <f aca="false">IF(J1112="","",Settings!$B$4+R1112*7+Q1112)</f>
        <v/>
      </c>
      <c r="O1112" s="28" t="str">
        <f aca="true">IF(J1112="","",N1112+MAX(0,ROUNDUP((TODAY()-N1112)/(J1112*7),0))*J1112*7)</f>
        <v/>
      </c>
      <c r="P1112" s="27" t="str">
        <f aca="false">IF(J1112="","",MOD(K1112-1,J1112*4))</f>
        <v/>
      </c>
      <c r="Q1112" s="27" t="str">
        <f aca="false">IF(J1112="","",MOD(P1112,4))</f>
        <v/>
      </c>
      <c r="R1112" s="27" t="str">
        <f aca="false">IF(J1112="","",INT(P1112/4))</f>
        <v/>
      </c>
      <c r="S1112" s="27" t="str">
        <f aca="false">IF(J1112="","",IF(AND('Daily Count Sheet'!$H$3=Q1112,MOD('Daily Count Sheet'!$I$3,J1112)=R1112),1,""))</f>
        <v/>
      </c>
      <c r="T1112" s="27" t="str">
        <f aca="false">IF(S1112=1,COUNTIF($S$2:S1112,1),"")</f>
        <v/>
      </c>
    </row>
    <row r="1113" customFormat="false" ht="15" hidden="false" customHeight="false" outlineLevel="0" collapsed="false">
      <c r="H1113" s="26"/>
      <c r="I1113" s="27" t="str">
        <f aca="false">IF(A1113="","",IF(H1113&lt;&gt;"",UPPER(TRIM(H1113)),IFERROR(CHOOSE(VALUE(E1113)+1,"A","B","C","D"),IF(OR(LEFT(UPPER(TRIM(E1113)),1)="F",UPPER(TRIM(E1113))="A"),"A",IF(OR(LEFT(UPPER(TRIM(E1113)),1)="M",UPPER(TRIM(E1113))="B"),"B",IF(OR(LEFT(UPPER(TRIM(E1113)),2)="SL",UPPER(TRIM(E1113))="C"),"C",IF(OR(LEFT(UPPER(TRIM(E1113)),1)="D",UPPER(TRIM(E1113))="D"),"D","")))))))</f>
        <v/>
      </c>
      <c r="J1113" s="27" t="str">
        <f aca="false">IF(I1113="","",IF(AND(I1113="D",Settings!$B$6&lt;&gt;"Yes"),"",IFERROR(INDEX(Settings!$C$9:$C$12,MATCH(I1113,Settings!$A$9:$A$12,0)),"")))</f>
        <v/>
      </c>
      <c r="K1113" s="27" t="str">
        <f aca="false">IF(J1113="","",COUNTIF($I$2:I1113,I1113))</f>
        <v/>
      </c>
      <c r="L1113" s="27" t="str">
        <f aca="false">IF(J1113="","",CHOOSE(Q1113+1,"Tue","Wed","Thu","Fri"))</f>
        <v/>
      </c>
      <c r="M1113" s="27" t="str">
        <f aca="false">IF(J1113="","",IF(J1113=1,"Every week",R1113+1&amp;" of "&amp;J1113))</f>
        <v/>
      </c>
      <c r="N1113" s="28" t="str">
        <f aca="false">IF(J1113="","",Settings!$B$4+R1113*7+Q1113)</f>
        <v/>
      </c>
      <c r="O1113" s="28" t="str">
        <f aca="true">IF(J1113="","",N1113+MAX(0,ROUNDUP((TODAY()-N1113)/(J1113*7),0))*J1113*7)</f>
        <v/>
      </c>
      <c r="P1113" s="27" t="str">
        <f aca="false">IF(J1113="","",MOD(K1113-1,J1113*4))</f>
        <v/>
      </c>
      <c r="Q1113" s="27" t="str">
        <f aca="false">IF(J1113="","",MOD(P1113,4))</f>
        <v/>
      </c>
      <c r="R1113" s="27" t="str">
        <f aca="false">IF(J1113="","",INT(P1113/4))</f>
        <v/>
      </c>
      <c r="S1113" s="27" t="str">
        <f aca="false">IF(J1113="","",IF(AND('Daily Count Sheet'!$H$3=Q1113,MOD('Daily Count Sheet'!$I$3,J1113)=R1113),1,""))</f>
        <v/>
      </c>
      <c r="T1113" s="27" t="str">
        <f aca="false">IF(S1113=1,COUNTIF($S$2:S1113,1),"")</f>
        <v/>
      </c>
    </row>
    <row r="1114" customFormat="false" ht="15" hidden="false" customHeight="false" outlineLevel="0" collapsed="false">
      <c r="H1114" s="26"/>
      <c r="I1114" s="27" t="str">
        <f aca="false">IF(A1114="","",IF(H1114&lt;&gt;"",UPPER(TRIM(H1114)),IFERROR(CHOOSE(VALUE(E1114)+1,"A","B","C","D"),IF(OR(LEFT(UPPER(TRIM(E1114)),1)="F",UPPER(TRIM(E1114))="A"),"A",IF(OR(LEFT(UPPER(TRIM(E1114)),1)="M",UPPER(TRIM(E1114))="B"),"B",IF(OR(LEFT(UPPER(TRIM(E1114)),2)="SL",UPPER(TRIM(E1114))="C"),"C",IF(OR(LEFT(UPPER(TRIM(E1114)),1)="D",UPPER(TRIM(E1114))="D"),"D","")))))))</f>
        <v/>
      </c>
      <c r="J1114" s="27" t="str">
        <f aca="false">IF(I1114="","",IF(AND(I1114="D",Settings!$B$6&lt;&gt;"Yes"),"",IFERROR(INDEX(Settings!$C$9:$C$12,MATCH(I1114,Settings!$A$9:$A$12,0)),"")))</f>
        <v/>
      </c>
      <c r="K1114" s="27" t="str">
        <f aca="false">IF(J1114="","",COUNTIF($I$2:I1114,I1114))</f>
        <v/>
      </c>
      <c r="L1114" s="27" t="str">
        <f aca="false">IF(J1114="","",CHOOSE(Q1114+1,"Tue","Wed","Thu","Fri"))</f>
        <v/>
      </c>
      <c r="M1114" s="27" t="str">
        <f aca="false">IF(J1114="","",IF(J1114=1,"Every week",R1114+1&amp;" of "&amp;J1114))</f>
        <v/>
      </c>
      <c r="N1114" s="28" t="str">
        <f aca="false">IF(J1114="","",Settings!$B$4+R1114*7+Q1114)</f>
        <v/>
      </c>
      <c r="O1114" s="28" t="str">
        <f aca="true">IF(J1114="","",N1114+MAX(0,ROUNDUP((TODAY()-N1114)/(J1114*7),0))*J1114*7)</f>
        <v/>
      </c>
      <c r="P1114" s="27" t="str">
        <f aca="false">IF(J1114="","",MOD(K1114-1,J1114*4))</f>
        <v/>
      </c>
      <c r="Q1114" s="27" t="str">
        <f aca="false">IF(J1114="","",MOD(P1114,4))</f>
        <v/>
      </c>
      <c r="R1114" s="27" t="str">
        <f aca="false">IF(J1114="","",INT(P1114/4))</f>
        <v/>
      </c>
      <c r="S1114" s="27" t="str">
        <f aca="false">IF(J1114="","",IF(AND('Daily Count Sheet'!$H$3=Q1114,MOD('Daily Count Sheet'!$I$3,J1114)=R1114),1,""))</f>
        <v/>
      </c>
      <c r="T1114" s="27" t="str">
        <f aca="false">IF(S1114=1,COUNTIF($S$2:S1114,1),"")</f>
        <v/>
      </c>
    </row>
    <row r="1115" customFormat="false" ht="15" hidden="false" customHeight="false" outlineLevel="0" collapsed="false">
      <c r="H1115" s="26"/>
      <c r="I1115" s="27" t="str">
        <f aca="false">IF(A1115="","",IF(H1115&lt;&gt;"",UPPER(TRIM(H1115)),IFERROR(CHOOSE(VALUE(E1115)+1,"A","B","C","D"),IF(OR(LEFT(UPPER(TRIM(E1115)),1)="F",UPPER(TRIM(E1115))="A"),"A",IF(OR(LEFT(UPPER(TRIM(E1115)),1)="M",UPPER(TRIM(E1115))="B"),"B",IF(OR(LEFT(UPPER(TRIM(E1115)),2)="SL",UPPER(TRIM(E1115))="C"),"C",IF(OR(LEFT(UPPER(TRIM(E1115)),1)="D",UPPER(TRIM(E1115))="D"),"D","")))))))</f>
        <v/>
      </c>
      <c r="J1115" s="27" t="str">
        <f aca="false">IF(I1115="","",IF(AND(I1115="D",Settings!$B$6&lt;&gt;"Yes"),"",IFERROR(INDEX(Settings!$C$9:$C$12,MATCH(I1115,Settings!$A$9:$A$12,0)),"")))</f>
        <v/>
      </c>
      <c r="K1115" s="27" t="str">
        <f aca="false">IF(J1115="","",COUNTIF($I$2:I1115,I1115))</f>
        <v/>
      </c>
      <c r="L1115" s="27" t="str">
        <f aca="false">IF(J1115="","",CHOOSE(Q1115+1,"Tue","Wed","Thu","Fri"))</f>
        <v/>
      </c>
      <c r="M1115" s="27" t="str">
        <f aca="false">IF(J1115="","",IF(J1115=1,"Every week",R1115+1&amp;" of "&amp;J1115))</f>
        <v/>
      </c>
      <c r="N1115" s="28" t="str">
        <f aca="false">IF(J1115="","",Settings!$B$4+R1115*7+Q1115)</f>
        <v/>
      </c>
      <c r="O1115" s="28" t="str">
        <f aca="true">IF(J1115="","",N1115+MAX(0,ROUNDUP((TODAY()-N1115)/(J1115*7),0))*J1115*7)</f>
        <v/>
      </c>
      <c r="P1115" s="27" t="str">
        <f aca="false">IF(J1115="","",MOD(K1115-1,J1115*4))</f>
        <v/>
      </c>
      <c r="Q1115" s="27" t="str">
        <f aca="false">IF(J1115="","",MOD(P1115,4))</f>
        <v/>
      </c>
      <c r="R1115" s="27" t="str">
        <f aca="false">IF(J1115="","",INT(P1115/4))</f>
        <v/>
      </c>
      <c r="S1115" s="27" t="str">
        <f aca="false">IF(J1115="","",IF(AND('Daily Count Sheet'!$H$3=Q1115,MOD('Daily Count Sheet'!$I$3,J1115)=R1115),1,""))</f>
        <v/>
      </c>
      <c r="T1115" s="27" t="str">
        <f aca="false">IF(S1115=1,COUNTIF($S$2:S1115,1),"")</f>
        <v/>
      </c>
    </row>
    <row r="1116" customFormat="false" ht="15" hidden="false" customHeight="false" outlineLevel="0" collapsed="false">
      <c r="H1116" s="26"/>
      <c r="I1116" s="27" t="str">
        <f aca="false">IF(A1116="","",IF(H1116&lt;&gt;"",UPPER(TRIM(H1116)),IFERROR(CHOOSE(VALUE(E1116)+1,"A","B","C","D"),IF(OR(LEFT(UPPER(TRIM(E1116)),1)="F",UPPER(TRIM(E1116))="A"),"A",IF(OR(LEFT(UPPER(TRIM(E1116)),1)="M",UPPER(TRIM(E1116))="B"),"B",IF(OR(LEFT(UPPER(TRIM(E1116)),2)="SL",UPPER(TRIM(E1116))="C"),"C",IF(OR(LEFT(UPPER(TRIM(E1116)),1)="D",UPPER(TRIM(E1116))="D"),"D","")))))))</f>
        <v/>
      </c>
      <c r="J1116" s="27" t="str">
        <f aca="false">IF(I1116="","",IF(AND(I1116="D",Settings!$B$6&lt;&gt;"Yes"),"",IFERROR(INDEX(Settings!$C$9:$C$12,MATCH(I1116,Settings!$A$9:$A$12,0)),"")))</f>
        <v/>
      </c>
      <c r="K1116" s="27" t="str">
        <f aca="false">IF(J1116="","",COUNTIF($I$2:I1116,I1116))</f>
        <v/>
      </c>
      <c r="L1116" s="27" t="str">
        <f aca="false">IF(J1116="","",CHOOSE(Q1116+1,"Tue","Wed","Thu","Fri"))</f>
        <v/>
      </c>
      <c r="M1116" s="27" t="str">
        <f aca="false">IF(J1116="","",IF(J1116=1,"Every week",R1116+1&amp;" of "&amp;J1116))</f>
        <v/>
      </c>
      <c r="N1116" s="28" t="str">
        <f aca="false">IF(J1116="","",Settings!$B$4+R1116*7+Q1116)</f>
        <v/>
      </c>
      <c r="O1116" s="28" t="str">
        <f aca="true">IF(J1116="","",N1116+MAX(0,ROUNDUP((TODAY()-N1116)/(J1116*7),0))*J1116*7)</f>
        <v/>
      </c>
      <c r="P1116" s="27" t="str">
        <f aca="false">IF(J1116="","",MOD(K1116-1,J1116*4))</f>
        <v/>
      </c>
      <c r="Q1116" s="27" t="str">
        <f aca="false">IF(J1116="","",MOD(P1116,4))</f>
        <v/>
      </c>
      <c r="R1116" s="27" t="str">
        <f aca="false">IF(J1116="","",INT(P1116/4))</f>
        <v/>
      </c>
      <c r="S1116" s="27" t="str">
        <f aca="false">IF(J1116="","",IF(AND('Daily Count Sheet'!$H$3=Q1116,MOD('Daily Count Sheet'!$I$3,J1116)=R1116),1,""))</f>
        <v/>
      </c>
      <c r="T1116" s="27" t="str">
        <f aca="false">IF(S1116=1,COUNTIF($S$2:S1116,1),"")</f>
        <v/>
      </c>
    </row>
    <row r="1117" customFormat="false" ht="15" hidden="false" customHeight="false" outlineLevel="0" collapsed="false">
      <c r="H1117" s="26"/>
      <c r="I1117" s="27" t="str">
        <f aca="false">IF(A1117="","",IF(H1117&lt;&gt;"",UPPER(TRIM(H1117)),IFERROR(CHOOSE(VALUE(E1117)+1,"A","B","C","D"),IF(OR(LEFT(UPPER(TRIM(E1117)),1)="F",UPPER(TRIM(E1117))="A"),"A",IF(OR(LEFT(UPPER(TRIM(E1117)),1)="M",UPPER(TRIM(E1117))="B"),"B",IF(OR(LEFT(UPPER(TRIM(E1117)),2)="SL",UPPER(TRIM(E1117))="C"),"C",IF(OR(LEFT(UPPER(TRIM(E1117)),1)="D",UPPER(TRIM(E1117))="D"),"D","")))))))</f>
        <v/>
      </c>
      <c r="J1117" s="27" t="str">
        <f aca="false">IF(I1117="","",IF(AND(I1117="D",Settings!$B$6&lt;&gt;"Yes"),"",IFERROR(INDEX(Settings!$C$9:$C$12,MATCH(I1117,Settings!$A$9:$A$12,0)),"")))</f>
        <v/>
      </c>
      <c r="K1117" s="27" t="str">
        <f aca="false">IF(J1117="","",COUNTIF($I$2:I1117,I1117))</f>
        <v/>
      </c>
      <c r="L1117" s="27" t="str">
        <f aca="false">IF(J1117="","",CHOOSE(Q1117+1,"Tue","Wed","Thu","Fri"))</f>
        <v/>
      </c>
      <c r="M1117" s="27" t="str">
        <f aca="false">IF(J1117="","",IF(J1117=1,"Every week",R1117+1&amp;" of "&amp;J1117))</f>
        <v/>
      </c>
      <c r="N1117" s="28" t="str">
        <f aca="false">IF(J1117="","",Settings!$B$4+R1117*7+Q1117)</f>
        <v/>
      </c>
      <c r="O1117" s="28" t="str">
        <f aca="true">IF(J1117="","",N1117+MAX(0,ROUNDUP((TODAY()-N1117)/(J1117*7),0))*J1117*7)</f>
        <v/>
      </c>
      <c r="P1117" s="27" t="str">
        <f aca="false">IF(J1117="","",MOD(K1117-1,J1117*4))</f>
        <v/>
      </c>
      <c r="Q1117" s="27" t="str">
        <f aca="false">IF(J1117="","",MOD(P1117,4))</f>
        <v/>
      </c>
      <c r="R1117" s="27" t="str">
        <f aca="false">IF(J1117="","",INT(P1117/4))</f>
        <v/>
      </c>
      <c r="S1117" s="27" t="str">
        <f aca="false">IF(J1117="","",IF(AND('Daily Count Sheet'!$H$3=Q1117,MOD('Daily Count Sheet'!$I$3,J1117)=R1117),1,""))</f>
        <v/>
      </c>
      <c r="T1117" s="27" t="str">
        <f aca="false">IF(S1117=1,COUNTIF($S$2:S1117,1),"")</f>
        <v/>
      </c>
    </row>
    <row r="1118" customFormat="false" ht="15" hidden="false" customHeight="false" outlineLevel="0" collapsed="false">
      <c r="H1118" s="26"/>
      <c r="I1118" s="27" t="str">
        <f aca="false">IF(A1118="","",IF(H1118&lt;&gt;"",UPPER(TRIM(H1118)),IFERROR(CHOOSE(VALUE(E1118)+1,"A","B","C","D"),IF(OR(LEFT(UPPER(TRIM(E1118)),1)="F",UPPER(TRIM(E1118))="A"),"A",IF(OR(LEFT(UPPER(TRIM(E1118)),1)="M",UPPER(TRIM(E1118))="B"),"B",IF(OR(LEFT(UPPER(TRIM(E1118)),2)="SL",UPPER(TRIM(E1118))="C"),"C",IF(OR(LEFT(UPPER(TRIM(E1118)),1)="D",UPPER(TRIM(E1118))="D"),"D","")))))))</f>
        <v/>
      </c>
      <c r="J1118" s="27" t="str">
        <f aca="false">IF(I1118="","",IF(AND(I1118="D",Settings!$B$6&lt;&gt;"Yes"),"",IFERROR(INDEX(Settings!$C$9:$C$12,MATCH(I1118,Settings!$A$9:$A$12,0)),"")))</f>
        <v/>
      </c>
      <c r="K1118" s="27" t="str">
        <f aca="false">IF(J1118="","",COUNTIF($I$2:I1118,I1118))</f>
        <v/>
      </c>
      <c r="L1118" s="27" t="str">
        <f aca="false">IF(J1118="","",CHOOSE(Q1118+1,"Tue","Wed","Thu","Fri"))</f>
        <v/>
      </c>
      <c r="M1118" s="27" t="str">
        <f aca="false">IF(J1118="","",IF(J1118=1,"Every week",R1118+1&amp;" of "&amp;J1118))</f>
        <v/>
      </c>
      <c r="N1118" s="28" t="str">
        <f aca="false">IF(J1118="","",Settings!$B$4+R1118*7+Q1118)</f>
        <v/>
      </c>
      <c r="O1118" s="28" t="str">
        <f aca="true">IF(J1118="","",N1118+MAX(0,ROUNDUP((TODAY()-N1118)/(J1118*7),0))*J1118*7)</f>
        <v/>
      </c>
      <c r="P1118" s="27" t="str">
        <f aca="false">IF(J1118="","",MOD(K1118-1,J1118*4))</f>
        <v/>
      </c>
      <c r="Q1118" s="27" t="str">
        <f aca="false">IF(J1118="","",MOD(P1118,4))</f>
        <v/>
      </c>
      <c r="R1118" s="27" t="str">
        <f aca="false">IF(J1118="","",INT(P1118/4))</f>
        <v/>
      </c>
      <c r="S1118" s="27" t="str">
        <f aca="false">IF(J1118="","",IF(AND('Daily Count Sheet'!$H$3=Q1118,MOD('Daily Count Sheet'!$I$3,J1118)=R1118),1,""))</f>
        <v/>
      </c>
      <c r="T1118" s="27" t="str">
        <f aca="false">IF(S1118=1,COUNTIF($S$2:S1118,1),"")</f>
        <v/>
      </c>
    </row>
    <row r="1119" customFormat="false" ht="15" hidden="false" customHeight="false" outlineLevel="0" collapsed="false">
      <c r="H1119" s="26"/>
      <c r="I1119" s="27" t="str">
        <f aca="false">IF(A1119="","",IF(H1119&lt;&gt;"",UPPER(TRIM(H1119)),IFERROR(CHOOSE(VALUE(E1119)+1,"A","B","C","D"),IF(OR(LEFT(UPPER(TRIM(E1119)),1)="F",UPPER(TRIM(E1119))="A"),"A",IF(OR(LEFT(UPPER(TRIM(E1119)),1)="M",UPPER(TRIM(E1119))="B"),"B",IF(OR(LEFT(UPPER(TRIM(E1119)),2)="SL",UPPER(TRIM(E1119))="C"),"C",IF(OR(LEFT(UPPER(TRIM(E1119)),1)="D",UPPER(TRIM(E1119))="D"),"D","")))))))</f>
        <v/>
      </c>
      <c r="J1119" s="27" t="str">
        <f aca="false">IF(I1119="","",IF(AND(I1119="D",Settings!$B$6&lt;&gt;"Yes"),"",IFERROR(INDEX(Settings!$C$9:$C$12,MATCH(I1119,Settings!$A$9:$A$12,0)),"")))</f>
        <v/>
      </c>
      <c r="K1119" s="27" t="str">
        <f aca="false">IF(J1119="","",COUNTIF($I$2:I1119,I1119))</f>
        <v/>
      </c>
      <c r="L1119" s="27" t="str">
        <f aca="false">IF(J1119="","",CHOOSE(Q1119+1,"Tue","Wed","Thu","Fri"))</f>
        <v/>
      </c>
      <c r="M1119" s="27" t="str">
        <f aca="false">IF(J1119="","",IF(J1119=1,"Every week",R1119+1&amp;" of "&amp;J1119))</f>
        <v/>
      </c>
      <c r="N1119" s="28" t="str">
        <f aca="false">IF(J1119="","",Settings!$B$4+R1119*7+Q1119)</f>
        <v/>
      </c>
      <c r="O1119" s="28" t="str">
        <f aca="true">IF(J1119="","",N1119+MAX(0,ROUNDUP((TODAY()-N1119)/(J1119*7),0))*J1119*7)</f>
        <v/>
      </c>
      <c r="P1119" s="27" t="str">
        <f aca="false">IF(J1119="","",MOD(K1119-1,J1119*4))</f>
        <v/>
      </c>
      <c r="Q1119" s="27" t="str">
        <f aca="false">IF(J1119="","",MOD(P1119,4))</f>
        <v/>
      </c>
      <c r="R1119" s="27" t="str">
        <f aca="false">IF(J1119="","",INT(P1119/4))</f>
        <v/>
      </c>
      <c r="S1119" s="27" t="str">
        <f aca="false">IF(J1119="","",IF(AND('Daily Count Sheet'!$H$3=Q1119,MOD('Daily Count Sheet'!$I$3,J1119)=R1119),1,""))</f>
        <v/>
      </c>
      <c r="T1119" s="27" t="str">
        <f aca="false">IF(S1119=1,COUNTIF($S$2:S1119,1),"")</f>
        <v/>
      </c>
    </row>
    <row r="1120" customFormat="false" ht="15" hidden="false" customHeight="false" outlineLevel="0" collapsed="false">
      <c r="H1120" s="26"/>
      <c r="I1120" s="27" t="str">
        <f aca="false">IF(A1120="","",IF(H1120&lt;&gt;"",UPPER(TRIM(H1120)),IFERROR(CHOOSE(VALUE(E1120)+1,"A","B","C","D"),IF(OR(LEFT(UPPER(TRIM(E1120)),1)="F",UPPER(TRIM(E1120))="A"),"A",IF(OR(LEFT(UPPER(TRIM(E1120)),1)="M",UPPER(TRIM(E1120))="B"),"B",IF(OR(LEFT(UPPER(TRIM(E1120)),2)="SL",UPPER(TRIM(E1120))="C"),"C",IF(OR(LEFT(UPPER(TRIM(E1120)),1)="D",UPPER(TRIM(E1120))="D"),"D","")))))))</f>
        <v/>
      </c>
      <c r="J1120" s="27" t="str">
        <f aca="false">IF(I1120="","",IF(AND(I1120="D",Settings!$B$6&lt;&gt;"Yes"),"",IFERROR(INDEX(Settings!$C$9:$C$12,MATCH(I1120,Settings!$A$9:$A$12,0)),"")))</f>
        <v/>
      </c>
      <c r="K1120" s="27" t="str">
        <f aca="false">IF(J1120="","",COUNTIF($I$2:I1120,I1120))</f>
        <v/>
      </c>
      <c r="L1120" s="27" t="str">
        <f aca="false">IF(J1120="","",CHOOSE(Q1120+1,"Tue","Wed","Thu","Fri"))</f>
        <v/>
      </c>
      <c r="M1120" s="27" t="str">
        <f aca="false">IF(J1120="","",IF(J1120=1,"Every week",R1120+1&amp;" of "&amp;J1120))</f>
        <v/>
      </c>
      <c r="N1120" s="28" t="str">
        <f aca="false">IF(J1120="","",Settings!$B$4+R1120*7+Q1120)</f>
        <v/>
      </c>
      <c r="O1120" s="28" t="str">
        <f aca="true">IF(J1120="","",N1120+MAX(0,ROUNDUP((TODAY()-N1120)/(J1120*7),0))*J1120*7)</f>
        <v/>
      </c>
      <c r="P1120" s="27" t="str">
        <f aca="false">IF(J1120="","",MOD(K1120-1,J1120*4))</f>
        <v/>
      </c>
      <c r="Q1120" s="27" t="str">
        <f aca="false">IF(J1120="","",MOD(P1120,4))</f>
        <v/>
      </c>
      <c r="R1120" s="27" t="str">
        <f aca="false">IF(J1120="","",INT(P1120/4))</f>
        <v/>
      </c>
      <c r="S1120" s="27" t="str">
        <f aca="false">IF(J1120="","",IF(AND('Daily Count Sheet'!$H$3=Q1120,MOD('Daily Count Sheet'!$I$3,J1120)=R1120),1,""))</f>
        <v/>
      </c>
      <c r="T1120" s="27" t="str">
        <f aca="false">IF(S1120=1,COUNTIF($S$2:S1120,1),"")</f>
        <v/>
      </c>
    </row>
    <row r="1121" customFormat="false" ht="15" hidden="false" customHeight="false" outlineLevel="0" collapsed="false">
      <c r="H1121" s="26"/>
      <c r="I1121" s="27" t="str">
        <f aca="false">IF(A1121="","",IF(H1121&lt;&gt;"",UPPER(TRIM(H1121)),IFERROR(CHOOSE(VALUE(E1121)+1,"A","B","C","D"),IF(OR(LEFT(UPPER(TRIM(E1121)),1)="F",UPPER(TRIM(E1121))="A"),"A",IF(OR(LEFT(UPPER(TRIM(E1121)),1)="M",UPPER(TRIM(E1121))="B"),"B",IF(OR(LEFT(UPPER(TRIM(E1121)),2)="SL",UPPER(TRIM(E1121))="C"),"C",IF(OR(LEFT(UPPER(TRIM(E1121)),1)="D",UPPER(TRIM(E1121))="D"),"D","")))))))</f>
        <v/>
      </c>
      <c r="J1121" s="27" t="str">
        <f aca="false">IF(I1121="","",IF(AND(I1121="D",Settings!$B$6&lt;&gt;"Yes"),"",IFERROR(INDEX(Settings!$C$9:$C$12,MATCH(I1121,Settings!$A$9:$A$12,0)),"")))</f>
        <v/>
      </c>
      <c r="K1121" s="27" t="str">
        <f aca="false">IF(J1121="","",COUNTIF($I$2:I1121,I1121))</f>
        <v/>
      </c>
      <c r="L1121" s="27" t="str">
        <f aca="false">IF(J1121="","",CHOOSE(Q1121+1,"Tue","Wed","Thu","Fri"))</f>
        <v/>
      </c>
      <c r="M1121" s="27" t="str">
        <f aca="false">IF(J1121="","",IF(J1121=1,"Every week",R1121+1&amp;" of "&amp;J1121))</f>
        <v/>
      </c>
      <c r="N1121" s="28" t="str">
        <f aca="false">IF(J1121="","",Settings!$B$4+R1121*7+Q1121)</f>
        <v/>
      </c>
      <c r="O1121" s="28" t="str">
        <f aca="true">IF(J1121="","",N1121+MAX(0,ROUNDUP((TODAY()-N1121)/(J1121*7),0))*J1121*7)</f>
        <v/>
      </c>
      <c r="P1121" s="27" t="str">
        <f aca="false">IF(J1121="","",MOD(K1121-1,J1121*4))</f>
        <v/>
      </c>
      <c r="Q1121" s="27" t="str">
        <f aca="false">IF(J1121="","",MOD(P1121,4))</f>
        <v/>
      </c>
      <c r="R1121" s="27" t="str">
        <f aca="false">IF(J1121="","",INT(P1121/4))</f>
        <v/>
      </c>
      <c r="S1121" s="27" t="str">
        <f aca="false">IF(J1121="","",IF(AND('Daily Count Sheet'!$H$3=Q1121,MOD('Daily Count Sheet'!$I$3,J1121)=R1121),1,""))</f>
        <v/>
      </c>
      <c r="T1121" s="27" t="str">
        <f aca="false">IF(S1121=1,COUNTIF($S$2:S1121,1),"")</f>
        <v/>
      </c>
    </row>
    <row r="1122" customFormat="false" ht="15" hidden="false" customHeight="false" outlineLevel="0" collapsed="false">
      <c r="H1122" s="26"/>
      <c r="I1122" s="27" t="str">
        <f aca="false">IF(A1122="","",IF(H1122&lt;&gt;"",UPPER(TRIM(H1122)),IFERROR(CHOOSE(VALUE(E1122)+1,"A","B","C","D"),IF(OR(LEFT(UPPER(TRIM(E1122)),1)="F",UPPER(TRIM(E1122))="A"),"A",IF(OR(LEFT(UPPER(TRIM(E1122)),1)="M",UPPER(TRIM(E1122))="B"),"B",IF(OR(LEFT(UPPER(TRIM(E1122)),2)="SL",UPPER(TRIM(E1122))="C"),"C",IF(OR(LEFT(UPPER(TRIM(E1122)),1)="D",UPPER(TRIM(E1122))="D"),"D","")))))))</f>
        <v/>
      </c>
      <c r="J1122" s="27" t="str">
        <f aca="false">IF(I1122="","",IF(AND(I1122="D",Settings!$B$6&lt;&gt;"Yes"),"",IFERROR(INDEX(Settings!$C$9:$C$12,MATCH(I1122,Settings!$A$9:$A$12,0)),"")))</f>
        <v/>
      </c>
      <c r="K1122" s="27" t="str">
        <f aca="false">IF(J1122="","",COUNTIF($I$2:I1122,I1122))</f>
        <v/>
      </c>
      <c r="L1122" s="27" t="str">
        <f aca="false">IF(J1122="","",CHOOSE(Q1122+1,"Tue","Wed","Thu","Fri"))</f>
        <v/>
      </c>
      <c r="M1122" s="27" t="str">
        <f aca="false">IF(J1122="","",IF(J1122=1,"Every week",R1122+1&amp;" of "&amp;J1122))</f>
        <v/>
      </c>
      <c r="N1122" s="28" t="str">
        <f aca="false">IF(J1122="","",Settings!$B$4+R1122*7+Q1122)</f>
        <v/>
      </c>
      <c r="O1122" s="28" t="str">
        <f aca="true">IF(J1122="","",N1122+MAX(0,ROUNDUP((TODAY()-N1122)/(J1122*7),0))*J1122*7)</f>
        <v/>
      </c>
      <c r="P1122" s="27" t="str">
        <f aca="false">IF(J1122="","",MOD(K1122-1,J1122*4))</f>
        <v/>
      </c>
      <c r="Q1122" s="27" t="str">
        <f aca="false">IF(J1122="","",MOD(P1122,4))</f>
        <v/>
      </c>
      <c r="R1122" s="27" t="str">
        <f aca="false">IF(J1122="","",INT(P1122/4))</f>
        <v/>
      </c>
      <c r="S1122" s="27" t="str">
        <f aca="false">IF(J1122="","",IF(AND('Daily Count Sheet'!$H$3=Q1122,MOD('Daily Count Sheet'!$I$3,J1122)=R1122),1,""))</f>
        <v/>
      </c>
      <c r="T1122" s="27" t="str">
        <f aca="false">IF(S1122=1,COUNTIF($S$2:S1122,1),"")</f>
        <v/>
      </c>
    </row>
    <row r="1123" customFormat="false" ht="15" hidden="false" customHeight="false" outlineLevel="0" collapsed="false">
      <c r="H1123" s="26"/>
      <c r="I1123" s="27" t="str">
        <f aca="false">IF(A1123="","",IF(H1123&lt;&gt;"",UPPER(TRIM(H1123)),IFERROR(CHOOSE(VALUE(E1123)+1,"A","B","C","D"),IF(OR(LEFT(UPPER(TRIM(E1123)),1)="F",UPPER(TRIM(E1123))="A"),"A",IF(OR(LEFT(UPPER(TRIM(E1123)),1)="M",UPPER(TRIM(E1123))="B"),"B",IF(OR(LEFT(UPPER(TRIM(E1123)),2)="SL",UPPER(TRIM(E1123))="C"),"C",IF(OR(LEFT(UPPER(TRIM(E1123)),1)="D",UPPER(TRIM(E1123))="D"),"D","")))))))</f>
        <v/>
      </c>
      <c r="J1123" s="27" t="str">
        <f aca="false">IF(I1123="","",IF(AND(I1123="D",Settings!$B$6&lt;&gt;"Yes"),"",IFERROR(INDEX(Settings!$C$9:$C$12,MATCH(I1123,Settings!$A$9:$A$12,0)),"")))</f>
        <v/>
      </c>
      <c r="K1123" s="27" t="str">
        <f aca="false">IF(J1123="","",COUNTIF($I$2:I1123,I1123))</f>
        <v/>
      </c>
      <c r="L1123" s="27" t="str">
        <f aca="false">IF(J1123="","",CHOOSE(Q1123+1,"Tue","Wed","Thu","Fri"))</f>
        <v/>
      </c>
      <c r="M1123" s="27" t="str">
        <f aca="false">IF(J1123="","",IF(J1123=1,"Every week",R1123+1&amp;" of "&amp;J1123))</f>
        <v/>
      </c>
      <c r="N1123" s="28" t="str">
        <f aca="false">IF(J1123="","",Settings!$B$4+R1123*7+Q1123)</f>
        <v/>
      </c>
      <c r="O1123" s="28" t="str">
        <f aca="true">IF(J1123="","",N1123+MAX(0,ROUNDUP((TODAY()-N1123)/(J1123*7),0))*J1123*7)</f>
        <v/>
      </c>
      <c r="P1123" s="27" t="str">
        <f aca="false">IF(J1123="","",MOD(K1123-1,J1123*4))</f>
        <v/>
      </c>
      <c r="Q1123" s="27" t="str">
        <f aca="false">IF(J1123="","",MOD(P1123,4))</f>
        <v/>
      </c>
      <c r="R1123" s="27" t="str">
        <f aca="false">IF(J1123="","",INT(P1123/4))</f>
        <v/>
      </c>
      <c r="S1123" s="27" t="str">
        <f aca="false">IF(J1123="","",IF(AND('Daily Count Sheet'!$H$3=Q1123,MOD('Daily Count Sheet'!$I$3,J1123)=R1123),1,""))</f>
        <v/>
      </c>
      <c r="T1123" s="27" t="str">
        <f aca="false">IF(S1123=1,COUNTIF($S$2:S1123,1),"")</f>
        <v/>
      </c>
    </row>
    <row r="1124" customFormat="false" ht="15" hidden="false" customHeight="false" outlineLevel="0" collapsed="false">
      <c r="H1124" s="26"/>
      <c r="I1124" s="27" t="str">
        <f aca="false">IF(A1124="","",IF(H1124&lt;&gt;"",UPPER(TRIM(H1124)),IFERROR(CHOOSE(VALUE(E1124)+1,"A","B","C","D"),IF(OR(LEFT(UPPER(TRIM(E1124)),1)="F",UPPER(TRIM(E1124))="A"),"A",IF(OR(LEFT(UPPER(TRIM(E1124)),1)="M",UPPER(TRIM(E1124))="B"),"B",IF(OR(LEFT(UPPER(TRIM(E1124)),2)="SL",UPPER(TRIM(E1124))="C"),"C",IF(OR(LEFT(UPPER(TRIM(E1124)),1)="D",UPPER(TRIM(E1124))="D"),"D","")))))))</f>
        <v/>
      </c>
      <c r="J1124" s="27" t="str">
        <f aca="false">IF(I1124="","",IF(AND(I1124="D",Settings!$B$6&lt;&gt;"Yes"),"",IFERROR(INDEX(Settings!$C$9:$C$12,MATCH(I1124,Settings!$A$9:$A$12,0)),"")))</f>
        <v/>
      </c>
      <c r="K1124" s="27" t="str">
        <f aca="false">IF(J1124="","",COUNTIF($I$2:I1124,I1124))</f>
        <v/>
      </c>
      <c r="L1124" s="27" t="str">
        <f aca="false">IF(J1124="","",CHOOSE(Q1124+1,"Tue","Wed","Thu","Fri"))</f>
        <v/>
      </c>
      <c r="M1124" s="27" t="str">
        <f aca="false">IF(J1124="","",IF(J1124=1,"Every week",R1124+1&amp;" of "&amp;J1124))</f>
        <v/>
      </c>
      <c r="N1124" s="28" t="str">
        <f aca="false">IF(J1124="","",Settings!$B$4+R1124*7+Q1124)</f>
        <v/>
      </c>
      <c r="O1124" s="28" t="str">
        <f aca="true">IF(J1124="","",N1124+MAX(0,ROUNDUP((TODAY()-N1124)/(J1124*7),0))*J1124*7)</f>
        <v/>
      </c>
      <c r="P1124" s="27" t="str">
        <f aca="false">IF(J1124="","",MOD(K1124-1,J1124*4))</f>
        <v/>
      </c>
      <c r="Q1124" s="27" t="str">
        <f aca="false">IF(J1124="","",MOD(P1124,4))</f>
        <v/>
      </c>
      <c r="R1124" s="27" t="str">
        <f aca="false">IF(J1124="","",INT(P1124/4))</f>
        <v/>
      </c>
      <c r="S1124" s="27" t="str">
        <f aca="false">IF(J1124="","",IF(AND('Daily Count Sheet'!$H$3=Q1124,MOD('Daily Count Sheet'!$I$3,J1124)=R1124),1,""))</f>
        <v/>
      </c>
      <c r="T1124" s="27" t="str">
        <f aca="false">IF(S1124=1,COUNTIF($S$2:S1124,1),"")</f>
        <v/>
      </c>
    </row>
    <row r="1125" customFormat="false" ht="15" hidden="false" customHeight="false" outlineLevel="0" collapsed="false">
      <c r="H1125" s="26"/>
      <c r="I1125" s="27" t="str">
        <f aca="false">IF(A1125="","",IF(H1125&lt;&gt;"",UPPER(TRIM(H1125)),IFERROR(CHOOSE(VALUE(E1125)+1,"A","B","C","D"),IF(OR(LEFT(UPPER(TRIM(E1125)),1)="F",UPPER(TRIM(E1125))="A"),"A",IF(OR(LEFT(UPPER(TRIM(E1125)),1)="M",UPPER(TRIM(E1125))="B"),"B",IF(OR(LEFT(UPPER(TRIM(E1125)),2)="SL",UPPER(TRIM(E1125))="C"),"C",IF(OR(LEFT(UPPER(TRIM(E1125)),1)="D",UPPER(TRIM(E1125))="D"),"D","")))))))</f>
        <v/>
      </c>
      <c r="J1125" s="27" t="str">
        <f aca="false">IF(I1125="","",IF(AND(I1125="D",Settings!$B$6&lt;&gt;"Yes"),"",IFERROR(INDEX(Settings!$C$9:$C$12,MATCH(I1125,Settings!$A$9:$A$12,0)),"")))</f>
        <v/>
      </c>
      <c r="K1125" s="27" t="str">
        <f aca="false">IF(J1125="","",COUNTIF($I$2:I1125,I1125))</f>
        <v/>
      </c>
      <c r="L1125" s="27" t="str">
        <f aca="false">IF(J1125="","",CHOOSE(Q1125+1,"Tue","Wed","Thu","Fri"))</f>
        <v/>
      </c>
      <c r="M1125" s="27" t="str">
        <f aca="false">IF(J1125="","",IF(J1125=1,"Every week",R1125+1&amp;" of "&amp;J1125))</f>
        <v/>
      </c>
      <c r="N1125" s="28" t="str">
        <f aca="false">IF(J1125="","",Settings!$B$4+R1125*7+Q1125)</f>
        <v/>
      </c>
      <c r="O1125" s="28" t="str">
        <f aca="true">IF(J1125="","",N1125+MAX(0,ROUNDUP((TODAY()-N1125)/(J1125*7),0))*J1125*7)</f>
        <v/>
      </c>
      <c r="P1125" s="27" t="str">
        <f aca="false">IF(J1125="","",MOD(K1125-1,J1125*4))</f>
        <v/>
      </c>
      <c r="Q1125" s="27" t="str">
        <f aca="false">IF(J1125="","",MOD(P1125,4))</f>
        <v/>
      </c>
      <c r="R1125" s="27" t="str">
        <f aca="false">IF(J1125="","",INT(P1125/4))</f>
        <v/>
      </c>
      <c r="S1125" s="27" t="str">
        <f aca="false">IF(J1125="","",IF(AND('Daily Count Sheet'!$H$3=Q1125,MOD('Daily Count Sheet'!$I$3,J1125)=R1125),1,""))</f>
        <v/>
      </c>
      <c r="T1125" s="27" t="str">
        <f aca="false">IF(S1125=1,COUNTIF($S$2:S1125,1),"")</f>
        <v/>
      </c>
    </row>
    <row r="1126" customFormat="false" ht="15" hidden="false" customHeight="false" outlineLevel="0" collapsed="false">
      <c r="H1126" s="26"/>
      <c r="I1126" s="27" t="str">
        <f aca="false">IF(A1126="","",IF(H1126&lt;&gt;"",UPPER(TRIM(H1126)),IFERROR(CHOOSE(VALUE(E1126)+1,"A","B","C","D"),IF(OR(LEFT(UPPER(TRIM(E1126)),1)="F",UPPER(TRIM(E1126))="A"),"A",IF(OR(LEFT(UPPER(TRIM(E1126)),1)="M",UPPER(TRIM(E1126))="B"),"B",IF(OR(LEFT(UPPER(TRIM(E1126)),2)="SL",UPPER(TRIM(E1126))="C"),"C",IF(OR(LEFT(UPPER(TRIM(E1126)),1)="D",UPPER(TRIM(E1126))="D"),"D","")))))))</f>
        <v/>
      </c>
      <c r="J1126" s="27" t="str">
        <f aca="false">IF(I1126="","",IF(AND(I1126="D",Settings!$B$6&lt;&gt;"Yes"),"",IFERROR(INDEX(Settings!$C$9:$C$12,MATCH(I1126,Settings!$A$9:$A$12,0)),"")))</f>
        <v/>
      </c>
      <c r="K1126" s="27" t="str">
        <f aca="false">IF(J1126="","",COUNTIF($I$2:I1126,I1126))</f>
        <v/>
      </c>
      <c r="L1126" s="27" t="str">
        <f aca="false">IF(J1126="","",CHOOSE(Q1126+1,"Tue","Wed","Thu","Fri"))</f>
        <v/>
      </c>
      <c r="M1126" s="27" t="str">
        <f aca="false">IF(J1126="","",IF(J1126=1,"Every week",R1126+1&amp;" of "&amp;J1126))</f>
        <v/>
      </c>
      <c r="N1126" s="28" t="str">
        <f aca="false">IF(J1126="","",Settings!$B$4+R1126*7+Q1126)</f>
        <v/>
      </c>
      <c r="O1126" s="28" t="str">
        <f aca="true">IF(J1126="","",N1126+MAX(0,ROUNDUP((TODAY()-N1126)/(J1126*7),0))*J1126*7)</f>
        <v/>
      </c>
      <c r="P1126" s="27" t="str">
        <f aca="false">IF(J1126="","",MOD(K1126-1,J1126*4))</f>
        <v/>
      </c>
      <c r="Q1126" s="27" t="str">
        <f aca="false">IF(J1126="","",MOD(P1126,4))</f>
        <v/>
      </c>
      <c r="R1126" s="27" t="str">
        <f aca="false">IF(J1126="","",INT(P1126/4))</f>
        <v/>
      </c>
      <c r="S1126" s="27" t="str">
        <f aca="false">IF(J1126="","",IF(AND('Daily Count Sheet'!$H$3=Q1126,MOD('Daily Count Sheet'!$I$3,J1126)=R1126),1,""))</f>
        <v/>
      </c>
      <c r="T1126" s="27" t="str">
        <f aca="false">IF(S1126=1,COUNTIF($S$2:S1126,1),"")</f>
        <v/>
      </c>
    </row>
    <row r="1127" customFormat="false" ht="15" hidden="false" customHeight="false" outlineLevel="0" collapsed="false">
      <c r="H1127" s="26"/>
      <c r="I1127" s="27" t="str">
        <f aca="false">IF(A1127="","",IF(H1127&lt;&gt;"",UPPER(TRIM(H1127)),IFERROR(CHOOSE(VALUE(E1127)+1,"A","B","C","D"),IF(OR(LEFT(UPPER(TRIM(E1127)),1)="F",UPPER(TRIM(E1127))="A"),"A",IF(OR(LEFT(UPPER(TRIM(E1127)),1)="M",UPPER(TRIM(E1127))="B"),"B",IF(OR(LEFT(UPPER(TRIM(E1127)),2)="SL",UPPER(TRIM(E1127))="C"),"C",IF(OR(LEFT(UPPER(TRIM(E1127)),1)="D",UPPER(TRIM(E1127))="D"),"D","")))))))</f>
        <v/>
      </c>
      <c r="J1127" s="27" t="str">
        <f aca="false">IF(I1127="","",IF(AND(I1127="D",Settings!$B$6&lt;&gt;"Yes"),"",IFERROR(INDEX(Settings!$C$9:$C$12,MATCH(I1127,Settings!$A$9:$A$12,0)),"")))</f>
        <v/>
      </c>
      <c r="K1127" s="27" t="str">
        <f aca="false">IF(J1127="","",COUNTIF($I$2:I1127,I1127))</f>
        <v/>
      </c>
      <c r="L1127" s="27" t="str">
        <f aca="false">IF(J1127="","",CHOOSE(Q1127+1,"Tue","Wed","Thu","Fri"))</f>
        <v/>
      </c>
      <c r="M1127" s="27" t="str">
        <f aca="false">IF(J1127="","",IF(J1127=1,"Every week",R1127+1&amp;" of "&amp;J1127))</f>
        <v/>
      </c>
      <c r="N1127" s="28" t="str">
        <f aca="false">IF(J1127="","",Settings!$B$4+R1127*7+Q1127)</f>
        <v/>
      </c>
      <c r="O1127" s="28" t="str">
        <f aca="true">IF(J1127="","",N1127+MAX(0,ROUNDUP((TODAY()-N1127)/(J1127*7),0))*J1127*7)</f>
        <v/>
      </c>
      <c r="P1127" s="27" t="str">
        <f aca="false">IF(J1127="","",MOD(K1127-1,J1127*4))</f>
        <v/>
      </c>
      <c r="Q1127" s="27" t="str">
        <f aca="false">IF(J1127="","",MOD(P1127,4))</f>
        <v/>
      </c>
      <c r="R1127" s="27" t="str">
        <f aca="false">IF(J1127="","",INT(P1127/4))</f>
        <v/>
      </c>
      <c r="S1127" s="27" t="str">
        <f aca="false">IF(J1127="","",IF(AND('Daily Count Sheet'!$H$3=Q1127,MOD('Daily Count Sheet'!$I$3,J1127)=R1127),1,""))</f>
        <v/>
      </c>
      <c r="T1127" s="27" t="str">
        <f aca="false">IF(S1127=1,COUNTIF($S$2:S1127,1),"")</f>
        <v/>
      </c>
    </row>
    <row r="1128" customFormat="false" ht="15" hidden="false" customHeight="false" outlineLevel="0" collapsed="false">
      <c r="H1128" s="26"/>
      <c r="I1128" s="27" t="str">
        <f aca="false">IF(A1128="","",IF(H1128&lt;&gt;"",UPPER(TRIM(H1128)),IFERROR(CHOOSE(VALUE(E1128)+1,"A","B","C","D"),IF(OR(LEFT(UPPER(TRIM(E1128)),1)="F",UPPER(TRIM(E1128))="A"),"A",IF(OR(LEFT(UPPER(TRIM(E1128)),1)="M",UPPER(TRIM(E1128))="B"),"B",IF(OR(LEFT(UPPER(TRIM(E1128)),2)="SL",UPPER(TRIM(E1128))="C"),"C",IF(OR(LEFT(UPPER(TRIM(E1128)),1)="D",UPPER(TRIM(E1128))="D"),"D","")))))))</f>
        <v/>
      </c>
      <c r="J1128" s="27" t="str">
        <f aca="false">IF(I1128="","",IF(AND(I1128="D",Settings!$B$6&lt;&gt;"Yes"),"",IFERROR(INDEX(Settings!$C$9:$C$12,MATCH(I1128,Settings!$A$9:$A$12,0)),"")))</f>
        <v/>
      </c>
      <c r="K1128" s="27" t="str">
        <f aca="false">IF(J1128="","",COUNTIF($I$2:I1128,I1128))</f>
        <v/>
      </c>
      <c r="L1128" s="27" t="str">
        <f aca="false">IF(J1128="","",CHOOSE(Q1128+1,"Tue","Wed","Thu","Fri"))</f>
        <v/>
      </c>
      <c r="M1128" s="27" t="str">
        <f aca="false">IF(J1128="","",IF(J1128=1,"Every week",R1128+1&amp;" of "&amp;J1128))</f>
        <v/>
      </c>
      <c r="N1128" s="28" t="str">
        <f aca="false">IF(J1128="","",Settings!$B$4+R1128*7+Q1128)</f>
        <v/>
      </c>
      <c r="O1128" s="28" t="str">
        <f aca="true">IF(J1128="","",N1128+MAX(0,ROUNDUP((TODAY()-N1128)/(J1128*7),0))*J1128*7)</f>
        <v/>
      </c>
      <c r="P1128" s="27" t="str">
        <f aca="false">IF(J1128="","",MOD(K1128-1,J1128*4))</f>
        <v/>
      </c>
      <c r="Q1128" s="27" t="str">
        <f aca="false">IF(J1128="","",MOD(P1128,4))</f>
        <v/>
      </c>
      <c r="R1128" s="27" t="str">
        <f aca="false">IF(J1128="","",INT(P1128/4))</f>
        <v/>
      </c>
      <c r="S1128" s="27" t="str">
        <f aca="false">IF(J1128="","",IF(AND('Daily Count Sheet'!$H$3=Q1128,MOD('Daily Count Sheet'!$I$3,J1128)=R1128),1,""))</f>
        <v/>
      </c>
      <c r="T1128" s="27" t="str">
        <f aca="false">IF(S1128=1,COUNTIF($S$2:S1128,1),"")</f>
        <v/>
      </c>
    </row>
    <row r="1129" customFormat="false" ht="15" hidden="false" customHeight="false" outlineLevel="0" collapsed="false">
      <c r="H1129" s="26"/>
      <c r="I1129" s="27" t="str">
        <f aca="false">IF(A1129="","",IF(H1129&lt;&gt;"",UPPER(TRIM(H1129)),IFERROR(CHOOSE(VALUE(E1129)+1,"A","B","C","D"),IF(OR(LEFT(UPPER(TRIM(E1129)),1)="F",UPPER(TRIM(E1129))="A"),"A",IF(OR(LEFT(UPPER(TRIM(E1129)),1)="M",UPPER(TRIM(E1129))="B"),"B",IF(OR(LEFT(UPPER(TRIM(E1129)),2)="SL",UPPER(TRIM(E1129))="C"),"C",IF(OR(LEFT(UPPER(TRIM(E1129)),1)="D",UPPER(TRIM(E1129))="D"),"D","")))))))</f>
        <v/>
      </c>
      <c r="J1129" s="27" t="str">
        <f aca="false">IF(I1129="","",IF(AND(I1129="D",Settings!$B$6&lt;&gt;"Yes"),"",IFERROR(INDEX(Settings!$C$9:$C$12,MATCH(I1129,Settings!$A$9:$A$12,0)),"")))</f>
        <v/>
      </c>
      <c r="K1129" s="27" t="str">
        <f aca="false">IF(J1129="","",COUNTIF($I$2:I1129,I1129))</f>
        <v/>
      </c>
      <c r="L1129" s="27" t="str">
        <f aca="false">IF(J1129="","",CHOOSE(Q1129+1,"Tue","Wed","Thu","Fri"))</f>
        <v/>
      </c>
      <c r="M1129" s="27" t="str">
        <f aca="false">IF(J1129="","",IF(J1129=1,"Every week",R1129+1&amp;" of "&amp;J1129))</f>
        <v/>
      </c>
      <c r="N1129" s="28" t="str">
        <f aca="false">IF(J1129="","",Settings!$B$4+R1129*7+Q1129)</f>
        <v/>
      </c>
      <c r="O1129" s="28" t="str">
        <f aca="true">IF(J1129="","",N1129+MAX(0,ROUNDUP((TODAY()-N1129)/(J1129*7),0))*J1129*7)</f>
        <v/>
      </c>
      <c r="P1129" s="27" t="str">
        <f aca="false">IF(J1129="","",MOD(K1129-1,J1129*4))</f>
        <v/>
      </c>
      <c r="Q1129" s="27" t="str">
        <f aca="false">IF(J1129="","",MOD(P1129,4))</f>
        <v/>
      </c>
      <c r="R1129" s="27" t="str">
        <f aca="false">IF(J1129="","",INT(P1129/4))</f>
        <v/>
      </c>
      <c r="S1129" s="27" t="str">
        <f aca="false">IF(J1129="","",IF(AND('Daily Count Sheet'!$H$3=Q1129,MOD('Daily Count Sheet'!$I$3,J1129)=R1129),1,""))</f>
        <v/>
      </c>
      <c r="T1129" s="27" t="str">
        <f aca="false">IF(S1129=1,COUNTIF($S$2:S1129,1),"")</f>
        <v/>
      </c>
    </row>
    <row r="1130" customFormat="false" ht="15" hidden="false" customHeight="false" outlineLevel="0" collapsed="false">
      <c r="H1130" s="26"/>
      <c r="I1130" s="27" t="str">
        <f aca="false">IF(A1130="","",IF(H1130&lt;&gt;"",UPPER(TRIM(H1130)),IFERROR(CHOOSE(VALUE(E1130)+1,"A","B","C","D"),IF(OR(LEFT(UPPER(TRIM(E1130)),1)="F",UPPER(TRIM(E1130))="A"),"A",IF(OR(LEFT(UPPER(TRIM(E1130)),1)="M",UPPER(TRIM(E1130))="B"),"B",IF(OR(LEFT(UPPER(TRIM(E1130)),2)="SL",UPPER(TRIM(E1130))="C"),"C",IF(OR(LEFT(UPPER(TRIM(E1130)),1)="D",UPPER(TRIM(E1130))="D"),"D","")))))))</f>
        <v/>
      </c>
      <c r="J1130" s="27" t="str">
        <f aca="false">IF(I1130="","",IF(AND(I1130="D",Settings!$B$6&lt;&gt;"Yes"),"",IFERROR(INDEX(Settings!$C$9:$C$12,MATCH(I1130,Settings!$A$9:$A$12,0)),"")))</f>
        <v/>
      </c>
      <c r="K1130" s="27" t="str">
        <f aca="false">IF(J1130="","",COUNTIF($I$2:I1130,I1130))</f>
        <v/>
      </c>
      <c r="L1130" s="27" t="str">
        <f aca="false">IF(J1130="","",CHOOSE(Q1130+1,"Tue","Wed","Thu","Fri"))</f>
        <v/>
      </c>
      <c r="M1130" s="27" t="str">
        <f aca="false">IF(J1130="","",IF(J1130=1,"Every week",R1130+1&amp;" of "&amp;J1130))</f>
        <v/>
      </c>
      <c r="N1130" s="28" t="str">
        <f aca="false">IF(J1130="","",Settings!$B$4+R1130*7+Q1130)</f>
        <v/>
      </c>
      <c r="O1130" s="28" t="str">
        <f aca="true">IF(J1130="","",N1130+MAX(0,ROUNDUP((TODAY()-N1130)/(J1130*7),0))*J1130*7)</f>
        <v/>
      </c>
      <c r="P1130" s="27" t="str">
        <f aca="false">IF(J1130="","",MOD(K1130-1,J1130*4))</f>
        <v/>
      </c>
      <c r="Q1130" s="27" t="str">
        <f aca="false">IF(J1130="","",MOD(P1130,4))</f>
        <v/>
      </c>
      <c r="R1130" s="27" t="str">
        <f aca="false">IF(J1130="","",INT(P1130/4))</f>
        <v/>
      </c>
      <c r="S1130" s="27" t="str">
        <f aca="false">IF(J1130="","",IF(AND('Daily Count Sheet'!$H$3=Q1130,MOD('Daily Count Sheet'!$I$3,J1130)=R1130),1,""))</f>
        <v/>
      </c>
      <c r="T1130" s="27" t="str">
        <f aca="false">IF(S1130=1,COUNTIF($S$2:S1130,1),"")</f>
        <v/>
      </c>
    </row>
    <row r="1131" customFormat="false" ht="15" hidden="false" customHeight="false" outlineLevel="0" collapsed="false">
      <c r="H1131" s="26"/>
      <c r="I1131" s="27" t="str">
        <f aca="false">IF(A1131="","",IF(H1131&lt;&gt;"",UPPER(TRIM(H1131)),IFERROR(CHOOSE(VALUE(E1131)+1,"A","B","C","D"),IF(OR(LEFT(UPPER(TRIM(E1131)),1)="F",UPPER(TRIM(E1131))="A"),"A",IF(OR(LEFT(UPPER(TRIM(E1131)),1)="M",UPPER(TRIM(E1131))="B"),"B",IF(OR(LEFT(UPPER(TRIM(E1131)),2)="SL",UPPER(TRIM(E1131))="C"),"C",IF(OR(LEFT(UPPER(TRIM(E1131)),1)="D",UPPER(TRIM(E1131))="D"),"D","")))))))</f>
        <v/>
      </c>
      <c r="J1131" s="27" t="str">
        <f aca="false">IF(I1131="","",IF(AND(I1131="D",Settings!$B$6&lt;&gt;"Yes"),"",IFERROR(INDEX(Settings!$C$9:$C$12,MATCH(I1131,Settings!$A$9:$A$12,0)),"")))</f>
        <v/>
      </c>
      <c r="K1131" s="27" t="str">
        <f aca="false">IF(J1131="","",COUNTIF($I$2:I1131,I1131))</f>
        <v/>
      </c>
      <c r="L1131" s="27" t="str">
        <f aca="false">IF(J1131="","",CHOOSE(Q1131+1,"Tue","Wed","Thu","Fri"))</f>
        <v/>
      </c>
      <c r="M1131" s="27" t="str">
        <f aca="false">IF(J1131="","",IF(J1131=1,"Every week",R1131+1&amp;" of "&amp;J1131))</f>
        <v/>
      </c>
      <c r="N1131" s="28" t="str">
        <f aca="false">IF(J1131="","",Settings!$B$4+R1131*7+Q1131)</f>
        <v/>
      </c>
      <c r="O1131" s="28" t="str">
        <f aca="true">IF(J1131="","",N1131+MAX(0,ROUNDUP((TODAY()-N1131)/(J1131*7),0))*J1131*7)</f>
        <v/>
      </c>
      <c r="P1131" s="27" t="str">
        <f aca="false">IF(J1131="","",MOD(K1131-1,J1131*4))</f>
        <v/>
      </c>
      <c r="Q1131" s="27" t="str">
        <f aca="false">IF(J1131="","",MOD(P1131,4))</f>
        <v/>
      </c>
      <c r="R1131" s="27" t="str">
        <f aca="false">IF(J1131="","",INT(P1131/4))</f>
        <v/>
      </c>
      <c r="S1131" s="27" t="str">
        <f aca="false">IF(J1131="","",IF(AND('Daily Count Sheet'!$H$3=Q1131,MOD('Daily Count Sheet'!$I$3,J1131)=R1131),1,""))</f>
        <v/>
      </c>
      <c r="T1131" s="27" t="str">
        <f aca="false">IF(S1131=1,COUNTIF($S$2:S1131,1),"")</f>
        <v/>
      </c>
    </row>
    <row r="1132" customFormat="false" ht="15" hidden="false" customHeight="false" outlineLevel="0" collapsed="false">
      <c r="H1132" s="26"/>
      <c r="I1132" s="27" t="str">
        <f aca="false">IF(A1132="","",IF(H1132&lt;&gt;"",UPPER(TRIM(H1132)),IFERROR(CHOOSE(VALUE(E1132)+1,"A","B","C","D"),IF(OR(LEFT(UPPER(TRIM(E1132)),1)="F",UPPER(TRIM(E1132))="A"),"A",IF(OR(LEFT(UPPER(TRIM(E1132)),1)="M",UPPER(TRIM(E1132))="B"),"B",IF(OR(LEFT(UPPER(TRIM(E1132)),2)="SL",UPPER(TRIM(E1132))="C"),"C",IF(OR(LEFT(UPPER(TRIM(E1132)),1)="D",UPPER(TRIM(E1132))="D"),"D","")))))))</f>
        <v/>
      </c>
      <c r="J1132" s="27" t="str">
        <f aca="false">IF(I1132="","",IF(AND(I1132="D",Settings!$B$6&lt;&gt;"Yes"),"",IFERROR(INDEX(Settings!$C$9:$C$12,MATCH(I1132,Settings!$A$9:$A$12,0)),"")))</f>
        <v/>
      </c>
      <c r="K1132" s="27" t="str">
        <f aca="false">IF(J1132="","",COUNTIF($I$2:I1132,I1132))</f>
        <v/>
      </c>
      <c r="L1132" s="27" t="str">
        <f aca="false">IF(J1132="","",CHOOSE(Q1132+1,"Tue","Wed","Thu","Fri"))</f>
        <v/>
      </c>
      <c r="M1132" s="27" t="str">
        <f aca="false">IF(J1132="","",IF(J1132=1,"Every week",R1132+1&amp;" of "&amp;J1132))</f>
        <v/>
      </c>
      <c r="N1132" s="28" t="str">
        <f aca="false">IF(J1132="","",Settings!$B$4+R1132*7+Q1132)</f>
        <v/>
      </c>
      <c r="O1132" s="28" t="str">
        <f aca="true">IF(J1132="","",N1132+MAX(0,ROUNDUP((TODAY()-N1132)/(J1132*7),0))*J1132*7)</f>
        <v/>
      </c>
      <c r="P1132" s="27" t="str">
        <f aca="false">IF(J1132="","",MOD(K1132-1,J1132*4))</f>
        <v/>
      </c>
      <c r="Q1132" s="27" t="str">
        <f aca="false">IF(J1132="","",MOD(P1132,4))</f>
        <v/>
      </c>
      <c r="R1132" s="27" t="str">
        <f aca="false">IF(J1132="","",INT(P1132/4))</f>
        <v/>
      </c>
      <c r="S1132" s="27" t="str">
        <f aca="false">IF(J1132="","",IF(AND('Daily Count Sheet'!$H$3=Q1132,MOD('Daily Count Sheet'!$I$3,J1132)=R1132),1,""))</f>
        <v/>
      </c>
      <c r="T1132" s="27" t="str">
        <f aca="false">IF(S1132=1,COUNTIF($S$2:S1132,1),"")</f>
        <v/>
      </c>
    </row>
    <row r="1133" customFormat="false" ht="15" hidden="false" customHeight="false" outlineLevel="0" collapsed="false">
      <c r="H1133" s="26"/>
      <c r="I1133" s="27" t="str">
        <f aca="false">IF(A1133="","",IF(H1133&lt;&gt;"",UPPER(TRIM(H1133)),IFERROR(CHOOSE(VALUE(E1133)+1,"A","B","C","D"),IF(OR(LEFT(UPPER(TRIM(E1133)),1)="F",UPPER(TRIM(E1133))="A"),"A",IF(OR(LEFT(UPPER(TRIM(E1133)),1)="M",UPPER(TRIM(E1133))="B"),"B",IF(OR(LEFT(UPPER(TRIM(E1133)),2)="SL",UPPER(TRIM(E1133))="C"),"C",IF(OR(LEFT(UPPER(TRIM(E1133)),1)="D",UPPER(TRIM(E1133))="D"),"D","")))))))</f>
        <v/>
      </c>
      <c r="J1133" s="27" t="str">
        <f aca="false">IF(I1133="","",IF(AND(I1133="D",Settings!$B$6&lt;&gt;"Yes"),"",IFERROR(INDEX(Settings!$C$9:$C$12,MATCH(I1133,Settings!$A$9:$A$12,0)),"")))</f>
        <v/>
      </c>
      <c r="K1133" s="27" t="str">
        <f aca="false">IF(J1133="","",COUNTIF($I$2:I1133,I1133))</f>
        <v/>
      </c>
      <c r="L1133" s="27" t="str">
        <f aca="false">IF(J1133="","",CHOOSE(Q1133+1,"Tue","Wed","Thu","Fri"))</f>
        <v/>
      </c>
      <c r="M1133" s="27" t="str">
        <f aca="false">IF(J1133="","",IF(J1133=1,"Every week",R1133+1&amp;" of "&amp;J1133))</f>
        <v/>
      </c>
      <c r="N1133" s="28" t="str">
        <f aca="false">IF(J1133="","",Settings!$B$4+R1133*7+Q1133)</f>
        <v/>
      </c>
      <c r="O1133" s="28" t="str">
        <f aca="true">IF(J1133="","",N1133+MAX(0,ROUNDUP((TODAY()-N1133)/(J1133*7),0))*J1133*7)</f>
        <v/>
      </c>
      <c r="P1133" s="27" t="str">
        <f aca="false">IF(J1133="","",MOD(K1133-1,J1133*4))</f>
        <v/>
      </c>
      <c r="Q1133" s="27" t="str">
        <f aca="false">IF(J1133="","",MOD(P1133,4))</f>
        <v/>
      </c>
      <c r="R1133" s="27" t="str">
        <f aca="false">IF(J1133="","",INT(P1133/4))</f>
        <v/>
      </c>
      <c r="S1133" s="27" t="str">
        <f aca="false">IF(J1133="","",IF(AND('Daily Count Sheet'!$H$3=Q1133,MOD('Daily Count Sheet'!$I$3,J1133)=R1133),1,""))</f>
        <v/>
      </c>
      <c r="T1133" s="27" t="str">
        <f aca="false">IF(S1133=1,COUNTIF($S$2:S1133,1),"")</f>
        <v/>
      </c>
    </row>
    <row r="1134" customFormat="false" ht="15" hidden="false" customHeight="false" outlineLevel="0" collapsed="false">
      <c r="H1134" s="26"/>
      <c r="I1134" s="27" t="str">
        <f aca="false">IF(A1134="","",IF(H1134&lt;&gt;"",UPPER(TRIM(H1134)),IFERROR(CHOOSE(VALUE(E1134)+1,"A","B","C","D"),IF(OR(LEFT(UPPER(TRIM(E1134)),1)="F",UPPER(TRIM(E1134))="A"),"A",IF(OR(LEFT(UPPER(TRIM(E1134)),1)="M",UPPER(TRIM(E1134))="B"),"B",IF(OR(LEFT(UPPER(TRIM(E1134)),2)="SL",UPPER(TRIM(E1134))="C"),"C",IF(OR(LEFT(UPPER(TRIM(E1134)),1)="D",UPPER(TRIM(E1134))="D"),"D","")))))))</f>
        <v/>
      </c>
      <c r="J1134" s="27" t="str">
        <f aca="false">IF(I1134="","",IF(AND(I1134="D",Settings!$B$6&lt;&gt;"Yes"),"",IFERROR(INDEX(Settings!$C$9:$C$12,MATCH(I1134,Settings!$A$9:$A$12,0)),"")))</f>
        <v/>
      </c>
      <c r="K1134" s="27" t="str">
        <f aca="false">IF(J1134="","",COUNTIF($I$2:I1134,I1134))</f>
        <v/>
      </c>
      <c r="L1134" s="27" t="str">
        <f aca="false">IF(J1134="","",CHOOSE(Q1134+1,"Tue","Wed","Thu","Fri"))</f>
        <v/>
      </c>
      <c r="M1134" s="27" t="str">
        <f aca="false">IF(J1134="","",IF(J1134=1,"Every week",R1134+1&amp;" of "&amp;J1134))</f>
        <v/>
      </c>
      <c r="N1134" s="28" t="str">
        <f aca="false">IF(J1134="","",Settings!$B$4+R1134*7+Q1134)</f>
        <v/>
      </c>
      <c r="O1134" s="28" t="str">
        <f aca="true">IF(J1134="","",N1134+MAX(0,ROUNDUP((TODAY()-N1134)/(J1134*7),0))*J1134*7)</f>
        <v/>
      </c>
      <c r="P1134" s="27" t="str">
        <f aca="false">IF(J1134="","",MOD(K1134-1,J1134*4))</f>
        <v/>
      </c>
      <c r="Q1134" s="27" t="str">
        <f aca="false">IF(J1134="","",MOD(P1134,4))</f>
        <v/>
      </c>
      <c r="R1134" s="27" t="str">
        <f aca="false">IF(J1134="","",INT(P1134/4))</f>
        <v/>
      </c>
      <c r="S1134" s="27" t="str">
        <f aca="false">IF(J1134="","",IF(AND('Daily Count Sheet'!$H$3=Q1134,MOD('Daily Count Sheet'!$I$3,J1134)=R1134),1,""))</f>
        <v/>
      </c>
      <c r="T1134" s="27" t="str">
        <f aca="false">IF(S1134=1,COUNTIF($S$2:S1134,1),"")</f>
        <v/>
      </c>
    </row>
    <row r="1135" customFormat="false" ht="15" hidden="false" customHeight="false" outlineLevel="0" collapsed="false">
      <c r="H1135" s="26"/>
      <c r="I1135" s="27" t="str">
        <f aca="false">IF(A1135="","",IF(H1135&lt;&gt;"",UPPER(TRIM(H1135)),IFERROR(CHOOSE(VALUE(E1135)+1,"A","B","C","D"),IF(OR(LEFT(UPPER(TRIM(E1135)),1)="F",UPPER(TRIM(E1135))="A"),"A",IF(OR(LEFT(UPPER(TRIM(E1135)),1)="M",UPPER(TRIM(E1135))="B"),"B",IF(OR(LEFT(UPPER(TRIM(E1135)),2)="SL",UPPER(TRIM(E1135))="C"),"C",IF(OR(LEFT(UPPER(TRIM(E1135)),1)="D",UPPER(TRIM(E1135))="D"),"D","")))))))</f>
        <v/>
      </c>
      <c r="J1135" s="27" t="str">
        <f aca="false">IF(I1135="","",IF(AND(I1135="D",Settings!$B$6&lt;&gt;"Yes"),"",IFERROR(INDEX(Settings!$C$9:$C$12,MATCH(I1135,Settings!$A$9:$A$12,0)),"")))</f>
        <v/>
      </c>
      <c r="K1135" s="27" t="str">
        <f aca="false">IF(J1135="","",COUNTIF($I$2:I1135,I1135))</f>
        <v/>
      </c>
      <c r="L1135" s="27" t="str">
        <f aca="false">IF(J1135="","",CHOOSE(Q1135+1,"Tue","Wed","Thu","Fri"))</f>
        <v/>
      </c>
      <c r="M1135" s="27" t="str">
        <f aca="false">IF(J1135="","",IF(J1135=1,"Every week",R1135+1&amp;" of "&amp;J1135))</f>
        <v/>
      </c>
      <c r="N1135" s="28" t="str">
        <f aca="false">IF(J1135="","",Settings!$B$4+R1135*7+Q1135)</f>
        <v/>
      </c>
      <c r="O1135" s="28" t="str">
        <f aca="true">IF(J1135="","",N1135+MAX(0,ROUNDUP((TODAY()-N1135)/(J1135*7),0))*J1135*7)</f>
        <v/>
      </c>
      <c r="P1135" s="27" t="str">
        <f aca="false">IF(J1135="","",MOD(K1135-1,J1135*4))</f>
        <v/>
      </c>
      <c r="Q1135" s="27" t="str">
        <f aca="false">IF(J1135="","",MOD(P1135,4))</f>
        <v/>
      </c>
      <c r="R1135" s="27" t="str">
        <f aca="false">IF(J1135="","",INT(P1135/4))</f>
        <v/>
      </c>
      <c r="S1135" s="27" t="str">
        <f aca="false">IF(J1135="","",IF(AND('Daily Count Sheet'!$H$3=Q1135,MOD('Daily Count Sheet'!$I$3,J1135)=R1135),1,""))</f>
        <v/>
      </c>
      <c r="T1135" s="27" t="str">
        <f aca="false">IF(S1135=1,COUNTIF($S$2:S1135,1),"")</f>
        <v/>
      </c>
    </row>
    <row r="1136" customFormat="false" ht="15" hidden="false" customHeight="false" outlineLevel="0" collapsed="false">
      <c r="H1136" s="26"/>
      <c r="I1136" s="27" t="str">
        <f aca="false">IF(A1136="","",IF(H1136&lt;&gt;"",UPPER(TRIM(H1136)),IFERROR(CHOOSE(VALUE(E1136)+1,"A","B","C","D"),IF(OR(LEFT(UPPER(TRIM(E1136)),1)="F",UPPER(TRIM(E1136))="A"),"A",IF(OR(LEFT(UPPER(TRIM(E1136)),1)="M",UPPER(TRIM(E1136))="B"),"B",IF(OR(LEFT(UPPER(TRIM(E1136)),2)="SL",UPPER(TRIM(E1136))="C"),"C",IF(OR(LEFT(UPPER(TRIM(E1136)),1)="D",UPPER(TRIM(E1136))="D"),"D","")))))))</f>
        <v/>
      </c>
      <c r="J1136" s="27" t="str">
        <f aca="false">IF(I1136="","",IF(AND(I1136="D",Settings!$B$6&lt;&gt;"Yes"),"",IFERROR(INDEX(Settings!$C$9:$C$12,MATCH(I1136,Settings!$A$9:$A$12,0)),"")))</f>
        <v/>
      </c>
      <c r="K1136" s="27" t="str">
        <f aca="false">IF(J1136="","",COUNTIF($I$2:I1136,I1136))</f>
        <v/>
      </c>
      <c r="L1136" s="27" t="str">
        <f aca="false">IF(J1136="","",CHOOSE(Q1136+1,"Tue","Wed","Thu","Fri"))</f>
        <v/>
      </c>
      <c r="M1136" s="27" t="str">
        <f aca="false">IF(J1136="","",IF(J1136=1,"Every week",R1136+1&amp;" of "&amp;J1136))</f>
        <v/>
      </c>
      <c r="N1136" s="28" t="str">
        <f aca="false">IF(J1136="","",Settings!$B$4+R1136*7+Q1136)</f>
        <v/>
      </c>
      <c r="O1136" s="28" t="str">
        <f aca="true">IF(J1136="","",N1136+MAX(0,ROUNDUP((TODAY()-N1136)/(J1136*7),0))*J1136*7)</f>
        <v/>
      </c>
      <c r="P1136" s="27" t="str">
        <f aca="false">IF(J1136="","",MOD(K1136-1,J1136*4))</f>
        <v/>
      </c>
      <c r="Q1136" s="27" t="str">
        <f aca="false">IF(J1136="","",MOD(P1136,4))</f>
        <v/>
      </c>
      <c r="R1136" s="27" t="str">
        <f aca="false">IF(J1136="","",INT(P1136/4))</f>
        <v/>
      </c>
      <c r="S1136" s="27" t="str">
        <f aca="false">IF(J1136="","",IF(AND('Daily Count Sheet'!$H$3=Q1136,MOD('Daily Count Sheet'!$I$3,J1136)=R1136),1,""))</f>
        <v/>
      </c>
      <c r="T1136" s="27" t="str">
        <f aca="false">IF(S1136=1,COUNTIF($S$2:S1136,1),"")</f>
        <v/>
      </c>
    </row>
    <row r="1137" customFormat="false" ht="15" hidden="false" customHeight="false" outlineLevel="0" collapsed="false">
      <c r="H1137" s="26"/>
      <c r="I1137" s="27" t="str">
        <f aca="false">IF(A1137="","",IF(H1137&lt;&gt;"",UPPER(TRIM(H1137)),IFERROR(CHOOSE(VALUE(E1137)+1,"A","B","C","D"),IF(OR(LEFT(UPPER(TRIM(E1137)),1)="F",UPPER(TRIM(E1137))="A"),"A",IF(OR(LEFT(UPPER(TRIM(E1137)),1)="M",UPPER(TRIM(E1137))="B"),"B",IF(OR(LEFT(UPPER(TRIM(E1137)),2)="SL",UPPER(TRIM(E1137))="C"),"C",IF(OR(LEFT(UPPER(TRIM(E1137)),1)="D",UPPER(TRIM(E1137))="D"),"D","")))))))</f>
        <v/>
      </c>
      <c r="J1137" s="27" t="str">
        <f aca="false">IF(I1137="","",IF(AND(I1137="D",Settings!$B$6&lt;&gt;"Yes"),"",IFERROR(INDEX(Settings!$C$9:$C$12,MATCH(I1137,Settings!$A$9:$A$12,0)),"")))</f>
        <v/>
      </c>
      <c r="K1137" s="27" t="str">
        <f aca="false">IF(J1137="","",COUNTIF($I$2:I1137,I1137))</f>
        <v/>
      </c>
      <c r="L1137" s="27" t="str">
        <f aca="false">IF(J1137="","",CHOOSE(Q1137+1,"Tue","Wed","Thu","Fri"))</f>
        <v/>
      </c>
      <c r="M1137" s="27" t="str">
        <f aca="false">IF(J1137="","",IF(J1137=1,"Every week",R1137+1&amp;" of "&amp;J1137))</f>
        <v/>
      </c>
      <c r="N1137" s="28" t="str">
        <f aca="false">IF(J1137="","",Settings!$B$4+R1137*7+Q1137)</f>
        <v/>
      </c>
      <c r="O1137" s="28" t="str">
        <f aca="true">IF(J1137="","",N1137+MAX(0,ROUNDUP((TODAY()-N1137)/(J1137*7),0))*J1137*7)</f>
        <v/>
      </c>
      <c r="P1137" s="27" t="str">
        <f aca="false">IF(J1137="","",MOD(K1137-1,J1137*4))</f>
        <v/>
      </c>
      <c r="Q1137" s="27" t="str">
        <f aca="false">IF(J1137="","",MOD(P1137,4))</f>
        <v/>
      </c>
      <c r="R1137" s="27" t="str">
        <f aca="false">IF(J1137="","",INT(P1137/4))</f>
        <v/>
      </c>
      <c r="S1137" s="27" t="str">
        <f aca="false">IF(J1137="","",IF(AND('Daily Count Sheet'!$H$3=Q1137,MOD('Daily Count Sheet'!$I$3,J1137)=R1137),1,""))</f>
        <v/>
      </c>
      <c r="T1137" s="27" t="str">
        <f aca="false">IF(S1137=1,COUNTIF($S$2:S1137,1),"")</f>
        <v/>
      </c>
    </row>
    <row r="1138" customFormat="false" ht="15" hidden="false" customHeight="false" outlineLevel="0" collapsed="false">
      <c r="H1138" s="26"/>
      <c r="I1138" s="27" t="str">
        <f aca="false">IF(A1138="","",IF(H1138&lt;&gt;"",UPPER(TRIM(H1138)),IFERROR(CHOOSE(VALUE(E1138)+1,"A","B","C","D"),IF(OR(LEFT(UPPER(TRIM(E1138)),1)="F",UPPER(TRIM(E1138))="A"),"A",IF(OR(LEFT(UPPER(TRIM(E1138)),1)="M",UPPER(TRIM(E1138))="B"),"B",IF(OR(LEFT(UPPER(TRIM(E1138)),2)="SL",UPPER(TRIM(E1138))="C"),"C",IF(OR(LEFT(UPPER(TRIM(E1138)),1)="D",UPPER(TRIM(E1138))="D"),"D","")))))))</f>
        <v/>
      </c>
      <c r="J1138" s="27" t="str">
        <f aca="false">IF(I1138="","",IF(AND(I1138="D",Settings!$B$6&lt;&gt;"Yes"),"",IFERROR(INDEX(Settings!$C$9:$C$12,MATCH(I1138,Settings!$A$9:$A$12,0)),"")))</f>
        <v/>
      </c>
      <c r="K1138" s="27" t="str">
        <f aca="false">IF(J1138="","",COUNTIF($I$2:I1138,I1138))</f>
        <v/>
      </c>
      <c r="L1138" s="27" t="str">
        <f aca="false">IF(J1138="","",CHOOSE(Q1138+1,"Tue","Wed","Thu","Fri"))</f>
        <v/>
      </c>
      <c r="M1138" s="27" t="str">
        <f aca="false">IF(J1138="","",IF(J1138=1,"Every week",R1138+1&amp;" of "&amp;J1138))</f>
        <v/>
      </c>
      <c r="N1138" s="28" t="str">
        <f aca="false">IF(J1138="","",Settings!$B$4+R1138*7+Q1138)</f>
        <v/>
      </c>
      <c r="O1138" s="28" t="str">
        <f aca="true">IF(J1138="","",N1138+MAX(0,ROUNDUP((TODAY()-N1138)/(J1138*7),0))*J1138*7)</f>
        <v/>
      </c>
      <c r="P1138" s="27" t="str">
        <f aca="false">IF(J1138="","",MOD(K1138-1,J1138*4))</f>
        <v/>
      </c>
      <c r="Q1138" s="27" t="str">
        <f aca="false">IF(J1138="","",MOD(P1138,4))</f>
        <v/>
      </c>
      <c r="R1138" s="27" t="str">
        <f aca="false">IF(J1138="","",INT(P1138/4))</f>
        <v/>
      </c>
      <c r="S1138" s="27" t="str">
        <f aca="false">IF(J1138="","",IF(AND('Daily Count Sheet'!$H$3=Q1138,MOD('Daily Count Sheet'!$I$3,J1138)=R1138),1,""))</f>
        <v/>
      </c>
      <c r="T1138" s="27" t="str">
        <f aca="false">IF(S1138=1,COUNTIF($S$2:S1138,1),"")</f>
        <v/>
      </c>
    </row>
    <row r="1139" customFormat="false" ht="15" hidden="false" customHeight="false" outlineLevel="0" collapsed="false">
      <c r="H1139" s="26"/>
      <c r="I1139" s="27" t="str">
        <f aca="false">IF(A1139="","",IF(H1139&lt;&gt;"",UPPER(TRIM(H1139)),IFERROR(CHOOSE(VALUE(E1139)+1,"A","B","C","D"),IF(OR(LEFT(UPPER(TRIM(E1139)),1)="F",UPPER(TRIM(E1139))="A"),"A",IF(OR(LEFT(UPPER(TRIM(E1139)),1)="M",UPPER(TRIM(E1139))="B"),"B",IF(OR(LEFT(UPPER(TRIM(E1139)),2)="SL",UPPER(TRIM(E1139))="C"),"C",IF(OR(LEFT(UPPER(TRIM(E1139)),1)="D",UPPER(TRIM(E1139))="D"),"D","")))))))</f>
        <v/>
      </c>
      <c r="J1139" s="27" t="str">
        <f aca="false">IF(I1139="","",IF(AND(I1139="D",Settings!$B$6&lt;&gt;"Yes"),"",IFERROR(INDEX(Settings!$C$9:$C$12,MATCH(I1139,Settings!$A$9:$A$12,0)),"")))</f>
        <v/>
      </c>
      <c r="K1139" s="27" t="str">
        <f aca="false">IF(J1139="","",COUNTIF($I$2:I1139,I1139))</f>
        <v/>
      </c>
      <c r="L1139" s="27" t="str">
        <f aca="false">IF(J1139="","",CHOOSE(Q1139+1,"Tue","Wed","Thu","Fri"))</f>
        <v/>
      </c>
      <c r="M1139" s="27" t="str">
        <f aca="false">IF(J1139="","",IF(J1139=1,"Every week",R1139+1&amp;" of "&amp;J1139))</f>
        <v/>
      </c>
      <c r="N1139" s="28" t="str">
        <f aca="false">IF(J1139="","",Settings!$B$4+R1139*7+Q1139)</f>
        <v/>
      </c>
      <c r="O1139" s="28" t="str">
        <f aca="true">IF(J1139="","",N1139+MAX(0,ROUNDUP((TODAY()-N1139)/(J1139*7),0))*J1139*7)</f>
        <v/>
      </c>
      <c r="P1139" s="27" t="str">
        <f aca="false">IF(J1139="","",MOD(K1139-1,J1139*4))</f>
        <v/>
      </c>
      <c r="Q1139" s="27" t="str">
        <f aca="false">IF(J1139="","",MOD(P1139,4))</f>
        <v/>
      </c>
      <c r="R1139" s="27" t="str">
        <f aca="false">IF(J1139="","",INT(P1139/4))</f>
        <v/>
      </c>
      <c r="S1139" s="27" t="str">
        <f aca="false">IF(J1139="","",IF(AND('Daily Count Sheet'!$H$3=Q1139,MOD('Daily Count Sheet'!$I$3,J1139)=R1139),1,""))</f>
        <v/>
      </c>
      <c r="T1139" s="27" t="str">
        <f aca="false">IF(S1139=1,COUNTIF($S$2:S1139,1),"")</f>
        <v/>
      </c>
    </row>
    <row r="1140" customFormat="false" ht="15" hidden="false" customHeight="false" outlineLevel="0" collapsed="false">
      <c r="H1140" s="26"/>
      <c r="I1140" s="27" t="str">
        <f aca="false">IF(A1140="","",IF(H1140&lt;&gt;"",UPPER(TRIM(H1140)),IFERROR(CHOOSE(VALUE(E1140)+1,"A","B","C","D"),IF(OR(LEFT(UPPER(TRIM(E1140)),1)="F",UPPER(TRIM(E1140))="A"),"A",IF(OR(LEFT(UPPER(TRIM(E1140)),1)="M",UPPER(TRIM(E1140))="B"),"B",IF(OR(LEFT(UPPER(TRIM(E1140)),2)="SL",UPPER(TRIM(E1140))="C"),"C",IF(OR(LEFT(UPPER(TRIM(E1140)),1)="D",UPPER(TRIM(E1140))="D"),"D","")))))))</f>
        <v/>
      </c>
      <c r="J1140" s="27" t="str">
        <f aca="false">IF(I1140="","",IF(AND(I1140="D",Settings!$B$6&lt;&gt;"Yes"),"",IFERROR(INDEX(Settings!$C$9:$C$12,MATCH(I1140,Settings!$A$9:$A$12,0)),"")))</f>
        <v/>
      </c>
      <c r="K1140" s="27" t="str">
        <f aca="false">IF(J1140="","",COUNTIF($I$2:I1140,I1140))</f>
        <v/>
      </c>
      <c r="L1140" s="27" t="str">
        <f aca="false">IF(J1140="","",CHOOSE(Q1140+1,"Tue","Wed","Thu","Fri"))</f>
        <v/>
      </c>
      <c r="M1140" s="27" t="str">
        <f aca="false">IF(J1140="","",IF(J1140=1,"Every week",R1140+1&amp;" of "&amp;J1140))</f>
        <v/>
      </c>
      <c r="N1140" s="28" t="str">
        <f aca="false">IF(J1140="","",Settings!$B$4+R1140*7+Q1140)</f>
        <v/>
      </c>
      <c r="O1140" s="28" t="str">
        <f aca="true">IF(J1140="","",N1140+MAX(0,ROUNDUP((TODAY()-N1140)/(J1140*7),0))*J1140*7)</f>
        <v/>
      </c>
      <c r="P1140" s="27" t="str">
        <f aca="false">IF(J1140="","",MOD(K1140-1,J1140*4))</f>
        <v/>
      </c>
      <c r="Q1140" s="27" t="str">
        <f aca="false">IF(J1140="","",MOD(P1140,4))</f>
        <v/>
      </c>
      <c r="R1140" s="27" t="str">
        <f aca="false">IF(J1140="","",INT(P1140/4))</f>
        <v/>
      </c>
      <c r="S1140" s="27" t="str">
        <f aca="false">IF(J1140="","",IF(AND('Daily Count Sheet'!$H$3=Q1140,MOD('Daily Count Sheet'!$I$3,J1140)=R1140),1,""))</f>
        <v/>
      </c>
      <c r="T1140" s="27" t="str">
        <f aca="false">IF(S1140=1,COUNTIF($S$2:S1140,1),"")</f>
        <v/>
      </c>
    </row>
    <row r="1141" customFormat="false" ht="15" hidden="false" customHeight="false" outlineLevel="0" collapsed="false">
      <c r="H1141" s="26"/>
      <c r="I1141" s="27" t="str">
        <f aca="false">IF(A1141="","",IF(H1141&lt;&gt;"",UPPER(TRIM(H1141)),IFERROR(CHOOSE(VALUE(E1141)+1,"A","B","C","D"),IF(OR(LEFT(UPPER(TRIM(E1141)),1)="F",UPPER(TRIM(E1141))="A"),"A",IF(OR(LEFT(UPPER(TRIM(E1141)),1)="M",UPPER(TRIM(E1141))="B"),"B",IF(OR(LEFT(UPPER(TRIM(E1141)),2)="SL",UPPER(TRIM(E1141))="C"),"C",IF(OR(LEFT(UPPER(TRIM(E1141)),1)="D",UPPER(TRIM(E1141))="D"),"D","")))))))</f>
        <v/>
      </c>
      <c r="J1141" s="27" t="str">
        <f aca="false">IF(I1141="","",IF(AND(I1141="D",Settings!$B$6&lt;&gt;"Yes"),"",IFERROR(INDEX(Settings!$C$9:$C$12,MATCH(I1141,Settings!$A$9:$A$12,0)),"")))</f>
        <v/>
      </c>
      <c r="K1141" s="27" t="str">
        <f aca="false">IF(J1141="","",COUNTIF($I$2:I1141,I1141))</f>
        <v/>
      </c>
      <c r="L1141" s="27" t="str">
        <f aca="false">IF(J1141="","",CHOOSE(Q1141+1,"Tue","Wed","Thu","Fri"))</f>
        <v/>
      </c>
      <c r="M1141" s="27" t="str">
        <f aca="false">IF(J1141="","",IF(J1141=1,"Every week",R1141+1&amp;" of "&amp;J1141))</f>
        <v/>
      </c>
      <c r="N1141" s="28" t="str">
        <f aca="false">IF(J1141="","",Settings!$B$4+R1141*7+Q1141)</f>
        <v/>
      </c>
      <c r="O1141" s="28" t="str">
        <f aca="true">IF(J1141="","",N1141+MAX(0,ROUNDUP((TODAY()-N1141)/(J1141*7),0))*J1141*7)</f>
        <v/>
      </c>
      <c r="P1141" s="27" t="str">
        <f aca="false">IF(J1141="","",MOD(K1141-1,J1141*4))</f>
        <v/>
      </c>
      <c r="Q1141" s="27" t="str">
        <f aca="false">IF(J1141="","",MOD(P1141,4))</f>
        <v/>
      </c>
      <c r="R1141" s="27" t="str">
        <f aca="false">IF(J1141="","",INT(P1141/4))</f>
        <v/>
      </c>
      <c r="S1141" s="27" t="str">
        <f aca="false">IF(J1141="","",IF(AND('Daily Count Sheet'!$H$3=Q1141,MOD('Daily Count Sheet'!$I$3,J1141)=R1141),1,""))</f>
        <v/>
      </c>
      <c r="T1141" s="27" t="str">
        <f aca="false">IF(S1141=1,COUNTIF($S$2:S1141,1),"")</f>
        <v/>
      </c>
    </row>
    <row r="1142" customFormat="false" ht="15" hidden="false" customHeight="false" outlineLevel="0" collapsed="false">
      <c r="H1142" s="26"/>
      <c r="I1142" s="27" t="str">
        <f aca="false">IF(A1142="","",IF(H1142&lt;&gt;"",UPPER(TRIM(H1142)),IFERROR(CHOOSE(VALUE(E1142)+1,"A","B","C","D"),IF(OR(LEFT(UPPER(TRIM(E1142)),1)="F",UPPER(TRIM(E1142))="A"),"A",IF(OR(LEFT(UPPER(TRIM(E1142)),1)="M",UPPER(TRIM(E1142))="B"),"B",IF(OR(LEFT(UPPER(TRIM(E1142)),2)="SL",UPPER(TRIM(E1142))="C"),"C",IF(OR(LEFT(UPPER(TRIM(E1142)),1)="D",UPPER(TRIM(E1142))="D"),"D","")))))))</f>
        <v/>
      </c>
      <c r="J1142" s="27" t="str">
        <f aca="false">IF(I1142="","",IF(AND(I1142="D",Settings!$B$6&lt;&gt;"Yes"),"",IFERROR(INDEX(Settings!$C$9:$C$12,MATCH(I1142,Settings!$A$9:$A$12,0)),"")))</f>
        <v/>
      </c>
      <c r="K1142" s="27" t="str">
        <f aca="false">IF(J1142="","",COUNTIF($I$2:I1142,I1142))</f>
        <v/>
      </c>
      <c r="L1142" s="27" t="str">
        <f aca="false">IF(J1142="","",CHOOSE(Q1142+1,"Tue","Wed","Thu","Fri"))</f>
        <v/>
      </c>
      <c r="M1142" s="27" t="str">
        <f aca="false">IF(J1142="","",IF(J1142=1,"Every week",R1142+1&amp;" of "&amp;J1142))</f>
        <v/>
      </c>
      <c r="N1142" s="28" t="str">
        <f aca="false">IF(J1142="","",Settings!$B$4+R1142*7+Q1142)</f>
        <v/>
      </c>
      <c r="O1142" s="28" t="str">
        <f aca="true">IF(J1142="","",N1142+MAX(0,ROUNDUP((TODAY()-N1142)/(J1142*7),0))*J1142*7)</f>
        <v/>
      </c>
      <c r="P1142" s="27" t="str">
        <f aca="false">IF(J1142="","",MOD(K1142-1,J1142*4))</f>
        <v/>
      </c>
      <c r="Q1142" s="27" t="str">
        <f aca="false">IF(J1142="","",MOD(P1142,4))</f>
        <v/>
      </c>
      <c r="R1142" s="27" t="str">
        <f aca="false">IF(J1142="","",INT(P1142/4))</f>
        <v/>
      </c>
      <c r="S1142" s="27" t="str">
        <f aca="false">IF(J1142="","",IF(AND('Daily Count Sheet'!$H$3=Q1142,MOD('Daily Count Sheet'!$I$3,J1142)=R1142),1,""))</f>
        <v/>
      </c>
      <c r="T1142" s="27" t="str">
        <f aca="false">IF(S1142=1,COUNTIF($S$2:S1142,1),"")</f>
        <v/>
      </c>
    </row>
    <row r="1143" customFormat="false" ht="15" hidden="false" customHeight="false" outlineLevel="0" collapsed="false">
      <c r="H1143" s="26"/>
      <c r="I1143" s="27" t="str">
        <f aca="false">IF(A1143="","",IF(H1143&lt;&gt;"",UPPER(TRIM(H1143)),IFERROR(CHOOSE(VALUE(E1143)+1,"A","B","C","D"),IF(OR(LEFT(UPPER(TRIM(E1143)),1)="F",UPPER(TRIM(E1143))="A"),"A",IF(OR(LEFT(UPPER(TRIM(E1143)),1)="M",UPPER(TRIM(E1143))="B"),"B",IF(OR(LEFT(UPPER(TRIM(E1143)),2)="SL",UPPER(TRIM(E1143))="C"),"C",IF(OR(LEFT(UPPER(TRIM(E1143)),1)="D",UPPER(TRIM(E1143))="D"),"D","")))))))</f>
        <v/>
      </c>
      <c r="J1143" s="27" t="str">
        <f aca="false">IF(I1143="","",IF(AND(I1143="D",Settings!$B$6&lt;&gt;"Yes"),"",IFERROR(INDEX(Settings!$C$9:$C$12,MATCH(I1143,Settings!$A$9:$A$12,0)),"")))</f>
        <v/>
      </c>
      <c r="K1143" s="27" t="str">
        <f aca="false">IF(J1143="","",COUNTIF($I$2:I1143,I1143))</f>
        <v/>
      </c>
      <c r="L1143" s="27" t="str">
        <f aca="false">IF(J1143="","",CHOOSE(Q1143+1,"Tue","Wed","Thu","Fri"))</f>
        <v/>
      </c>
      <c r="M1143" s="27" t="str">
        <f aca="false">IF(J1143="","",IF(J1143=1,"Every week",R1143+1&amp;" of "&amp;J1143))</f>
        <v/>
      </c>
      <c r="N1143" s="28" t="str">
        <f aca="false">IF(J1143="","",Settings!$B$4+R1143*7+Q1143)</f>
        <v/>
      </c>
      <c r="O1143" s="28" t="str">
        <f aca="true">IF(J1143="","",N1143+MAX(0,ROUNDUP((TODAY()-N1143)/(J1143*7),0))*J1143*7)</f>
        <v/>
      </c>
      <c r="P1143" s="27" t="str">
        <f aca="false">IF(J1143="","",MOD(K1143-1,J1143*4))</f>
        <v/>
      </c>
      <c r="Q1143" s="27" t="str">
        <f aca="false">IF(J1143="","",MOD(P1143,4))</f>
        <v/>
      </c>
      <c r="R1143" s="27" t="str">
        <f aca="false">IF(J1143="","",INT(P1143/4))</f>
        <v/>
      </c>
      <c r="S1143" s="27" t="str">
        <f aca="false">IF(J1143="","",IF(AND('Daily Count Sheet'!$H$3=Q1143,MOD('Daily Count Sheet'!$I$3,J1143)=R1143),1,""))</f>
        <v/>
      </c>
      <c r="T1143" s="27" t="str">
        <f aca="false">IF(S1143=1,COUNTIF($S$2:S1143,1),"")</f>
        <v/>
      </c>
    </row>
    <row r="1144" customFormat="false" ht="15" hidden="false" customHeight="false" outlineLevel="0" collapsed="false">
      <c r="H1144" s="26"/>
      <c r="I1144" s="27" t="str">
        <f aca="false">IF(A1144="","",IF(H1144&lt;&gt;"",UPPER(TRIM(H1144)),IFERROR(CHOOSE(VALUE(E1144)+1,"A","B","C","D"),IF(OR(LEFT(UPPER(TRIM(E1144)),1)="F",UPPER(TRIM(E1144))="A"),"A",IF(OR(LEFT(UPPER(TRIM(E1144)),1)="M",UPPER(TRIM(E1144))="B"),"B",IF(OR(LEFT(UPPER(TRIM(E1144)),2)="SL",UPPER(TRIM(E1144))="C"),"C",IF(OR(LEFT(UPPER(TRIM(E1144)),1)="D",UPPER(TRIM(E1144))="D"),"D","")))))))</f>
        <v/>
      </c>
      <c r="J1144" s="27" t="str">
        <f aca="false">IF(I1144="","",IF(AND(I1144="D",Settings!$B$6&lt;&gt;"Yes"),"",IFERROR(INDEX(Settings!$C$9:$C$12,MATCH(I1144,Settings!$A$9:$A$12,0)),"")))</f>
        <v/>
      </c>
      <c r="K1144" s="27" t="str">
        <f aca="false">IF(J1144="","",COUNTIF($I$2:I1144,I1144))</f>
        <v/>
      </c>
      <c r="L1144" s="27" t="str">
        <f aca="false">IF(J1144="","",CHOOSE(Q1144+1,"Tue","Wed","Thu","Fri"))</f>
        <v/>
      </c>
      <c r="M1144" s="27" t="str">
        <f aca="false">IF(J1144="","",IF(J1144=1,"Every week",R1144+1&amp;" of "&amp;J1144))</f>
        <v/>
      </c>
      <c r="N1144" s="28" t="str">
        <f aca="false">IF(J1144="","",Settings!$B$4+R1144*7+Q1144)</f>
        <v/>
      </c>
      <c r="O1144" s="28" t="str">
        <f aca="true">IF(J1144="","",N1144+MAX(0,ROUNDUP((TODAY()-N1144)/(J1144*7),0))*J1144*7)</f>
        <v/>
      </c>
      <c r="P1144" s="27" t="str">
        <f aca="false">IF(J1144="","",MOD(K1144-1,J1144*4))</f>
        <v/>
      </c>
      <c r="Q1144" s="27" t="str">
        <f aca="false">IF(J1144="","",MOD(P1144,4))</f>
        <v/>
      </c>
      <c r="R1144" s="27" t="str">
        <f aca="false">IF(J1144="","",INT(P1144/4))</f>
        <v/>
      </c>
      <c r="S1144" s="27" t="str">
        <f aca="false">IF(J1144="","",IF(AND('Daily Count Sheet'!$H$3=Q1144,MOD('Daily Count Sheet'!$I$3,J1144)=R1144),1,""))</f>
        <v/>
      </c>
      <c r="T1144" s="27" t="str">
        <f aca="false">IF(S1144=1,COUNTIF($S$2:S1144,1),"")</f>
        <v/>
      </c>
    </row>
    <row r="1145" customFormat="false" ht="15" hidden="false" customHeight="false" outlineLevel="0" collapsed="false">
      <c r="H1145" s="26"/>
      <c r="I1145" s="27" t="str">
        <f aca="false">IF(A1145="","",IF(H1145&lt;&gt;"",UPPER(TRIM(H1145)),IFERROR(CHOOSE(VALUE(E1145)+1,"A","B","C","D"),IF(OR(LEFT(UPPER(TRIM(E1145)),1)="F",UPPER(TRIM(E1145))="A"),"A",IF(OR(LEFT(UPPER(TRIM(E1145)),1)="M",UPPER(TRIM(E1145))="B"),"B",IF(OR(LEFT(UPPER(TRIM(E1145)),2)="SL",UPPER(TRIM(E1145))="C"),"C",IF(OR(LEFT(UPPER(TRIM(E1145)),1)="D",UPPER(TRIM(E1145))="D"),"D","")))))))</f>
        <v/>
      </c>
      <c r="J1145" s="27" t="str">
        <f aca="false">IF(I1145="","",IF(AND(I1145="D",Settings!$B$6&lt;&gt;"Yes"),"",IFERROR(INDEX(Settings!$C$9:$C$12,MATCH(I1145,Settings!$A$9:$A$12,0)),"")))</f>
        <v/>
      </c>
      <c r="K1145" s="27" t="str">
        <f aca="false">IF(J1145="","",COUNTIF($I$2:I1145,I1145))</f>
        <v/>
      </c>
      <c r="L1145" s="27" t="str">
        <f aca="false">IF(J1145="","",CHOOSE(Q1145+1,"Tue","Wed","Thu","Fri"))</f>
        <v/>
      </c>
      <c r="M1145" s="27" t="str">
        <f aca="false">IF(J1145="","",IF(J1145=1,"Every week",R1145+1&amp;" of "&amp;J1145))</f>
        <v/>
      </c>
      <c r="N1145" s="28" t="str">
        <f aca="false">IF(J1145="","",Settings!$B$4+R1145*7+Q1145)</f>
        <v/>
      </c>
      <c r="O1145" s="28" t="str">
        <f aca="true">IF(J1145="","",N1145+MAX(0,ROUNDUP((TODAY()-N1145)/(J1145*7),0))*J1145*7)</f>
        <v/>
      </c>
      <c r="P1145" s="27" t="str">
        <f aca="false">IF(J1145="","",MOD(K1145-1,J1145*4))</f>
        <v/>
      </c>
      <c r="Q1145" s="27" t="str">
        <f aca="false">IF(J1145="","",MOD(P1145,4))</f>
        <v/>
      </c>
      <c r="R1145" s="27" t="str">
        <f aca="false">IF(J1145="","",INT(P1145/4))</f>
        <v/>
      </c>
      <c r="S1145" s="27" t="str">
        <f aca="false">IF(J1145="","",IF(AND('Daily Count Sheet'!$H$3=Q1145,MOD('Daily Count Sheet'!$I$3,J1145)=R1145),1,""))</f>
        <v/>
      </c>
      <c r="T1145" s="27" t="str">
        <f aca="false">IF(S1145=1,COUNTIF($S$2:S1145,1),"")</f>
        <v/>
      </c>
    </row>
    <row r="1146" customFormat="false" ht="15" hidden="false" customHeight="false" outlineLevel="0" collapsed="false">
      <c r="H1146" s="26"/>
      <c r="I1146" s="27" t="str">
        <f aca="false">IF(A1146="","",IF(H1146&lt;&gt;"",UPPER(TRIM(H1146)),IFERROR(CHOOSE(VALUE(E1146)+1,"A","B","C","D"),IF(OR(LEFT(UPPER(TRIM(E1146)),1)="F",UPPER(TRIM(E1146))="A"),"A",IF(OR(LEFT(UPPER(TRIM(E1146)),1)="M",UPPER(TRIM(E1146))="B"),"B",IF(OR(LEFT(UPPER(TRIM(E1146)),2)="SL",UPPER(TRIM(E1146))="C"),"C",IF(OR(LEFT(UPPER(TRIM(E1146)),1)="D",UPPER(TRIM(E1146))="D"),"D","")))))))</f>
        <v/>
      </c>
      <c r="J1146" s="27" t="str">
        <f aca="false">IF(I1146="","",IF(AND(I1146="D",Settings!$B$6&lt;&gt;"Yes"),"",IFERROR(INDEX(Settings!$C$9:$C$12,MATCH(I1146,Settings!$A$9:$A$12,0)),"")))</f>
        <v/>
      </c>
      <c r="K1146" s="27" t="str">
        <f aca="false">IF(J1146="","",COUNTIF($I$2:I1146,I1146))</f>
        <v/>
      </c>
      <c r="L1146" s="27" t="str">
        <f aca="false">IF(J1146="","",CHOOSE(Q1146+1,"Tue","Wed","Thu","Fri"))</f>
        <v/>
      </c>
      <c r="M1146" s="27" t="str">
        <f aca="false">IF(J1146="","",IF(J1146=1,"Every week",R1146+1&amp;" of "&amp;J1146))</f>
        <v/>
      </c>
      <c r="N1146" s="28" t="str">
        <f aca="false">IF(J1146="","",Settings!$B$4+R1146*7+Q1146)</f>
        <v/>
      </c>
      <c r="O1146" s="28" t="str">
        <f aca="true">IF(J1146="","",N1146+MAX(0,ROUNDUP((TODAY()-N1146)/(J1146*7),0))*J1146*7)</f>
        <v/>
      </c>
      <c r="P1146" s="27" t="str">
        <f aca="false">IF(J1146="","",MOD(K1146-1,J1146*4))</f>
        <v/>
      </c>
      <c r="Q1146" s="27" t="str">
        <f aca="false">IF(J1146="","",MOD(P1146,4))</f>
        <v/>
      </c>
      <c r="R1146" s="27" t="str">
        <f aca="false">IF(J1146="","",INT(P1146/4))</f>
        <v/>
      </c>
      <c r="S1146" s="27" t="str">
        <f aca="false">IF(J1146="","",IF(AND('Daily Count Sheet'!$H$3=Q1146,MOD('Daily Count Sheet'!$I$3,J1146)=R1146),1,""))</f>
        <v/>
      </c>
      <c r="T1146" s="27" t="str">
        <f aca="false">IF(S1146=1,COUNTIF($S$2:S1146,1),"")</f>
        <v/>
      </c>
    </row>
    <row r="1147" customFormat="false" ht="15" hidden="false" customHeight="false" outlineLevel="0" collapsed="false">
      <c r="H1147" s="26"/>
      <c r="I1147" s="27" t="str">
        <f aca="false">IF(A1147="","",IF(H1147&lt;&gt;"",UPPER(TRIM(H1147)),IFERROR(CHOOSE(VALUE(E1147)+1,"A","B","C","D"),IF(OR(LEFT(UPPER(TRIM(E1147)),1)="F",UPPER(TRIM(E1147))="A"),"A",IF(OR(LEFT(UPPER(TRIM(E1147)),1)="M",UPPER(TRIM(E1147))="B"),"B",IF(OR(LEFT(UPPER(TRIM(E1147)),2)="SL",UPPER(TRIM(E1147))="C"),"C",IF(OR(LEFT(UPPER(TRIM(E1147)),1)="D",UPPER(TRIM(E1147))="D"),"D","")))))))</f>
        <v/>
      </c>
      <c r="J1147" s="27" t="str">
        <f aca="false">IF(I1147="","",IF(AND(I1147="D",Settings!$B$6&lt;&gt;"Yes"),"",IFERROR(INDEX(Settings!$C$9:$C$12,MATCH(I1147,Settings!$A$9:$A$12,0)),"")))</f>
        <v/>
      </c>
      <c r="K1147" s="27" t="str">
        <f aca="false">IF(J1147="","",COUNTIF($I$2:I1147,I1147))</f>
        <v/>
      </c>
      <c r="L1147" s="27" t="str">
        <f aca="false">IF(J1147="","",CHOOSE(Q1147+1,"Tue","Wed","Thu","Fri"))</f>
        <v/>
      </c>
      <c r="M1147" s="27" t="str">
        <f aca="false">IF(J1147="","",IF(J1147=1,"Every week",R1147+1&amp;" of "&amp;J1147))</f>
        <v/>
      </c>
      <c r="N1147" s="28" t="str">
        <f aca="false">IF(J1147="","",Settings!$B$4+R1147*7+Q1147)</f>
        <v/>
      </c>
      <c r="O1147" s="28" t="str">
        <f aca="true">IF(J1147="","",N1147+MAX(0,ROUNDUP((TODAY()-N1147)/(J1147*7),0))*J1147*7)</f>
        <v/>
      </c>
      <c r="P1147" s="27" t="str">
        <f aca="false">IF(J1147="","",MOD(K1147-1,J1147*4))</f>
        <v/>
      </c>
      <c r="Q1147" s="27" t="str">
        <f aca="false">IF(J1147="","",MOD(P1147,4))</f>
        <v/>
      </c>
      <c r="R1147" s="27" t="str">
        <f aca="false">IF(J1147="","",INT(P1147/4))</f>
        <v/>
      </c>
      <c r="S1147" s="27" t="str">
        <f aca="false">IF(J1147="","",IF(AND('Daily Count Sheet'!$H$3=Q1147,MOD('Daily Count Sheet'!$I$3,J1147)=R1147),1,""))</f>
        <v/>
      </c>
      <c r="T1147" s="27" t="str">
        <f aca="false">IF(S1147=1,COUNTIF($S$2:S1147,1),"")</f>
        <v/>
      </c>
    </row>
    <row r="1148" customFormat="false" ht="15" hidden="false" customHeight="false" outlineLevel="0" collapsed="false">
      <c r="H1148" s="26"/>
      <c r="I1148" s="27" t="str">
        <f aca="false">IF(A1148="","",IF(H1148&lt;&gt;"",UPPER(TRIM(H1148)),IFERROR(CHOOSE(VALUE(E1148)+1,"A","B","C","D"),IF(OR(LEFT(UPPER(TRIM(E1148)),1)="F",UPPER(TRIM(E1148))="A"),"A",IF(OR(LEFT(UPPER(TRIM(E1148)),1)="M",UPPER(TRIM(E1148))="B"),"B",IF(OR(LEFT(UPPER(TRIM(E1148)),2)="SL",UPPER(TRIM(E1148))="C"),"C",IF(OR(LEFT(UPPER(TRIM(E1148)),1)="D",UPPER(TRIM(E1148))="D"),"D","")))))))</f>
        <v/>
      </c>
      <c r="J1148" s="27" t="str">
        <f aca="false">IF(I1148="","",IF(AND(I1148="D",Settings!$B$6&lt;&gt;"Yes"),"",IFERROR(INDEX(Settings!$C$9:$C$12,MATCH(I1148,Settings!$A$9:$A$12,0)),"")))</f>
        <v/>
      </c>
      <c r="K1148" s="27" t="str">
        <f aca="false">IF(J1148="","",COUNTIF($I$2:I1148,I1148))</f>
        <v/>
      </c>
      <c r="L1148" s="27" t="str">
        <f aca="false">IF(J1148="","",CHOOSE(Q1148+1,"Tue","Wed","Thu","Fri"))</f>
        <v/>
      </c>
      <c r="M1148" s="27" t="str">
        <f aca="false">IF(J1148="","",IF(J1148=1,"Every week",R1148+1&amp;" of "&amp;J1148))</f>
        <v/>
      </c>
      <c r="N1148" s="28" t="str">
        <f aca="false">IF(J1148="","",Settings!$B$4+R1148*7+Q1148)</f>
        <v/>
      </c>
      <c r="O1148" s="28" t="str">
        <f aca="true">IF(J1148="","",N1148+MAX(0,ROUNDUP((TODAY()-N1148)/(J1148*7),0))*J1148*7)</f>
        <v/>
      </c>
      <c r="P1148" s="27" t="str">
        <f aca="false">IF(J1148="","",MOD(K1148-1,J1148*4))</f>
        <v/>
      </c>
      <c r="Q1148" s="27" t="str">
        <f aca="false">IF(J1148="","",MOD(P1148,4))</f>
        <v/>
      </c>
      <c r="R1148" s="27" t="str">
        <f aca="false">IF(J1148="","",INT(P1148/4))</f>
        <v/>
      </c>
      <c r="S1148" s="27" t="str">
        <f aca="false">IF(J1148="","",IF(AND('Daily Count Sheet'!$H$3=Q1148,MOD('Daily Count Sheet'!$I$3,J1148)=R1148),1,""))</f>
        <v/>
      </c>
      <c r="T1148" s="27" t="str">
        <f aca="false">IF(S1148=1,COUNTIF($S$2:S1148,1),"")</f>
        <v/>
      </c>
    </row>
    <row r="1149" customFormat="false" ht="15" hidden="false" customHeight="false" outlineLevel="0" collapsed="false">
      <c r="H1149" s="26"/>
      <c r="I1149" s="27" t="str">
        <f aca="false">IF(A1149="","",IF(H1149&lt;&gt;"",UPPER(TRIM(H1149)),IFERROR(CHOOSE(VALUE(E1149)+1,"A","B","C","D"),IF(OR(LEFT(UPPER(TRIM(E1149)),1)="F",UPPER(TRIM(E1149))="A"),"A",IF(OR(LEFT(UPPER(TRIM(E1149)),1)="M",UPPER(TRIM(E1149))="B"),"B",IF(OR(LEFT(UPPER(TRIM(E1149)),2)="SL",UPPER(TRIM(E1149))="C"),"C",IF(OR(LEFT(UPPER(TRIM(E1149)),1)="D",UPPER(TRIM(E1149))="D"),"D","")))))))</f>
        <v/>
      </c>
      <c r="J1149" s="27" t="str">
        <f aca="false">IF(I1149="","",IF(AND(I1149="D",Settings!$B$6&lt;&gt;"Yes"),"",IFERROR(INDEX(Settings!$C$9:$C$12,MATCH(I1149,Settings!$A$9:$A$12,0)),"")))</f>
        <v/>
      </c>
      <c r="K1149" s="27" t="str">
        <f aca="false">IF(J1149="","",COUNTIF($I$2:I1149,I1149))</f>
        <v/>
      </c>
      <c r="L1149" s="27" t="str">
        <f aca="false">IF(J1149="","",CHOOSE(Q1149+1,"Tue","Wed","Thu","Fri"))</f>
        <v/>
      </c>
      <c r="M1149" s="27" t="str">
        <f aca="false">IF(J1149="","",IF(J1149=1,"Every week",R1149+1&amp;" of "&amp;J1149))</f>
        <v/>
      </c>
      <c r="N1149" s="28" t="str">
        <f aca="false">IF(J1149="","",Settings!$B$4+R1149*7+Q1149)</f>
        <v/>
      </c>
      <c r="O1149" s="28" t="str">
        <f aca="true">IF(J1149="","",N1149+MAX(0,ROUNDUP((TODAY()-N1149)/(J1149*7),0))*J1149*7)</f>
        <v/>
      </c>
      <c r="P1149" s="27" t="str">
        <f aca="false">IF(J1149="","",MOD(K1149-1,J1149*4))</f>
        <v/>
      </c>
      <c r="Q1149" s="27" t="str">
        <f aca="false">IF(J1149="","",MOD(P1149,4))</f>
        <v/>
      </c>
      <c r="R1149" s="27" t="str">
        <f aca="false">IF(J1149="","",INT(P1149/4))</f>
        <v/>
      </c>
      <c r="S1149" s="27" t="str">
        <f aca="false">IF(J1149="","",IF(AND('Daily Count Sheet'!$H$3=Q1149,MOD('Daily Count Sheet'!$I$3,J1149)=R1149),1,""))</f>
        <v/>
      </c>
      <c r="T1149" s="27" t="str">
        <f aca="false">IF(S1149=1,COUNTIF($S$2:S1149,1),"")</f>
        <v/>
      </c>
    </row>
    <row r="1150" customFormat="false" ht="15" hidden="false" customHeight="false" outlineLevel="0" collapsed="false">
      <c r="H1150" s="26"/>
      <c r="I1150" s="27" t="str">
        <f aca="false">IF(A1150="","",IF(H1150&lt;&gt;"",UPPER(TRIM(H1150)),IFERROR(CHOOSE(VALUE(E1150)+1,"A","B","C","D"),IF(OR(LEFT(UPPER(TRIM(E1150)),1)="F",UPPER(TRIM(E1150))="A"),"A",IF(OR(LEFT(UPPER(TRIM(E1150)),1)="M",UPPER(TRIM(E1150))="B"),"B",IF(OR(LEFT(UPPER(TRIM(E1150)),2)="SL",UPPER(TRIM(E1150))="C"),"C",IF(OR(LEFT(UPPER(TRIM(E1150)),1)="D",UPPER(TRIM(E1150))="D"),"D","")))))))</f>
        <v/>
      </c>
      <c r="J1150" s="27" t="str">
        <f aca="false">IF(I1150="","",IF(AND(I1150="D",Settings!$B$6&lt;&gt;"Yes"),"",IFERROR(INDEX(Settings!$C$9:$C$12,MATCH(I1150,Settings!$A$9:$A$12,0)),"")))</f>
        <v/>
      </c>
      <c r="K1150" s="27" t="str">
        <f aca="false">IF(J1150="","",COUNTIF($I$2:I1150,I1150))</f>
        <v/>
      </c>
      <c r="L1150" s="27" t="str">
        <f aca="false">IF(J1150="","",CHOOSE(Q1150+1,"Tue","Wed","Thu","Fri"))</f>
        <v/>
      </c>
      <c r="M1150" s="27" t="str">
        <f aca="false">IF(J1150="","",IF(J1150=1,"Every week",R1150+1&amp;" of "&amp;J1150))</f>
        <v/>
      </c>
      <c r="N1150" s="28" t="str">
        <f aca="false">IF(J1150="","",Settings!$B$4+R1150*7+Q1150)</f>
        <v/>
      </c>
      <c r="O1150" s="28" t="str">
        <f aca="true">IF(J1150="","",N1150+MAX(0,ROUNDUP((TODAY()-N1150)/(J1150*7),0))*J1150*7)</f>
        <v/>
      </c>
      <c r="P1150" s="27" t="str">
        <f aca="false">IF(J1150="","",MOD(K1150-1,J1150*4))</f>
        <v/>
      </c>
      <c r="Q1150" s="27" t="str">
        <f aca="false">IF(J1150="","",MOD(P1150,4))</f>
        <v/>
      </c>
      <c r="R1150" s="27" t="str">
        <f aca="false">IF(J1150="","",INT(P1150/4))</f>
        <v/>
      </c>
      <c r="S1150" s="27" t="str">
        <f aca="false">IF(J1150="","",IF(AND('Daily Count Sheet'!$H$3=Q1150,MOD('Daily Count Sheet'!$I$3,J1150)=R1150),1,""))</f>
        <v/>
      </c>
      <c r="T1150" s="27" t="str">
        <f aca="false">IF(S1150=1,COUNTIF($S$2:S1150,1),"")</f>
        <v/>
      </c>
    </row>
    <row r="1151" customFormat="false" ht="15" hidden="false" customHeight="false" outlineLevel="0" collapsed="false">
      <c r="H1151" s="26"/>
      <c r="I1151" s="27" t="str">
        <f aca="false">IF(A1151="","",IF(H1151&lt;&gt;"",UPPER(TRIM(H1151)),IFERROR(CHOOSE(VALUE(E1151)+1,"A","B","C","D"),IF(OR(LEFT(UPPER(TRIM(E1151)),1)="F",UPPER(TRIM(E1151))="A"),"A",IF(OR(LEFT(UPPER(TRIM(E1151)),1)="M",UPPER(TRIM(E1151))="B"),"B",IF(OR(LEFT(UPPER(TRIM(E1151)),2)="SL",UPPER(TRIM(E1151))="C"),"C",IF(OR(LEFT(UPPER(TRIM(E1151)),1)="D",UPPER(TRIM(E1151))="D"),"D","")))))))</f>
        <v/>
      </c>
      <c r="J1151" s="27" t="str">
        <f aca="false">IF(I1151="","",IF(AND(I1151="D",Settings!$B$6&lt;&gt;"Yes"),"",IFERROR(INDEX(Settings!$C$9:$C$12,MATCH(I1151,Settings!$A$9:$A$12,0)),"")))</f>
        <v/>
      </c>
      <c r="K1151" s="27" t="str">
        <f aca="false">IF(J1151="","",COUNTIF($I$2:I1151,I1151))</f>
        <v/>
      </c>
      <c r="L1151" s="27" t="str">
        <f aca="false">IF(J1151="","",CHOOSE(Q1151+1,"Tue","Wed","Thu","Fri"))</f>
        <v/>
      </c>
      <c r="M1151" s="27" t="str">
        <f aca="false">IF(J1151="","",IF(J1151=1,"Every week",R1151+1&amp;" of "&amp;J1151))</f>
        <v/>
      </c>
      <c r="N1151" s="28" t="str">
        <f aca="false">IF(J1151="","",Settings!$B$4+R1151*7+Q1151)</f>
        <v/>
      </c>
      <c r="O1151" s="28" t="str">
        <f aca="true">IF(J1151="","",N1151+MAX(0,ROUNDUP((TODAY()-N1151)/(J1151*7),0))*J1151*7)</f>
        <v/>
      </c>
      <c r="P1151" s="27" t="str">
        <f aca="false">IF(J1151="","",MOD(K1151-1,J1151*4))</f>
        <v/>
      </c>
      <c r="Q1151" s="27" t="str">
        <f aca="false">IF(J1151="","",MOD(P1151,4))</f>
        <v/>
      </c>
      <c r="R1151" s="27" t="str">
        <f aca="false">IF(J1151="","",INT(P1151/4))</f>
        <v/>
      </c>
      <c r="S1151" s="27" t="str">
        <f aca="false">IF(J1151="","",IF(AND('Daily Count Sheet'!$H$3=Q1151,MOD('Daily Count Sheet'!$I$3,J1151)=R1151),1,""))</f>
        <v/>
      </c>
      <c r="T1151" s="27" t="str">
        <f aca="false">IF(S1151=1,COUNTIF($S$2:S1151,1),"")</f>
        <v/>
      </c>
    </row>
    <row r="1152" customFormat="false" ht="15" hidden="false" customHeight="false" outlineLevel="0" collapsed="false">
      <c r="H1152" s="26"/>
      <c r="I1152" s="27" t="str">
        <f aca="false">IF(A1152="","",IF(H1152&lt;&gt;"",UPPER(TRIM(H1152)),IFERROR(CHOOSE(VALUE(E1152)+1,"A","B","C","D"),IF(OR(LEFT(UPPER(TRIM(E1152)),1)="F",UPPER(TRIM(E1152))="A"),"A",IF(OR(LEFT(UPPER(TRIM(E1152)),1)="M",UPPER(TRIM(E1152))="B"),"B",IF(OR(LEFT(UPPER(TRIM(E1152)),2)="SL",UPPER(TRIM(E1152))="C"),"C",IF(OR(LEFT(UPPER(TRIM(E1152)),1)="D",UPPER(TRIM(E1152))="D"),"D","")))))))</f>
        <v/>
      </c>
      <c r="J1152" s="27" t="str">
        <f aca="false">IF(I1152="","",IF(AND(I1152="D",Settings!$B$6&lt;&gt;"Yes"),"",IFERROR(INDEX(Settings!$C$9:$C$12,MATCH(I1152,Settings!$A$9:$A$12,0)),"")))</f>
        <v/>
      </c>
      <c r="K1152" s="27" t="str">
        <f aca="false">IF(J1152="","",COUNTIF($I$2:I1152,I1152))</f>
        <v/>
      </c>
      <c r="L1152" s="27" t="str">
        <f aca="false">IF(J1152="","",CHOOSE(Q1152+1,"Tue","Wed","Thu","Fri"))</f>
        <v/>
      </c>
      <c r="M1152" s="27" t="str">
        <f aca="false">IF(J1152="","",IF(J1152=1,"Every week",R1152+1&amp;" of "&amp;J1152))</f>
        <v/>
      </c>
      <c r="N1152" s="28" t="str">
        <f aca="false">IF(J1152="","",Settings!$B$4+R1152*7+Q1152)</f>
        <v/>
      </c>
      <c r="O1152" s="28" t="str">
        <f aca="true">IF(J1152="","",N1152+MAX(0,ROUNDUP((TODAY()-N1152)/(J1152*7),0))*J1152*7)</f>
        <v/>
      </c>
      <c r="P1152" s="27" t="str">
        <f aca="false">IF(J1152="","",MOD(K1152-1,J1152*4))</f>
        <v/>
      </c>
      <c r="Q1152" s="27" t="str">
        <f aca="false">IF(J1152="","",MOD(P1152,4))</f>
        <v/>
      </c>
      <c r="R1152" s="27" t="str">
        <f aca="false">IF(J1152="","",INT(P1152/4))</f>
        <v/>
      </c>
      <c r="S1152" s="27" t="str">
        <f aca="false">IF(J1152="","",IF(AND('Daily Count Sheet'!$H$3=Q1152,MOD('Daily Count Sheet'!$I$3,J1152)=R1152),1,""))</f>
        <v/>
      </c>
      <c r="T1152" s="27" t="str">
        <f aca="false">IF(S1152=1,COUNTIF($S$2:S1152,1),"")</f>
        <v/>
      </c>
    </row>
    <row r="1153" customFormat="false" ht="15" hidden="false" customHeight="false" outlineLevel="0" collapsed="false">
      <c r="H1153" s="26"/>
      <c r="I1153" s="27" t="str">
        <f aca="false">IF(A1153="","",IF(H1153&lt;&gt;"",UPPER(TRIM(H1153)),IFERROR(CHOOSE(VALUE(E1153)+1,"A","B","C","D"),IF(OR(LEFT(UPPER(TRIM(E1153)),1)="F",UPPER(TRIM(E1153))="A"),"A",IF(OR(LEFT(UPPER(TRIM(E1153)),1)="M",UPPER(TRIM(E1153))="B"),"B",IF(OR(LEFT(UPPER(TRIM(E1153)),2)="SL",UPPER(TRIM(E1153))="C"),"C",IF(OR(LEFT(UPPER(TRIM(E1153)),1)="D",UPPER(TRIM(E1153))="D"),"D","")))))))</f>
        <v/>
      </c>
      <c r="J1153" s="27" t="str">
        <f aca="false">IF(I1153="","",IF(AND(I1153="D",Settings!$B$6&lt;&gt;"Yes"),"",IFERROR(INDEX(Settings!$C$9:$C$12,MATCH(I1153,Settings!$A$9:$A$12,0)),"")))</f>
        <v/>
      </c>
      <c r="K1153" s="27" t="str">
        <f aca="false">IF(J1153="","",COUNTIF($I$2:I1153,I1153))</f>
        <v/>
      </c>
      <c r="L1153" s="27" t="str">
        <f aca="false">IF(J1153="","",CHOOSE(Q1153+1,"Tue","Wed","Thu","Fri"))</f>
        <v/>
      </c>
      <c r="M1153" s="27" t="str">
        <f aca="false">IF(J1153="","",IF(J1153=1,"Every week",R1153+1&amp;" of "&amp;J1153))</f>
        <v/>
      </c>
      <c r="N1153" s="28" t="str">
        <f aca="false">IF(J1153="","",Settings!$B$4+R1153*7+Q1153)</f>
        <v/>
      </c>
      <c r="O1153" s="28" t="str">
        <f aca="true">IF(J1153="","",N1153+MAX(0,ROUNDUP((TODAY()-N1153)/(J1153*7),0))*J1153*7)</f>
        <v/>
      </c>
      <c r="P1153" s="27" t="str">
        <f aca="false">IF(J1153="","",MOD(K1153-1,J1153*4))</f>
        <v/>
      </c>
      <c r="Q1153" s="27" t="str">
        <f aca="false">IF(J1153="","",MOD(P1153,4))</f>
        <v/>
      </c>
      <c r="R1153" s="27" t="str">
        <f aca="false">IF(J1153="","",INT(P1153/4))</f>
        <v/>
      </c>
      <c r="S1153" s="27" t="str">
        <f aca="false">IF(J1153="","",IF(AND('Daily Count Sheet'!$H$3=Q1153,MOD('Daily Count Sheet'!$I$3,J1153)=R1153),1,""))</f>
        <v/>
      </c>
      <c r="T1153" s="27" t="str">
        <f aca="false">IF(S1153=1,COUNTIF($S$2:S1153,1),"")</f>
        <v/>
      </c>
    </row>
    <row r="1154" customFormat="false" ht="15" hidden="false" customHeight="false" outlineLevel="0" collapsed="false">
      <c r="H1154" s="26"/>
      <c r="I1154" s="27" t="str">
        <f aca="false">IF(A1154="","",IF(H1154&lt;&gt;"",UPPER(TRIM(H1154)),IFERROR(CHOOSE(VALUE(E1154)+1,"A","B","C","D"),IF(OR(LEFT(UPPER(TRIM(E1154)),1)="F",UPPER(TRIM(E1154))="A"),"A",IF(OR(LEFT(UPPER(TRIM(E1154)),1)="M",UPPER(TRIM(E1154))="B"),"B",IF(OR(LEFT(UPPER(TRIM(E1154)),2)="SL",UPPER(TRIM(E1154))="C"),"C",IF(OR(LEFT(UPPER(TRIM(E1154)),1)="D",UPPER(TRIM(E1154))="D"),"D","")))))))</f>
        <v/>
      </c>
      <c r="J1154" s="27" t="str">
        <f aca="false">IF(I1154="","",IF(AND(I1154="D",Settings!$B$6&lt;&gt;"Yes"),"",IFERROR(INDEX(Settings!$C$9:$C$12,MATCH(I1154,Settings!$A$9:$A$12,0)),"")))</f>
        <v/>
      </c>
      <c r="K1154" s="27" t="str">
        <f aca="false">IF(J1154="","",COUNTIF($I$2:I1154,I1154))</f>
        <v/>
      </c>
      <c r="L1154" s="27" t="str">
        <f aca="false">IF(J1154="","",CHOOSE(Q1154+1,"Tue","Wed","Thu","Fri"))</f>
        <v/>
      </c>
      <c r="M1154" s="27" t="str">
        <f aca="false">IF(J1154="","",IF(J1154=1,"Every week",R1154+1&amp;" of "&amp;J1154))</f>
        <v/>
      </c>
      <c r="N1154" s="28" t="str">
        <f aca="false">IF(J1154="","",Settings!$B$4+R1154*7+Q1154)</f>
        <v/>
      </c>
      <c r="O1154" s="28" t="str">
        <f aca="true">IF(J1154="","",N1154+MAX(0,ROUNDUP((TODAY()-N1154)/(J1154*7),0))*J1154*7)</f>
        <v/>
      </c>
      <c r="P1154" s="27" t="str">
        <f aca="false">IF(J1154="","",MOD(K1154-1,J1154*4))</f>
        <v/>
      </c>
      <c r="Q1154" s="27" t="str">
        <f aca="false">IF(J1154="","",MOD(P1154,4))</f>
        <v/>
      </c>
      <c r="R1154" s="27" t="str">
        <f aca="false">IF(J1154="","",INT(P1154/4))</f>
        <v/>
      </c>
      <c r="S1154" s="27" t="str">
        <f aca="false">IF(J1154="","",IF(AND('Daily Count Sheet'!$H$3=Q1154,MOD('Daily Count Sheet'!$I$3,J1154)=R1154),1,""))</f>
        <v/>
      </c>
      <c r="T1154" s="27" t="str">
        <f aca="false">IF(S1154=1,COUNTIF($S$2:S1154,1),"")</f>
        <v/>
      </c>
    </row>
    <row r="1155" customFormat="false" ht="15" hidden="false" customHeight="false" outlineLevel="0" collapsed="false">
      <c r="H1155" s="26"/>
      <c r="I1155" s="27" t="str">
        <f aca="false">IF(A1155="","",IF(H1155&lt;&gt;"",UPPER(TRIM(H1155)),IFERROR(CHOOSE(VALUE(E1155)+1,"A","B","C","D"),IF(OR(LEFT(UPPER(TRIM(E1155)),1)="F",UPPER(TRIM(E1155))="A"),"A",IF(OR(LEFT(UPPER(TRIM(E1155)),1)="M",UPPER(TRIM(E1155))="B"),"B",IF(OR(LEFT(UPPER(TRIM(E1155)),2)="SL",UPPER(TRIM(E1155))="C"),"C",IF(OR(LEFT(UPPER(TRIM(E1155)),1)="D",UPPER(TRIM(E1155))="D"),"D","")))))))</f>
        <v/>
      </c>
      <c r="J1155" s="27" t="str">
        <f aca="false">IF(I1155="","",IF(AND(I1155="D",Settings!$B$6&lt;&gt;"Yes"),"",IFERROR(INDEX(Settings!$C$9:$C$12,MATCH(I1155,Settings!$A$9:$A$12,0)),"")))</f>
        <v/>
      </c>
      <c r="K1155" s="27" t="str">
        <f aca="false">IF(J1155="","",COUNTIF($I$2:I1155,I1155))</f>
        <v/>
      </c>
      <c r="L1155" s="27" t="str">
        <f aca="false">IF(J1155="","",CHOOSE(Q1155+1,"Tue","Wed","Thu","Fri"))</f>
        <v/>
      </c>
      <c r="M1155" s="27" t="str">
        <f aca="false">IF(J1155="","",IF(J1155=1,"Every week",R1155+1&amp;" of "&amp;J1155))</f>
        <v/>
      </c>
      <c r="N1155" s="28" t="str">
        <f aca="false">IF(J1155="","",Settings!$B$4+R1155*7+Q1155)</f>
        <v/>
      </c>
      <c r="O1155" s="28" t="str">
        <f aca="true">IF(J1155="","",N1155+MAX(0,ROUNDUP((TODAY()-N1155)/(J1155*7),0))*J1155*7)</f>
        <v/>
      </c>
      <c r="P1155" s="27" t="str">
        <f aca="false">IF(J1155="","",MOD(K1155-1,J1155*4))</f>
        <v/>
      </c>
      <c r="Q1155" s="27" t="str">
        <f aca="false">IF(J1155="","",MOD(P1155,4))</f>
        <v/>
      </c>
      <c r="R1155" s="27" t="str">
        <f aca="false">IF(J1155="","",INT(P1155/4))</f>
        <v/>
      </c>
      <c r="S1155" s="27" t="str">
        <f aca="false">IF(J1155="","",IF(AND('Daily Count Sheet'!$H$3=Q1155,MOD('Daily Count Sheet'!$I$3,J1155)=R1155),1,""))</f>
        <v/>
      </c>
      <c r="T1155" s="27" t="str">
        <f aca="false">IF(S1155=1,COUNTIF($S$2:S1155,1),"")</f>
        <v/>
      </c>
    </row>
    <row r="1156" customFormat="false" ht="15" hidden="false" customHeight="false" outlineLevel="0" collapsed="false">
      <c r="H1156" s="26"/>
      <c r="I1156" s="27" t="str">
        <f aca="false">IF(A1156="","",IF(H1156&lt;&gt;"",UPPER(TRIM(H1156)),IFERROR(CHOOSE(VALUE(E1156)+1,"A","B","C","D"),IF(OR(LEFT(UPPER(TRIM(E1156)),1)="F",UPPER(TRIM(E1156))="A"),"A",IF(OR(LEFT(UPPER(TRIM(E1156)),1)="M",UPPER(TRIM(E1156))="B"),"B",IF(OR(LEFT(UPPER(TRIM(E1156)),2)="SL",UPPER(TRIM(E1156))="C"),"C",IF(OR(LEFT(UPPER(TRIM(E1156)),1)="D",UPPER(TRIM(E1156))="D"),"D","")))))))</f>
        <v/>
      </c>
      <c r="J1156" s="27" t="str">
        <f aca="false">IF(I1156="","",IF(AND(I1156="D",Settings!$B$6&lt;&gt;"Yes"),"",IFERROR(INDEX(Settings!$C$9:$C$12,MATCH(I1156,Settings!$A$9:$A$12,0)),"")))</f>
        <v/>
      </c>
      <c r="K1156" s="27" t="str">
        <f aca="false">IF(J1156="","",COUNTIF($I$2:I1156,I1156))</f>
        <v/>
      </c>
      <c r="L1156" s="27" t="str">
        <f aca="false">IF(J1156="","",CHOOSE(Q1156+1,"Tue","Wed","Thu","Fri"))</f>
        <v/>
      </c>
      <c r="M1156" s="27" t="str">
        <f aca="false">IF(J1156="","",IF(J1156=1,"Every week",R1156+1&amp;" of "&amp;J1156))</f>
        <v/>
      </c>
      <c r="N1156" s="28" t="str">
        <f aca="false">IF(J1156="","",Settings!$B$4+R1156*7+Q1156)</f>
        <v/>
      </c>
      <c r="O1156" s="28" t="str">
        <f aca="true">IF(J1156="","",N1156+MAX(0,ROUNDUP((TODAY()-N1156)/(J1156*7),0))*J1156*7)</f>
        <v/>
      </c>
      <c r="P1156" s="27" t="str">
        <f aca="false">IF(J1156="","",MOD(K1156-1,J1156*4))</f>
        <v/>
      </c>
      <c r="Q1156" s="27" t="str">
        <f aca="false">IF(J1156="","",MOD(P1156,4))</f>
        <v/>
      </c>
      <c r="R1156" s="27" t="str">
        <f aca="false">IF(J1156="","",INT(P1156/4))</f>
        <v/>
      </c>
      <c r="S1156" s="27" t="str">
        <f aca="false">IF(J1156="","",IF(AND('Daily Count Sheet'!$H$3=Q1156,MOD('Daily Count Sheet'!$I$3,J1156)=R1156),1,""))</f>
        <v/>
      </c>
      <c r="T1156" s="27" t="str">
        <f aca="false">IF(S1156=1,COUNTIF($S$2:S1156,1),"")</f>
        <v/>
      </c>
    </row>
    <row r="1157" customFormat="false" ht="15" hidden="false" customHeight="false" outlineLevel="0" collapsed="false">
      <c r="H1157" s="26"/>
      <c r="I1157" s="27" t="str">
        <f aca="false">IF(A1157="","",IF(H1157&lt;&gt;"",UPPER(TRIM(H1157)),IFERROR(CHOOSE(VALUE(E1157)+1,"A","B","C","D"),IF(OR(LEFT(UPPER(TRIM(E1157)),1)="F",UPPER(TRIM(E1157))="A"),"A",IF(OR(LEFT(UPPER(TRIM(E1157)),1)="M",UPPER(TRIM(E1157))="B"),"B",IF(OR(LEFT(UPPER(TRIM(E1157)),2)="SL",UPPER(TRIM(E1157))="C"),"C",IF(OR(LEFT(UPPER(TRIM(E1157)),1)="D",UPPER(TRIM(E1157))="D"),"D","")))))))</f>
        <v/>
      </c>
      <c r="J1157" s="27" t="str">
        <f aca="false">IF(I1157="","",IF(AND(I1157="D",Settings!$B$6&lt;&gt;"Yes"),"",IFERROR(INDEX(Settings!$C$9:$C$12,MATCH(I1157,Settings!$A$9:$A$12,0)),"")))</f>
        <v/>
      </c>
      <c r="K1157" s="27" t="str">
        <f aca="false">IF(J1157="","",COUNTIF($I$2:I1157,I1157))</f>
        <v/>
      </c>
      <c r="L1157" s="27" t="str">
        <f aca="false">IF(J1157="","",CHOOSE(Q1157+1,"Tue","Wed","Thu","Fri"))</f>
        <v/>
      </c>
      <c r="M1157" s="27" t="str">
        <f aca="false">IF(J1157="","",IF(J1157=1,"Every week",R1157+1&amp;" of "&amp;J1157))</f>
        <v/>
      </c>
      <c r="N1157" s="28" t="str">
        <f aca="false">IF(J1157="","",Settings!$B$4+R1157*7+Q1157)</f>
        <v/>
      </c>
      <c r="O1157" s="28" t="str">
        <f aca="true">IF(J1157="","",N1157+MAX(0,ROUNDUP((TODAY()-N1157)/(J1157*7),0))*J1157*7)</f>
        <v/>
      </c>
      <c r="P1157" s="27" t="str">
        <f aca="false">IF(J1157="","",MOD(K1157-1,J1157*4))</f>
        <v/>
      </c>
      <c r="Q1157" s="27" t="str">
        <f aca="false">IF(J1157="","",MOD(P1157,4))</f>
        <v/>
      </c>
      <c r="R1157" s="27" t="str">
        <f aca="false">IF(J1157="","",INT(P1157/4))</f>
        <v/>
      </c>
      <c r="S1157" s="27" t="str">
        <f aca="false">IF(J1157="","",IF(AND('Daily Count Sheet'!$H$3=Q1157,MOD('Daily Count Sheet'!$I$3,J1157)=R1157),1,""))</f>
        <v/>
      </c>
      <c r="T1157" s="27" t="str">
        <f aca="false">IF(S1157=1,COUNTIF($S$2:S1157,1),"")</f>
        <v/>
      </c>
    </row>
    <row r="1158" customFormat="false" ht="15" hidden="false" customHeight="false" outlineLevel="0" collapsed="false">
      <c r="H1158" s="26"/>
      <c r="I1158" s="27" t="str">
        <f aca="false">IF(A1158="","",IF(H1158&lt;&gt;"",UPPER(TRIM(H1158)),IFERROR(CHOOSE(VALUE(E1158)+1,"A","B","C","D"),IF(OR(LEFT(UPPER(TRIM(E1158)),1)="F",UPPER(TRIM(E1158))="A"),"A",IF(OR(LEFT(UPPER(TRIM(E1158)),1)="M",UPPER(TRIM(E1158))="B"),"B",IF(OR(LEFT(UPPER(TRIM(E1158)),2)="SL",UPPER(TRIM(E1158))="C"),"C",IF(OR(LEFT(UPPER(TRIM(E1158)),1)="D",UPPER(TRIM(E1158))="D"),"D","")))))))</f>
        <v/>
      </c>
      <c r="J1158" s="27" t="str">
        <f aca="false">IF(I1158="","",IF(AND(I1158="D",Settings!$B$6&lt;&gt;"Yes"),"",IFERROR(INDEX(Settings!$C$9:$C$12,MATCH(I1158,Settings!$A$9:$A$12,0)),"")))</f>
        <v/>
      </c>
      <c r="K1158" s="27" t="str">
        <f aca="false">IF(J1158="","",COUNTIF($I$2:I1158,I1158))</f>
        <v/>
      </c>
      <c r="L1158" s="27" t="str">
        <f aca="false">IF(J1158="","",CHOOSE(Q1158+1,"Tue","Wed","Thu","Fri"))</f>
        <v/>
      </c>
      <c r="M1158" s="27" t="str">
        <f aca="false">IF(J1158="","",IF(J1158=1,"Every week",R1158+1&amp;" of "&amp;J1158))</f>
        <v/>
      </c>
      <c r="N1158" s="28" t="str">
        <f aca="false">IF(J1158="","",Settings!$B$4+R1158*7+Q1158)</f>
        <v/>
      </c>
      <c r="O1158" s="28" t="str">
        <f aca="true">IF(J1158="","",N1158+MAX(0,ROUNDUP((TODAY()-N1158)/(J1158*7),0))*J1158*7)</f>
        <v/>
      </c>
      <c r="P1158" s="27" t="str">
        <f aca="false">IF(J1158="","",MOD(K1158-1,J1158*4))</f>
        <v/>
      </c>
      <c r="Q1158" s="27" t="str">
        <f aca="false">IF(J1158="","",MOD(P1158,4))</f>
        <v/>
      </c>
      <c r="R1158" s="27" t="str">
        <f aca="false">IF(J1158="","",INT(P1158/4))</f>
        <v/>
      </c>
      <c r="S1158" s="27" t="str">
        <f aca="false">IF(J1158="","",IF(AND('Daily Count Sheet'!$H$3=Q1158,MOD('Daily Count Sheet'!$I$3,J1158)=R1158),1,""))</f>
        <v/>
      </c>
      <c r="T1158" s="27" t="str">
        <f aca="false">IF(S1158=1,COUNTIF($S$2:S1158,1),"")</f>
        <v/>
      </c>
    </row>
    <row r="1159" customFormat="false" ht="15" hidden="false" customHeight="false" outlineLevel="0" collapsed="false">
      <c r="H1159" s="26"/>
      <c r="I1159" s="27" t="str">
        <f aca="false">IF(A1159="","",IF(H1159&lt;&gt;"",UPPER(TRIM(H1159)),IFERROR(CHOOSE(VALUE(E1159)+1,"A","B","C","D"),IF(OR(LEFT(UPPER(TRIM(E1159)),1)="F",UPPER(TRIM(E1159))="A"),"A",IF(OR(LEFT(UPPER(TRIM(E1159)),1)="M",UPPER(TRIM(E1159))="B"),"B",IF(OR(LEFT(UPPER(TRIM(E1159)),2)="SL",UPPER(TRIM(E1159))="C"),"C",IF(OR(LEFT(UPPER(TRIM(E1159)),1)="D",UPPER(TRIM(E1159))="D"),"D","")))))))</f>
        <v/>
      </c>
      <c r="J1159" s="27" t="str">
        <f aca="false">IF(I1159="","",IF(AND(I1159="D",Settings!$B$6&lt;&gt;"Yes"),"",IFERROR(INDEX(Settings!$C$9:$C$12,MATCH(I1159,Settings!$A$9:$A$12,0)),"")))</f>
        <v/>
      </c>
      <c r="K1159" s="27" t="str">
        <f aca="false">IF(J1159="","",COUNTIF($I$2:I1159,I1159))</f>
        <v/>
      </c>
      <c r="L1159" s="27" t="str">
        <f aca="false">IF(J1159="","",CHOOSE(Q1159+1,"Tue","Wed","Thu","Fri"))</f>
        <v/>
      </c>
      <c r="M1159" s="27" t="str">
        <f aca="false">IF(J1159="","",IF(J1159=1,"Every week",R1159+1&amp;" of "&amp;J1159))</f>
        <v/>
      </c>
      <c r="N1159" s="28" t="str">
        <f aca="false">IF(J1159="","",Settings!$B$4+R1159*7+Q1159)</f>
        <v/>
      </c>
      <c r="O1159" s="28" t="str">
        <f aca="true">IF(J1159="","",N1159+MAX(0,ROUNDUP((TODAY()-N1159)/(J1159*7),0))*J1159*7)</f>
        <v/>
      </c>
      <c r="P1159" s="27" t="str">
        <f aca="false">IF(J1159="","",MOD(K1159-1,J1159*4))</f>
        <v/>
      </c>
      <c r="Q1159" s="27" t="str">
        <f aca="false">IF(J1159="","",MOD(P1159,4))</f>
        <v/>
      </c>
      <c r="R1159" s="27" t="str">
        <f aca="false">IF(J1159="","",INT(P1159/4))</f>
        <v/>
      </c>
      <c r="S1159" s="27" t="str">
        <f aca="false">IF(J1159="","",IF(AND('Daily Count Sheet'!$H$3=Q1159,MOD('Daily Count Sheet'!$I$3,J1159)=R1159),1,""))</f>
        <v/>
      </c>
      <c r="T1159" s="27" t="str">
        <f aca="false">IF(S1159=1,COUNTIF($S$2:S1159,1),"")</f>
        <v/>
      </c>
    </row>
    <row r="1160" customFormat="false" ht="15" hidden="false" customHeight="false" outlineLevel="0" collapsed="false">
      <c r="H1160" s="26"/>
      <c r="I1160" s="27" t="str">
        <f aca="false">IF(A1160="","",IF(H1160&lt;&gt;"",UPPER(TRIM(H1160)),IFERROR(CHOOSE(VALUE(E1160)+1,"A","B","C","D"),IF(OR(LEFT(UPPER(TRIM(E1160)),1)="F",UPPER(TRIM(E1160))="A"),"A",IF(OR(LEFT(UPPER(TRIM(E1160)),1)="M",UPPER(TRIM(E1160))="B"),"B",IF(OR(LEFT(UPPER(TRIM(E1160)),2)="SL",UPPER(TRIM(E1160))="C"),"C",IF(OR(LEFT(UPPER(TRIM(E1160)),1)="D",UPPER(TRIM(E1160))="D"),"D","")))))))</f>
        <v/>
      </c>
      <c r="J1160" s="27" t="str">
        <f aca="false">IF(I1160="","",IF(AND(I1160="D",Settings!$B$6&lt;&gt;"Yes"),"",IFERROR(INDEX(Settings!$C$9:$C$12,MATCH(I1160,Settings!$A$9:$A$12,0)),"")))</f>
        <v/>
      </c>
      <c r="K1160" s="27" t="str">
        <f aca="false">IF(J1160="","",COUNTIF($I$2:I1160,I1160))</f>
        <v/>
      </c>
      <c r="L1160" s="27" t="str">
        <f aca="false">IF(J1160="","",CHOOSE(Q1160+1,"Tue","Wed","Thu","Fri"))</f>
        <v/>
      </c>
      <c r="M1160" s="27" t="str">
        <f aca="false">IF(J1160="","",IF(J1160=1,"Every week",R1160+1&amp;" of "&amp;J1160))</f>
        <v/>
      </c>
      <c r="N1160" s="28" t="str">
        <f aca="false">IF(J1160="","",Settings!$B$4+R1160*7+Q1160)</f>
        <v/>
      </c>
      <c r="O1160" s="28" t="str">
        <f aca="true">IF(J1160="","",N1160+MAX(0,ROUNDUP((TODAY()-N1160)/(J1160*7),0))*J1160*7)</f>
        <v/>
      </c>
      <c r="P1160" s="27" t="str">
        <f aca="false">IF(J1160="","",MOD(K1160-1,J1160*4))</f>
        <v/>
      </c>
      <c r="Q1160" s="27" t="str">
        <f aca="false">IF(J1160="","",MOD(P1160,4))</f>
        <v/>
      </c>
      <c r="R1160" s="27" t="str">
        <f aca="false">IF(J1160="","",INT(P1160/4))</f>
        <v/>
      </c>
      <c r="S1160" s="27" t="str">
        <f aca="false">IF(J1160="","",IF(AND('Daily Count Sheet'!$H$3=Q1160,MOD('Daily Count Sheet'!$I$3,J1160)=R1160),1,""))</f>
        <v/>
      </c>
      <c r="T1160" s="27" t="str">
        <f aca="false">IF(S1160=1,COUNTIF($S$2:S1160,1),"")</f>
        <v/>
      </c>
    </row>
    <row r="1161" customFormat="false" ht="15" hidden="false" customHeight="false" outlineLevel="0" collapsed="false">
      <c r="H1161" s="26"/>
      <c r="I1161" s="27" t="str">
        <f aca="false">IF(A1161="","",IF(H1161&lt;&gt;"",UPPER(TRIM(H1161)),IFERROR(CHOOSE(VALUE(E1161)+1,"A","B","C","D"),IF(OR(LEFT(UPPER(TRIM(E1161)),1)="F",UPPER(TRIM(E1161))="A"),"A",IF(OR(LEFT(UPPER(TRIM(E1161)),1)="M",UPPER(TRIM(E1161))="B"),"B",IF(OR(LEFT(UPPER(TRIM(E1161)),2)="SL",UPPER(TRIM(E1161))="C"),"C",IF(OR(LEFT(UPPER(TRIM(E1161)),1)="D",UPPER(TRIM(E1161))="D"),"D","")))))))</f>
        <v/>
      </c>
      <c r="J1161" s="27" t="str">
        <f aca="false">IF(I1161="","",IF(AND(I1161="D",Settings!$B$6&lt;&gt;"Yes"),"",IFERROR(INDEX(Settings!$C$9:$C$12,MATCH(I1161,Settings!$A$9:$A$12,0)),"")))</f>
        <v/>
      </c>
      <c r="K1161" s="27" t="str">
        <f aca="false">IF(J1161="","",COUNTIF($I$2:I1161,I1161))</f>
        <v/>
      </c>
      <c r="L1161" s="27" t="str">
        <f aca="false">IF(J1161="","",CHOOSE(Q1161+1,"Tue","Wed","Thu","Fri"))</f>
        <v/>
      </c>
      <c r="M1161" s="27" t="str">
        <f aca="false">IF(J1161="","",IF(J1161=1,"Every week",R1161+1&amp;" of "&amp;J1161))</f>
        <v/>
      </c>
      <c r="N1161" s="28" t="str">
        <f aca="false">IF(J1161="","",Settings!$B$4+R1161*7+Q1161)</f>
        <v/>
      </c>
      <c r="O1161" s="28" t="str">
        <f aca="true">IF(J1161="","",N1161+MAX(0,ROUNDUP((TODAY()-N1161)/(J1161*7),0))*J1161*7)</f>
        <v/>
      </c>
      <c r="P1161" s="27" t="str">
        <f aca="false">IF(J1161="","",MOD(K1161-1,J1161*4))</f>
        <v/>
      </c>
      <c r="Q1161" s="27" t="str">
        <f aca="false">IF(J1161="","",MOD(P1161,4))</f>
        <v/>
      </c>
      <c r="R1161" s="27" t="str">
        <f aca="false">IF(J1161="","",INT(P1161/4))</f>
        <v/>
      </c>
      <c r="S1161" s="27" t="str">
        <f aca="false">IF(J1161="","",IF(AND('Daily Count Sheet'!$H$3=Q1161,MOD('Daily Count Sheet'!$I$3,J1161)=R1161),1,""))</f>
        <v/>
      </c>
      <c r="T1161" s="27" t="str">
        <f aca="false">IF(S1161=1,COUNTIF($S$2:S1161,1),"")</f>
        <v/>
      </c>
    </row>
    <row r="1162" customFormat="false" ht="15" hidden="false" customHeight="false" outlineLevel="0" collapsed="false">
      <c r="H1162" s="26"/>
      <c r="I1162" s="27" t="str">
        <f aca="false">IF(A1162="","",IF(H1162&lt;&gt;"",UPPER(TRIM(H1162)),IFERROR(CHOOSE(VALUE(E1162)+1,"A","B","C","D"),IF(OR(LEFT(UPPER(TRIM(E1162)),1)="F",UPPER(TRIM(E1162))="A"),"A",IF(OR(LEFT(UPPER(TRIM(E1162)),1)="M",UPPER(TRIM(E1162))="B"),"B",IF(OR(LEFT(UPPER(TRIM(E1162)),2)="SL",UPPER(TRIM(E1162))="C"),"C",IF(OR(LEFT(UPPER(TRIM(E1162)),1)="D",UPPER(TRIM(E1162))="D"),"D","")))))))</f>
        <v/>
      </c>
      <c r="J1162" s="27" t="str">
        <f aca="false">IF(I1162="","",IF(AND(I1162="D",Settings!$B$6&lt;&gt;"Yes"),"",IFERROR(INDEX(Settings!$C$9:$C$12,MATCH(I1162,Settings!$A$9:$A$12,0)),"")))</f>
        <v/>
      </c>
      <c r="K1162" s="27" t="str">
        <f aca="false">IF(J1162="","",COUNTIF($I$2:I1162,I1162))</f>
        <v/>
      </c>
      <c r="L1162" s="27" t="str">
        <f aca="false">IF(J1162="","",CHOOSE(Q1162+1,"Tue","Wed","Thu","Fri"))</f>
        <v/>
      </c>
      <c r="M1162" s="27" t="str">
        <f aca="false">IF(J1162="","",IF(J1162=1,"Every week",R1162+1&amp;" of "&amp;J1162))</f>
        <v/>
      </c>
      <c r="N1162" s="28" t="str">
        <f aca="false">IF(J1162="","",Settings!$B$4+R1162*7+Q1162)</f>
        <v/>
      </c>
      <c r="O1162" s="28" t="str">
        <f aca="true">IF(J1162="","",N1162+MAX(0,ROUNDUP((TODAY()-N1162)/(J1162*7),0))*J1162*7)</f>
        <v/>
      </c>
      <c r="P1162" s="27" t="str">
        <f aca="false">IF(J1162="","",MOD(K1162-1,J1162*4))</f>
        <v/>
      </c>
      <c r="Q1162" s="27" t="str">
        <f aca="false">IF(J1162="","",MOD(P1162,4))</f>
        <v/>
      </c>
      <c r="R1162" s="27" t="str">
        <f aca="false">IF(J1162="","",INT(P1162/4))</f>
        <v/>
      </c>
      <c r="S1162" s="27" t="str">
        <f aca="false">IF(J1162="","",IF(AND('Daily Count Sheet'!$H$3=Q1162,MOD('Daily Count Sheet'!$I$3,J1162)=R1162),1,""))</f>
        <v/>
      </c>
      <c r="T1162" s="27" t="str">
        <f aca="false">IF(S1162=1,COUNTIF($S$2:S1162,1),"")</f>
        <v/>
      </c>
    </row>
    <row r="1163" customFormat="false" ht="15" hidden="false" customHeight="false" outlineLevel="0" collapsed="false">
      <c r="H1163" s="26"/>
      <c r="I1163" s="27" t="str">
        <f aca="false">IF(A1163="","",IF(H1163&lt;&gt;"",UPPER(TRIM(H1163)),IFERROR(CHOOSE(VALUE(E1163)+1,"A","B","C","D"),IF(OR(LEFT(UPPER(TRIM(E1163)),1)="F",UPPER(TRIM(E1163))="A"),"A",IF(OR(LEFT(UPPER(TRIM(E1163)),1)="M",UPPER(TRIM(E1163))="B"),"B",IF(OR(LEFT(UPPER(TRIM(E1163)),2)="SL",UPPER(TRIM(E1163))="C"),"C",IF(OR(LEFT(UPPER(TRIM(E1163)),1)="D",UPPER(TRIM(E1163))="D"),"D","")))))))</f>
        <v/>
      </c>
      <c r="J1163" s="27" t="str">
        <f aca="false">IF(I1163="","",IF(AND(I1163="D",Settings!$B$6&lt;&gt;"Yes"),"",IFERROR(INDEX(Settings!$C$9:$C$12,MATCH(I1163,Settings!$A$9:$A$12,0)),"")))</f>
        <v/>
      </c>
      <c r="K1163" s="27" t="str">
        <f aca="false">IF(J1163="","",COUNTIF($I$2:I1163,I1163))</f>
        <v/>
      </c>
      <c r="L1163" s="27" t="str">
        <f aca="false">IF(J1163="","",CHOOSE(Q1163+1,"Tue","Wed","Thu","Fri"))</f>
        <v/>
      </c>
      <c r="M1163" s="27" t="str">
        <f aca="false">IF(J1163="","",IF(J1163=1,"Every week",R1163+1&amp;" of "&amp;J1163))</f>
        <v/>
      </c>
      <c r="N1163" s="28" t="str">
        <f aca="false">IF(J1163="","",Settings!$B$4+R1163*7+Q1163)</f>
        <v/>
      </c>
      <c r="O1163" s="28" t="str">
        <f aca="true">IF(J1163="","",N1163+MAX(0,ROUNDUP((TODAY()-N1163)/(J1163*7),0))*J1163*7)</f>
        <v/>
      </c>
      <c r="P1163" s="27" t="str">
        <f aca="false">IF(J1163="","",MOD(K1163-1,J1163*4))</f>
        <v/>
      </c>
      <c r="Q1163" s="27" t="str">
        <f aca="false">IF(J1163="","",MOD(P1163,4))</f>
        <v/>
      </c>
      <c r="R1163" s="27" t="str">
        <f aca="false">IF(J1163="","",INT(P1163/4))</f>
        <v/>
      </c>
      <c r="S1163" s="27" t="str">
        <f aca="false">IF(J1163="","",IF(AND('Daily Count Sheet'!$H$3=Q1163,MOD('Daily Count Sheet'!$I$3,J1163)=R1163),1,""))</f>
        <v/>
      </c>
      <c r="T1163" s="27" t="str">
        <f aca="false">IF(S1163=1,COUNTIF($S$2:S1163,1),"")</f>
        <v/>
      </c>
    </row>
    <row r="1164" customFormat="false" ht="15" hidden="false" customHeight="false" outlineLevel="0" collapsed="false">
      <c r="H1164" s="26"/>
      <c r="I1164" s="27" t="str">
        <f aca="false">IF(A1164="","",IF(H1164&lt;&gt;"",UPPER(TRIM(H1164)),IFERROR(CHOOSE(VALUE(E1164)+1,"A","B","C","D"),IF(OR(LEFT(UPPER(TRIM(E1164)),1)="F",UPPER(TRIM(E1164))="A"),"A",IF(OR(LEFT(UPPER(TRIM(E1164)),1)="M",UPPER(TRIM(E1164))="B"),"B",IF(OR(LEFT(UPPER(TRIM(E1164)),2)="SL",UPPER(TRIM(E1164))="C"),"C",IF(OR(LEFT(UPPER(TRIM(E1164)),1)="D",UPPER(TRIM(E1164))="D"),"D","")))))))</f>
        <v/>
      </c>
      <c r="J1164" s="27" t="str">
        <f aca="false">IF(I1164="","",IF(AND(I1164="D",Settings!$B$6&lt;&gt;"Yes"),"",IFERROR(INDEX(Settings!$C$9:$C$12,MATCH(I1164,Settings!$A$9:$A$12,0)),"")))</f>
        <v/>
      </c>
      <c r="K1164" s="27" t="str">
        <f aca="false">IF(J1164="","",COUNTIF($I$2:I1164,I1164))</f>
        <v/>
      </c>
      <c r="L1164" s="27" t="str">
        <f aca="false">IF(J1164="","",CHOOSE(Q1164+1,"Tue","Wed","Thu","Fri"))</f>
        <v/>
      </c>
      <c r="M1164" s="27" t="str">
        <f aca="false">IF(J1164="","",IF(J1164=1,"Every week",R1164+1&amp;" of "&amp;J1164))</f>
        <v/>
      </c>
      <c r="N1164" s="28" t="str">
        <f aca="false">IF(J1164="","",Settings!$B$4+R1164*7+Q1164)</f>
        <v/>
      </c>
      <c r="O1164" s="28" t="str">
        <f aca="true">IF(J1164="","",N1164+MAX(0,ROUNDUP((TODAY()-N1164)/(J1164*7),0))*J1164*7)</f>
        <v/>
      </c>
      <c r="P1164" s="27" t="str">
        <f aca="false">IF(J1164="","",MOD(K1164-1,J1164*4))</f>
        <v/>
      </c>
      <c r="Q1164" s="27" t="str">
        <f aca="false">IF(J1164="","",MOD(P1164,4))</f>
        <v/>
      </c>
      <c r="R1164" s="27" t="str">
        <f aca="false">IF(J1164="","",INT(P1164/4))</f>
        <v/>
      </c>
      <c r="S1164" s="27" t="str">
        <f aca="false">IF(J1164="","",IF(AND('Daily Count Sheet'!$H$3=Q1164,MOD('Daily Count Sheet'!$I$3,J1164)=R1164),1,""))</f>
        <v/>
      </c>
      <c r="T1164" s="27" t="str">
        <f aca="false">IF(S1164=1,COUNTIF($S$2:S1164,1),"")</f>
        <v/>
      </c>
    </row>
    <row r="1165" customFormat="false" ht="15" hidden="false" customHeight="false" outlineLevel="0" collapsed="false">
      <c r="H1165" s="26"/>
      <c r="I1165" s="27" t="str">
        <f aca="false">IF(A1165="","",IF(H1165&lt;&gt;"",UPPER(TRIM(H1165)),IFERROR(CHOOSE(VALUE(E1165)+1,"A","B","C","D"),IF(OR(LEFT(UPPER(TRIM(E1165)),1)="F",UPPER(TRIM(E1165))="A"),"A",IF(OR(LEFT(UPPER(TRIM(E1165)),1)="M",UPPER(TRIM(E1165))="B"),"B",IF(OR(LEFT(UPPER(TRIM(E1165)),2)="SL",UPPER(TRIM(E1165))="C"),"C",IF(OR(LEFT(UPPER(TRIM(E1165)),1)="D",UPPER(TRIM(E1165))="D"),"D","")))))))</f>
        <v/>
      </c>
      <c r="J1165" s="27" t="str">
        <f aca="false">IF(I1165="","",IF(AND(I1165="D",Settings!$B$6&lt;&gt;"Yes"),"",IFERROR(INDEX(Settings!$C$9:$C$12,MATCH(I1165,Settings!$A$9:$A$12,0)),"")))</f>
        <v/>
      </c>
      <c r="K1165" s="27" t="str">
        <f aca="false">IF(J1165="","",COUNTIF($I$2:I1165,I1165))</f>
        <v/>
      </c>
      <c r="L1165" s="27" t="str">
        <f aca="false">IF(J1165="","",CHOOSE(Q1165+1,"Tue","Wed","Thu","Fri"))</f>
        <v/>
      </c>
      <c r="M1165" s="27" t="str">
        <f aca="false">IF(J1165="","",IF(J1165=1,"Every week",R1165+1&amp;" of "&amp;J1165))</f>
        <v/>
      </c>
      <c r="N1165" s="28" t="str">
        <f aca="false">IF(J1165="","",Settings!$B$4+R1165*7+Q1165)</f>
        <v/>
      </c>
      <c r="O1165" s="28" t="str">
        <f aca="true">IF(J1165="","",N1165+MAX(0,ROUNDUP((TODAY()-N1165)/(J1165*7),0))*J1165*7)</f>
        <v/>
      </c>
      <c r="P1165" s="27" t="str">
        <f aca="false">IF(J1165="","",MOD(K1165-1,J1165*4))</f>
        <v/>
      </c>
      <c r="Q1165" s="27" t="str">
        <f aca="false">IF(J1165="","",MOD(P1165,4))</f>
        <v/>
      </c>
      <c r="R1165" s="27" t="str">
        <f aca="false">IF(J1165="","",INT(P1165/4))</f>
        <v/>
      </c>
      <c r="S1165" s="27" t="str">
        <f aca="false">IF(J1165="","",IF(AND('Daily Count Sheet'!$H$3=Q1165,MOD('Daily Count Sheet'!$I$3,J1165)=R1165),1,""))</f>
        <v/>
      </c>
      <c r="T1165" s="27" t="str">
        <f aca="false">IF(S1165=1,COUNTIF($S$2:S1165,1),"")</f>
        <v/>
      </c>
    </row>
    <row r="1166" customFormat="false" ht="15" hidden="false" customHeight="false" outlineLevel="0" collapsed="false">
      <c r="H1166" s="26"/>
      <c r="I1166" s="27" t="str">
        <f aca="false">IF(A1166="","",IF(H1166&lt;&gt;"",UPPER(TRIM(H1166)),IFERROR(CHOOSE(VALUE(E1166)+1,"A","B","C","D"),IF(OR(LEFT(UPPER(TRIM(E1166)),1)="F",UPPER(TRIM(E1166))="A"),"A",IF(OR(LEFT(UPPER(TRIM(E1166)),1)="M",UPPER(TRIM(E1166))="B"),"B",IF(OR(LEFT(UPPER(TRIM(E1166)),2)="SL",UPPER(TRIM(E1166))="C"),"C",IF(OR(LEFT(UPPER(TRIM(E1166)),1)="D",UPPER(TRIM(E1166))="D"),"D","")))))))</f>
        <v/>
      </c>
      <c r="J1166" s="27" t="str">
        <f aca="false">IF(I1166="","",IF(AND(I1166="D",Settings!$B$6&lt;&gt;"Yes"),"",IFERROR(INDEX(Settings!$C$9:$C$12,MATCH(I1166,Settings!$A$9:$A$12,0)),"")))</f>
        <v/>
      </c>
      <c r="K1166" s="27" t="str">
        <f aca="false">IF(J1166="","",COUNTIF($I$2:I1166,I1166))</f>
        <v/>
      </c>
      <c r="L1166" s="27" t="str">
        <f aca="false">IF(J1166="","",CHOOSE(Q1166+1,"Tue","Wed","Thu","Fri"))</f>
        <v/>
      </c>
      <c r="M1166" s="27" t="str">
        <f aca="false">IF(J1166="","",IF(J1166=1,"Every week",R1166+1&amp;" of "&amp;J1166))</f>
        <v/>
      </c>
      <c r="N1166" s="28" t="str">
        <f aca="false">IF(J1166="","",Settings!$B$4+R1166*7+Q1166)</f>
        <v/>
      </c>
      <c r="O1166" s="28" t="str">
        <f aca="true">IF(J1166="","",N1166+MAX(0,ROUNDUP((TODAY()-N1166)/(J1166*7),0))*J1166*7)</f>
        <v/>
      </c>
      <c r="P1166" s="27" t="str">
        <f aca="false">IF(J1166="","",MOD(K1166-1,J1166*4))</f>
        <v/>
      </c>
      <c r="Q1166" s="27" t="str">
        <f aca="false">IF(J1166="","",MOD(P1166,4))</f>
        <v/>
      </c>
      <c r="R1166" s="27" t="str">
        <f aca="false">IF(J1166="","",INT(P1166/4))</f>
        <v/>
      </c>
      <c r="S1166" s="27" t="str">
        <f aca="false">IF(J1166="","",IF(AND('Daily Count Sheet'!$H$3=Q1166,MOD('Daily Count Sheet'!$I$3,J1166)=R1166),1,""))</f>
        <v/>
      </c>
      <c r="T1166" s="27" t="str">
        <f aca="false">IF(S1166=1,COUNTIF($S$2:S1166,1),"")</f>
        <v/>
      </c>
    </row>
    <row r="1167" customFormat="false" ht="15" hidden="false" customHeight="false" outlineLevel="0" collapsed="false">
      <c r="H1167" s="26"/>
      <c r="I1167" s="27" t="str">
        <f aca="false">IF(A1167="","",IF(H1167&lt;&gt;"",UPPER(TRIM(H1167)),IFERROR(CHOOSE(VALUE(E1167)+1,"A","B","C","D"),IF(OR(LEFT(UPPER(TRIM(E1167)),1)="F",UPPER(TRIM(E1167))="A"),"A",IF(OR(LEFT(UPPER(TRIM(E1167)),1)="M",UPPER(TRIM(E1167))="B"),"B",IF(OR(LEFT(UPPER(TRIM(E1167)),2)="SL",UPPER(TRIM(E1167))="C"),"C",IF(OR(LEFT(UPPER(TRIM(E1167)),1)="D",UPPER(TRIM(E1167))="D"),"D","")))))))</f>
        <v/>
      </c>
      <c r="J1167" s="27" t="str">
        <f aca="false">IF(I1167="","",IF(AND(I1167="D",Settings!$B$6&lt;&gt;"Yes"),"",IFERROR(INDEX(Settings!$C$9:$C$12,MATCH(I1167,Settings!$A$9:$A$12,0)),"")))</f>
        <v/>
      </c>
      <c r="K1167" s="27" t="str">
        <f aca="false">IF(J1167="","",COUNTIF($I$2:I1167,I1167))</f>
        <v/>
      </c>
      <c r="L1167" s="27" t="str">
        <f aca="false">IF(J1167="","",CHOOSE(Q1167+1,"Tue","Wed","Thu","Fri"))</f>
        <v/>
      </c>
      <c r="M1167" s="27" t="str">
        <f aca="false">IF(J1167="","",IF(J1167=1,"Every week",R1167+1&amp;" of "&amp;J1167))</f>
        <v/>
      </c>
      <c r="N1167" s="28" t="str">
        <f aca="false">IF(J1167="","",Settings!$B$4+R1167*7+Q1167)</f>
        <v/>
      </c>
      <c r="O1167" s="28" t="str">
        <f aca="true">IF(J1167="","",N1167+MAX(0,ROUNDUP((TODAY()-N1167)/(J1167*7),0))*J1167*7)</f>
        <v/>
      </c>
      <c r="P1167" s="27" t="str">
        <f aca="false">IF(J1167="","",MOD(K1167-1,J1167*4))</f>
        <v/>
      </c>
      <c r="Q1167" s="27" t="str">
        <f aca="false">IF(J1167="","",MOD(P1167,4))</f>
        <v/>
      </c>
      <c r="R1167" s="27" t="str">
        <f aca="false">IF(J1167="","",INT(P1167/4))</f>
        <v/>
      </c>
      <c r="S1167" s="27" t="str">
        <f aca="false">IF(J1167="","",IF(AND('Daily Count Sheet'!$H$3=Q1167,MOD('Daily Count Sheet'!$I$3,J1167)=R1167),1,""))</f>
        <v/>
      </c>
      <c r="T1167" s="27" t="str">
        <f aca="false">IF(S1167=1,COUNTIF($S$2:S1167,1),"")</f>
        <v/>
      </c>
    </row>
    <row r="1168" customFormat="false" ht="15" hidden="false" customHeight="false" outlineLevel="0" collapsed="false">
      <c r="H1168" s="26"/>
      <c r="I1168" s="27" t="str">
        <f aca="false">IF(A1168="","",IF(H1168&lt;&gt;"",UPPER(TRIM(H1168)),IFERROR(CHOOSE(VALUE(E1168)+1,"A","B","C","D"),IF(OR(LEFT(UPPER(TRIM(E1168)),1)="F",UPPER(TRIM(E1168))="A"),"A",IF(OR(LEFT(UPPER(TRIM(E1168)),1)="M",UPPER(TRIM(E1168))="B"),"B",IF(OR(LEFT(UPPER(TRIM(E1168)),2)="SL",UPPER(TRIM(E1168))="C"),"C",IF(OR(LEFT(UPPER(TRIM(E1168)),1)="D",UPPER(TRIM(E1168))="D"),"D","")))))))</f>
        <v/>
      </c>
      <c r="J1168" s="27" t="str">
        <f aca="false">IF(I1168="","",IF(AND(I1168="D",Settings!$B$6&lt;&gt;"Yes"),"",IFERROR(INDEX(Settings!$C$9:$C$12,MATCH(I1168,Settings!$A$9:$A$12,0)),"")))</f>
        <v/>
      </c>
      <c r="K1168" s="27" t="str">
        <f aca="false">IF(J1168="","",COUNTIF($I$2:I1168,I1168))</f>
        <v/>
      </c>
      <c r="L1168" s="27" t="str">
        <f aca="false">IF(J1168="","",CHOOSE(Q1168+1,"Tue","Wed","Thu","Fri"))</f>
        <v/>
      </c>
      <c r="M1168" s="27" t="str">
        <f aca="false">IF(J1168="","",IF(J1168=1,"Every week",R1168+1&amp;" of "&amp;J1168))</f>
        <v/>
      </c>
      <c r="N1168" s="28" t="str">
        <f aca="false">IF(J1168="","",Settings!$B$4+R1168*7+Q1168)</f>
        <v/>
      </c>
      <c r="O1168" s="28" t="str">
        <f aca="true">IF(J1168="","",N1168+MAX(0,ROUNDUP((TODAY()-N1168)/(J1168*7),0))*J1168*7)</f>
        <v/>
      </c>
      <c r="P1168" s="27" t="str">
        <f aca="false">IF(J1168="","",MOD(K1168-1,J1168*4))</f>
        <v/>
      </c>
      <c r="Q1168" s="27" t="str">
        <f aca="false">IF(J1168="","",MOD(P1168,4))</f>
        <v/>
      </c>
      <c r="R1168" s="27" t="str">
        <f aca="false">IF(J1168="","",INT(P1168/4))</f>
        <v/>
      </c>
      <c r="S1168" s="27" t="str">
        <f aca="false">IF(J1168="","",IF(AND('Daily Count Sheet'!$H$3=Q1168,MOD('Daily Count Sheet'!$I$3,J1168)=R1168),1,""))</f>
        <v/>
      </c>
      <c r="T1168" s="27" t="str">
        <f aca="false">IF(S1168=1,COUNTIF($S$2:S1168,1),"")</f>
        <v/>
      </c>
    </row>
    <row r="1169" customFormat="false" ht="15" hidden="false" customHeight="false" outlineLevel="0" collapsed="false">
      <c r="H1169" s="26"/>
      <c r="I1169" s="27" t="str">
        <f aca="false">IF(A1169="","",IF(H1169&lt;&gt;"",UPPER(TRIM(H1169)),IFERROR(CHOOSE(VALUE(E1169)+1,"A","B","C","D"),IF(OR(LEFT(UPPER(TRIM(E1169)),1)="F",UPPER(TRIM(E1169))="A"),"A",IF(OR(LEFT(UPPER(TRIM(E1169)),1)="M",UPPER(TRIM(E1169))="B"),"B",IF(OR(LEFT(UPPER(TRIM(E1169)),2)="SL",UPPER(TRIM(E1169))="C"),"C",IF(OR(LEFT(UPPER(TRIM(E1169)),1)="D",UPPER(TRIM(E1169))="D"),"D","")))))))</f>
        <v/>
      </c>
      <c r="J1169" s="27" t="str">
        <f aca="false">IF(I1169="","",IF(AND(I1169="D",Settings!$B$6&lt;&gt;"Yes"),"",IFERROR(INDEX(Settings!$C$9:$C$12,MATCH(I1169,Settings!$A$9:$A$12,0)),"")))</f>
        <v/>
      </c>
      <c r="K1169" s="27" t="str">
        <f aca="false">IF(J1169="","",COUNTIF($I$2:I1169,I1169))</f>
        <v/>
      </c>
      <c r="L1169" s="27" t="str">
        <f aca="false">IF(J1169="","",CHOOSE(Q1169+1,"Tue","Wed","Thu","Fri"))</f>
        <v/>
      </c>
      <c r="M1169" s="27" t="str">
        <f aca="false">IF(J1169="","",IF(J1169=1,"Every week",R1169+1&amp;" of "&amp;J1169))</f>
        <v/>
      </c>
      <c r="N1169" s="28" t="str">
        <f aca="false">IF(J1169="","",Settings!$B$4+R1169*7+Q1169)</f>
        <v/>
      </c>
      <c r="O1169" s="28" t="str">
        <f aca="true">IF(J1169="","",N1169+MAX(0,ROUNDUP((TODAY()-N1169)/(J1169*7),0))*J1169*7)</f>
        <v/>
      </c>
      <c r="P1169" s="27" t="str">
        <f aca="false">IF(J1169="","",MOD(K1169-1,J1169*4))</f>
        <v/>
      </c>
      <c r="Q1169" s="27" t="str">
        <f aca="false">IF(J1169="","",MOD(P1169,4))</f>
        <v/>
      </c>
      <c r="R1169" s="27" t="str">
        <f aca="false">IF(J1169="","",INT(P1169/4))</f>
        <v/>
      </c>
      <c r="S1169" s="27" t="str">
        <f aca="false">IF(J1169="","",IF(AND('Daily Count Sheet'!$H$3=Q1169,MOD('Daily Count Sheet'!$I$3,J1169)=R1169),1,""))</f>
        <v/>
      </c>
      <c r="T1169" s="27" t="str">
        <f aca="false">IF(S1169=1,COUNTIF($S$2:S1169,1),"")</f>
        <v/>
      </c>
    </row>
    <row r="1170" customFormat="false" ht="15" hidden="false" customHeight="false" outlineLevel="0" collapsed="false">
      <c r="H1170" s="26"/>
      <c r="I1170" s="27" t="str">
        <f aca="false">IF(A1170="","",IF(H1170&lt;&gt;"",UPPER(TRIM(H1170)),IFERROR(CHOOSE(VALUE(E1170)+1,"A","B","C","D"),IF(OR(LEFT(UPPER(TRIM(E1170)),1)="F",UPPER(TRIM(E1170))="A"),"A",IF(OR(LEFT(UPPER(TRIM(E1170)),1)="M",UPPER(TRIM(E1170))="B"),"B",IF(OR(LEFT(UPPER(TRIM(E1170)),2)="SL",UPPER(TRIM(E1170))="C"),"C",IF(OR(LEFT(UPPER(TRIM(E1170)),1)="D",UPPER(TRIM(E1170))="D"),"D","")))))))</f>
        <v/>
      </c>
      <c r="J1170" s="27" t="str">
        <f aca="false">IF(I1170="","",IF(AND(I1170="D",Settings!$B$6&lt;&gt;"Yes"),"",IFERROR(INDEX(Settings!$C$9:$C$12,MATCH(I1170,Settings!$A$9:$A$12,0)),"")))</f>
        <v/>
      </c>
      <c r="K1170" s="27" t="str">
        <f aca="false">IF(J1170="","",COUNTIF($I$2:I1170,I1170))</f>
        <v/>
      </c>
      <c r="L1170" s="27" t="str">
        <f aca="false">IF(J1170="","",CHOOSE(Q1170+1,"Tue","Wed","Thu","Fri"))</f>
        <v/>
      </c>
      <c r="M1170" s="27" t="str">
        <f aca="false">IF(J1170="","",IF(J1170=1,"Every week",R1170+1&amp;" of "&amp;J1170))</f>
        <v/>
      </c>
      <c r="N1170" s="28" t="str">
        <f aca="false">IF(J1170="","",Settings!$B$4+R1170*7+Q1170)</f>
        <v/>
      </c>
      <c r="O1170" s="28" t="str">
        <f aca="true">IF(J1170="","",N1170+MAX(0,ROUNDUP((TODAY()-N1170)/(J1170*7),0))*J1170*7)</f>
        <v/>
      </c>
      <c r="P1170" s="27" t="str">
        <f aca="false">IF(J1170="","",MOD(K1170-1,J1170*4))</f>
        <v/>
      </c>
      <c r="Q1170" s="27" t="str">
        <f aca="false">IF(J1170="","",MOD(P1170,4))</f>
        <v/>
      </c>
      <c r="R1170" s="27" t="str">
        <f aca="false">IF(J1170="","",INT(P1170/4))</f>
        <v/>
      </c>
      <c r="S1170" s="27" t="str">
        <f aca="false">IF(J1170="","",IF(AND('Daily Count Sheet'!$H$3=Q1170,MOD('Daily Count Sheet'!$I$3,J1170)=R1170),1,""))</f>
        <v/>
      </c>
      <c r="T1170" s="27" t="str">
        <f aca="false">IF(S1170=1,COUNTIF($S$2:S1170,1),"")</f>
        <v/>
      </c>
    </row>
    <row r="1171" customFormat="false" ht="15" hidden="false" customHeight="false" outlineLevel="0" collapsed="false">
      <c r="H1171" s="26"/>
      <c r="I1171" s="27" t="str">
        <f aca="false">IF(A1171="","",IF(H1171&lt;&gt;"",UPPER(TRIM(H1171)),IFERROR(CHOOSE(VALUE(E1171)+1,"A","B","C","D"),IF(OR(LEFT(UPPER(TRIM(E1171)),1)="F",UPPER(TRIM(E1171))="A"),"A",IF(OR(LEFT(UPPER(TRIM(E1171)),1)="M",UPPER(TRIM(E1171))="B"),"B",IF(OR(LEFT(UPPER(TRIM(E1171)),2)="SL",UPPER(TRIM(E1171))="C"),"C",IF(OR(LEFT(UPPER(TRIM(E1171)),1)="D",UPPER(TRIM(E1171))="D"),"D","")))))))</f>
        <v/>
      </c>
      <c r="J1171" s="27" t="str">
        <f aca="false">IF(I1171="","",IF(AND(I1171="D",Settings!$B$6&lt;&gt;"Yes"),"",IFERROR(INDEX(Settings!$C$9:$C$12,MATCH(I1171,Settings!$A$9:$A$12,0)),"")))</f>
        <v/>
      </c>
      <c r="K1171" s="27" t="str">
        <f aca="false">IF(J1171="","",COUNTIF($I$2:I1171,I1171))</f>
        <v/>
      </c>
      <c r="L1171" s="27" t="str">
        <f aca="false">IF(J1171="","",CHOOSE(Q1171+1,"Tue","Wed","Thu","Fri"))</f>
        <v/>
      </c>
      <c r="M1171" s="27" t="str">
        <f aca="false">IF(J1171="","",IF(J1171=1,"Every week",R1171+1&amp;" of "&amp;J1171))</f>
        <v/>
      </c>
      <c r="N1171" s="28" t="str">
        <f aca="false">IF(J1171="","",Settings!$B$4+R1171*7+Q1171)</f>
        <v/>
      </c>
      <c r="O1171" s="28" t="str">
        <f aca="true">IF(J1171="","",N1171+MAX(0,ROUNDUP((TODAY()-N1171)/(J1171*7),0))*J1171*7)</f>
        <v/>
      </c>
      <c r="P1171" s="27" t="str">
        <f aca="false">IF(J1171="","",MOD(K1171-1,J1171*4))</f>
        <v/>
      </c>
      <c r="Q1171" s="27" t="str">
        <f aca="false">IF(J1171="","",MOD(P1171,4))</f>
        <v/>
      </c>
      <c r="R1171" s="27" t="str">
        <f aca="false">IF(J1171="","",INT(P1171/4))</f>
        <v/>
      </c>
      <c r="S1171" s="27" t="str">
        <f aca="false">IF(J1171="","",IF(AND('Daily Count Sheet'!$H$3=Q1171,MOD('Daily Count Sheet'!$I$3,J1171)=R1171),1,""))</f>
        <v/>
      </c>
      <c r="T1171" s="27" t="str">
        <f aca="false">IF(S1171=1,COUNTIF($S$2:S1171,1),"")</f>
        <v/>
      </c>
    </row>
    <row r="1172" customFormat="false" ht="15" hidden="false" customHeight="false" outlineLevel="0" collapsed="false">
      <c r="H1172" s="26"/>
      <c r="I1172" s="27" t="str">
        <f aca="false">IF(A1172="","",IF(H1172&lt;&gt;"",UPPER(TRIM(H1172)),IFERROR(CHOOSE(VALUE(E1172)+1,"A","B","C","D"),IF(OR(LEFT(UPPER(TRIM(E1172)),1)="F",UPPER(TRIM(E1172))="A"),"A",IF(OR(LEFT(UPPER(TRIM(E1172)),1)="M",UPPER(TRIM(E1172))="B"),"B",IF(OR(LEFT(UPPER(TRIM(E1172)),2)="SL",UPPER(TRIM(E1172))="C"),"C",IF(OR(LEFT(UPPER(TRIM(E1172)),1)="D",UPPER(TRIM(E1172))="D"),"D","")))))))</f>
        <v/>
      </c>
      <c r="J1172" s="27" t="str">
        <f aca="false">IF(I1172="","",IF(AND(I1172="D",Settings!$B$6&lt;&gt;"Yes"),"",IFERROR(INDEX(Settings!$C$9:$C$12,MATCH(I1172,Settings!$A$9:$A$12,0)),"")))</f>
        <v/>
      </c>
      <c r="K1172" s="27" t="str">
        <f aca="false">IF(J1172="","",COUNTIF($I$2:I1172,I1172))</f>
        <v/>
      </c>
      <c r="L1172" s="27" t="str">
        <f aca="false">IF(J1172="","",CHOOSE(Q1172+1,"Tue","Wed","Thu","Fri"))</f>
        <v/>
      </c>
      <c r="M1172" s="27" t="str">
        <f aca="false">IF(J1172="","",IF(J1172=1,"Every week",R1172+1&amp;" of "&amp;J1172))</f>
        <v/>
      </c>
      <c r="N1172" s="28" t="str">
        <f aca="false">IF(J1172="","",Settings!$B$4+R1172*7+Q1172)</f>
        <v/>
      </c>
      <c r="O1172" s="28" t="str">
        <f aca="true">IF(J1172="","",N1172+MAX(0,ROUNDUP((TODAY()-N1172)/(J1172*7),0))*J1172*7)</f>
        <v/>
      </c>
      <c r="P1172" s="27" t="str">
        <f aca="false">IF(J1172="","",MOD(K1172-1,J1172*4))</f>
        <v/>
      </c>
      <c r="Q1172" s="27" t="str">
        <f aca="false">IF(J1172="","",MOD(P1172,4))</f>
        <v/>
      </c>
      <c r="R1172" s="27" t="str">
        <f aca="false">IF(J1172="","",INT(P1172/4))</f>
        <v/>
      </c>
      <c r="S1172" s="27" t="str">
        <f aca="false">IF(J1172="","",IF(AND('Daily Count Sheet'!$H$3=Q1172,MOD('Daily Count Sheet'!$I$3,J1172)=R1172),1,""))</f>
        <v/>
      </c>
      <c r="T1172" s="27" t="str">
        <f aca="false">IF(S1172=1,COUNTIF($S$2:S1172,1),"")</f>
        <v/>
      </c>
    </row>
    <row r="1173" customFormat="false" ht="15" hidden="false" customHeight="false" outlineLevel="0" collapsed="false">
      <c r="H1173" s="26"/>
      <c r="I1173" s="27" t="str">
        <f aca="false">IF(A1173="","",IF(H1173&lt;&gt;"",UPPER(TRIM(H1173)),IFERROR(CHOOSE(VALUE(E1173)+1,"A","B","C","D"),IF(OR(LEFT(UPPER(TRIM(E1173)),1)="F",UPPER(TRIM(E1173))="A"),"A",IF(OR(LEFT(UPPER(TRIM(E1173)),1)="M",UPPER(TRIM(E1173))="B"),"B",IF(OR(LEFT(UPPER(TRIM(E1173)),2)="SL",UPPER(TRIM(E1173))="C"),"C",IF(OR(LEFT(UPPER(TRIM(E1173)),1)="D",UPPER(TRIM(E1173))="D"),"D","")))))))</f>
        <v/>
      </c>
      <c r="J1173" s="27" t="str">
        <f aca="false">IF(I1173="","",IF(AND(I1173="D",Settings!$B$6&lt;&gt;"Yes"),"",IFERROR(INDEX(Settings!$C$9:$C$12,MATCH(I1173,Settings!$A$9:$A$12,0)),"")))</f>
        <v/>
      </c>
      <c r="K1173" s="27" t="str">
        <f aca="false">IF(J1173="","",COUNTIF($I$2:I1173,I1173))</f>
        <v/>
      </c>
      <c r="L1173" s="27" t="str">
        <f aca="false">IF(J1173="","",CHOOSE(Q1173+1,"Tue","Wed","Thu","Fri"))</f>
        <v/>
      </c>
      <c r="M1173" s="27" t="str">
        <f aca="false">IF(J1173="","",IF(J1173=1,"Every week",R1173+1&amp;" of "&amp;J1173))</f>
        <v/>
      </c>
      <c r="N1173" s="28" t="str">
        <f aca="false">IF(J1173="","",Settings!$B$4+R1173*7+Q1173)</f>
        <v/>
      </c>
      <c r="O1173" s="28" t="str">
        <f aca="true">IF(J1173="","",N1173+MAX(0,ROUNDUP((TODAY()-N1173)/(J1173*7),0))*J1173*7)</f>
        <v/>
      </c>
      <c r="P1173" s="27" t="str">
        <f aca="false">IF(J1173="","",MOD(K1173-1,J1173*4))</f>
        <v/>
      </c>
      <c r="Q1173" s="27" t="str">
        <f aca="false">IF(J1173="","",MOD(P1173,4))</f>
        <v/>
      </c>
      <c r="R1173" s="27" t="str">
        <f aca="false">IF(J1173="","",INT(P1173/4))</f>
        <v/>
      </c>
      <c r="S1173" s="27" t="str">
        <f aca="false">IF(J1173="","",IF(AND('Daily Count Sheet'!$H$3=Q1173,MOD('Daily Count Sheet'!$I$3,J1173)=R1173),1,""))</f>
        <v/>
      </c>
      <c r="T1173" s="27" t="str">
        <f aca="false">IF(S1173=1,COUNTIF($S$2:S1173,1),"")</f>
        <v/>
      </c>
    </row>
    <row r="1174" customFormat="false" ht="15" hidden="false" customHeight="false" outlineLevel="0" collapsed="false">
      <c r="H1174" s="26"/>
      <c r="I1174" s="27" t="str">
        <f aca="false">IF(A1174="","",IF(H1174&lt;&gt;"",UPPER(TRIM(H1174)),IFERROR(CHOOSE(VALUE(E1174)+1,"A","B","C","D"),IF(OR(LEFT(UPPER(TRIM(E1174)),1)="F",UPPER(TRIM(E1174))="A"),"A",IF(OR(LEFT(UPPER(TRIM(E1174)),1)="M",UPPER(TRIM(E1174))="B"),"B",IF(OR(LEFT(UPPER(TRIM(E1174)),2)="SL",UPPER(TRIM(E1174))="C"),"C",IF(OR(LEFT(UPPER(TRIM(E1174)),1)="D",UPPER(TRIM(E1174))="D"),"D","")))))))</f>
        <v/>
      </c>
      <c r="J1174" s="27" t="str">
        <f aca="false">IF(I1174="","",IF(AND(I1174="D",Settings!$B$6&lt;&gt;"Yes"),"",IFERROR(INDEX(Settings!$C$9:$C$12,MATCH(I1174,Settings!$A$9:$A$12,0)),"")))</f>
        <v/>
      </c>
      <c r="K1174" s="27" t="str">
        <f aca="false">IF(J1174="","",COUNTIF($I$2:I1174,I1174))</f>
        <v/>
      </c>
      <c r="L1174" s="27" t="str">
        <f aca="false">IF(J1174="","",CHOOSE(Q1174+1,"Tue","Wed","Thu","Fri"))</f>
        <v/>
      </c>
      <c r="M1174" s="27" t="str">
        <f aca="false">IF(J1174="","",IF(J1174=1,"Every week",R1174+1&amp;" of "&amp;J1174))</f>
        <v/>
      </c>
      <c r="N1174" s="28" t="str">
        <f aca="false">IF(J1174="","",Settings!$B$4+R1174*7+Q1174)</f>
        <v/>
      </c>
      <c r="O1174" s="28" t="str">
        <f aca="true">IF(J1174="","",N1174+MAX(0,ROUNDUP((TODAY()-N1174)/(J1174*7),0))*J1174*7)</f>
        <v/>
      </c>
      <c r="P1174" s="27" t="str">
        <f aca="false">IF(J1174="","",MOD(K1174-1,J1174*4))</f>
        <v/>
      </c>
      <c r="Q1174" s="27" t="str">
        <f aca="false">IF(J1174="","",MOD(P1174,4))</f>
        <v/>
      </c>
      <c r="R1174" s="27" t="str">
        <f aca="false">IF(J1174="","",INT(P1174/4))</f>
        <v/>
      </c>
      <c r="S1174" s="27" t="str">
        <f aca="false">IF(J1174="","",IF(AND('Daily Count Sheet'!$H$3=Q1174,MOD('Daily Count Sheet'!$I$3,J1174)=R1174),1,""))</f>
        <v/>
      </c>
      <c r="T1174" s="27" t="str">
        <f aca="false">IF(S1174=1,COUNTIF($S$2:S1174,1),"")</f>
        <v/>
      </c>
    </row>
    <row r="1175" customFormat="false" ht="15" hidden="false" customHeight="false" outlineLevel="0" collapsed="false">
      <c r="H1175" s="26"/>
      <c r="I1175" s="27" t="str">
        <f aca="false">IF(A1175="","",IF(H1175&lt;&gt;"",UPPER(TRIM(H1175)),IFERROR(CHOOSE(VALUE(E1175)+1,"A","B","C","D"),IF(OR(LEFT(UPPER(TRIM(E1175)),1)="F",UPPER(TRIM(E1175))="A"),"A",IF(OR(LEFT(UPPER(TRIM(E1175)),1)="M",UPPER(TRIM(E1175))="B"),"B",IF(OR(LEFT(UPPER(TRIM(E1175)),2)="SL",UPPER(TRIM(E1175))="C"),"C",IF(OR(LEFT(UPPER(TRIM(E1175)),1)="D",UPPER(TRIM(E1175))="D"),"D","")))))))</f>
        <v/>
      </c>
      <c r="J1175" s="27" t="str">
        <f aca="false">IF(I1175="","",IF(AND(I1175="D",Settings!$B$6&lt;&gt;"Yes"),"",IFERROR(INDEX(Settings!$C$9:$C$12,MATCH(I1175,Settings!$A$9:$A$12,0)),"")))</f>
        <v/>
      </c>
      <c r="K1175" s="27" t="str">
        <f aca="false">IF(J1175="","",COUNTIF($I$2:I1175,I1175))</f>
        <v/>
      </c>
      <c r="L1175" s="27" t="str">
        <f aca="false">IF(J1175="","",CHOOSE(Q1175+1,"Tue","Wed","Thu","Fri"))</f>
        <v/>
      </c>
      <c r="M1175" s="27" t="str">
        <f aca="false">IF(J1175="","",IF(J1175=1,"Every week",R1175+1&amp;" of "&amp;J1175))</f>
        <v/>
      </c>
      <c r="N1175" s="28" t="str">
        <f aca="false">IF(J1175="","",Settings!$B$4+R1175*7+Q1175)</f>
        <v/>
      </c>
      <c r="O1175" s="28" t="str">
        <f aca="true">IF(J1175="","",N1175+MAX(0,ROUNDUP((TODAY()-N1175)/(J1175*7),0))*J1175*7)</f>
        <v/>
      </c>
      <c r="P1175" s="27" t="str">
        <f aca="false">IF(J1175="","",MOD(K1175-1,J1175*4))</f>
        <v/>
      </c>
      <c r="Q1175" s="27" t="str">
        <f aca="false">IF(J1175="","",MOD(P1175,4))</f>
        <v/>
      </c>
      <c r="R1175" s="27" t="str">
        <f aca="false">IF(J1175="","",INT(P1175/4))</f>
        <v/>
      </c>
      <c r="S1175" s="27" t="str">
        <f aca="false">IF(J1175="","",IF(AND('Daily Count Sheet'!$H$3=Q1175,MOD('Daily Count Sheet'!$I$3,J1175)=R1175),1,""))</f>
        <v/>
      </c>
      <c r="T1175" s="27" t="str">
        <f aca="false">IF(S1175=1,COUNTIF($S$2:S1175,1),"")</f>
        <v/>
      </c>
    </row>
    <row r="1176" customFormat="false" ht="15" hidden="false" customHeight="false" outlineLevel="0" collapsed="false">
      <c r="H1176" s="26"/>
      <c r="I1176" s="27" t="str">
        <f aca="false">IF(A1176="","",IF(H1176&lt;&gt;"",UPPER(TRIM(H1176)),IFERROR(CHOOSE(VALUE(E1176)+1,"A","B","C","D"),IF(OR(LEFT(UPPER(TRIM(E1176)),1)="F",UPPER(TRIM(E1176))="A"),"A",IF(OR(LEFT(UPPER(TRIM(E1176)),1)="M",UPPER(TRIM(E1176))="B"),"B",IF(OR(LEFT(UPPER(TRIM(E1176)),2)="SL",UPPER(TRIM(E1176))="C"),"C",IF(OR(LEFT(UPPER(TRIM(E1176)),1)="D",UPPER(TRIM(E1176))="D"),"D","")))))))</f>
        <v/>
      </c>
      <c r="J1176" s="27" t="str">
        <f aca="false">IF(I1176="","",IF(AND(I1176="D",Settings!$B$6&lt;&gt;"Yes"),"",IFERROR(INDEX(Settings!$C$9:$C$12,MATCH(I1176,Settings!$A$9:$A$12,0)),"")))</f>
        <v/>
      </c>
      <c r="K1176" s="27" t="str">
        <f aca="false">IF(J1176="","",COUNTIF($I$2:I1176,I1176))</f>
        <v/>
      </c>
      <c r="L1176" s="27" t="str">
        <f aca="false">IF(J1176="","",CHOOSE(Q1176+1,"Tue","Wed","Thu","Fri"))</f>
        <v/>
      </c>
      <c r="M1176" s="27" t="str">
        <f aca="false">IF(J1176="","",IF(J1176=1,"Every week",R1176+1&amp;" of "&amp;J1176))</f>
        <v/>
      </c>
      <c r="N1176" s="28" t="str">
        <f aca="false">IF(J1176="","",Settings!$B$4+R1176*7+Q1176)</f>
        <v/>
      </c>
      <c r="O1176" s="28" t="str">
        <f aca="true">IF(J1176="","",N1176+MAX(0,ROUNDUP((TODAY()-N1176)/(J1176*7),0))*J1176*7)</f>
        <v/>
      </c>
      <c r="P1176" s="27" t="str">
        <f aca="false">IF(J1176="","",MOD(K1176-1,J1176*4))</f>
        <v/>
      </c>
      <c r="Q1176" s="27" t="str">
        <f aca="false">IF(J1176="","",MOD(P1176,4))</f>
        <v/>
      </c>
      <c r="R1176" s="27" t="str">
        <f aca="false">IF(J1176="","",INT(P1176/4))</f>
        <v/>
      </c>
      <c r="S1176" s="27" t="str">
        <f aca="false">IF(J1176="","",IF(AND('Daily Count Sheet'!$H$3=Q1176,MOD('Daily Count Sheet'!$I$3,J1176)=R1176),1,""))</f>
        <v/>
      </c>
      <c r="T1176" s="27" t="str">
        <f aca="false">IF(S1176=1,COUNTIF($S$2:S1176,1),"")</f>
        <v/>
      </c>
    </row>
    <row r="1177" customFormat="false" ht="15" hidden="false" customHeight="false" outlineLevel="0" collapsed="false">
      <c r="H1177" s="26"/>
      <c r="I1177" s="27" t="str">
        <f aca="false">IF(A1177="","",IF(H1177&lt;&gt;"",UPPER(TRIM(H1177)),IFERROR(CHOOSE(VALUE(E1177)+1,"A","B","C","D"),IF(OR(LEFT(UPPER(TRIM(E1177)),1)="F",UPPER(TRIM(E1177))="A"),"A",IF(OR(LEFT(UPPER(TRIM(E1177)),1)="M",UPPER(TRIM(E1177))="B"),"B",IF(OR(LEFT(UPPER(TRIM(E1177)),2)="SL",UPPER(TRIM(E1177))="C"),"C",IF(OR(LEFT(UPPER(TRIM(E1177)),1)="D",UPPER(TRIM(E1177))="D"),"D","")))))))</f>
        <v/>
      </c>
      <c r="J1177" s="27" t="str">
        <f aca="false">IF(I1177="","",IF(AND(I1177="D",Settings!$B$6&lt;&gt;"Yes"),"",IFERROR(INDEX(Settings!$C$9:$C$12,MATCH(I1177,Settings!$A$9:$A$12,0)),"")))</f>
        <v/>
      </c>
      <c r="K1177" s="27" t="str">
        <f aca="false">IF(J1177="","",COUNTIF($I$2:I1177,I1177))</f>
        <v/>
      </c>
      <c r="L1177" s="27" t="str">
        <f aca="false">IF(J1177="","",CHOOSE(Q1177+1,"Tue","Wed","Thu","Fri"))</f>
        <v/>
      </c>
      <c r="M1177" s="27" t="str">
        <f aca="false">IF(J1177="","",IF(J1177=1,"Every week",R1177+1&amp;" of "&amp;J1177))</f>
        <v/>
      </c>
      <c r="N1177" s="28" t="str">
        <f aca="false">IF(J1177="","",Settings!$B$4+R1177*7+Q1177)</f>
        <v/>
      </c>
      <c r="O1177" s="28" t="str">
        <f aca="true">IF(J1177="","",N1177+MAX(0,ROUNDUP((TODAY()-N1177)/(J1177*7),0))*J1177*7)</f>
        <v/>
      </c>
      <c r="P1177" s="27" t="str">
        <f aca="false">IF(J1177="","",MOD(K1177-1,J1177*4))</f>
        <v/>
      </c>
      <c r="Q1177" s="27" t="str">
        <f aca="false">IF(J1177="","",MOD(P1177,4))</f>
        <v/>
      </c>
      <c r="R1177" s="27" t="str">
        <f aca="false">IF(J1177="","",INT(P1177/4))</f>
        <v/>
      </c>
      <c r="S1177" s="27" t="str">
        <f aca="false">IF(J1177="","",IF(AND('Daily Count Sheet'!$H$3=Q1177,MOD('Daily Count Sheet'!$I$3,J1177)=R1177),1,""))</f>
        <v/>
      </c>
      <c r="T1177" s="27" t="str">
        <f aca="false">IF(S1177=1,COUNTIF($S$2:S1177,1),"")</f>
        <v/>
      </c>
    </row>
    <row r="1178" customFormat="false" ht="15" hidden="false" customHeight="false" outlineLevel="0" collapsed="false">
      <c r="H1178" s="26"/>
      <c r="I1178" s="27" t="str">
        <f aca="false">IF(A1178="","",IF(H1178&lt;&gt;"",UPPER(TRIM(H1178)),IFERROR(CHOOSE(VALUE(E1178)+1,"A","B","C","D"),IF(OR(LEFT(UPPER(TRIM(E1178)),1)="F",UPPER(TRIM(E1178))="A"),"A",IF(OR(LEFT(UPPER(TRIM(E1178)),1)="M",UPPER(TRIM(E1178))="B"),"B",IF(OR(LEFT(UPPER(TRIM(E1178)),2)="SL",UPPER(TRIM(E1178))="C"),"C",IF(OR(LEFT(UPPER(TRIM(E1178)),1)="D",UPPER(TRIM(E1178))="D"),"D","")))))))</f>
        <v/>
      </c>
      <c r="J1178" s="27" t="str">
        <f aca="false">IF(I1178="","",IF(AND(I1178="D",Settings!$B$6&lt;&gt;"Yes"),"",IFERROR(INDEX(Settings!$C$9:$C$12,MATCH(I1178,Settings!$A$9:$A$12,0)),"")))</f>
        <v/>
      </c>
      <c r="K1178" s="27" t="str">
        <f aca="false">IF(J1178="","",COUNTIF($I$2:I1178,I1178))</f>
        <v/>
      </c>
      <c r="L1178" s="27" t="str">
        <f aca="false">IF(J1178="","",CHOOSE(Q1178+1,"Tue","Wed","Thu","Fri"))</f>
        <v/>
      </c>
      <c r="M1178" s="27" t="str">
        <f aca="false">IF(J1178="","",IF(J1178=1,"Every week",R1178+1&amp;" of "&amp;J1178))</f>
        <v/>
      </c>
      <c r="N1178" s="28" t="str">
        <f aca="false">IF(J1178="","",Settings!$B$4+R1178*7+Q1178)</f>
        <v/>
      </c>
      <c r="O1178" s="28" t="str">
        <f aca="true">IF(J1178="","",N1178+MAX(0,ROUNDUP((TODAY()-N1178)/(J1178*7),0))*J1178*7)</f>
        <v/>
      </c>
      <c r="P1178" s="27" t="str">
        <f aca="false">IF(J1178="","",MOD(K1178-1,J1178*4))</f>
        <v/>
      </c>
      <c r="Q1178" s="27" t="str">
        <f aca="false">IF(J1178="","",MOD(P1178,4))</f>
        <v/>
      </c>
      <c r="R1178" s="27" t="str">
        <f aca="false">IF(J1178="","",INT(P1178/4))</f>
        <v/>
      </c>
      <c r="S1178" s="27" t="str">
        <f aca="false">IF(J1178="","",IF(AND('Daily Count Sheet'!$H$3=Q1178,MOD('Daily Count Sheet'!$I$3,J1178)=R1178),1,""))</f>
        <v/>
      </c>
      <c r="T1178" s="27" t="str">
        <f aca="false">IF(S1178=1,COUNTIF($S$2:S1178,1),"")</f>
        <v/>
      </c>
    </row>
    <row r="1179" customFormat="false" ht="15" hidden="false" customHeight="false" outlineLevel="0" collapsed="false">
      <c r="H1179" s="26"/>
      <c r="I1179" s="27" t="str">
        <f aca="false">IF(A1179="","",IF(H1179&lt;&gt;"",UPPER(TRIM(H1179)),IFERROR(CHOOSE(VALUE(E1179)+1,"A","B","C","D"),IF(OR(LEFT(UPPER(TRIM(E1179)),1)="F",UPPER(TRIM(E1179))="A"),"A",IF(OR(LEFT(UPPER(TRIM(E1179)),1)="M",UPPER(TRIM(E1179))="B"),"B",IF(OR(LEFT(UPPER(TRIM(E1179)),2)="SL",UPPER(TRIM(E1179))="C"),"C",IF(OR(LEFT(UPPER(TRIM(E1179)),1)="D",UPPER(TRIM(E1179))="D"),"D","")))))))</f>
        <v/>
      </c>
      <c r="J1179" s="27" t="str">
        <f aca="false">IF(I1179="","",IF(AND(I1179="D",Settings!$B$6&lt;&gt;"Yes"),"",IFERROR(INDEX(Settings!$C$9:$C$12,MATCH(I1179,Settings!$A$9:$A$12,0)),"")))</f>
        <v/>
      </c>
      <c r="K1179" s="27" t="str">
        <f aca="false">IF(J1179="","",COUNTIF($I$2:I1179,I1179))</f>
        <v/>
      </c>
      <c r="L1179" s="27" t="str">
        <f aca="false">IF(J1179="","",CHOOSE(Q1179+1,"Tue","Wed","Thu","Fri"))</f>
        <v/>
      </c>
      <c r="M1179" s="27" t="str">
        <f aca="false">IF(J1179="","",IF(J1179=1,"Every week",R1179+1&amp;" of "&amp;J1179))</f>
        <v/>
      </c>
      <c r="N1179" s="28" t="str">
        <f aca="false">IF(J1179="","",Settings!$B$4+R1179*7+Q1179)</f>
        <v/>
      </c>
      <c r="O1179" s="28" t="str">
        <f aca="true">IF(J1179="","",N1179+MAX(0,ROUNDUP((TODAY()-N1179)/(J1179*7),0))*J1179*7)</f>
        <v/>
      </c>
      <c r="P1179" s="27" t="str">
        <f aca="false">IF(J1179="","",MOD(K1179-1,J1179*4))</f>
        <v/>
      </c>
      <c r="Q1179" s="27" t="str">
        <f aca="false">IF(J1179="","",MOD(P1179,4))</f>
        <v/>
      </c>
      <c r="R1179" s="27" t="str">
        <f aca="false">IF(J1179="","",INT(P1179/4))</f>
        <v/>
      </c>
      <c r="S1179" s="27" t="str">
        <f aca="false">IF(J1179="","",IF(AND('Daily Count Sheet'!$H$3=Q1179,MOD('Daily Count Sheet'!$I$3,J1179)=R1179),1,""))</f>
        <v/>
      </c>
      <c r="T1179" s="27" t="str">
        <f aca="false">IF(S1179=1,COUNTIF($S$2:S1179,1),"")</f>
        <v/>
      </c>
    </row>
    <row r="1180" customFormat="false" ht="15" hidden="false" customHeight="false" outlineLevel="0" collapsed="false">
      <c r="H1180" s="26"/>
      <c r="I1180" s="27" t="str">
        <f aca="false">IF(A1180="","",IF(H1180&lt;&gt;"",UPPER(TRIM(H1180)),IFERROR(CHOOSE(VALUE(E1180)+1,"A","B","C","D"),IF(OR(LEFT(UPPER(TRIM(E1180)),1)="F",UPPER(TRIM(E1180))="A"),"A",IF(OR(LEFT(UPPER(TRIM(E1180)),1)="M",UPPER(TRIM(E1180))="B"),"B",IF(OR(LEFT(UPPER(TRIM(E1180)),2)="SL",UPPER(TRIM(E1180))="C"),"C",IF(OR(LEFT(UPPER(TRIM(E1180)),1)="D",UPPER(TRIM(E1180))="D"),"D","")))))))</f>
        <v/>
      </c>
      <c r="J1180" s="27" t="str">
        <f aca="false">IF(I1180="","",IF(AND(I1180="D",Settings!$B$6&lt;&gt;"Yes"),"",IFERROR(INDEX(Settings!$C$9:$C$12,MATCH(I1180,Settings!$A$9:$A$12,0)),"")))</f>
        <v/>
      </c>
      <c r="K1180" s="27" t="str">
        <f aca="false">IF(J1180="","",COUNTIF($I$2:I1180,I1180))</f>
        <v/>
      </c>
      <c r="L1180" s="27" t="str">
        <f aca="false">IF(J1180="","",CHOOSE(Q1180+1,"Tue","Wed","Thu","Fri"))</f>
        <v/>
      </c>
      <c r="M1180" s="27" t="str">
        <f aca="false">IF(J1180="","",IF(J1180=1,"Every week",R1180+1&amp;" of "&amp;J1180))</f>
        <v/>
      </c>
      <c r="N1180" s="28" t="str">
        <f aca="false">IF(J1180="","",Settings!$B$4+R1180*7+Q1180)</f>
        <v/>
      </c>
      <c r="O1180" s="28" t="str">
        <f aca="true">IF(J1180="","",N1180+MAX(0,ROUNDUP((TODAY()-N1180)/(J1180*7),0))*J1180*7)</f>
        <v/>
      </c>
      <c r="P1180" s="27" t="str">
        <f aca="false">IF(J1180="","",MOD(K1180-1,J1180*4))</f>
        <v/>
      </c>
      <c r="Q1180" s="27" t="str">
        <f aca="false">IF(J1180="","",MOD(P1180,4))</f>
        <v/>
      </c>
      <c r="R1180" s="27" t="str">
        <f aca="false">IF(J1180="","",INT(P1180/4))</f>
        <v/>
      </c>
      <c r="S1180" s="27" t="str">
        <f aca="false">IF(J1180="","",IF(AND('Daily Count Sheet'!$H$3=Q1180,MOD('Daily Count Sheet'!$I$3,J1180)=R1180),1,""))</f>
        <v/>
      </c>
      <c r="T1180" s="27" t="str">
        <f aca="false">IF(S1180=1,COUNTIF($S$2:S1180,1),"")</f>
        <v/>
      </c>
    </row>
    <row r="1181" customFormat="false" ht="15" hidden="false" customHeight="false" outlineLevel="0" collapsed="false">
      <c r="H1181" s="26"/>
      <c r="I1181" s="27" t="str">
        <f aca="false">IF(A1181="","",IF(H1181&lt;&gt;"",UPPER(TRIM(H1181)),IFERROR(CHOOSE(VALUE(E1181)+1,"A","B","C","D"),IF(OR(LEFT(UPPER(TRIM(E1181)),1)="F",UPPER(TRIM(E1181))="A"),"A",IF(OR(LEFT(UPPER(TRIM(E1181)),1)="M",UPPER(TRIM(E1181))="B"),"B",IF(OR(LEFT(UPPER(TRIM(E1181)),2)="SL",UPPER(TRIM(E1181))="C"),"C",IF(OR(LEFT(UPPER(TRIM(E1181)),1)="D",UPPER(TRIM(E1181))="D"),"D","")))))))</f>
        <v/>
      </c>
      <c r="J1181" s="27" t="str">
        <f aca="false">IF(I1181="","",IF(AND(I1181="D",Settings!$B$6&lt;&gt;"Yes"),"",IFERROR(INDEX(Settings!$C$9:$C$12,MATCH(I1181,Settings!$A$9:$A$12,0)),"")))</f>
        <v/>
      </c>
      <c r="K1181" s="27" t="str">
        <f aca="false">IF(J1181="","",COUNTIF($I$2:I1181,I1181))</f>
        <v/>
      </c>
      <c r="L1181" s="27" t="str">
        <f aca="false">IF(J1181="","",CHOOSE(Q1181+1,"Tue","Wed","Thu","Fri"))</f>
        <v/>
      </c>
      <c r="M1181" s="27" t="str">
        <f aca="false">IF(J1181="","",IF(J1181=1,"Every week",R1181+1&amp;" of "&amp;J1181))</f>
        <v/>
      </c>
      <c r="N1181" s="28" t="str">
        <f aca="false">IF(J1181="","",Settings!$B$4+R1181*7+Q1181)</f>
        <v/>
      </c>
      <c r="O1181" s="28" t="str">
        <f aca="true">IF(J1181="","",N1181+MAX(0,ROUNDUP((TODAY()-N1181)/(J1181*7),0))*J1181*7)</f>
        <v/>
      </c>
      <c r="P1181" s="27" t="str">
        <f aca="false">IF(J1181="","",MOD(K1181-1,J1181*4))</f>
        <v/>
      </c>
      <c r="Q1181" s="27" t="str">
        <f aca="false">IF(J1181="","",MOD(P1181,4))</f>
        <v/>
      </c>
      <c r="R1181" s="27" t="str">
        <f aca="false">IF(J1181="","",INT(P1181/4))</f>
        <v/>
      </c>
      <c r="S1181" s="27" t="str">
        <f aca="false">IF(J1181="","",IF(AND('Daily Count Sheet'!$H$3=Q1181,MOD('Daily Count Sheet'!$I$3,J1181)=R1181),1,""))</f>
        <v/>
      </c>
      <c r="T1181" s="27" t="str">
        <f aca="false">IF(S1181=1,COUNTIF($S$2:S1181,1),"")</f>
        <v/>
      </c>
    </row>
    <row r="1182" customFormat="false" ht="15" hidden="false" customHeight="false" outlineLevel="0" collapsed="false">
      <c r="H1182" s="26"/>
      <c r="I1182" s="27" t="str">
        <f aca="false">IF(A1182="","",IF(H1182&lt;&gt;"",UPPER(TRIM(H1182)),IFERROR(CHOOSE(VALUE(E1182)+1,"A","B","C","D"),IF(OR(LEFT(UPPER(TRIM(E1182)),1)="F",UPPER(TRIM(E1182))="A"),"A",IF(OR(LEFT(UPPER(TRIM(E1182)),1)="M",UPPER(TRIM(E1182))="B"),"B",IF(OR(LEFT(UPPER(TRIM(E1182)),2)="SL",UPPER(TRIM(E1182))="C"),"C",IF(OR(LEFT(UPPER(TRIM(E1182)),1)="D",UPPER(TRIM(E1182))="D"),"D","")))))))</f>
        <v/>
      </c>
      <c r="J1182" s="27" t="str">
        <f aca="false">IF(I1182="","",IF(AND(I1182="D",Settings!$B$6&lt;&gt;"Yes"),"",IFERROR(INDEX(Settings!$C$9:$C$12,MATCH(I1182,Settings!$A$9:$A$12,0)),"")))</f>
        <v/>
      </c>
      <c r="K1182" s="27" t="str">
        <f aca="false">IF(J1182="","",COUNTIF($I$2:I1182,I1182))</f>
        <v/>
      </c>
      <c r="L1182" s="27" t="str">
        <f aca="false">IF(J1182="","",CHOOSE(Q1182+1,"Tue","Wed","Thu","Fri"))</f>
        <v/>
      </c>
      <c r="M1182" s="27" t="str">
        <f aca="false">IF(J1182="","",IF(J1182=1,"Every week",R1182+1&amp;" of "&amp;J1182))</f>
        <v/>
      </c>
      <c r="N1182" s="28" t="str">
        <f aca="false">IF(J1182="","",Settings!$B$4+R1182*7+Q1182)</f>
        <v/>
      </c>
      <c r="O1182" s="28" t="str">
        <f aca="true">IF(J1182="","",N1182+MAX(0,ROUNDUP((TODAY()-N1182)/(J1182*7),0))*J1182*7)</f>
        <v/>
      </c>
      <c r="P1182" s="27" t="str">
        <f aca="false">IF(J1182="","",MOD(K1182-1,J1182*4))</f>
        <v/>
      </c>
      <c r="Q1182" s="27" t="str">
        <f aca="false">IF(J1182="","",MOD(P1182,4))</f>
        <v/>
      </c>
      <c r="R1182" s="27" t="str">
        <f aca="false">IF(J1182="","",INT(P1182/4))</f>
        <v/>
      </c>
      <c r="S1182" s="27" t="str">
        <f aca="false">IF(J1182="","",IF(AND('Daily Count Sheet'!$H$3=Q1182,MOD('Daily Count Sheet'!$I$3,J1182)=R1182),1,""))</f>
        <v/>
      </c>
      <c r="T1182" s="27" t="str">
        <f aca="false">IF(S1182=1,COUNTIF($S$2:S1182,1),"")</f>
        <v/>
      </c>
    </row>
    <row r="1183" customFormat="false" ht="15" hidden="false" customHeight="false" outlineLevel="0" collapsed="false">
      <c r="H1183" s="26"/>
      <c r="I1183" s="27" t="str">
        <f aca="false">IF(A1183="","",IF(H1183&lt;&gt;"",UPPER(TRIM(H1183)),IFERROR(CHOOSE(VALUE(E1183)+1,"A","B","C","D"),IF(OR(LEFT(UPPER(TRIM(E1183)),1)="F",UPPER(TRIM(E1183))="A"),"A",IF(OR(LEFT(UPPER(TRIM(E1183)),1)="M",UPPER(TRIM(E1183))="B"),"B",IF(OR(LEFT(UPPER(TRIM(E1183)),2)="SL",UPPER(TRIM(E1183))="C"),"C",IF(OR(LEFT(UPPER(TRIM(E1183)),1)="D",UPPER(TRIM(E1183))="D"),"D","")))))))</f>
        <v/>
      </c>
      <c r="J1183" s="27" t="str">
        <f aca="false">IF(I1183="","",IF(AND(I1183="D",Settings!$B$6&lt;&gt;"Yes"),"",IFERROR(INDEX(Settings!$C$9:$C$12,MATCH(I1183,Settings!$A$9:$A$12,0)),"")))</f>
        <v/>
      </c>
      <c r="K1183" s="27" t="str">
        <f aca="false">IF(J1183="","",COUNTIF($I$2:I1183,I1183))</f>
        <v/>
      </c>
      <c r="L1183" s="27" t="str">
        <f aca="false">IF(J1183="","",CHOOSE(Q1183+1,"Tue","Wed","Thu","Fri"))</f>
        <v/>
      </c>
      <c r="M1183" s="27" t="str">
        <f aca="false">IF(J1183="","",IF(J1183=1,"Every week",R1183+1&amp;" of "&amp;J1183))</f>
        <v/>
      </c>
      <c r="N1183" s="28" t="str">
        <f aca="false">IF(J1183="","",Settings!$B$4+R1183*7+Q1183)</f>
        <v/>
      </c>
      <c r="O1183" s="28" t="str">
        <f aca="true">IF(J1183="","",N1183+MAX(0,ROUNDUP((TODAY()-N1183)/(J1183*7),0))*J1183*7)</f>
        <v/>
      </c>
      <c r="P1183" s="27" t="str">
        <f aca="false">IF(J1183="","",MOD(K1183-1,J1183*4))</f>
        <v/>
      </c>
      <c r="Q1183" s="27" t="str">
        <f aca="false">IF(J1183="","",MOD(P1183,4))</f>
        <v/>
      </c>
      <c r="R1183" s="27" t="str">
        <f aca="false">IF(J1183="","",INT(P1183/4))</f>
        <v/>
      </c>
      <c r="S1183" s="27" t="str">
        <f aca="false">IF(J1183="","",IF(AND('Daily Count Sheet'!$H$3=Q1183,MOD('Daily Count Sheet'!$I$3,J1183)=R1183),1,""))</f>
        <v/>
      </c>
      <c r="T1183" s="27" t="str">
        <f aca="false">IF(S1183=1,COUNTIF($S$2:S1183,1),"")</f>
        <v/>
      </c>
    </row>
    <row r="1184" customFormat="false" ht="15" hidden="false" customHeight="false" outlineLevel="0" collapsed="false">
      <c r="H1184" s="26"/>
      <c r="I1184" s="27" t="str">
        <f aca="false">IF(A1184="","",IF(H1184&lt;&gt;"",UPPER(TRIM(H1184)),IFERROR(CHOOSE(VALUE(E1184)+1,"A","B","C","D"),IF(OR(LEFT(UPPER(TRIM(E1184)),1)="F",UPPER(TRIM(E1184))="A"),"A",IF(OR(LEFT(UPPER(TRIM(E1184)),1)="M",UPPER(TRIM(E1184))="B"),"B",IF(OR(LEFT(UPPER(TRIM(E1184)),2)="SL",UPPER(TRIM(E1184))="C"),"C",IF(OR(LEFT(UPPER(TRIM(E1184)),1)="D",UPPER(TRIM(E1184))="D"),"D","")))))))</f>
        <v/>
      </c>
      <c r="J1184" s="27" t="str">
        <f aca="false">IF(I1184="","",IF(AND(I1184="D",Settings!$B$6&lt;&gt;"Yes"),"",IFERROR(INDEX(Settings!$C$9:$C$12,MATCH(I1184,Settings!$A$9:$A$12,0)),"")))</f>
        <v/>
      </c>
      <c r="K1184" s="27" t="str">
        <f aca="false">IF(J1184="","",COUNTIF($I$2:I1184,I1184))</f>
        <v/>
      </c>
      <c r="L1184" s="27" t="str">
        <f aca="false">IF(J1184="","",CHOOSE(Q1184+1,"Tue","Wed","Thu","Fri"))</f>
        <v/>
      </c>
      <c r="M1184" s="27" t="str">
        <f aca="false">IF(J1184="","",IF(J1184=1,"Every week",R1184+1&amp;" of "&amp;J1184))</f>
        <v/>
      </c>
      <c r="N1184" s="28" t="str">
        <f aca="false">IF(J1184="","",Settings!$B$4+R1184*7+Q1184)</f>
        <v/>
      </c>
      <c r="O1184" s="28" t="str">
        <f aca="true">IF(J1184="","",N1184+MAX(0,ROUNDUP((TODAY()-N1184)/(J1184*7),0))*J1184*7)</f>
        <v/>
      </c>
      <c r="P1184" s="27" t="str">
        <f aca="false">IF(J1184="","",MOD(K1184-1,J1184*4))</f>
        <v/>
      </c>
      <c r="Q1184" s="27" t="str">
        <f aca="false">IF(J1184="","",MOD(P1184,4))</f>
        <v/>
      </c>
      <c r="R1184" s="27" t="str">
        <f aca="false">IF(J1184="","",INT(P1184/4))</f>
        <v/>
      </c>
      <c r="S1184" s="27" t="str">
        <f aca="false">IF(J1184="","",IF(AND('Daily Count Sheet'!$H$3=Q1184,MOD('Daily Count Sheet'!$I$3,J1184)=R1184),1,""))</f>
        <v/>
      </c>
      <c r="T1184" s="27" t="str">
        <f aca="false">IF(S1184=1,COUNTIF($S$2:S1184,1),"")</f>
        <v/>
      </c>
    </row>
    <row r="1185" customFormat="false" ht="15" hidden="false" customHeight="false" outlineLevel="0" collapsed="false">
      <c r="H1185" s="26"/>
      <c r="I1185" s="27" t="str">
        <f aca="false">IF(A1185="","",IF(H1185&lt;&gt;"",UPPER(TRIM(H1185)),IFERROR(CHOOSE(VALUE(E1185)+1,"A","B","C","D"),IF(OR(LEFT(UPPER(TRIM(E1185)),1)="F",UPPER(TRIM(E1185))="A"),"A",IF(OR(LEFT(UPPER(TRIM(E1185)),1)="M",UPPER(TRIM(E1185))="B"),"B",IF(OR(LEFT(UPPER(TRIM(E1185)),2)="SL",UPPER(TRIM(E1185))="C"),"C",IF(OR(LEFT(UPPER(TRIM(E1185)),1)="D",UPPER(TRIM(E1185))="D"),"D","")))))))</f>
        <v/>
      </c>
      <c r="J1185" s="27" t="str">
        <f aca="false">IF(I1185="","",IF(AND(I1185="D",Settings!$B$6&lt;&gt;"Yes"),"",IFERROR(INDEX(Settings!$C$9:$C$12,MATCH(I1185,Settings!$A$9:$A$12,0)),"")))</f>
        <v/>
      </c>
      <c r="K1185" s="27" t="str">
        <f aca="false">IF(J1185="","",COUNTIF($I$2:I1185,I1185))</f>
        <v/>
      </c>
      <c r="L1185" s="27" t="str">
        <f aca="false">IF(J1185="","",CHOOSE(Q1185+1,"Tue","Wed","Thu","Fri"))</f>
        <v/>
      </c>
      <c r="M1185" s="27" t="str">
        <f aca="false">IF(J1185="","",IF(J1185=1,"Every week",R1185+1&amp;" of "&amp;J1185))</f>
        <v/>
      </c>
      <c r="N1185" s="28" t="str">
        <f aca="false">IF(J1185="","",Settings!$B$4+R1185*7+Q1185)</f>
        <v/>
      </c>
      <c r="O1185" s="28" t="str">
        <f aca="true">IF(J1185="","",N1185+MAX(0,ROUNDUP((TODAY()-N1185)/(J1185*7),0))*J1185*7)</f>
        <v/>
      </c>
      <c r="P1185" s="27" t="str">
        <f aca="false">IF(J1185="","",MOD(K1185-1,J1185*4))</f>
        <v/>
      </c>
      <c r="Q1185" s="27" t="str">
        <f aca="false">IF(J1185="","",MOD(P1185,4))</f>
        <v/>
      </c>
      <c r="R1185" s="27" t="str">
        <f aca="false">IF(J1185="","",INT(P1185/4))</f>
        <v/>
      </c>
      <c r="S1185" s="27" t="str">
        <f aca="false">IF(J1185="","",IF(AND('Daily Count Sheet'!$H$3=Q1185,MOD('Daily Count Sheet'!$I$3,J1185)=R1185),1,""))</f>
        <v/>
      </c>
      <c r="T1185" s="27" t="str">
        <f aca="false">IF(S1185=1,COUNTIF($S$2:S1185,1),"")</f>
        <v/>
      </c>
    </row>
    <row r="1186" customFormat="false" ht="15" hidden="false" customHeight="false" outlineLevel="0" collapsed="false">
      <c r="H1186" s="26"/>
      <c r="I1186" s="27" t="str">
        <f aca="false">IF(A1186="","",IF(H1186&lt;&gt;"",UPPER(TRIM(H1186)),IFERROR(CHOOSE(VALUE(E1186)+1,"A","B","C","D"),IF(OR(LEFT(UPPER(TRIM(E1186)),1)="F",UPPER(TRIM(E1186))="A"),"A",IF(OR(LEFT(UPPER(TRIM(E1186)),1)="M",UPPER(TRIM(E1186))="B"),"B",IF(OR(LEFT(UPPER(TRIM(E1186)),2)="SL",UPPER(TRIM(E1186))="C"),"C",IF(OR(LEFT(UPPER(TRIM(E1186)),1)="D",UPPER(TRIM(E1186))="D"),"D","")))))))</f>
        <v/>
      </c>
      <c r="J1186" s="27" t="str">
        <f aca="false">IF(I1186="","",IF(AND(I1186="D",Settings!$B$6&lt;&gt;"Yes"),"",IFERROR(INDEX(Settings!$C$9:$C$12,MATCH(I1186,Settings!$A$9:$A$12,0)),"")))</f>
        <v/>
      </c>
      <c r="K1186" s="27" t="str">
        <f aca="false">IF(J1186="","",COUNTIF($I$2:I1186,I1186))</f>
        <v/>
      </c>
      <c r="L1186" s="27" t="str">
        <f aca="false">IF(J1186="","",CHOOSE(Q1186+1,"Tue","Wed","Thu","Fri"))</f>
        <v/>
      </c>
      <c r="M1186" s="27" t="str">
        <f aca="false">IF(J1186="","",IF(J1186=1,"Every week",R1186+1&amp;" of "&amp;J1186))</f>
        <v/>
      </c>
      <c r="N1186" s="28" t="str">
        <f aca="false">IF(J1186="","",Settings!$B$4+R1186*7+Q1186)</f>
        <v/>
      </c>
      <c r="O1186" s="28" t="str">
        <f aca="true">IF(J1186="","",N1186+MAX(0,ROUNDUP((TODAY()-N1186)/(J1186*7),0))*J1186*7)</f>
        <v/>
      </c>
      <c r="P1186" s="27" t="str">
        <f aca="false">IF(J1186="","",MOD(K1186-1,J1186*4))</f>
        <v/>
      </c>
      <c r="Q1186" s="27" t="str">
        <f aca="false">IF(J1186="","",MOD(P1186,4))</f>
        <v/>
      </c>
      <c r="R1186" s="27" t="str">
        <f aca="false">IF(J1186="","",INT(P1186/4))</f>
        <v/>
      </c>
      <c r="S1186" s="27" t="str">
        <f aca="false">IF(J1186="","",IF(AND('Daily Count Sheet'!$H$3=Q1186,MOD('Daily Count Sheet'!$I$3,J1186)=R1186),1,""))</f>
        <v/>
      </c>
      <c r="T1186" s="27" t="str">
        <f aca="false">IF(S1186=1,COUNTIF($S$2:S1186,1),"")</f>
        <v/>
      </c>
    </row>
    <row r="1187" customFormat="false" ht="15" hidden="false" customHeight="false" outlineLevel="0" collapsed="false">
      <c r="H1187" s="26"/>
      <c r="I1187" s="27" t="str">
        <f aca="false">IF(A1187="","",IF(H1187&lt;&gt;"",UPPER(TRIM(H1187)),IFERROR(CHOOSE(VALUE(E1187)+1,"A","B","C","D"),IF(OR(LEFT(UPPER(TRIM(E1187)),1)="F",UPPER(TRIM(E1187))="A"),"A",IF(OR(LEFT(UPPER(TRIM(E1187)),1)="M",UPPER(TRIM(E1187))="B"),"B",IF(OR(LEFT(UPPER(TRIM(E1187)),2)="SL",UPPER(TRIM(E1187))="C"),"C",IF(OR(LEFT(UPPER(TRIM(E1187)),1)="D",UPPER(TRIM(E1187))="D"),"D","")))))))</f>
        <v/>
      </c>
      <c r="J1187" s="27" t="str">
        <f aca="false">IF(I1187="","",IF(AND(I1187="D",Settings!$B$6&lt;&gt;"Yes"),"",IFERROR(INDEX(Settings!$C$9:$C$12,MATCH(I1187,Settings!$A$9:$A$12,0)),"")))</f>
        <v/>
      </c>
      <c r="K1187" s="27" t="str">
        <f aca="false">IF(J1187="","",COUNTIF($I$2:I1187,I1187))</f>
        <v/>
      </c>
      <c r="L1187" s="27" t="str">
        <f aca="false">IF(J1187="","",CHOOSE(Q1187+1,"Tue","Wed","Thu","Fri"))</f>
        <v/>
      </c>
      <c r="M1187" s="27" t="str">
        <f aca="false">IF(J1187="","",IF(J1187=1,"Every week",R1187+1&amp;" of "&amp;J1187))</f>
        <v/>
      </c>
      <c r="N1187" s="28" t="str">
        <f aca="false">IF(J1187="","",Settings!$B$4+R1187*7+Q1187)</f>
        <v/>
      </c>
      <c r="O1187" s="28" t="str">
        <f aca="true">IF(J1187="","",N1187+MAX(0,ROUNDUP((TODAY()-N1187)/(J1187*7),0))*J1187*7)</f>
        <v/>
      </c>
      <c r="P1187" s="27" t="str">
        <f aca="false">IF(J1187="","",MOD(K1187-1,J1187*4))</f>
        <v/>
      </c>
      <c r="Q1187" s="27" t="str">
        <f aca="false">IF(J1187="","",MOD(P1187,4))</f>
        <v/>
      </c>
      <c r="R1187" s="27" t="str">
        <f aca="false">IF(J1187="","",INT(P1187/4))</f>
        <v/>
      </c>
      <c r="S1187" s="27" t="str">
        <f aca="false">IF(J1187="","",IF(AND('Daily Count Sheet'!$H$3=Q1187,MOD('Daily Count Sheet'!$I$3,J1187)=R1187),1,""))</f>
        <v/>
      </c>
      <c r="T1187" s="27" t="str">
        <f aca="false">IF(S1187=1,COUNTIF($S$2:S1187,1),"")</f>
        <v/>
      </c>
    </row>
    <row r="1188" customFormat="false" ht="15" hidden="false" customHeight="false" outlineLevel="0" collapsed="false">
      <c r="H1188" s="26"/>
      <c r="I1188" s="27" t="str">
        <f aca="false">IF(A1188="","",IF(H1188&lt;&gt;"",UPPER(TRIM(H1188)),IFERROR(CHOOSE(VALUE(E1188)+1,"A","B","C","D"),IF(OR(LEFT(UPPER(TRIM(E1188)),1)="F",UPPER(TRIM(E1188))="A"),"A",IF(OR(LEFT(UPPER(TRIM(E1188)),1)="M",UPPER(TRIM(E1188))="B"),"B",IF(OR(LEFT(UPPER(TRIM(E1188)),2)="SL",UPPER(TRIM(E1188))="C"),"C",IF(OR(LEFT(UPPER(TRIM(E1188)),1)="D",UPPER(TRIM(E1188))="D"),"D","")))))))</f>
        <v/>
      </c>
      <c r="J1188" s="27" t="str">
        <f aca="false">IF(I1188="","",IF(AND(I1188="D",Settings!$B$6&lt;&gt;"Yes"),"",IFERROR(INDEX(Settings!$C$9:$C$12,MATCH(I1188,Settings!$A$9:$A$12,0)),"")))</f>
        <v/>
      </c>
      <c r="K1188" s="27" t="str">
        <f aca="false">IF(J1188="","",COUNTIF($I$2:I1188,I1188))</f>
        <v/>
      </c>
      <c r="L1188" s="27" t="str">
        <f aca="false">IF(J1188="","",CHOOSE(Q1188+1,"Tue","Wed","Thu","Fri"))</f>
        <v/>
      </c>
      <c r="M1188" s="27" t="str">
        <f aca="false">IF(J1188="","",IF(J1188=1,"Every week",R1188+1&amp;" of "&amp;J1188))</f>
        <v/>
      </c>
      <c r="N1188" s="28" t="str">
        <f aca="false">IF(J1188="","",Settings!$B$4+R1188*7+Q1188)</f>
        <v/>
      </c>
      <c r="O1188" s="28" t="str">
        <f aca="true">IF(J1188="","",N1188+MAX(0,ROUNDUP((TODAY()-N1188)/(J1188*7),0))*J1188*7)</f>
        <v/>
      </c>
      <c r="P1188" s="27" t="str">
        <f aca="false">IF(J1188="","",MOD(K1188-1,J1188*4))</f>
        <v/>
      </c>
      <c r="Q1188" s="27" t="str">
        <f aca="false">IF(J1188="","",MOD(P1188,4))</f>
        <v/>
      </c>
      <c r="R1188" s="27" t="str">
        <f aca="false">IF(J1188="","",INT(P1188/4))</f>
        <v/>
      </c>
      <c r="S1188" s="27" t="str">
        <f aca="false">IF(J1188="","",IF(AND('Daily Count Sheet'!$H$3=Q1188,MOD('Daily Count Sheet'!$I$3,J1188)=R1188),1,""))</f>
        <v/>
      </c>
      <c r="T1188" s="27" t="str">
        <f aca="false">IF(S1188=1,COUNTIF($S$2:S1188,1),"")</f>
        <v/>
      </c>
    </row>
    <row r="1189" customFormat="false" ht="15" hidden="false" customHeight="false" outlineLevel="0" collapsed="false">
      <c r="H1189" s="26"/>
      <c r="I1189" s="27" t="str">
        <f aca="false">IF(A1189="","",IF(H1189&lt;&gt;"",UPPER(TRIM(H1189)),IFERROR(CHOOSE(VALUE(E1189)+1,"A","B","C","D"),IF(OR(LEFT(UPPER(TRIM(E1189)),1)="F",UPPER(TRIM(E1189))="A"),"A",IF(OR(LEFT(UPPER(TRIM(E1189)),1)="M",UPPER(TRIM(E1189))="B"),"B",IF(OR(LEFT(UPPER(TRIM(E1189)),2)="SL",UPPER(TRIM(E1189))="C"),"C",IF(OR(LEFT(UPPER(TRIM(E1189)),1)="D",UPPER(TRIM(E1189))="D"),"D","")))))))</f>
        <v/>
      </c>
      <c r="J1189" s="27" t="str">
        <f aca="false">IF(I1189="","",IF(AND(I1189="D",Settings!$B$6&lt;&gt;"Yes"),"",IFERROR(INDEX(Settings!$C$9:$C$12,MATCH(I1189,Settings!$A$9:$A$12,0)),"")))</f>
        <v/>
      </c>
      <c r="K1189" s="27" t="str">
        <f aca="false">IF(J1189="","",COUNTIF($I$2:I1189,I1189))</f>
        <v/>
      </c>
      <c r="L1189" s="27" t="str">
        <f aca="false">IF(J1189="","",CHOOSE(Q1189+1,"Tue","Wed","Thu","Fri"))</f>
        <v/>
      </c>
      <c r="M1189" s="27" t="str">
        <f aca="false">IF(J1189="","",IF(J1189=1,"Every week",R1189+1&amp;" of "&amp;J1189))</f>
        <v/>
      </c>
      <c r="N1189" s="28" t="str">
        <f aca="false">IF(J1189="","",Settings!$B$4+R1189*7+Q1189)</f>
        <v/>
      </c>
      <c r="O1189" s="28" t="str">
        <f aca="true">IF(J1189="","",N1189+MAX(0,ROUNDUP((TODAY()-N1189)/(J1189*7),0))*J1189*7)</f>
        <v/>
      </c>
      <c r="P1189" s="27" t="str">
        <f aca="false">IF(J1189="","",MOD(K1189-1,J1189*4))</f>
        <v/>
      </c>
      <c r="Q1189" s="27" t="str">
        <f aca="false">IF(J1189="","",MOD(P1189,4))</f>
        <v/>
      </c>
      <c r="R1189" s="27" t="str">
        <f aca="false">IF(J1189="","",INT(P1189/4))</f>
        <v/>
      </c>
      <c r="S1189" s="27" t="str">
        <f aca="false">IF(J1189="","",IF(AND('Daily Count Sheet'!$H$3=Q1189,MOD('Daily Count Sheet'!$I$3,J1189)=R1189),1,""))</f>
        <v/>
      </c>
      <c r="T1189" s="27" t="str">
        <f aca="false">IF(S1189=1,COUNTIF($S$2:S1189,1),"")</f>
        <v/>
      </c>
    </row>
    <row r="1190" customFormat="false" ht="15" hidden="false" customHeight="false" outlineLevel="0" collapsed="false">
      <c r="H1190" s="26"/>
      <c r="I1190" s="27" t="str">
        <f aca="false">IF(A1190="","",IF(H1190&lt;&gt;"",UPPER(TRIM(H1190)),IFERROR(CHOOSE(VALUE(E1190)+1,"A","B","C","D"),IF(OR(LEFT(UPPER(TRIM(E1190)),1)="F",UPPER(TRIM(E1190))="A"),"A",IF(OR(LEFT(UPPER(TRIM(E1190)),1)="M",UPPER(TRIM(E1190))="B"),"B",IF(OR(LEFT(UPPER(TRIM(E1190)),2)="SL",UPPER(TRIM(E1190))="C"),"C",IF(OR(LEFT(UPPER(TRIM(E1190)),1)="D",UPPER(TRIM(E1190))="D"),"D","")))))))</f>
        <v/>
      </c>
      <c r="J1190" s="27" t="str">
        <f aca="false">IF(I1190="","",IF(AND(I1190="D",Settings!$B$6&lt;&gt;"Yes"),"",IFERROR(INDEX(Settings!$C$9:$C$12,MATCH(I1190,Settings!$A$9:$A$12,0)),"")))</f>
        <v/>
      </c>
      <c r="K1190" s="27" t="str">
        <f aca="false">IF(J1190="","",COUNTIF($I$2:I1190,I1190))</f>
        <v/>
      </c>
      <c r="L1190" s="27" t="str">
        <f aca="false">IF(J1190="","",CHOOSE(Q1190+1,"Tue","Wed","Thu","Fri"))</f>
        <v/>
      </c>
      <c r="M1190" s="27" t="str">
        <f aca="false">IF(J1190="","",IF(J1190=1,"Every week",R1190+1&amp;" of "&amp;J1190))</f>
        <v/>
      </c>
      <c r="N1190" s="28" t="str">
        <f aca="false">IF(J1190="","",Settings!$B$4+R1190*7+Q1190)</f>
        <v/>
      </c>
      <c r="O1190" s="28" t="str">
        <f aca="true">IF(J1190="","",N1190+MAX(0,ROUNDUP((TODAY()-N1190)/(J1190*7),0))*J1190*7)</f>
        <v/>
      </c>
      <c r="P1190" s="27" t="str">
        <f aca="false">IF(J1190="","",MOD(K1190-1,J1190*4))</f>
        <v/>
      </c>
      <c r="Q1190" s="27" t="str">
        <f aca="false">IF(J1190="","",MOD(P1190,4))</f>
        <v/>
      </c>
      <c r="R1190" s="27" t="str">
        <f aca="false">IF(J1190="","",INT(P1190/4))</f>
        <v/>
      </c>
      <c r="S1190" s="27" t="str">
        <f aca="false">IF(J1190="","",IF(AND('Daily Count Sheet'!$H$3=Q1190,MOD('Daily Count Sheet'!$I$3,J1190)=R1190),1,""))</f>
        <v/>
      </c>
      <c r="T1190" s="27" t="str">
        <f aca="false">IF(S1190=1,COUNTIF($S$2:S1190,1),"")</f>
        <v/>
      </c>
    </row>
    <row r="1191" customFormat="false" ht="15" hidden="false" customHeight="false" outlineLevel="0" collapsed="false">
      <c r="H1191" s="26"/>
      <c r="I1191" s="27" t="str">
        <f aca="false">IF(A1191="","",IF(H1191&lt;&gt;"",UPPER(TRIM(H1191)),IFERROR(CHOOSE(VALUE(E1191)+1,"A","B","C","D"),IF(OR(LEFT(UPPER(TRIM(E1191)),1)="F",UPPER(TRIM(E1191))="A"),"A",IF(OR(LEFT(UPPER(TRIM(E1191)),1)="M",UPPER(TRIM(E1191))="B"),"B",IF(OR(LEFT(UPPER(TRIM(E1191)),2)="SL",UPPER(TRIM(E1191))="C"),"C",IF(OR(LEFT(UPPER(TRIM(E1191)),1)="D",UPPER(TRIM(E1191))="D"),"D","")))))))</f>
        <v/>
      </c>
      <c r="J1191" s="27" t="str">
        <f aca="false">IF(I1191="","",IF(AND(I1191="D",Settings!$B$6&lt;&gt;"Yes"),"",IFERROR(INDEX(Settings!$C$9:$C$12,MATCH(I1191,Settings!$A$9:$A$12,0)),"")))</f>
        <v/>
      </c>
      <c r="K1191" s="27" t="str">
        <f aca="false">IF(J1191="","",COUNTIF($I$2:I1191,I1191))</f>
        <v/>
      </c>
      <c r="L1191" s="27" t="str">
        <f aca="false">IF(J1191="","",CHOOSE(Q1191+1,"Tue","Wed","Thu","Fri"))</f>
        <v/>
      </c>
      <c r="M1191" s="27" t="str">
        <f aca="false">IF(J1191="","",IF(J1191=1,"Every week",R1191+1&amp;" of "&amp;J1191))</f>
        <v/>
      </c>
      <c r="N1191" s="28" t="str">
        <f aca="false">IF(J1191="","",Settings!$B$4+R1191*7+Q1191)</f>
        <v/>
      </c>
      <c r="O1191" s="28" t="str">
        <f aca="true">IF(J1191="","",N1191+MAX(0,ROUNDUP((TODAY()-N1191)/(J1191*7),0))*J1191*7)</f>
        <v/>
      </c>
      <c r="P1191" s="27" t="str">
        <f aca="false">IF(J1191="","",MOD(K1191-1,J1191*4))</f>
        <v/>
      </c>
      <c r="Q1191" s="27" t="str">
        <f aca="false">IF(J1191="","",MOD(P1191,4))</f>
        <v/>
      </c>
      <c r="R1191" s="27" t="str">
        <f aca="false">IF(J1191="","",INT(P1191/4))</f>
        <v/>
      </c>
      <c r="S1191" s="27" t="str">
        <f aca="false">IF(J1191="","",IF(AND('Daily Count Sheet'!$H$3=Q1191,MOD('Daily Count Sheet'!$I$3,J1191)=R1191),1,""))</f>
        <v/>
      </c>
      <c r="T1191" s="27" t="str">
        <f aca="false">IF(S1191=1,COUNTIF($S$2:S1191,1),"")</f>
        <v/>
      </c>
    </row>
    <row r="1192" customFormat="false" ht="15" hidden="false" customHeight="false" outlineLevel="0" collapsed="false">
      <c r="H1192" s="26"/>
      <c r="I1192" s="27" t="str">
        <f aca="false">IF(A1192="","",IF(H1192&lt;&gt;"",UPPER(TRIM(H1192)),IFERROR(CHOOSE(VALUE(E1192)+1,"A","B","C","D"),IF(OR(LEFT(UPPER(TRIM(E1192)),1)="F",UPPER(TRIM(E1192))="A"),"A",IF(OR(LEFT(UPPER(TRIM(E1192)),1)="M",UPPER(TRIM(E1192))="B"),"B",IF(OR(LEFT(UPPER(TRIM(E1192)),2)="SL",UPPER(TRIM(E1192))="C"),"C",IF(OR(LEFT(UPPER(TRIM(E1192)),1)="D",UPPER(TRIM(E1192))="D"),"D","")))))))</f>
        <v/>
      </c>
      <c r="J1192" s="27" t="str">
        <f aca="false">IF(I1192="","",IF(AND(I1192="D",Settings!$B$6&lt;&gt;"Yes"),"",IFERROR(INDEX(Settings!$C$9:$C$12,MATCH(I1192,Settings!$A$9:$A$12,0)),"")))</f>
        <v/>
      </c>
      <c r="K1192" s="27" t="str">
        <f aca="false">IF(J1192="","",COUNTIF($I$2:I1192,I1192))</f>
        <v/>
      </c>
      <c r="L1192" s="27" t="str">
        <f aca="false">IF(J1192="","",CHOOSE(Q1192+1,"Tue","Wed","Thu","Fri"))</f>
        <v/>
      </c>
      <c r="M1192" s="27" t="str">
        <f aca="false">IF(J1192="","",IF(J1192=1,"Every week",R1192+1&amp;" of "&amp;J1192))</f>
        <v/>
      </c>
      <c r="N1192" s="28" t="str">
        <f aca="false">IF(J1192="","",Settings!$B$4+R1192*7+Q1192)</f>
        <v/>
      </c>
      <c r="O1192" s="28" t="str">
        <f aca="true">IF(J1192="","",N1192+MAX(0,ROUNDUP((TODAY()-N1192)/(J1192*7),0))*J1192*7)</f>
        <v/>
      </c>
      <c r="P1192" s="27" t="str">
        <f aca="false">IF(J1192="","",MOD(K1192-1,J1192*4))</f>
        <v/>
      </c>
      <c r="Q1192" s="27" t="str">
        <f aca="false">IF(J1192="","",MOD(P1192,4))</f>
        <v/>
      </c>
      <c r="R1192" s="27" t="str">
        <f aca="false">IF(J1192="","",INT(P1192/4))</f>
        <v/>
      </c>
      <c r="S1192" s="27" t="str">
        <f aca="false">IF(J1192="","",IF(AND('Daily Count Sheet'!$H$3=Q1192,MOD('Daily Count Sheet'!$I$3,J1192)=R1192),1,""))</f>
        <v/>
      </c>
      <c r="T1192" s="27" t="str">
        <f aca="false">IF(S1192=1,COUNTIF($S$2:S1192,1),"")</f>
        <v/>
      </c>
    </row>
    <row r="1193" customFormat="false" ht="15" hidden="false" customHeight="false" outlineLevel="0" collapsed="false">
      <c r="H1193" s="26"/>
      <c r="I1193" s="27" t="str">
        <f aca="false">IF(A1193="","",IF(H1193&lt;&gt;"",UPPER(TRIM(H1193)),IFERROR(CHOOSE(VALUE(E1193)+1,"A","B","C","D"),IF(OR(LEFT(UPPER(TRIM(E1193)),1)="F",UPPER(TRIM(E1193))="A"),"A",IF(OR(LEFT(UPPER(TRIM(E1193)),1)="M",UPPER(TRIM(E1193))="B"),"B",IF(OR(LEFT(UPPER(TRIM(E1193)),2)="SL",UPPER(TRIM(E1193))="C"),"C",IF(OR(LEFT(UPPER(TRIM(E1193)),1)="D",UPPER(TRIM(E1193))="D"),"D","")))))))</f>
        <v/>
      </c>
      <c r="J1193" s="27" t="str">
        <f aca="false">IF(I1193="","",IF(AND(I1193="D",Settings!$B$6&lt;&gt;"Yes"),"",IFERROR(INDEX(Settings!$C$9:$C$12,MATCH(I1193,Settings!$A$9:$A$12,0)),"")))</f>
        <v/>
      </c>
      <c r="K1193" s="27" t="str">
        <f aca="false">IF(J1193="","",COUNTIF($I$2:I1193,I1193))</f>
        <v/>
      </c>
      <c r="L1193" s="27" t="str">
        <f aca="false">IF(J1193="","",CHOOSE(Q1193+1,"Tue","Wed","Thu","Fri"))</f>
        <v/>
      </c>
      <c r="M1193" s="27" t="str">
        <f aca="false">IF(J1193="","",IF(J1193=1,"Every week",R1193+1&amp;" of "&amp;J1193))</f>
        <v/>
      </c>
      <c r="N1193" s="28" t="str">
        <f aca="false">IF(J1193="","",Settings!$B$4+R1193*7+Q1193)</f>
        <v/>
      </c>
      <c r="O1193" s="28" t="str">
        <f aca="true">IF(J1193="","",N1193+MAX(0,ROUNDUP((TODAY()-N1193)/(J1193*7),0))*J1193*7)</f>
        <v/>
      </c>
      <c r="P1193" s="27" t="str">
        <f aca="false">IF(J1193="","",MOD(K1193-1,J1193*4))</f>
        <v/>
      </c>
      <c r="Q1193" s="27" t="str">
        <f aca="false">IF(J1193="","",MOD(P1193,4))</f>
        <v/>
      </c>
      <c r="R1193" s="27" t="str">
        <f aca="false">IF(J1193="","",INT(P1193/4))</f>
        <v/>
      </c>
      <c r="S1193" s="27" t="str">
        <f aca="false">IF(J1193="","",IF(AND('Daily Count Sheet'!$H$3=Q1193,MOD('Daily Count Sheet'!$I$3,J1193)=R1193),1,""))</f>
        <v/>
      </c>
      <c r="T1193" s="27" t="str">
        <f aca="false">IF(S1193=1,COUNTIF($S$2:S1193,1),"")</f>
        <v/>
      </c>
    </row>
    <row r="1194" customFormat="false" ht="15" hidden="false" customHeight="false" outlineLevel="0" collapsed="false">
      <c r="H1194" s="26"/>
      <c r="I1194" s="27" t="str">
        <f aca="false">IF(A1194="","",IF(H1194&lt;&gt;"",UPPER(TRIM(H1194)),IFERROR(CHOOSE(VALUE(E1194)+1,"A","B","C","D"),IF(OR(LEFT(UPPER(TRIM(E1194)),1)="F",UPPER(TRIM(E1194))="A"),"A",IF(OR(LEFT(UPPER(TRIM(E1194)),1)="M",UPPER(TRIM(E1194))="B"),"B",IF(OR(LEFT(UPPER(TRIM(E1194)),2)="SL",UPPER(TRIM(E1194))="C"),"C",IF(OR(LEFT(UPPER(TRIM(E1194)),1)="D",UPPER(TRIM(E1194))="D"),"D","")))))))</f>
        <v/>
      </c>
      <c r="J1194" s="27" t="str">
        <f aca="false">IF(I1194="","",IF(AND(I1194="D",Settings!$B$6&lt;&gt;"Yes"),"",IFERROR(INDEX(Settings!$C$9:$C$12,MATCH(I1194,Settings!$A$9:$A$12,0)),"")))</f>
        <v/>
      </c>
      <c r="K1194" s="27" t="str">
        <f aca="false">IF(J1194="","",COUNTIF($I$2:I1194,I1194))</f>
        <v/>
      </c>
      <c r="L1194" s="27" t="str">
        <f aca="false">IF(J1194="","",CHOOSE(Q1194+1,"Tue","Wed","Thu","Fri"))</f>
        <v/>
      </c>
      <c r="M1194" s="27" t="str">
        <f aca="false">IF(J1194="","",IF(J1194=1,"Every week",R1194+1&amp;" of "&amp;J1194))</f>
        <v/>
      </c>
      <c r="N1194" s="28" t="str">
        <f aca="false">IF(J1194="","",Settings!$B$4+R1194*7+Q1194)</f>
        <v/>
      </c>
      <c r="O1194" s="28" t="str">
        <f aca="true">IF(J1194="","",N1194+MAX(0,ROUNDUP((TODAY()-N1194)/(J1194*7),0))*J1194*7)</f>
        <v/>
      </c>
      <c r="P1194" s="27" t="str">
        <f aca="false">IF(J1194="","",MOD(K1194-1,J1194*4))</f>
        <v/>
      </c>
      <c r="Q1194" s="27" t="str">
        <f aca="false">IF(J1194="","",MOD(P1194,4))</f>
        <v/>
      </c>
      <c r="R1194" s="27" t="str">
        <f aca="false">IF(J1194="","",INT(P1194/4))</f>
        <v/>
      </c>
      <c r="S1194" s="27" t="str">
        <f aca="false">IF(J1194="","",IF(AND('Daily Count Sheet'!$H$3=Q1194,MOD('Daily Count Sheet'!$I$3,J1194)=R1194),1,""))</f>
        <v/>
      </c>
      <c r="T1194" s="27" t="str">
        <f aca="false">IF(S1194=1,COUNTIF($S$2:S1194,1),"")</f>
        <v/>
      </c>
    </row>
    <row r="1195" customFormat="false" ht="15" hidden="false" customHeight="false" outlineLevel="0" collapsed="false">
      <c r="H1195" s="26"/>
      <c r="I1195" s="27" t="str">
        <f aca="false">IF(A1195="","",IF(H1195&lt;&gt;"",UPPER(TRIM(H1195)),IFERROR(CHOOSE(VALUE(E1195)+1,"A","B","C","D"),IF(OR(LEFT(UPPER(TRIM(E1195)),1)="F",UPPER(TRIM(E1195))="A"),"A",IF(OR(LEFT(UPPER(TRIM(E1195)),1)="M",UPPER(TRIM(E1195))="B"),"B",IF(OR(LEFT(UPPER(TRIM(E1195)),2)="SL",UPPER(TRIM(E1195))="C"),"C",IF(OR(LEFT(UPPER(TRIM(E1195)),1)="D",UPPER(TRIM(E1195))="D"),"D","")))))))</f>
        <v/>
      </c>
      <c r="J1195" s="27" t="str">
        <f aca="false">IF(I1195="","",IF(AND(I1195="D",Settings!$B$6&lt;&gt;"Yes"),"",IFERROR(INDEX(Settings!$C$9:$C$12,MATCH(I1195,Settings!$A$9:$A$12,0)),"")))</f>
        <v/>
      </c>
      <c r="K1195" s="27" t="str">
        <f aca="false">IF(J1195="","",COUNTIF($I$2:I1195,I1195))</f>
        <v/>
      </c>
      <c r="L1195" s="27" t="str">
        <f aca="false">IF(J1195="","",CHOOSE(Q1195+1,"Tue","Wed","Thu","Fri"))</f>
        <v/>
      </c>
      <c r="M1195" s="27" t="str">
        <f aca="false">IF(J1195="","",IF(J1195=1,"Every week",R1195+1&amp;" of "&amp;J1195))</f>
        <v/>
      </c>
      <c r="N1195" s="28" t="str">
        <f aca="false">IF(J1195="","",Settings!$B$4+R1195*7+Q1195)</f>
        <v/>
      </c>
      <c r="O1195" s="28" t="str">
        <f aca="true">IF(J1195="","",N1195+MAX(0,ROUNDUP((TODAY()-N1195)/(J1195*7),0))*J1195*7)</f>
        <v/>
      </c>
      <c r="P1195" s="27" t="str">
        <f aca="false">IF(J1195="","",MOD(K1195-1,J1195*4))</f>
        <v/>
      </c>
      <c r="Q1195" s="27" t="str">
        <f aca="false">IF(J1195="","",MOD(P1195,4))</f>
        <v/>
      </c>
      <c r="R1195" s="27" t="str">
        <f aca="false">IF(J1195="","",INT(P1195/4))</f>
        <v/>
      </c>
      <c r="S1195" s="27" t="str">
        <f aca="false">IF(J1195="","",IF(AND('Daily Count Sheet'!$H$3=Q1195,MOD('Daily Count Sheet'!$I$3,J1195)=R1195),1,""))</f>
        <v/>
      </c>
      <c r="T1195" s="27" t="str">
        <f aca="false">IF(S1195=1,COUNTIF($S$2:S1195,1),"")</f>
        <v/>
      </c>
    </row>
    <row r="1196" customFormat="false" ht="15" hidden="false" customHeight="false" outlineLevel="0" collapsed="false">
      <c r="H1196" s="26"/>
      <c r="I1196" s="27" t="str">
        <f aca="false">IF(A1196="","",IF(H1196&lt;&gt;"",UPPER(TRIM(H1196)),IFERROR(CHOOSE(VALUE(E1196)+1,"A","B","C","D"),IF(OR(LEFT(UPPER(TRIM(E1196)),1)="F",UPPER(TRIM(E1196))="A"),"A",IF(OR(LEFT(UPPER(TRIM(E1196)),1)="M",UPPER(TRIM(E1196))="B"),"B",IF(OR(LEFT(UPPER(TRIM(E1196)),2)="SL",UPPER(TRIM(E1196))="C"),"C",IF(OR(LEFT(UPPER(TRIM(E1196)),1)="D",UPPER(TRIM(E1196))="D"),"D","")))))))</f>
        <v/>
      </c>
      <c r="J1196" s="27" t="str">
        <f aca="false">IF(I1196="","",IF(AND(I1196="D",Settings!$B$6&lt;&gt;"Yes"),"",IFERROR(INDEX(Settings!$C$9:$C$12,MATCH(I1196,Settings!$A$9:$A$12,0)),"")))</f>
        <v/>
      </c>
      <c r="K1196" s="27" t="str">
        <f aca="false">IF(J1196="","",COUNTIF($I$2:I1196,I1196))</f>
        <v/>
      </c>
      <c r="L1196" s="27" t="str">
        <f aca="false">IF(J1196="","",CHOOSE(Q1196+1,"Tue","Wed","Thu","Fri"))</f>
        <v/>
      </c>
      <c r="M1196" s="27" t="str">
        <f aca="false">IF(J1196="","",IF(J1196=1,"Every week",R1196+1&amp;" of "&amp;J1196))</f>
        <v/>
      </c>
      <c r="N1196" s="28" t="str">
        <f aca="false">IF(J1196="","",Settings!$B$4+R1196*7+Q1196)</f>
        <v/>
      </c>
      <c r="O1196" s="28" t="str">
        <f aca="true">IF(J1196="","",N1196+MAX(0,ROUNDUP((TODAY()-N1196)/(J1196*7),0))*J1196*7)</f>
        <v/>
      </c>
      <c r="P1196" s="27" t="str">
        <f aca="false">IF(J1196="","",MOD(K1196-1,J1196*4))</f>
        <v/>
      </c>
      <c r="Q1196" s="27" t="str">
        <f aca="false">IF(J1196="","",MOD(P1196,4))</f>
        <v/>
      </c>
      <c r="R1196" s="27" t="str">
        <f aca="false">IF(J1196="","",INT(P1196/4))</f>
        <v/>
      </c>
      <c r="S1196" s="27" t="str">
        <f aca="false">IF(J1196="","",IF(AND('Daily Count Sheet'!$H$3=Q1196,MOD('Daily Count Sheet'!$I$3,J1196)=R1196),1,""))</f>
        <v/>
      </c>
      <c r="T1196" s="27" t="str">
        <f aca="false">IF(S1196=1,COUNTIF($S$2:S1196,1),"")</f>
        <v/>
      </c>
    </row>
    <row r="1197" customFormat="false" ht="15" hidden="false" customHeight="false" outlineLevel="0" collapsed="false">
      <c r="H1197" s="26"/>
      <c r="I1197" s="27" t="str">
        <f aca="false">IF(A1197="","",IF(H1197&lt;&gt;"",UPPER(TRIM(H1197)),IFERROR(CHOOSE(VALUE(E1197)+1,"A","B","C","D"),IF(OR(LEFT(UPPER(TRIM(E1197)),1)="F",UPPER(TRIM(E1197))="A"),"A",IF(OR(LEFT(UPPER(TRIM(E1197)),1)="M",UPPER(TRIM(E1197))="B"),"B",IF(OR(LEFT(UPPER(TRIM(E1197)),2)="SL",UPPER(TRIM(E1197))="C"),"C",IF(OR(LEFT(UPPER(TRIM(E1197)),1)="D",UPPER(TRIM(E1197))="D"),"D","")))))))</f>
        <v/>
      </c>
      <c r="J1197" s="27" t="str">
        <f aca="false">IF(I1197="","",IF(AND(I1197="D",Settings!$B$6&lt;&gt;"Yes"),"",IFERROR(INDEX(Settings!$C$9:$C$12,MATCH(I1197,Settings!$A$9:$A$12,0)),"")))</f>
        <v/>
      </c>
      <c r="K1197" s="27" t="str">
        <f aca="false">IF(J1197="","",COUNTIF($I$2:I1197,I1197))</f>
        <v/>
      </c>
      <c r="L1197" s="27" t="str">
        <f aca="false">IF(J1197="","",CHOOSE(Q1197+1,"Tue","Wed","Thu","Fri"))</f>
        <v/>
      </c>
      <c r="M1197" s="27" t="str">
        <f aca="false">IF(J1197="","",IF(J1197=1,"Every week",R1197+1&amp;" of "&amp;J1197))</f>
        <v/>
      </c>
      <c r="N1197" s="28" t="str">
        <f aca="false">IF(J1197="","",Settings!$B$4+R1197*7+Q1197)</f>
        <v/>
      </c>
      <c r="O1197" s="28" t="str">
        <f aca="true">IF(J1197="","",N1197+MAX(0,ROUNDUP((TODAY()-N1197)/(J1197*7),0))*J1197*7)</f>
        <v/>
      </c>
      <c r="P1197" s="27" t="str">
        <f aca="false">IF(J1197="","",MOD(K1197-1,J1197*4))</f>
        <v/>
      </c>
      <c r="Q1197" s="27" t="str">
        <f aca="false">IF(J1197="","",MOD(P1197,4))</f>
        <v/>
      </c>
      <c r="R1197" s="27" t="str">
        <f aca="false">IF(J1197="","",INT(P1197/4))</f>
        <v/>
      </c>
      <c r="S1197" s="27" t="str">
        <f aca="false">IF(J1197="","",IF(AND('Daily Count Sheet'!$H$3=Q1197,MOD('Daily Count Sheet'!$I$3,J1197)=R1197),1,""))</f>
        <v/>
      </c>
      <c r="T1197" s="27" t="str">
        <f aca="false">IF(S1197=1,COUNTIF($S$2:S1197,1),"")</f>
        <v/>
      </c>
    </row>
    <row r="1198" customFormat="false" ht="15" hidden="false" customHeight="false" outlineLevel="0" collapsed="false">
      <c r="H1198" s="26"/>
      <c r="I1198" s="27" t="str">
        <f aca="false">IF(A1198="","",IF(H1198&lt;&gt;"",UPPER(TRIM(H1198)),IFERROR(CHOOSE(VALUE(E1198)+1,"A","B","C","D"),IF(OR(LEFT(UPPER(TRIM(E1198)),1)="F",UPPER(TRIM(E1198))="A"),"A",IF(OR(LEFT(UPPER(TRIM(E1198)),1)="M",UPPER(TRIM(E1198))="B"),"B",IF(OR(LEFT(UPPER(TRIM(E1198)),2)="SL",UPPER(TRIM(E1198))="C"),"C",IF(OR(LEFT(UPPER(TRIM(E1198)),1)="D",UPPER(TRIM(E1198))="D"),"D","")))))))</f>
        <v/>
      </c>
      <c r="J1198" s="27" t="str">
        <f aca="false">IF(I1198="","",IF(AND(I1198="D",Settings!$B$6&lt;&gt;"Yes"),"",IFERROR(INDEX(Settings!$C$9:$C$12,MATCH(I1198,Settings!$A$9:$A$12,0)),"")))</f>
        <v/>
      </c>
      <c r="K1198" s="27" t="str">
        <f aca="false">IF(J1198="","",COUNTIF($I$2:I1198,I1198))</f>
        <v/>
      </c>
      <c r="L1198" s="27" t="str">
        <f aca="false">IF(J1198="","",CHOOSE(Q1198+1,"Tue","Wed","Thu","Fri"))</f>
        <v/>
      </c>
      <c r="M1198" s="27" t="str">
        <f aca="false">IF(J1198="","",IF(J1198=1,"Every week",R1198+1&amp;" of "&amp;J1198))</f>
        <v/>
      </c>
      <c r="N1198" s="28" t="str">
        <f aca="false">IF(J1198="","",Settings!$B$4+R1198*7+Q1198)</f>
        <v/>
      </c>
      <c r="O1198" s="28" t="str">
        <f aca="true">IF(J1198="","",N1198+MAX(0,ROUNDUP((TODAY()-N1198)/(J1198*7),0))*J1198*7)</f>
        <v/>
      </c>
      <c r="P1198" s="27" t="str">
        <f aca="false">IF(J1198="","",MOD(K1198-1,J1198*4))</f>
        <v/>
      </c>
      <c r="Q1198" s="27" t="str">
        <f aca="false">IF(J1198="","",MOD(P1198,4))</f>
        <v/>
      </c>
      <c r="R1198" s="27" t="str">
        <f aca="false">IF(J1198="","",INT(P1198/4))</f>
        <v/>
      </c>
      <c r="S1198" s="27" t="str">
        <f aca="false">IF(J1198="","",IF(AND('Daily Count Sheet'!$H$3=Q1198,MOD('Daily Count Sheet'!$I$3,J1198)=R1198),1,""))</f>
        <v/>
      </c>
      <c r="T1198" s="27" t="str">
        <f aca="false">IF(S1198=1,COUNTIF($S$2:S1198,1),"")</f>
        <v/>
      </c>
    </row>
    <row r="1199" customFormat="false" ht="15" hidden="false" customHeight="false" outlineLevel="0" collapsed="false">
      <c r="H1199" s="26"/>
      <c r="I1199" s="27" t="str">
        <f aca="false">IF(A1199="","",IF(H1199&lt;&gt;"",UPPER(TRIM(H1199)),IFERROR(CHOOSE(VALUE(E1199)+1,"A","B","C","D"),IF(OR(LEFT(UPPER(TRIM(E1199)),1)="F",UPPER(TRIM(E1199))="A"),"A",IF(OR(LEFT(UPPER(TRIM(E1199)),1)="M",UPPER(TRIM(E1199))="B"),"B",IF(OR(LEFT(UPPER(TRIM(E1199)),2)="SL",UPPER(TRIM(E1199))="C"),"C",IF(OR(LEFT(UPPER(TRIM(E1199)),1)="D",UPPER(TRIM(E1199))="D"),"D","")))))))</f>
        <v/>
      </c>
      <c r="J1199" s="27" t="str">
        <f aca="false">IF(I1199="","",IF(AND(I1199="D",Settings!$B$6&lt;&gt;"Yes"),"",IFERROR(INDEX(Settings!$C$9:$C$12,MATCH(I1199,Settings!$A$9:$A$12,0)),"")))</f>
        <v/>
      </c>
      <c r="K1199" s="27" t="str">
        <f aca="false">IF(J1199="","",COUNTIF($I$2:I1199,I1199))</f>
        <v/>
      </c>
      <c r="L1199" s="27" t="str">
        <f aca="false">IF(J1199="","",CHOOSE(Q1199+1,"Tue","Wed","Thu","Fri"))</f>
        <v/>
      </c>
      <c r="M1199" s="27" t="str">
        <f aca="false">IF(J1199="","",IF(J1199=1,"Every week",R1199+1&amp;" of "&amp;J1199))</f>
        <v/>
      </c>
      <c r="N1199" s="28" t="str">
        <f aca="false">IF(J1199="","",Settings!$B$4+R1199*7+Q1199)</f>
        <v/>
      </c>
      <c r="O1199" s="28" t="str">
        <f aca="true">IF(J1199="","",N1199+MAX(0,ROUNDUP((TODAY()-N1199)/(J1199*7),0))*J1199*7)</f>
        <v/>
      </c>
      <c r="P1199" s="27" t="str">
        <f aca="false">IF(J1199="","",MOD(K1199-1,J1199*4))</f>
        <v/>
      </c>
      <c r="Q1199" s="27" t="str">
        <f aca="false">IF(J1199="","",MOD(P1199,4))</f>
        <v/>
      </c>
      <c r="R1199" s="27" t="str">
        <f aca="false">IF(J1199="","",INT(P1199/4))</f>
        <v/>
      </c>
      <c r="S1199" s="27" t="str">
        <f aca="false">IF(J1199="","",IF(AND('Daily Count Sheet'!$H$3=Q1199,MOD('Daily Count Sheet'!$I$3,J1199)=R1199),1,""))</f>
        <v/>
      </c>
      <c r="T1199" s="27" t="str">
        <f aca="false">IF(S1199=1,COUNTIF($S$2:S1199,1),"")</f>
        <v/>
      </c>
    </row>
    <row r="1200" customFormat="false" ht="15" hidden="false" customHeight="false" outlineLevel="0" collapsed="false">
      <c r="H1200" s="26"/>
      <c r="I1200" s="27" t="str">
        <f aca="false">IF(A1200="","",IF(H1200&lt;&gt;"",UPPER(TRIM(H1200)),IFERROR(CHOOSE(VALUE(E1200)+1,"A","B","C","D"),IF(OR(LEFT(UPPER(TRIM(E1200)),1)="F",UPPER(TRIM(E1200))="A"),"A",IF(OR(LEFT(UPPER(TRIM(E1200)),1)="M",UPPER(TRIM(E1200))="B"),"B",IF(OR(LEFT(UPPER(TRIM(E1200)),2)="SL",UPPER(TRIM(E1200))="C"),"C",IF(OR(LEFT(UPPER(TRIM(E1200)),1)="D",UPPER(TRIM(E1200))="D"),"D","")))))))</f>
        <v/>
      </c>
      <c r="J1200" s="27" t="str">
        <f aca="false">IF(I1200="","",IF(AND(I1200="D",Settings!$B$6&lt;&gt;"Yes"),"",IFERROR(INDEX(Settings!$C$9:$C$12,MATCH(I1200,Settings!$A$9:$A$12,0)),"")))</f>
        <v/>
      </c>
      <c r="K1200" s="27" t="str">
        <f aca="false">IF(J1200="","",COUNTIF($I$2:I1200,I1200))</f>
        <v/>
      </c>
      <c r="L1200" s="27" t="str">
        <f aca="false">IF(J1200="","",CHOOSE(Q1200+1,"Tue","Wed","Thu","Fri"))</f>
        <v/>
      </c>
      <c r="M1200" s="27" t="str">
        <f aca="false">IF(J1200="","",IF(J1200=1,"Every week",R1200+1&amp;" of "&amp;J1200))</f>
        <v/>
      </c>
      <c r="N1200" s="28" t="str">
        <f aca="false">IF(J1200="","",Settings!$B$4+R1200*7+Q1200)</f>
        <v/>
      </c>
      <c r="O1200" s="28" t="str">
        <f aca="true">IF(J1200="","",N1200+MAX(0,ROUNDUP((TODAY()-N1200)/(J1200*7),0))*J1200*7)</f>
        <v/>
      </c>
      <c r="P1200" s="27" t="str">
        <f aca="false">IF(J1200="","",MOD(K1200-1,J1200*4))</f>
        <v/>
      </c>
      <c r="Q1200" s="27" t="str">
        <f aca="false">IF(J1200="","",MOD(P1200,4))</f>
        <v/>
      </c>
      <c r="R1200" s="27" t="str">
        <f aca="false">IF(J1200="","",INT(P1200/4))</f>
        <v/>
      </c>
      <c r="S1200" s="27" t="str">
        <f aca="false">IF(J1200="","",IF(AND('Daily Count Sheet'!$H$3=Q1200,MOD('Daily Count Sheet'!$I$3,J1200)=R1200),1,""))</f>
        <v/>
      </c>
      <c r="T1200" s="27" t="str">
        <f aca="false">IF(S1200=1,COUNTIF($S$2:S1200,1),"")</f>
        <v/>
      </c>
    </row>
    <row r="1201" customFormat="false" ht="15" hidden="false" customHeight="false" outlineLevel="0" collapsed="false">
      <c r="H1201" s="26"/>
      <c r="I1201" s="27" t="str">
        <f aca="false">IF(A1201="","",IF(H1201&lt;&gt;"",UPPER(TRIM(H1201)),IFERROR(CHOOSE(VALUE(E1201)+1,"A","B","C","D"),IF(OR(LEFT(UPPER(TRIM(E1201)),1)="F",UPPER(TRIM(E1201))="A"),"A",IF(OR(LEFT(UPPER(TRIM(E1201)),1)="M",UPPER(TRIM(E1201))="B"),"B",IF(OR(LEFT(UPPER(TRIM(E1201)),2)="SL",UPPER(TRIM(E1201))="C"),"C",IF(OR(LEFT(UPPER(TRIM(E1201)),1)="D",UPPER(TRIM(E1201))="D"),"D","")))))))</f>
        <v/>
      </c>
      <c r="J1201" s="27" t="str">
        <f aca="false">IF(I1201="","",IF(AND(I1201="D",Settings!$B$6&lt;&gt;"Yes"),"",IFERROR(INDEX(Settings!$C$9:$C$12,MATCH(I1201,Settings!$A$9:$A$12,0)),"")))</f>
        <v/>
      </c>
      <c r="K1201" s="27" t="str">
        <f aca="false">IF(J1201="","",COUNTIF($I$2:I1201,I1201))</f>
        <v/>
      </c>
      <c r="L1201" s="27" t="str">
        <f aca="false">IF(J1201="","",CHOOSE(Q1201+1,"Tue","Wed","Thu","Fri"))</f>
        <v/>
      </c>
      <c r="M1201" s="27" t="str">
        <f aca="false">IF(J1201="","",IF(J1201=1,"Every week",R1201+1&amp;" of "&amp;J1201))</f>
        <v/>
      </c>
      <c r="N1201" s="28" t="str">
        <f aca="false">IF(J1201="","",Settings!$B$4+R1201*7+Q1201)</f>
        <v/>
      </c>
      <c r="O1201" s="28" t="str">
        <f aca="true">IF(J1201="","",N1201+MAX(0,ROUNDUP((TODAY()-N1201)/(J1201*7),0))*J1201*7)</f>
        <v/>
      </c>
      <c r="P1201" s="27" t="str">
        <f aca="false">IF(J1201="","",MOD(K1201-1,J1201*4))</f>
        <v/>
      </c>
      <c r="Q1201" s="27" t="str">
        <f aca="false">IF(J1201="","",MOD(P1201,4))</f>
        <v/>
      </c>
      <c r="R1201" s="27" t="str">
        <f aca="false">IF(J1201="","",INT(P1201/4))</f>
        <v/>
      </c>
      <c r="S1201" s="27" t="str">
        <f aca="false">IF(J1201="","",IF(AND('Daily Count Sheet'!$H$3=Q1201,MOD('Daily Count Sheet'!$I$3,J1201)=R1201),1,""))</f>
        <v/>
      </c>
      <c r="T1201" s="27" t="str">
        <f aca="false">IF(S1201=1,COUNTIF($S$2:S1201,1),"")</f>
        <v/>
      </c>
    </row>
    <row r="1202" customFormat="false" ht="15" hidden="false" customHeight="false" outlineLevel="0" collapsed="false">
      <c r="H1202" s="26"/>
      <c r="I1202" s="27" t="str">
        <f aca="false">IF(A1202="","",IF(H1202&lt;&gt;"",UPPER(TRIM(H1202)),IFERROR(CHOOSE(VALUE(E1202)+1,"A","B","C","D"),IF(OR(LEFT(UPPER(TRIM(E1202)),1)="F",UPPER(TRIM(E1202))="A"),"A",IF(OR(LEFT(UPPER(TRIM(E1202)),1)="M",UPPER(TRIM(E1202))="B"),"B",IF(OR(LEFT(UPPER(TRIM(E1202)),2)="SL",UPPER(TRIM(E1202))="C"),"C",IF(OR(LEFT(UPPER(TRIM(E1202)),1)="D",UPPER(TRIM(E1202))="D"),"D","")))))))</f>
        <v/>
      </c>
      <c r="J1202" s="27" t="str">
        <f aca="false">IF(I1202="","",IF(AND(I1202="D",Settings!$B$6&lt;&gt;"Yes"),"",IFERROR(INDEX(Settings!$C$9:$C$12,MATCH(I1202,Settings!$A$9:$A$12,0)),"")))</f>
        <v/>
      </c>
      <c r="K1202" s="27" t="str">
        <f aca="false">IF(J1202="","",COUNTIF($I$2:I1202,I1202))</f>
        <v/>
      </c>
      <c r="L1202" s="27" t="str">
        <f aca="false">IF(J1202="","",CHOOSE(Q1202+1,"Tue","Wed","Thu","Fri"))</f>
        <v/>
      </c>
      <c r="M1202" s="27" t="str">
        <f aca="false">IF(J1202="","",IF(J1202=1,"Every week",R1202+1&amp;" of "&amp;J1202))</f>
        <v/>
      </c>
      <c r="N1202" s="28" t="str">
        <f aca="false">IF(J1202="","",Settings!$B$4+R1202*7+Q1202)</f>
        <v/>
      </c>
      <c r="O1202" s="28" t="str">
        <f aca="true">IF(J1202="","",N1202+MAX(0,ROUNDUP((TODAY()-N1202)/(J1202*7),0))*J1202*7)</f>
        <v/>
      </c>
      <c r="P1202" s="27" t="str">
        <f aca="false">IF(J1202="","",MOD(K1202-1,J1202*4))</f>
        <v/>
      </c>
      <c r="Q1202" s="27" t="str">
        <f aca="false">IF(J1202="","",MOD(P1202,4))</f>
        <v/>
      </c>
      <c r="R1202" s="27" t="str">
        <f aca="false">IF(J1202="","",INT(P1202/4))</f>
        <v/>
      </c>
      <c r="S1202" s="27" t="str">
        <f aca="false">IF(J1202="","",IF(AND('Daily Count Sheet'!$H$3=Q1202,MOD('Daily Count Sheet'!$I$3,J1202)=R1202),1,""))</f>
        <v/>
      </c>
      <c r="T1202" s="27" t="str">
        <f aca="false">IF(S1202=1,COUNTIF($S$2:S1202,1),"")</f>
        <v/>
      </c>
    </row>
    <row r="1203" customFormat="false" ht="15" hidden="false" customHeight="false" outlineLevel="0" collapsed="false">
      <c r="H1203" s="26"/>
      <c r="I1203" s="27" t="str">
        <f aca="false">IF(A1203="","",IF(H1203&lt;&gt;"",UPPER(TRIM(H1203)),IFERROR(CHOOSE(VALUE(E1203)+1,"A","B","C","D"),IF(OR(LEFT(UPPER(TRIM(E1203)),1)="F",UPPER(TRIM(E1203))="A"),"A",IF(OR(LEFT(UPPER(TRIM(E1203)),1)="M",UPPER(TRIM(E1203))="B"),"B",IF(OR(LEFT(UPPER(TRIM(E1203)),2)="SL",UPPER(TRIM(E1203))="C"),"C",IF(OR(LEFT(UPPER(TRIM(E1203)),1)="D",UPPER(TRIM(E1203))="D"),"D","")))))))</f>
        <v/>
      </c>
      <c r="J1203" s="27" t="str">
        <f aca="false">IF(I1203="","",IF(AND(I1203="D",Settings!$B$6&lt;&gt;"Yes"),"",IFERROR(INDEX(Settings!$C$9:$C$12,MATCH(I1203,Settings!$A$9:$A$12,0)),"")))</f>
        <v/>
      </c>
      <c r="K1203" s="27" t="str">
        <f aca="false">IF(J1203="","",COUNTIF($I$2:I1203,I1203))</f>
        <v/>
      </c>
      <c r="L1203" s="27" t="str">
        <f aca="false">IF(J1203="","",CHOOSE(Q1203+1,"Tue","Wed","Thu","Fri"))</f>
        <v/>
      </c>
      <c r="M1203" s="27" t="str">
        <f aca="false">IF(J1203="","",IF(J1203=1,"Every week",R1203+1&amp;" of "&amp;J1203))</f>
        <v/>
      </c>
      <c r="N1203" s="28" t="str">
        <f aca="false">IF(J1203="","",Settings!$B$4+R1203*7+Q1203)</f>
        <v/>
      </c>
      <c r="O1203" s="28" t="str">
        <f aca="true">IF(J1203="","",N1203+MAX(0,ROUNDUP((TODAY()-N1203)/(J1203*7),0))*J1203*7)</f>
        <v/>
      </c>
      <c r="P1203" s="27" t="str">
        <f aca="false">IF(J1203="","",MOD(K1203-1,J1203*4))</f>
        <v/>
      </c>
      <c r="Q1203" s="27" t="str">
        <f aca="false">IF(J1203="","",MOD(P1203,4))</f>
        <v/>
      </c>
      <c r="R1203" s="27" t="str">
        <f aca="false">IF(J1203="","",INT(P1203/4))</f>
        <v/>
      </c>
      <c r="S1203" s="27" t="str">
        <f aca="false">IF(J1203="","",IF(AND('Daily Count Sheet'!$H$3=Q1203,MOD('Daily Count Sheet'!$I$3,J1203)=R1203),1,""))</f>
        <v/>
      </c>
      <c r="T1203" s="27" t="str">
        <f aca="false">IF(S1203=1,COUNTIF($S$2:S1203,1),"")</f>
        <v/>
      </c>
    </row>
    <row r="1204" customFormat="false" ht="15" hidden="false" customHeight="false" outlineLevel="0" collapsed="false">
      <c r="H1204" s="26"/>
      <c r="I1204" s="27" t="str">
        <f aca="false">IF(A1204="","",IF(H1204&lt;&gt;"",UPPER(TRIM(H1204)),IFERROR(CHOOSE(VALUE(E1204)+1,"A","B","C","D"),IF(OR(LEFT(UPPER(TRIM(E1204)),1)="F",UPPER(TRIM(E1204))="A"),"A",IF(OR(LEFT(UPPER(TRIM(E1204)),1)="M",UPPER(TRIM(E1204))="B"),"B",IF(OR(LEFT(UPPER(TRIM(E1204)),2)="SL",UPPER(TRIM(E1204))="C"),"C",IF(OR(LEFT(UPPER(TRIM(E1204)),1)="D",UPPER(TRIM(E1204))="D"),"D","")))))))</f>
        <v/>
      </c>
      <c r="J1204" s="27" t="str">
        <f aca="false">IF(I1204="","",IF(AND(I1204="D",Settings!$B$6&lt;&gt;"Yes"),"",IFERROR(INDEX(Settings!$C$9:$C$12,MATCH(I1204,Settings!$A$9:$A$12,0)),"")))</f>
        <v/>
      </c>
      <c r="K1204" s="27" t="str">
        <f aca="false">IF(J1204="","",COUNTIF($I$2:I1204,I1204))</f>
        <v/>
      </c>
      <c r="L1204" s="27" t="str">
        <f aca="false">IF(J1204="","",CHOOSE(Q1204+1,"Tue","Wed","Thu","Fri"))</f>
        <v/>
      </c>
      <c r="M1204" s="27" t="str">
        <f aca="false">IF(J1204="","",IF(J1204=1,"Every week",R1204+1&amp;" of "&amp;J1204))</f>
        <v/>
      </c>
      <c r="N1204" s="28" t="str">
        <f aca="false">IF(J1204="","",Settings!$B$4+R1204*7+Q1204)</f>
        <v/>
      </c>
      <c r="O1204" s="28" t="str">
        <f aca="true">IF(J1204="","",N1204+MAX(0,ROUNDUP((TODAY()-N1204)/(J1204*7),0))*J1204*7)</f>
        <v/>
      </c>
      <c r="P1204" s="27" t="str">
        <f aca="false">IF(J1204="","",MOD(K1204-1,J1204*4))</f>
        <v/>
      </c>
      <c r="Q1204" s="27" t="str">
        <f aca="false">IF(J1204="","",MOD(P1204,4))</f>
        <v/>
      </c>
      <c r="R1204" s="27" t="str">
        <f aca="false">IF(J1204="","",INT(P1204/4))</f>
        <v/>
      </c>
      <c r="S1204" s="27" t="str">
        <f aca="false">IF(J1204="","",IF(AND('Daily Count Sheet'!$H$3=Q1204,MOD('Daily Count Sheet'!$I$3,J1204)=R1204),1,""))</f>
        <v/>
      </c>
      <c r="T1204" s="27" t="str">
        <f aca="false">IF(S1204=1,COUNTIF($S$2:S1204,1),"")</f>
        <v/>
      </c>
    </row>
    <row r="1205" customFormat="false" ht="15" hidden="false" customHeight="false" outlineLevel="0" collapsed="false">
      <c r="H1205" s="26"/>
      <c r="I1205" s="27" t="str">
        <f aca="false">IF(A1205="","",IF(H1205&lt;&gt;"",UPPER(TRIM(H1205)),IFERROR(CHOOSE(VALUE(E1205)+1,"A","B","C","D"),IF(OR(LEFT(UPPER(TRIM(E1205)),1)="F",UPPER(TRIM(E1205))="A"),"A",IF(OR(LEFT(UPPER(TRIM(E1205)),1)="M",UPPER(TRIM(E1205))="B"),"B",IF(OR(LEFT(UPPER(TRIM(E1205)),2)="SL",UPPER(TRIM(E1205))="C"),"C",IF(OR(LEFT(UPPER(TRIM(E1205)),1)="D",UPPER(TRIM(E1205))="D"),"D","")))))))</f>
        <v/>
      </c>
      <c r="J1205" s="27" t="str">
        <f aca="false">IF(I1205="","",IF(AND(I1205="D",Settings!$B$6&lt;&gt;"Yes"),"",IFERROR(INDEX(Settings!$C$9:$C$12,MATCH(I1205,Settings!$A$9:$A$12,0)),"")))</f>
        <v/>
      </c>
      <c r="K1205" s="27" t="str">
        <f aca="false">IF(J1205="","",COUNTIF($I$2:I1205,I1205))</f>
        <v/>
      </c>
      <c r="L1205" s="27" t="str">
        <f aca="false">IF(J1205="","",CHOOSE(Q1205+1,"Tue","Wed","Thu","Fri"))</f>
        <v/>
      </c>
      <c r="M1205" s="27" t="str">
        <f aca="false">IF(J1205="","",IF(J1205=1,"Every week",R1205+1&amp;" of "&amp;J1205))</f>
        <v/>
      </c>
      <c r="N1205" s="28" t="str">
        <f aca="false">IF(J1205="","",Settings!$B$4+R1205*7+Q1205)</f>
        <v/>
      </c>
      <c r="O1205" s="28" t="str">
        <f aca="true">IF(J1205="","",N1205+MAX(0,ROUNDUP((TODAY()-N1205)/(J1205*7),0))*J1205*7)</f>
        <v/>
      </c>
      <c r="P1205" s="27" t="str">
        <f aca="false">IF(J1205="","",MOD(K1205-1,J1205*4))</f>
        <v/>
      </c>
      <c r="Q1205" s="27" t="str">
        <f aca="false">IF(J1205="","",MOD(P1205,4))</f>
        <v/>
      </c>
      <c r="R1205" s="27" t="str">
        <f aca="false">IF(J1205="","",INT(P1205/4))</f>
        <v/>
      </c>
      <c r="S1205" s="27" t="str">
        <f aca="false">IF(J1205="","",IF(AND('Daily Count Sheet'!$H$3=Q1205,MOD('Daily Count Sheet'!$I$3,J1205)=R1205),1,""))</f>
        <v/>
      </c>
      <c r="T1205" s="27" t="str">
        <f aca="false">IF(S1205=1,COUNTIF($S$2:S1205,1),"")</f>
        <v/>
      </c>
    </row>
    <row r="1206" customFormat="false" ht="15" hidden="false" customHeight="false" outlineLevel="0" collapsed="false">
      <c r="H1206" s="26"/>
      <c r="I1206" s="27" t="str">
        <f aca="false">IF(A1206="","",IF(H1206&lt;&gt;"",UPPER(TRIM(H1206)),IFERROR(CHOOSE(VALUE(E1206)+1,"A","B","C","D"),IF(OR(LEFT(UPPER(TRIM(E1206)),1)="F",UPPER(TRIM(E1206))="A"),"A",IF(OR(LEFT(UPPER(TRIM(E1206)),1)="M",UPPER(TRIM(E1206))="B"),"B",IF(OR(LEFT(UPPER(TRIM(E1206)),2)="SL",UPPER(TRIM(E1206))="C"),"C",IF(OR(LEFT(UPPER(TRIM(E1206)),1)="D",UPPER(TRIM(E1206))="D"),"D","")))))))</f>
        <v/>
      </c>
      <c r="J1206" s="27" t="str">
        <f aca="false">IF(I1206="","",IF(AND(I1206="D",Settings!$B$6&lt;&gt;"Yes"),"",IFERROR(INDEX(Settings!$C$9:$C$12,MATCH(I1206,Settings!$A$9:$A$12,0)),"")))</f>
        <v/>
      </c>
      <c r="K1206" s="27" t="str">
        <f aca="false">IF(J1206="","",COUNTIF($I$2:I1206,I1206))</f>
        <v/>
      </c>
      <c r="L1206" s="27" t="str">
        <f aca="false">IF(J1206="","",CHOOSE(Q1206+1,"Tue","Wed","Thu","Fri"))</f>
        <v/>
      </c>
      <c r="M1206" s="27" t="str">
        <f aca="false">IF(J1206="","",IF(J1206=1,"Every week",R1206+1&amp;" of "&amp;J1206))</f>
        <v/>
      </c>
      <c r="N1206" s="28" t="str">
        <f aca="false">IF(J1206="","",Settings!$B$4+R1206*7+Q1206)</f>
        <v/>
      </c>
      <c r="O1206" s="28" t="str">
        <f aca="true">IF(J1206="","",N1206+MAX(0,ROUNDUP((TODAY()-N1206)/(J1206*7),0))*J1206*7)</f>
        <v/>
      </c>
      <c r="P1206" s="27" t="str">
        <f aca="false">IF(J1206="","",MOD(K1206-1,J1206*4))</f>
        <v/>
      </c>
      <c r="Q1206" s="27" t="str">
        <f aca="false">IF(J1206="","",MOD(P1206,4))</f>
        <v/>
      </c>
      <c r="R1206" s="27" t="str">
        <f aca="false">IF(J1206="","",INT(P1206/4))</f>
        <v/>
      </c>
      <c r="S1206" s="27" t="str">
        <f aca="false">IF(J1206="","",IF(AND('Daily Count Sheet'!$H$3=Q1206,MOD('Daily Count Sheet'!$I$3,J1206)=R1206),1,""))</f>
        <v/>
      </c>
      <c r="T1206" s="27" t="str">
        <f aca="false">IF(S1206=1,COUNTIF($S$2:S1206,1),"")</f>
        <v/>
      </c>
    </row>
    <row r="1207" customFormat="false" ht="15" hidden="false" customHeight="false" outlineLevel="0" collapsed="false">
      <c r="H1207" s="26"/>
      <c r="I1207" s="27" t="str">
        <f aca="false">IF(A1207="","",IF(H1207&lt;&gt;"",UPPER(TRIM(H1207)),IFERROR(CHOOSE(VALUE(E1207)+1,"A","B","C","D"),IF(OR(LEFT(UPPER(TRIM(E1207)),1)="F",UPPER(TRIM(E1207))="A"),"A",IF(OR(LEFT(UPPER(TRIM(E1207)),1)="M",UPPER(TRIM(E1207))="B"),"B",IF(OR(LEFT(UPPER(TRIM(E1207)),2)="SL",UPPER(TRIM(E1207))="C"),"C",IF(OR(LEFT(UPPER(TRIM(E1207)),1)="D",UPPER(TRIM(E1207))="D"),"D","")))))))</f>
        <v/>
      </c>
      <c r="J1207" s="27" t="str">
        <f aca="false">IF(I1207="","",IF(AND(I1207="D",Settings!$B$6&lt;&gt;"Yes"),"",IFERROR(INDEX(Settings!$C$9:$C$12,MATCH(I1207,Settings!$A$9:$A$12,0)),"")))</f>
        <v/>
      </c>
      <c r="K1207" s="27" t="str">
        <f aca="false">IF(J1207="","",COUNTIF($I$2:I1207,I1207))</f>
        <v/>
      </c>
      <c r="L1207" s="27" t="str">
        <f aca="false">IF(J1207="","",CHOOSE(Q1207+1,"Tue","Wed","Thu","Fri"))</f>
        <v/>
      </c>
      <c r="M1207" s="27" t="str">
        <f aca="false">IF(J1207="","",IF(J1207=1,"Every week",R1207+1&amp;" of "&amp;J1207))</f>
        <v/>
      </c>
      <c r="N1207" s="28" t="str">
        <f aca="false">IF(J1207="","",Settings!$B$4+R1207*7+Q1207)</f>
        <v/>
      </c>
      <c r="O1207" s="28" t="str">
        <f aca="true">IF(J1207="","",N1207+MAX(0,ROUNDUP((TODAY()-N1207)/(J1207*7),0))*J1207*7)</f>
        <v/>
      </c>
      <c r="P1207" s="27" t="str">
        <f aca="false">IF(J1207="","",MOD(K1207-1,J1207*4))</f>
        <v/>
      </c>
      <c r="Q1207" s="27" t="str">
        <f aca="false">IF(J1207="","",MOD(P1207,4))</f>
        <v/>
      </c>
      <c r="R1207" s="27" t="str">
        <f aca="false">IF(J1207="","",INT(P1207/4))</f>
        <v/>
      </c>
      <c r="S1207" s="27" t="str">
        <f aca="false">IF(J1207="","",IF(AND('Daily Count Sheet'!$H$3=Q1207,MOD('Daily Count Sheet'!$I$3,J1207)=R1207),1,""))</f>
        <v/>
      </c>
      <c r="T1207" s="27" t="str">
        <f aca="false">IF(S1207=1,COUNTIF($S$2:S1207,1),"")</f>
        <v/>
      </c>
    </row>
    <row r="1208" customFormat="false" ht="15" hidden="false" customHeight="false" outlineLevel="0" collapsed="false">
      <c r="H1208" s="26"/>
      <c r="I1208" s="27" t="str">
        <f aca="false">IF(A1208="","",IF(H1208&lt;&gt;"",UPPER(TRIM(H1208)),IFERROR(CHOOSE(VALUE(E1208)+1,"A","B","C","D"),IF(OR(LEFT(UPPER(TRIM(E1208)),1)="F",UPPER(TRIM(E1208))="A"),"A",IF(OR(LEFT(UPPER(TRIM(E1208)),1)="M",UPPER(TRIM(E1208))="B"),"B",IF(OR(LEFT(UPPER(TRIM(E1208)),2)="SL",UPPER(TRIM(E1208))="C"),"C",IF(OR(LEFT(UPPER(TRIM(E1208)),1)="D",UPPER(TRIM(E1208))="D"),"D","")))))))</f>
        <v/>
      </c>
      <c r="J1208" s="27" t="str">
        <f aca="false">IF(I1208="","",IF(AND(I1208="D",Settings!$B$6&lt;&gt;"Yes"),"",IFERROR(INDEX(Settings!$C$9:$C$12,MATCH(I1208,Settings!$A$9:$A$12,0)),"")))</f>
        <v/>
      </c>
      <c r="K1208" s="27" t="str">
        <f aca="false">IF(J1208="","",COUNTIF($I$2:I1208,I1208))</f>
        <v/>
      </c>
      <c r="L1208" s="27" t="str">
        <f aca="false">IF(J1208="","",CHOOSE(Q1208+1,"Tue","Wed","Thu","Fri"))</f>
        <v/>
      </c>
      <c r="M1208" s="27" t="str">
        <f aca="false">IF(J1208="","",IF(J1208=1,"Every week",R1208+1&amp;" of "&amp;J1208))</f>
        <v/>
      </c>
      <c r="N1208" s="28" t="str">
        <f aca="false">IF(J1208="","",Settings!$B$4+R1208*7+Q1208)</f>
        <v/>
      </c>
      <c r="O1208" s="28" t="str">
        <f aca="true">IF(J1208="","",N1208+MAX(0,ROUNDUP((TODAY()-N1208)/(J1208*7),0))*J1208*7)</f>
        <v/>
      </c>
      <c r="P1208" s="27" t="str">
        <f aca="false">IF(J1208="","",MOD(K1208-1,J1208*4))</f>
        <v/>
      </c>
      <c r="Q1208" s="27" t="str">
        <f aca="false">IF(J1208="","",MOD(P1208,4))</f>
        <v/>
      </c>
      <c r="R1208" s="27" t="str">
        <f aca="false">IF(J1208="","",INT(P1208/4))</f>
        <v/>
      </c>
      <c r="S1208" s="27" t="str">
        <f aca="false">IF(J1208="","",IF(AND('Daily Count Sheet'!$H$3=Q1208,MOD('Daily Count Sheet'!$I$3,J1208)=R1208),1,""))</f>
        <v/>
      </c>
      <c r="T1208" s="27" t="str">
        <f aca="false">IF(S1208=1,COUNTIF($S$2:S1208,1),"")</f>
        <v/>
      </c>
    </row>
    <row r="1209" customFormat="false" ht="15" hidden="false" customHeight="false" outlineLevel="0" collapsed="false">
      <c r="H1209" s="26"/>
      <c r="I1209" s="27" t="str">
        <f aca="false">IF(A1209="","",IF(H1209&lt;&gt;"",UPPER(TRIM(H1209)),IFERROR(CHOOSE(VALUE(E1209)+1,"A","B","C","D"),IF(OR(LEFT(UPPER(TRIM(E1209)),1)="F",UPPER(TRIM(E1209))="A"),"A",IF(OR(LEFT(UPPER(TRIM(E1209)),1)="M",UPPER(TRIM(E1209))="B"),"B",IF(OR(LEFT(UPPER(TRIM(E1209)),2)="SL",UPPER(TRIM(E1209))="C"),"C",IF(OR(LEFT(UPPER(TRIM(E1209)),1)="D",UPPER(TRIM(E1209))="D"),"D","")))))))</f>
        <v/>
      </c>
      <c r="J1209" s="27" t="str">
        <f aca="false">IF(I1209="","",IF(AND(I1209="D",Settings!$B$6&lt;&gt;"Yes"),"",IFERROR(INDEX(Settings!$C$9:$C$12,MATCH(I1209,Settings!$A$9:$A$12,0)),"")))</f>
        <v/>
      </c>
      <c r="K1209" s="27" t="str">
        <f aca="false">IF(J1209="","",COUNTIF($I$2:I1209,I1209))</f>
        <v/>
      </c>
      <c r="L1209" s="27" t="str">
        <f aca="false">IF(J1209="","",CHOOSE(Q1209+1,"Tue","Wed","Thu","Fri"))</f>
        <v/>
      </c>
      <c r="M1209" s="27" t="str">
        <f aca="false">IF(J1209="","",IF(J1209=1,"Every week",R1209+1&amp;" of "&amp;J1209))</f>
        <v/>
      </c>
      <c r="N1209" s="28" t="str">
        <f aca="false">IF(J1209="","",Settings!$B$4+R1209*7+Q1209)</f>
        <v/>
      </c>
      <c r="O1209" s="28" t="str">
        <f aca="true">IF(J1209="","",N1209+MAX(0,ROUNDUP((TODAY()-N1209)/(J1209*7),0))*J1209*7)</f>
        <v/>
      </c>
      <c r="P1209" s="27" t="str">
        <f aca="false">IF(J1209="","",MOD(K1209-1,J1209*4))</f>
        <v/>
      </c>
      <c r="Q1209" s="27" t="str">
        <f aca="false">IF(J1209="","",MOD(P1209,4))</f>
        <v/>
      </c>
      <c r="R1209" s="27" t="str">
        <f aca="false">IF(J1209="","",INT(P1209/4))</f>
        <v/>
      </c>
      <c r="S1209" s="27" t="str">
        <f aca="false">IF(J1209="","",IF(AND('Daily Count Sheet'!$H$3=Q1209,MOD('Daily Count Sheet'!$I$3,J1209)=R1209),1,""))</f>
        <v/>
      </c>
      <c r="T1209" s="27" t="str">
        <f aca="false">IF(S1209=1,COUNTIF($S$2:S1209,1),"")</f>
        <v/>
      </c>
    </row>
    <row r="1210" customFormat="false" ht="15" hidden="false" customHeight="false" outlineLevel="0" collapsed="false">
      <c r="H1210" s="26"/>
      <c r="I1210" s="27" t="str">
        <f aca="false">IF(A1210="","",IF(H1210&lt;&gt;"",UPPER(TRIM(H1210)),IFERROR(CHOOSE(VALUE(E1210)+1,"A","B","C","D"),IF(OR(LEFT(UPPER(TRIM(E1210)),1)="F",UPPER(TRIM(E1210))="A"),"A",IF(OR(LEFT(UPPER(TRIM(E1210)),1)="M",UPPER(TRIM(E1210))="B"),"B",IF(OR(LEFT(UPPER(TRIM(E1210)),2)="SL",UPPER(TRIM(E1210))="C"),"C",IF(OR(LEFT(UPPER(TRIM(E1210)),1)="D",UPPER(TRIM(E1210))="D"),"D","")))))))</f>
        <v/>
      </c>
      <c r="J1210" s="27" t="str">
        <f aca="false">IF(I1210="","",IF(AND(I1210="D",Settings!$B$6&lt;&gt;"Yes"),"",IFERROR(INDEX(Settings!$C$9:$C$12,MATCH(I1210,Settings!$A$9:$A$12,0)),"")))</f>
        <v/>
      </c>
      <c r="K1210" s="27" t="str">
        <f aca="false">IF(J1210="","",COUNTIF($I$2:I1210,I1210))</f>
        <v/>
      </c>
      <c r="L1210" s="27" t="str">
        <f aca="false">IF(J1210="","",CHOOSE(Q1210+1,"Tue","Wed","Thu","Fri"))</f>
        <v/>
      </c>
      <c r="M1210" s="27" t="str">
        <f aca="false">IF(J1210="","",IF(J1210=1,"Every week",R1210+1&amp;" of "&amp;J1210))</f>
        <v/>
      </c>
      <c r="N1210" s="28" t="str">
        <f aca="false">IF(J1210="","",Settings!$B$4+R1210*7+Q1210)</f>
        <v/>
      </c>
      <c r="O1210" s="28" t="str">
        <f aca="true">IF(J1210="","",N1210+MAX(0,ROUNDUP((TODAY()-N1210)/(J1210*7),0))*J1210*7)</f>
        <v/>
      </c>
      <c r="P1210" s="27" t="str">
        <f aca="false">IF(J1210="","",MOD(K1210-1,J1210*4))</f>
        <v/>
      </c>
      <c r="Q1210" s="27" t="str">
        <f aca="false">IF(J1210="","",MOD(P1210,4))</f>
        <v/>
      </c>
      <c r="R1210" s="27" t="str">
        <f aca="false">IF(J1210="","",INT(P1210/4))</f>
        <v/>
      </c>
      <c r="S1210" s="27" t="str">
        <f aca="false">IF(J1210="","",IF(AND('Daily Count Sheet'!$H$3=Q1210,MOD('Daily Count Sheet'!$I$3,J1210)=R1210),1,""))</f>
        <v/>
      </c>
      <c r="T1210" s="27" t="str">
        <f aca="false">IF(S1210=1,COUNTIF($S$2:S1210,1),"")</f>
        <v/>
      </c>
    </row>
    <row r="1211" customFormat="false" ht="15" hidden="false" customHeight="false" outlineLevel="0" collapsed="false">
      <c r="H1211" s="26"/>
      <c r="I1211" s="27" t="str">
        <f aca="false">IF(A1211="","",IF(H1211&lt;&gt;"",UPPER(TRIM(H1211)),IFERROR(CHOOSE(VALUE(E1211)+1,"A","B","C","D"),IF(OR(LEFT(UPPER(TRIM(E1211)),1)="F",UPPER(TRIM(E1211))="A"),"A",IF(OR(LEFT(UPPER(TRIM(E1211)),1)="M",UPPER(TRIM(E1211))="B"),"B",IF(OR(LEFT(UPPER(TRIM(E1211)),2)="SL",UPPER(TRIM(E1211))="C"),"C",IF(OR(LEFT(UPPER(TRIM(E1211)),1)="D",UPPER(TRIM(E1211))="D"),"D","")))))))</f>
        <v/>
      </c>
      <c r="J1211" s="27" t="str">
        <f aca="false">IF(I1211="","",IF(AND(I1211="D",Settings!$B$6&lt;&gt;"Yes"),"",IFERROR(INDEX(Settings!$C$9:$C$12,MATCH(I1211,Settings!$A$9:$A$12,0)),"")))</f>
        <v/>
      </c>
      <c r="K1211" s="27" t="str">
        <f aca="false">IF(J1211="","",COUNTIF($I$2:I1211,I1211))</f>
        <v/>
      </c>
      <c r="L1211" s="27" t="str">
        <f aca="false">IF(J1211="","",CHOOSE(Q1211+1,"Tue","Wed","Thu","Fri"))</f>
        <v/>
      </c>
      <c r="M1211" s="27" t="str">
        <f aca="false">IF(J1211="","",IF(J1211=1,"Every week",R1211+1&amp;" of "&amp;J1211))</f>
        <v/>
      </c>
      <c r="N1211" s="28" t="str">
        <f aca="false">IF(J1211="","",Settings!$B$4+R1211*7+Q1211)</f>
        <v/>
      </c>
      <c r="O1211" s="28" t="str">
        <f aca="true">IF(J1211="","",N1211+MAX(0,ROUNDUP((TODAY()-N1211)/(J1211*7),0))*J1211*7)</f>
        <v/>
      </c>
      <c r="P1211" s="27" t="str">
        <f aca="false">IF(J1211="","",MOD(K1211-1,J1211*4))</f>
        <v/>
      </c>
      <c r="Q1211" s="27" t="str">
        <f aca="false">IF(J1211="","",MOD(P1211,4))</f>
        <v/>
      </c>
      <c r="R1211" s="27" t="str">
        <f aca="false">IF(J1211="","",INT(P1211/4))</f>
        <v/>
      </c>
      <c r="S1211" s="27" t="str">
        <f aca="false">IF(J1211="","",IF(AND('Daily Count Sheet'!$H$3=Q1211,MOD('Daily Count Sheet'!$I$3,J1211)=R1211),1,""))</f>
        <v/>
      </c>
      <c r="T1211" s="27" t="str">
        <f aca="false">IF(S1211=1,COUNTIF($S$2:S1211,1),"")</f>
        <v/>
      </c>
    </row>
    <row r="1212" customFormat="false" ht="15" hidden="false" customHeight="false" outlineLevel="0" collapsed="false">
      <c r="H1212" s="26"/>
      <c r="I1212" s="27" t="str">
        <f aca="false">IF(A1212="","",IF(H1212&lt;&gt;"",UPPER(TRIM(H1212)),IFERROR(CHOOSE(VALUE(E1212)+1,"A","B","C","D"),IF(OR(LEFT(UPPER(TRIM(E1212)),1)="F",UPPER(TRIM(E1212))="A"),"A",IF(OR(LEFT(UPPER(TRIM(E1212)),1)="M",UPPER(TRIM(E1212))="B"),"B",IF(OR(LEFT(UPPER(TRIM(E1212)),2)="SL",UPPER(TRIM(E1212))="C"),"C",IF(OR(LEFT(UPPER(TRIM(E1212)),1)="D",UPPER(TRIM(E1212))="D"),"D","")))))))</f>
        <v/>
      </c>
      <c r="J1212" s="27" t="str">
        <f aca="false">IF(I1212="","",IF(AND(I1212="D",Settings!$B$6&lt;&gt;"Yes"),"",IFERROR(INDEX(Settings!$C$9:$C$12,MATCH(I1212,Settings!$A$9:$A$12,0)),"")))</f>
        <v/>
      </c>
      <c r="K1212" s="27" t="str">
        <f aca="false">IF(J1212="","",COUNTIF($I$2:I1212,I1212))</f>
        <v/>
      </c>
      <c r="L1212" s="27" t="str">
        <f aca="false">IF(J1212="","",CHOOSE(Q1212+1,"Tue","Wed","Thu","Fri"))</f>
        <v/>
      </c>
      <c r="M1212" s="27" t="str">
        <f aca="false">IF(J1212="","",IF(J1212=1,"Every week",R1212+1&amp;" of "&amp;J1212))</f>
        <v/>
      </c>
      <c r="N1212" s="28" t="str">
        <f aca="false">IF(J1212="","",Settings!$B$4+R1212*7+Q1212)</f>
        <v/>
      </c>
      <c r="O1212" s="28" t="str">
        <f aca="true">IF(J1212="","",N1212+MAX(0,ROUNDUP((TODAY()-N1212)/(J1212*7),0))*J1212*7)</f>
        <v/>
      </c>
      <c r="P1212" s="27" t="str">
        <f aca="false">IF(J1212="","",MOD(K1212-1,J1212*4))</f>
        <v/>
      </c>
      <c r="Q1212" s="27" t="str">
        <f aca="false">IF(J1212="","",MOD(P1212,4))</f>
        <v/>
      </c>
      <c r="R1212" s="27" t="str">
        <f aca="false">IF(J1212="","",INT(P1212/4))</f>
        <v/>
      </c>
      <c r="S1212" s="27" t="str">
        <f aca="false">IF(J1212="","",IF(AND('Daily Count Sheet'!$H$3=Q1212,MOD('Daily Count Sheet'!$I$3,J1212)=R1212),1,""))</f>
        <v/>
      </c>
      <c r="T1212" s="27" t="str">
        <f aca="false">IF(S1212=1,COUNTIF($S$2:S1212,1),"")</f>
        <v/>
      </c>
    </row>
    <row r="1213" customFormat="false" ht="15" hidden="false" customHeight="false" outlineLevel="0" collapsed="false">
      <c r="H1213" s="26"/>
      <c r="I1213" s="27" t="str">
        <f aca="false">IF(A1213="","",IF(H1213&lt;&gt;"",UPPER(TRIM(H1213)),IFERROR(CHOOSE(VALUE(E1213)+1,"A","B","C","D"),IF(OR(LEFT(UPPER(TRIM(E1213)),1)="F",UPPER(TRIM(E1213))="A"),"A",IF(OR(LEFT(UPPER(TRIM(E1213)),1)="M",UPPER(TRIM(E1213))="B"),"B",IF(OR(LEFT(UPPER(TRIM(E1213)),2)="SL",UPPER(TRIM(E1213))="C"),"C",IF(OR(LEFT(UPPER(TRIM(E1213)),1)="D",UPPER(TRIM(E1213))="D"),"D","")))))))</f>
        <v/>
      </c>
      <c r="J1213" s="27" t="str">
        <f aca="false">IF(I1213="","",IF(AND(I1213="D",Settings!$B$6&lt;&gt;"Yes"),"",IFERROR(INDEX(Settings!$C$9:$C$12,MATCH(I1213,Settings!$A$9:$A$12,0)),"")))</f>
        <v/>
      </c>
      <c r="K1213" s="27" t="str">
        <f aca="false">IF(J1213="","",COUNTIF($I$2:I1213,I1213))</f>
        <v/>
      </c>
      <c r="L1213" s="27" t="str">
        <f aca="false">IF(J1213="","",CHOOSE(Q1213+1,"Tue","Wed","Thu","Fri"))</f>
        <v/>
      </c>
      <c r="M1213" s="27" t="str">
        <f aca="false">IF(J1213="","",IF(J1213=1,"Every week",R1213+1&amp;" of "&amp;J1213))</f>
        <v/>
      </c>
      <c r="N1213" s="28" t="str">
        <f aca="false">IF(J1213="","",Settings!$B$4+R1213*7+Q1213)</f>
        <v/>
      </c>
      <c r="O1213" s="28" t="str">
        <f aca="true">IF(J1213="","",N1213+MAX(0,ROUNDUP((TODAY()-N1213)/(J1213*7),0))*J1213*7)</f>
        <v/>
      </c>
      <c r="P1213" s="27" t="str">
        <f aca="false">IF(J1213="","",MOD(K1213-1,J1213*4))</f>
        <v/>
      </c>
      <c r="Q1213" s="27" t="str">
        <f aca="false">IF(J1213="","",MOD(P1213,4))</f>
        <v/>
      </c>
      <c r="R1213" s="27" t="str">
        <f aca="false">IF(J1213="","",INT(P1213/4))</f>
        <v/>
      </c>
      <c r="S1213" s="27" t="str">
        <f aca="false">IF(J1213="","",IF(AND('Daily Count Sheet'!$H$3=Q1213,MOD('Daily Count Sheet'!$I$3,J1213)=R1213),1,""))</f>
        <v/>
      </c>
      <c r="T1213" s="27" t="str">
        <f aca="false">IF(S1213=1,COUNTIF($S$2:S1213,1),"")</f>
        <v/>
      </c>
    </row>
    <row r="1214" customFormat="false" ht="15" hidden="false" customHeight="false" outlineLevel="0" collapsed="false">
      <c r="H1214" s="26"/>
      <c r="I1214" s="27" t="str">
        <f aca="false">IF(A1214="","",IF(H1214&lt;&gt;"",UPPER(TRIM(H1214)),IFERROR(CHOOSE(VALUE(E1214)+1,"A","B","C","D"),IF(OR(LEFT(UPPER(TRIM(E1214)),1)="F",UPPER(TRIM(E1214))="A"),"A",IF(OR(LEFT(UPPER(TRIM(E1214)),1)="M",UPPER(TRIM(E1214))="B"),"B",IF(OR(LEFT(UPPER(TRIM(E1214)),2)="SL",UPPER(TRIM(E1214))="C"),"C",IF(OR(LEFT(UPPER(TRIM(E1214)),1)="D",UPPER(TRIM(E1214))="D"),"D","")))))))</f>
        <v/>
      </c>
      <c r="J1214" s="27" t="str">
        <f aca="false">IF(I1214="","",IF(AND(I1214="D",Settings!$B$6&lt;&gt;"Yes"),"",IFERROR(INDEX(Settings!$C$9:$C$12,MATCH(I1214,Settings!$A$9:$A$12,0)),"")))</f>
        <v/>
      </c>
      <c r="K1214" s="27" t="str">
        <f aca="false">IF(J1214="","",COUNTIF($I$2:I1214,I1214))</f>
        <v/>
      </c>
      <c r="L1214" s="27" t="str">
        <f aca="false">IF(J1214="","",CHOOSE(Q1214+1,"Tue","Wed","Thu","Fri"))</f>
        <v/>
      </c>
      <c r="M1214" s="27" t="str">
        <f aca="false">IF(J1214="","",IF(J1214=1,"Every week",R1214+1&amp;" of "&amp;J1214))</f>
        <v/>
      </c>
      <c r="N1214" s="28" t="str">
        <f aca="false">IF(J1214="","",Settings!$B$4+R1214*7+Q1214)</f>
        <v/>
      </c>
      <c r="O1214" s="28" t="str">
        <f aca="true">IF(J1214="","",N1214+MAX(0,ROUNDUP((TODAY()-N1214)/(J1214*7),0))*J1214*7)</f>
        <v/>
      </c>
      <c r="P1214" s="27" t="str">
        <f aca="false">IF(J1214="","",MOD(K1214-1,J1214*4))</f>
        <v/>
      </c>
      <c r="Q1214" s="27" t="str">
        <f aca="false">IF(J1214="","",MOD(P1214,4))</f>
        <v/>
      </c>
      <c r="R1214" s="27" t="str">
        <f aca="false">IF(J1214="","",INT(P1214/4))</f>
        <v/>
      </c>
      <c r="S1214" s="27" t="str">
        <f aca="false">IF(J1214="","",IF(AND('Daily Count Sheet'!$H$3=Q1214,MOD('Daily Count Sheet'!$I$3,J1214)=R1214),1,""))</f>
        <v/>
      </c>
      <c r="T1214" s="27" t="str">
        <f aca="false">IF(S1214=1,COUNTIF($S$2:S1214,1),"")</f>
        <v/>
      </c>
    </row>
    <row r="1215" customFormat="false" ht="15" hidden="false" customHeight="false" outlineLevel="0" collapsed="false">
      <c r="H1215" s="26"/>
      <c r="I1215" s="27" t="str">
        <f aca="false">IF(A1215="","",IF(H1215&lt;&gt;"",UPPER(TRIM(H1215)),IFERROR(CHOOSE(VALUE(E1215)+1,"A","B","C","D"),IF(OR(LEFT(UPPER(TRIM(E1215)),1)="F",UPPER(TRIM(E1215))="A"),"A",IF(OR(LEFT(UPPER(TRIM(E1215)),1)="M",UPPER(TRIM(E1215))="B"),"B",IF(OR(LEFT(UPPER(TRIM(E1215)),2)="SL",UPPER(TRIM(E1215))="C"),"C",IF(OR(LEFT(UPPER(TRIM(E1215)),1)="D",UPPER(TRIM(E1215))="D"),"D","")))))))</f>
        <v/>
      </c>
      <c r="J1215" s="27" t="str">
        <f aca="false">IF(I1215="","",IF(AND(I1215="D",Settings!$B$6&lt;&gt;"Yes"),"",IFERROR(INDEX(Settings!$C$9:$C$12,MATCH(I1215,Settings!$A$9:$A$12,0)),"")))</f>
        <v/>
      </c>
      <c r="K1215" s="27" t="str">
        <f aca="false">IF(J1215="","",COUNTIF($I$2:I1215,I1215))</f>
        <v/>
      </c>
      <c r="L1215" s="27" t="str">
        <f aca="false">IF(J1215="","",CHOOSE(Q1215+1,"Tue","Wed","Thu","Fri"))</f>
        <v/>
      </c>
      <c r="M1215" s="27" t="str">
        <f aca="false">IF(J1215="","",IF(J1215=1,"Every week",R1215+1&amp;" of "&amp;J1215))</f>
        <v/>
      </c>
      <c r="N1215" s="28" t="str">
        <f aca="false">IF(J1215="","",Settings!$B$4+R1215*7+Q1215)</f>
        <v/>
      </c>
      <c r="O1215" s="28" t="str">
        <f aca="true">IF(J1215="","",N1215+MAX(0,ROUNDUP((TODAY()-N1215)/(J1215*7),0))*J1215*7)</f>
        <v/>
      </c>
      <c r="P1215" s="27" t="str">
        <f aca="false">IF(J1215="","",MOD(K1215-1,J1215*4))</f>
        <v/>
      </c>
      <c r="Q1215" s="27" t="str">
        <f aca="false">IF(J1215="","",MOD(P1215,4))</f>
        <v/>
      </c>
      <c r="R1215" s="27" t="str">
        <f aca="false">IF(J1215="","",INT(P1215/4))</f>
        <v/>
      </c>
      <c r="S1215" s="27" t="str">
        <f aca="false">IF(J1215="","",IF(AND('Daily Count Sheet'!$H$3=Q1215,MOD('Daily Count Sheet'!$I$3,J1215)=R1215),1,""))</f>
        <v/>
      </c>
      <c r="T1215" s="27" t="str">
        <f aca="false">IF(S1215=1,COUNTIF($S$2:S1215,1),"")</f>
        <v/>
      </c>
    </row>
    <row r="1216" customFormat="false" ht="15" hidden="false" customHeight="false" outlineLevel="0" collapsed="false">
      <c r="H1216" s="26"/>
      <c r="I1216" s="27" t="str">
        <f aca="false">IF(A1216="","",IF(H1216&lt;&gt;"",UPPER(TRIM(H1216)),IFERROR(CHOOSE(VALUE(E1216)+1,"A","B","C","D"),IF(OR(LEFT(UPPER(TRIM(E1216)),1)="F",UPPER(TRIM(E1216))="A"),"A",IF(OR(LEFT(UPPER(TRIM(E1216)),1)="M",UPPER(TRIM(E1216))="B"),"B",IF(OR(LEFT(UPPER(TRIM(E1216)),2)="SL",UPPER(TRIM(E1216))="C"),"C",IF(OR(LEFT(UPPER(TRIM(E1216)),1)="D",UPPER(TRIM(E1216))="D"),"D","")))))))</f>
        <v/>
      </c>
      <c r="J1216" s="27" t="str">
        <f aca="false">IF(I1216="","",IF(AND(I1216="D",Settings!$B$6&lt;&gt;"Yes"),"",IFERROR(INDEX(Settings!$C$9:$C$12,MATCH(I1216,Settings!$A$9:$A$12,0)),"")))</f>
        <v/>
      </c>
      <c r="K1216" s="27" t="str">
        <f aca="false">IF(J1216="","",COUNTIF($I$2:I1216,I1216))</f>
        <v/>
      </c>
      <c r="L1216" s="27" t="str">
        <f aca="false">IF(J1216="","",CHOOSE(Q1216+1,"Tue","Wed","Thu","Fri"))</f>
        <v/>
      </c>
      <c r="M1216" s="27" t="str">
        <f aca="false">IF(J1216="","",IF(J1216=1,"Every week",R1216+1&amp;" of "&amp;J1216))</f>
        <v/>
      </c>
      <c r="N1216" s="28" t="str">
        <f aca="false">IF(J1216="","",Settings!$B$4+R1216*7+Q1216)</f>
        <v/>
      </c>
      <c r="O1216" s="28" t="str">
        <f aca="true">IF(J1216="","",N1216+MAX(0,ROUNDUP((TODAY()-N1216)/(J1216*7),0))*J1216*7)</f>
        <v/>
      </c>
      <c r="P1216" s="27" t="str">
        <f aca="false">IF(J1216="","",MOD(K1216-1,J1216*4))</f>
        <v/>
      </c>
      <c r="Q1216" s="27" t="str">
        <f aca="false">IF(J1216="","",MOD(P1216,4))</f>
        <v/>
      </c>
      <c r="R1216" s="27" t="str">
        <f aca="false">IF(J1216="","",INT(P1216/4))</f>
        <v/>
      </c>
      <c r="S1216" s="27" t="str">
        <f aca="false">IF(J1216="","",IF(AND('Daily Count Sheet'!$H$3=Q1216,MOD('Daily Count Sheet'!$I$3,J1216)=R1216),1,""))</f>
        <v/>
      </c>
      <c r="T1216" s="27" t="str">
        <f aca="false">IF(S1216=1,COUNTIF($S$2:S1216,1),"")</f>
        <v/>
      </c>
    </row>
    <row r="1217" customFormat="false" ht="15" hidden="false" customHeight="false" outlineLevel="0" collapsed="false">
      <c r="H1217" s="26"/>
      <c r="I1217" s="27" t="str">
        <f aca="false">IF(A1217="","",IF(H1217&lt;&gt;"",UPPER(TRIM(H1217)),IFERROR(CHOOSE(VALUE(E1217)+1,"A","B","C","D"),IF(OR(LEFT(UPPER(TRIM(E1217)),1)="F",UPPER(TRIM(E1217))="A"),"A",IF(OR(LEFT(UPPER(TRIM(E1217)),1)="M",UPPER(TRIM(E1217))="B"),"B",IF(OR(LEFT(UPPER(TRIM(E1217)),2)="SL",UPPER(TRIM(E1217))="C"),"C",IF(OR(LEFT(UPPER(TRIM(E1217)),1)="D",UPPER(TRIM(E1217))="D"),"D","")))))))</f>
        <v/>
      </c>
      <c r="J1217" s="27" t="str">
        <f aca="false">IF(I1217="","",IF(AND(I1217="D",Settings!$B$6&lt;&gt;"Yes"),"",IFERROR(INDEX(Settings!$C$9:$C$12,MATCH(I1217,Settings!$A$9:$A$12,0)),"")))</f>
        <v/>
      </c>
      <c r="K1217" s="27" t="str">
        <f aca="false">IF(J1217="","",COUNTIF($I$2:I1217,I1217))</f>
        <v/>
      </c>
      <c r="L1217" s="27" t="str">
        <f aca="false">IF(J1217="","",CHOOSE(Q1217+1,"Tue","Wed","Thu","Fri"))</f>
        <v/>
      </c>
      <c r="M1217" s="27" t="str">
        <f aca="false">IF(J1217="","",IF(J1217=1,"Every week",R1217+1&amp;" of "&amp;J1217))</f>
        <v/>
      </c>
      <c r="N1217" s="28" t="str">
        <f aca="false">IF(J1217="","",Settings!$B$4+R1217*7+Q1217)</f>
        <v/>
      </c>
      <c r="O1217" s="28" t="str">
        <f aca="true">IF(J1217="","",N1217+MAX(0,ROUNDUP((TODAY()-N1217)/(J1217*7),0))*J1217*7)</f>
        <v/>
      </c>
      <c r="P1217" s="27" t="str">
        <f aca="false">IF(J1217="","",MOD(K1217-1,J1217*4))</f>
        <v/>
      </c>
      <c r="Q1217" s="27" t="str">
        <f aca="false">IF(J1217="","",MOD(P1217,4))</f>
        <v/>
      </c>
      <c r="R1217" s="27" t="str">
        <f aca="false">IF(J1217="","",INT(P1217/4))</f>
        <v/>
      </c>
      <c r="S1217" s="27" t="str">
        <f aca="false">IF(J1217="","",IF(AND('Daily Count Sheet'!$H$3=Q1217,MOD('Daily Count Sheet'!$I$3,J1217)=R1217),1,""))</f>
        <v/>
      </c>
      <c r="T1217" s="27" t="str">
        <f aca="false">IF(S1217=1,COUNTIF($S$2:S1217,1),"")</f>
        <v/>
      </c>
    </row>
    <row r="1218" customFormat="false" ht="15" hidden="false" customHeight="false" outlineLevel="0" collapsed="false">
      <c r="H1218" s="26"/>
      <c r="I1218" s="27" t="str">
        <f aca="false">IF(A1218="","",IF(H1218&lt;&gt;"",UPPER(TRIM(H1218)),IFERROR(CHOOSE(VALUE(E1218)+1,"A","B","C","D"),IF(OR(LEFT(UPPER(TRIM(E1218)),1)="F",UPPER(TRIM(E1218))="A"),"A",IF(OR(LEFT(UPPER(TRIM(E1218)),1)="M",UPPER(TRIM(E1218))="B"),"B",IF(OR(LEFT(UPPER(TRIM(E1218)),2)="SL",UPPER(TRIM(E1218))="C"),"C",IF(OR(LEFT(UPPER(TRIM(E1218)),1)="D",UPPER(TRIM(E1218))="D"),"D","")))))))</f>
        <v/>
      </c>
      <c r="J1218" s="27" t="str">
        <f aca="false">IF(I1218="","",IF(AND(I1218="D",Settings!$B$6&lt;&gt;"Yes"),"",IFERROR(INDEX(Settings!$C$9:$C$12,MATCH(I1218,Settings!$A$9:$A$12,0)),"")))</f>
        <v/>
      </c>
      <c r="K1218" s="27" t="str">
        <f aca="false">IF(J1218="","",COUNTIF($I$2:I1218,I1218))</f>
        <v/>
      </c>
      <c r="L1218" s="27" t="str">
        <f aca="false">IF(J1218="","",CHOOSE(Q1218+1,"Tue","Wed","Thu","Fri"))</f>
        <v/>
      </c>
      <c r="M1218" s="27" t="str">
        <f aca="false">IF(J1218="","",IF(J1218=1,"Every week",R1218+1&amp;" of "&amp;J1218))</f>
        <v/>
      </c>
      <c r="N1218" s="28" t="str">
        <f aca="false">IF(J1218="","",Settings!$B$4+R1218*7+Q1218)</f>
        <v/>
      </c>
      <c r="O1218" s="28" t="str">
        <f aca="true">IF(J1218="","",N1218+MAX(0,ROUNDUP((TODAY()-N1218)/(J1218*7),0))*J1218*7)</f>
        <v/>
      </c>
      <c r="P1218" s="27" t="str">
        <f aca="false">IF(J1218="","",MOD(K1218-1,J1218*4))</f>
        <v/>
      </c>
      <c r="Q1218" s="27" t="str">
        <f aca="false">IF(J1218="","",MOD(P1218,4))</f>
        <v/>
      </c>
      <c r="R1218" s="27" t="str">
        <f aca="false">IF(J1218="","",INT(P1218/4))</f>
        <v/>
      </c>
      <c r="S1218" s="27" t="str">
        <f aca="false">IF(J1218="","",IF(AND('Daily Count Sheet'!$H$3=Q1218,MOD('Daily Count Sheet'!$I$3,J1218)=R1218),1,""))</f>
        <v/>
      </c>
      <c r="T1218" s="27" t="str">
        <f aca="false">IF(S1218=1,COUNTIF($S$2:S1218,1),"")</f>
        <v/>
      </c>
    </row>
    <row r="1219" customFormat="false" ht="15" hidden="false" customHeight="false" outlineLevel="0" collapsed="false">
      <c r="H1219" s="26"/>
      <c r="I1219" s="27" t="str">
        <f aca="false">IF(A1219="","",IF(H1219&lt;&gt;"",UPPER(TRIM(H1219)),IFERROR(CHOOSE(VALUE(E1219)+1,"A","B","C","D"),IF(OR(LEFT(UPPER(TRIM(E1219)),1)="F",UPPER(TRIM(E1219))="A"),"A",IF(OR(LEFT(UPPER(TRIM(E1219)),1)="M",UPPER(TRIM(E1219))="B"),"B",IF(OR(LEFT(UPPER(TRIM(E1219)),2)="SL",UPPER(TRIM(E1219))="C"),"C",IF(OR(LEFT(UPPER(TRIM(E1219)),1)="D",UPPER(TRIM(E1219))="D"),"D","")))))))</f>
        <v/>
      </c>
      <c r="J1219" s="27" t="str">
        <f aca="false">IF(I1219="","",IF(AND(I1219="D",Settings!$B$6&lt;&gt;"Yes"),"",IFERROR(INDEX(Settings!$C$9:$C$12,MATCH(I1219,Settings!$A$9:$A$12,0)),"")))</f>
        <v/>
      </c>
      <c r="K1219" s="27" t="str">
        <f aca="false">IF(J1219="","",COUNTIF($I$2:I1219,I1219))</f>
        <v/>
      </c>
      <c r="L1219" s="27" t="str">
        <f aca="false">IF(J1219="","",CHOOSE(Q1219+1,"Tue","Wed","Thu","Fri"))</f>
        <v/>
      </c>
      <c r="M1219" s="27" t="str">
        <f aca="false">IF(J1219="","",IF(J1219=1,"Every week",R1219+1&amp;" of "&amp;J1219))</f>
        <v/>
      </c>
      <c r="N1219" s="28" t="str">
        <f aca="false">IF(J1219="","",Settings!$B$4+R1219*7+Q1219)</f>
        <v/>
      </c>
      <c r="O1219" s="28" t="str">
        <f aca="true">IF(J1219="","",N1219+MAX(0,ROUNDUP((TODAY()-N1219)/(J1219*7),0))*J1219*7)</f>
        <v/>
      </c>
      <c r="P1219" s="27" t="str">
        <f aca="false">IF(J1219="","",MOD(K1219-1,J1219*4))</f>
        <v/>
      </c>
      <c r="Q1219" s="27" t="str">
        <f aca="false">IF(J1219="","",MOD(P1219,4))</f>
        <v/>
      </c>
      <c r="R1219" s="27" t="str">
        <f aca="false">IF(J1219="","",INT(P1219/4))</f>
        <v/>
      </c>
      <c r="S1219" s="27" t="str">
        <f aca="false">IF(J1219="","",IF(AND('Daily Count Sheet'!$H$3=Q1219,MOD('Daily Count Sheet'!$I$3,J1219)=R1219),1,""))</f>
        <v/>
      </c>
      <c r="T1219" s="27" t="str">
        <f aca="false">IF(S1219=1,COUNTIF($S$2:S1219,1),"")</f>
        <v/>
      </c>
    </row>
    <row r="1220" customFormat="false" ht="15" hidden="false" customHeight="false" outlineLevel="0" collapsed="false">
      <c r="H1220" s="26"/>
      <c r="I1220" s="27" t="str">
        <f aca="false">IF(A1220="","",IF(H1220&lt;&gt;"",UPPER(TRIM(H1220)),IFERROR(CHOOSE(VALUE(E1220)+1,"A","B","C","D"),IF(OR(LEFT(UPPER(TRIM(E1220)),1)="F",UPPER(TRIM(E1220))="A"),"A",IF(OR(LEFT(UPPER(TRIM(E1220)),1)="M",UPPER(TRIM(E1220))="B"),"B",IF(OR(LEFT(UPPER(TRIM(E1220)),2)="SL",UPPER(TRIM(E1220))="C"),"C",IF(OR(LEFT(UPPER(TRIM(E1220)),1)="D",UPPER(TRIM(E1220))="D"),"D","")))))))</f>
        <v/>
      </c>
      <c r="J1220" s="27" t="str">
        <f aca="false">IF(I1220="","",IF(AND(I1220="D",Settings!$B$6&lt;&gt;"Yes"),"",IFERROR(INDEX(Settings!$C$9:$C$12,MATCH(I1220,Settings!$A$9:$A$12,0)),"")))</f>
        <v/>
      </c>
      <c r="K1220" s="27" t="str">
        <f aca="false">IF(J1220="","",COUNTIF($I$2:I1220,I1220))</f>
        <v/>
      </c>
      <c r="L1220" s="27" t="str">
        <f aca="false">IF(J1220="","",CHOOSE(Q1220+1,"Tue","Wed","Thu","Fri"))</f>
        <v/>
      </c>
      <c r="M1220" s="27" t="str">
        <f aca="false">IF(J1220="","",IF(J1220=1,"Every week",R1220+1&amp;" of "&amp;J1220))</f>
        <v/>
      </c>
      <c r="N1220" s="28" t="str">
        <f aca="false">IF(J1220="","",Settings!$B$4+R1220*7+Q1220)</f>
        <v/>
      </c>
      <c r="O1220" s="28" t="str">
        <f aca="true">IF(J1220="","",N1220+MAX(0,ROUNDUP((TODAY()-N1220)/(J1220*7),0))*J1220*7)</f>
        <v/>
      </c>
      <c r="P1220" s="27" t="str">
        <f aca="false">IF(J1220="","",MOD(K1220-1,J1220*4))</f>
        <v/>
      </c>
      <c r="Q1220" s="27" t="str">
        <f aca="false">IF(J1220="","",MOD(P1220,4))</f>
        <v/>
      </c>
      <c r="R1220" s="27" t="str">
        <f aca="false">IF(J1220="","",INT(P1220/4))</f>
        <v/>
      </c>
      <c r="S1220" s="27" t="str">
        <f aca="false">IF(J1220="","",IF(AND('Daily Count Sheet'!$H$3=Q1220,MOD('Daily Count Sheet'!$I$3,J1220)=R1220),1,""))</f>
        <v/>
      </c>
      <c r="T1220" s="27" t="str">
        <f aca="false">IF(S1220=1,COUNTIF($S$2:S1220,1),"")</f>
        <v/>
      </c>
    </row>
    <row r="1221" customFormat="false" ht="15" hidden="false" customHeight="false" outlineLevel="0" collapsed="false">
      <c r="H1221" s="26"/>
      <c r="I1221" s="27" t="str">
        <f aca="false">IF(A1221="","",IF(H1221&lt;&gt;"",UPPER(TRIM(H1221)),IFERROR(CHOOSE(VALUE(E1221)+1,"A","B","C","D"),IF(OR(LEFT(UPPER(TRIM(E1221)),1)="F",UPPER(TRIM(E1221))="A"),"A",IF(OR(LEFT(UPPER(TRIM(E1221)),1)="M",UPPER(TRIM(E1221))="B"),"B",IF(OR(LEFT(UPPER(TRIM(E1221)),2)="SL",UPPER(TRIM(E1221))="C"),"C",IF(OR(LEFT(UPPER(TRIM(E1221)),1)="D",UPPER(TRIM(E1221))="D"),"D","")))))))</f>
        <v/>
      </c>
      <c r="J1221" s="27" t="str">
        <f aca="false">IF(I1221="","",IF(AND(I1221="D",Settings!$B$6&lt;&gt;"Yes"),"",IFERROR(INDEX(Settings!$C$9:$C$12,MATCH(I1221,Settings!$A$9:$A$12,0)),"")))</f>
        <v/>
      </c>
      <c r="K1221" s="27" t="str">
        <f aca="false">IF(J1221="","",COUNTIF($I$2:I1221,I1221))</f>
        <v/>
      </c>
      <c r="L1221" s="27" t="str">
        <f aca="false">IF(J1221="","",CHOOSE(Q1221+1,"Tue","Wed","Thu","Fri"))</f>
        <v/>
      </c>
      <c r="M1221" s="27" t="str">
        <f aca="false">IF(J1221="","",IF(J1221=1,"Every week",R1221+1&amp;" of "&amp;J1221))</f>
        <v/>
      </c>
      <c r="N1221" s="28" t="str">
        <f aca="false">IF(J1221="","",Settings!$B$4+R1221*7+Q1221)</f>
        <v/>
      </c>
      <c r="O1221" s="28" t="str">
        <f aca="true">IF(J1221="","",N1221+MAX(0,ROUNDUP((TODAY()-N1221)/(J1221*7),0))*J1221*7)</f>
        <v/>
      </c>
      <c r="P1221" s="27" t="str">
        <f aca="false">IF(J1221="","",MOD(K1221-1,J1221*4))</f>
        <v/>
      </c>
      <c r="Q1221" s="27" t="str">
        <f aca="false">IF(J1221="","",MOD(P1221,4))</f>
        <v/>
      </c>
      <c r="R1221" s="27" t="str">
        <f aca="false">IF(J1221="","",INT(P1221/4))</f>
        <v/>
      </c>
      <c r="S1221" s="27" t="str">
        <f aca="false">IF(J1221="","",IF(AND('Daily Count Sheet'!$H$3=Q1221,MOD('Daily Count Sheet'!$I$3,J1221)=R1221),1,""))</f>
        <v/>
      </c>
      <c r="T1221" s="27" t="str">
        <f aca="false">IF(S1221=1,COUNTIF($S$2:S1221,1),"")</f>
        <v/>
      </c>
    </row>
    <row r="1222" customFormat="false" ht="15" hidden="false" customHeight="false" outlineLevel="0" collapsed="false">
      <c r="H1222" s="26"/>
      <c r="I1222" s="27" t="str">
        <f aca="false">IF(A1222="","",IF(H1222&lt;&gt;"",UPPER(TRIM(H1222)),IFERROR(CHOOSE(VALUE(E1222)+1,"A","B","C","D"),IF(OR(LEFT(UPPER(TRIM(E1222)),1)="F",UPPER(TRIM(E1222))="A"),"A",IF(OR(LEFT(UPPER(TRIM(E1222)),1)="M",UPPER(TRIM(E1222))="B"),"B",IF(OR(LEFT(UPPER(TRIM(E1222)),2)="SL",UPPER(TRIM(E1222))="C"),"C",IF(OR(LEFT(UPPER(TRIM(E1222)),1)="D",UPPER(TRIM(E1222))="D"),"D","")))))))</f>
        <v/>
      </c>
      <c r="J1222" s="27" t="str">
        <f aca="false">IF(I1222="","",IF(AND(I1222="D",Settings!$B$6&lt;&gt;"Yes"),"",IFERROR(INDEX(Settings!$C$9:$C$12,MATCH(I1222,Settings!$A$9:$A$12,0)),"")))</f>
        <v/>
      </c>
      <c r="K1222" s="27" t="str">
        <f aca="false">IF(J1222="","",COUNTIF($I$2:I1222,I1222))</f>
        <v/>
      </c>
      <c r="L1222" s="27" t="str">
        <f aca="false">IF(J1222="","",CHOOSE(Q1222+1,"Tue","Wed","Thu","Fri"))</f>
        <v/>
      </c>
      <c r="M1222" s="27" t="str">
        <f aca="false">IF(J1222="","",IF(J1222=1,"Every week",R1222+1&amp;" of "&amp;J1222))</f>
        <v/>
      </c>
      <c r="N1222" s="28" t="str">
        <f aca="false">IF(J1222="","",Settings!$B$4+R1222*7+Q1222)</f>
        <v/>
      </c>
      <c r="O1222" s="28" t="str">
        <f aca="true">IF(J1222="","",N1222+MAX(0,ROUNDUP((TODAY()-N1222)/(J1222*7),0))*J1222*7)</f>
        <v/>
      </c>
      <c r="P1222" s="27" t="str">
        <f aca="false">IF(J1222="","",MOD(K1222-1,J1222*4))</f>
        <v/>
      </c>
      <c r="Q1222" s="27" t="str">
        <f aca="false">IF(J1222="","",MOD(P1222,4))</f>
        <v/>
      </c>
      <c r="R1222" s="27" t="str">
        <f aca="false">IF(J1222="","",INT(P1222/4))</f>
        <v/>
      </c>
      <c r="S1222" s="27" t="str">
        <f aca="false">IF(J1222="","",IF(AND('Daily Count Sheet'!$H$3=Q1222,MOD('Daily Count Sheet'!$I$3,J1222)=R1222),1,""))</f>
        <v/>
      </c>
      <c r="T1222" s="27" t="str">
        <f aca="false">IF(S1222=1,COUNTIF($S$2:S1222,1),"")</f>
        <v/>
      </c>
    </row>
    <row r="1223" customFormat="false" ht="15" hidden="false" customHeight="false" outlineLevel="0" collapsed="false">
      <c r="H1223" s="26"/>
      <c r="I1223" s="27" t="str">
        <f aca="false">IF(A1223="","",IF(H1223&lt;&gt;"",UPPER(TRIM(H1223)),IFERROR(CHOOSE(VALUE(E1223)+1,"A","B","C","D"),IF(OR(LEFT(UPPER(TRIM(E1223)),1)="F",UPPER(TRIM(E1223))="A"),"A",IF(OR(LEFT(UPPER(TRIM(E1223)),1)="M",UPPER(TRIM(E1223))="B"),"B",IF(OR(LEFT(UPPER(TRIM(E1223)),2)="SL",UPPER(TRIM(E1223))="C"),"C",IF(OR(LEFT(UPPER(TRIM(E1223)),1)="D",UPPER(TRIM(E1223))="D"),"D","")))))))</f>
        <v/>
      </c>
      <c r="J1223" s="27" t="str">
        <f aca="false">IF(I1223="","",IF(AND(I1223="D",Settings!$B$6&lt;&gt;"Yes"),"",IFERROR(INDEX(Settings!$C$9:$C$12,MATCH(I1223,Settings!$A$9:$A$12,0)),"")))</f>
        <v/>
      </c>
      <c r="K1223" s="27" t="str">
        <f aca="false">IF(J1223="","",COUNTIF($I$2:I1223,I1223))</f>
        <v/>
      </c>
      <c r="L1223" s="27" t="str">
        <f aca="false">IF(J1223="","",CHOOSE(Q1223+1,"Tue","Wed","Thu","Fri"))</f>
        <v/>
      </c>
      <c r="M1223" s="27" t="str">
        <f aca="false">IF(J1223="","",IF(J1223=1,"Every week",R1223+1&amp;" of "&amp;J1223))</f>
        <v/>
      </c>
      <c r="N1223" s="28" t="str">
        <f aca="false">IF(J1223="","",Settings!$B$4+R1223*7+Q1223)</f>
        <v/>
      </c>
      <c r="O1223" s="28" t="str">
        <f aca="true">IF(J1223="","",N1223+MAX(0,ROUNDUP((TODAY()-N1223)/(J1223*7),0))*J1223*7)</f>
        <v/>
      </c>
      <c r="P1223" s="27" t="str">
        <f aca="false">IF(J1223="","",MOD(K1223-1,J1223*4))</f>
        <v/>
      </c>
      <c r="Q1223" s="27" t="str">
        <f aca="false">IF(J1223="","",MOD(P1223,4))</f>
        <v/>
      </c>
      <c r="R1223" s="27" t="str">
        <f aca="false">IF(J1223="","",INT(P1223/4))</f>
        <v/>
      </c>
      <c r="S1223" s="27" t="str">
        <f aca="false">IF(J1223="","",IF(AND('Daily Count Sheet'!$H$3=Q1223,MOD('Daily Count Sheet'!$I$3,J1223)=R1223),1,""))</f>
        <v/>
      </c>
      <c r="T1223" s="27" t="str">
        <f aca="false">IF(S1223=1,COUNTIF($S$2:S1223,1),"")</f>
        <v/>
      </c>
    </row>
    <row r="1224" customFormat="false" ht="15" hidden="false" customHeight="false" outlineLevel="0" collapsed="false">
      <c r="H1224" s="26"/>
      <c r="I1224" s="27" t="str">
        <f aca="false">IF(A1224="","",IF(H1224&lt;&gt;"",UPPER(TRIM(H1224)),IFERROR(CHOOSE(VALUE(E1224)+1,"A","B","C","D"),IF(OR(LEFT(UPPER(TRIM(E1224)),1)="F",UPPER(TRIM(E1224))="A"),"A",IF(OR(LEFT(UPPER(TRIM(E1224)),1)="M",UPPER(TRIM(E1224))="B"),"B",IF(OR(LEFT(UPPER(TRIM(E1224)),2)="SL",UPPER(TRIM(E1224))="C"),"C",IF(OR(LEFT(UPPER(TRIM(E1224)),1)="D",UPPER(TRIM(E1224))="D"),"D","")))))))</f>
        <v/>
      </c>
      <c r="J1224" s="27" t="str">
        <f aca="false">IF(I1224="","",IF(AND(I1224="D",Settings!$B$6&lt;&gt;"Yes"),"",IFERROR(INDEX(Settings!$C$9:$C$12,MATCH(I1224,Settings!$A$9:$A$12,0)),"")))</f>
        <v/>
      </c>
      <c r="K1224" s="27" t="str">
        <f aca="false">IF(J1224="","",COUNTIF($I$2:I1224,I1224))</f>
        <v/>
      </c>
      <c r="L1224" s="27" t="str">
        <f aca="false">IF(J1224="","",CHOOSE(Q1224+1,"Tue","Wed","Thu","Fri"))</f>
        <v/>
      </c>
      <c r="M1224" s="27" t="str">
        <f aca="false">IF(J1224="","",IF(J1224=1,"Every week",R1224+1&amp;" of "&amp;J1224))</f>
        <v/>
      </c>
      <c r="N1224" s="28" t="str">
        <f aca="false">IF(J1224="","",Settings!$B$4+R1224*7+Q1224)</f>
        <v/>
      </c>
      <c r="O1224" s="28" t="str">
        <f aca="true">IF(J1224="","",N1224+MAX(0,ROUNDUP((TODAY()-N1224)/(J1224*7),0))*J1224*7)</f>
        <v/>
      </c>
      <c r="P1224" s="27" t="str">
        <f aca="false">IF(J1224="","",MOD(K1224-1,J1224*4))</f>
        <v/>
      </c>
      <c r="Q1224" s="27" t="str">
        <f aca="false">IF(J1224="","",MOD(P1224,4))</f>
        <v/>
      </c>
      <c r="R1224" s="27" t="str">
        <f aca="false">IF(J1224="","",INT(P1224/4))</f>
        <v/>
      </c>
      <c r="S1224" s="27" t="str">
        <f aca="false">IF(J1224="","",IF(AND('Daily Count Sheet'!$H$3=Q1224,MOD('Daily Count Sheet'!$I$3,J1224)=R1224),1,""))</f>
        <v/>
      </c>
      <c r="T1224" s="27" t="str">
        <f aca="false">IF(S1224=1,COUNTIF($S$2:S1224,1),"")</f>
        <v/>
      </c>
    </row>
    <row r="1225" customFormat="false" ht="15" hidden="false" customHeight="false" outlineLevel="0" collapsed="false">
      <c r="H1225" s="26"/>
      <c r="I1225" s="27" t="str">
        <f aca="false">IF(A1225="","",IF(H1225&lt;&gt;"",UPPER(TRIM(H1225)),IFERROR(CHOOSE(VALUE(E1225)+1,"A","B","C","D"),IF(OR(LEFT(UPPER(TRIM(E1225)),1)="F",UPPER(TRIM(E1225))="A"),"A",IF(OR(LEFT(UPPER(TRIM(E1225)),1)="M",UPPER(TRIM(E1225))="B"),"B",IF(OR(LEFT(UPPER(TRIM(E1225)),2)="SL",UPPER(TRIM(E1225))="C"),"C",IF(OR(LEFT(UPPER(TRIM(E1225)),1)="D",UPPER(TRIM(E1225))="D"),"D","")))))))</f>
        <v/>
      </c>
      <c r="J1225" s="27" t="str">
        <f aca="false">IF(I1225="","",IF(AND(I1225="D",Settings!$B$6&lt;&gt;"Yes"),"",IFERROR(INDEX(Settings!$C$9:$C$12,MATCH(I1225,Settings!$A$9:$A$12,0)),"")))</f>
        <v/>
      </c>
      <c r="K1225" s="27" t="str">
        <f aca="false">IF(J1225="","",COUNTIF($I$2:I1225,I1225))</f>
        <v/>
      </c>
      <c r="L1225" s="27" t="str">
        <f aca="false">IF(J1225="","",CHOOSE(Q1225+1,"Tue","Wed","Thu","Fri"))</f>
        <v/>
      </c>
      <c r="M1225" s="27" t="str">
        <f aca="false">IF(J1225="","",IF(J1225=1,"Every week",R1225+1&amp;" of "&amp;J1225))</f>
        <v/>
      </c>
      <c r="N1225" s="28" t="str">
        <f aca="false">IF(J1225="","",Settings!$B$4+R1225*7+Q1225)</f>
        <v/>
      </c>
      <c r="O1225" s="28" t="str">
        <f aca="true">IF(J1225="","",N1225+MAX(0,ROUNDUP((TODAY()-N1225)/(J1225*7),0))*J1225*7)</f>
        <v/>
      </c>
      <c r="P1225" s="27" t="str">
        <f aca="false">IF(J1225="","",MOD(K1225-1,J1225*4))</f>
        <v/>
      </c>
      <c r="Q1225" s="27" t="str">
        <f aca="false">IF(J1225="","",MOD(P1225,4))</f>
        <v/>
      </c>
      <c r="R1225" s="27" t="str">
        <f aca="false">IF(J1225="","",INT(P1225/4))</f>
        <v/>
      </c>
      <c r="S1225" s="27" t="str">
        <f aca="false">IF(J1225="","",IF(AND('Daily Count Sheet'!$H$3=Q1225,MOD('Daily Count Sheet'!$I$3,J1225)=R1225),1,""))</f>
        <v/>
      </c>
      <c r="T1225" s="27" t="str">
        <f aca="false">IF(S1225=1,COUNTIF($S$2:S1225,1),"")</f>
        <v/>
      </c>
    </row>
    <row r="1226" customFormat="false" ht="15" hidden="false" customHeight="false" outlineLevel="0" collapsed="false">
      <c r="H1226" s="26"/>
      <c r="I1226" s="27" t="str">
        <f aca="false">IF(A1226="","",IF(H1226&lt;&gt;"",UPPER(TRIM(H1226)),IFERROR(CHOOSE(VALUE(E1226)+1,"A","B","C","D"),IF(OR(LEFT(UPPER(TRIM(E1226)),1)="F",UPPER(TRIM(E1226))="A"),"A",IF(OR(LEFT(UPPER(TRIM(E1226)),1)="M",UPPER(TRIM(E1226))="B"),"B",IF(OR(LEFT(UPPER(TRIM(E1226)),2)="SL",UPPER(TRIM(E1226))="C"),"C",IF(OR(LEFT(UPPER(TRIM(E1226)),1)="D",UPPER(TRIM(E1226))="D"),"D","")))))))</f>
        <v/>
      </c>
      <c r="J1226" s="27" t="str">
        <f aca="false">IF(I1226="","",IF(AND(I1226="D",Settings!$B$6&lt;&gt;"Yes"),"",IFERROR(INDEX(Settings!$C$9:$C$12,MATCH(I1226,Settings!$A$9:$A$12,0)),"")))</f>
        <v/>
      </c>
      <c r="K1226" s="27" t="str">
        <f aca="false">IF(J1226="","",COUNTIF($I$2:I1226,I1226))</f>
        <v/>
      </c>
      <c r="L1226" s="27" t="str">
        <f aca="false">IF(J1226="","",CHOOSE(Q1226+1,"Tue","Wed","Thu","Fri"))</f>
        <v/>
      </c>
      <c r="M1226" s="27" t="str">
        <f aca="false">IF(J1226="","",IF(J1226=1,"Every week",R1226+1&amp;" of "&amp;J1226))</f>
        <v/>
      </c>
      <c r="N1226" s="28" t="str">
        <f aca="false">IF(J1226="","",Settings!$B$4+R1226*7+Q1226)</f>
        <v/>
      </c>
      <c r="O1226" s="28" t="str">
        <f aca="true">IF(J1226="","",N1226+MAX(0,ROUNDUP((TODAY()-N1226)/(J1226*7),0))*J1226*7)</f>
        <v/>
      </c>
      <c r="P1226" s="27" t="str">
        <f aca="false">IF(J1226="","",MOD(K1226-1,J1226*4))</f>
        <v/>
      </c>
      <c r="Q1226" s="27" t="str">
        <f aca="false">IF(J1226="","",MOD(P1226,4))</f>
        <v/>
      </c>
      <c r="R1226" s="27" t="str">
        <f aca="false">IF(J1226="","",INT(P1226/4))</f>
        <v/>
      </c>
      <c r="S1226" s="27" t="str">
        <f aca="false">IF(J1226="","",IF(AND('Daily Count Sheet'!$H$3=Q1226,MOD('Daily Count Sheet'!$I$3,J1226)=R1226),1,""))</f>
        <v/>
      </c>
      <c r="T1226" s="27" t="str">
        <f aca="false">IF(S1226=1,COUNTIF($S$2:S1226,1),"")</f>
        <v/>
      </c>
    </row>
    <row r="1227" customFormat="false" ht="15" hidden="false" customHeight="false" outlineLevel="0" collapsed="false">
      <c r="H1227" s="26"/>
      <c r="I1227" s="27" t="str">
        <f aca="false">IF(A1227="","",IF(H1227&lt;&gt;"",UPPER(TRIM(H1227)),IFERROR(CHOOSE(VALUE(E1227)+1,"A","B","C","D"),IF(OR(LEFT(UPPER(TRIM(E1227)),1)="F",UPPER(TRIM(E1227))="A"),"A",IF(OR(LEFT(UPPER(TRIM(E1227)),1)="M",UPPER(TRIM(E1227))="B"),"B",IF(OR(LEFT(UPPER(TRIM(E1227)),2)="SL",UPPER(TRIM(E1227))="C"),"C",IF(OR(LEFT(UPPER(TRIM(E1227)),1)="D",UPPER(TRIM(E1227))="D"),"D","")))))))</f>
        <v/>
      </c>
      <c r="J1227" s="27" t="str">
        <f aca="false">IF(I1227="","",IF(AND(I1227="D",Settings!$B$6&lt;&gt;"Yes"),"",IFERROR(INDEX(Settings!$C$9:$C$12,MATCH(I1227,Settings!$A$9:$A$12,0)),"")))</f>
        <v/>
      </c>
      <c r="K1227" s="27" t="str">
        <f aca="false">IF(J1227="","",COUNTIF($I$2:I1227,I1227))</f>
        <v/>
      </c>
      <c r="L1227" s="27" t="str">
        <f aca="false">IF(J1227="","",CHOOSE(Q1227+1,"Tue","Wed","Thu","Fri"))</f>
        <v/>
      </c>
      <c r="M1227" s="27" t="str">
        <f aca="false">IF(J1227="","",IF(J1227=1,"Every week",R1227+1&amp;" of "&amp;J1227))</f>
        <v/>
      </c>
      <c r="N1227" s="28" t="str">
        <f aca="false">IF(J1227="","",Settings!$B$4+R1227*7+Q1227)</f>
        <v/>
      </c>
      <c r="O1227" s="28" t="str">
        <f aca="true">IF(J1227="","",N1227+MAX(0,ROUNDUP((TODAY()-N1227)/(J1227*7),0))*J1227*7)</f>
        <v/>
      </c>
      <c r="P1227" s="27" t="str">
        <f aca="false">IF(J1227="","",MOD(K1227-1,J1227*4))</f>
        <v/>
      </c>
      <c r="Q1227" s="27" t="str">
        <f aca="false">IF(J1227="","",MOD(P1227,4))</f>
        <v/>
      </c>
      <c r="R1227" s="27" t="str">
        <f aca="false">IF(J1227="","",INT(P1227/4))</f>
        <v/>
      </c>
      <c r="S1227" s="27" t="str">
        <f aca="false">IF(J1227="","",IF(AND('Daily Count Sheet'!$H$3=Q1227,MOD('Daily Count Sheet'!$I$3,J1227)=R1227),1,""))</f>
        <v/>
      </c>
      <c r="T1227" s="27" t="str">
        <f aca="false">IF(S1227=1,COUNTIF($S$2:S1227,1),"")</f>
        <v/>
      </c>
    </row>
    <row r="1228" customFormat="false" ht="15" hidden="false" customHeight="false" outlineLevel="0" collapsed="false">
      <c r="H1228" s="26"/>
      <c r="I1228" s="27" t="str">
        <f aca="false">IF(A1228="","",IF(H1228&lt;&gt;"",UPPER(TRIM(H1228)),IFERROR(CHOOSE(VALUE(E1228)+1,"A","B","C","D"),IF(OR(LEFT(UPPER(TRIM(E1228)),1)="F",UPPER(TRIM(E1228))="A"),"A",IF(OR(LEFT(UPPER(TRIM(E1228)),1)="M",UPPER(TRIM(E1228))="B"),"B",IF(OR(LEFT(UPPER(TRIM(E1228)),2)="SL",UPPER(TRIM(E1228))="C"),"C",IF(OR(LEFT(UPPER(TRIM(E1228)),1)="D",UPPER(TRIM(E1228))="D"),"D","")))))))</f>
        <v/>
      </c>
      <c r="J1228" s="27" t="str">
        <f aca="false">IF(I1228="","",IF(AND(I1228="D",Settings!$B$6&lt;&gt;"Yes"),"",IFERROR(INDEX(Settings!$C$9:$C$12,MATCH(I1228,Settings!$A$9:$A$12,0)),"")))</f>
        <v/>
      </c>
      <c r="K1228" s="27" t="str">
        <f aca="false">IF(J1228="","",COUNTIF($I$2:I1228,I1228))</f>
        <v/>
      </c>
      <c r="L1228" s="27" t="str">
        <f aca="false">IF(J1228="","",CHOOSE(Q1228+1,"Tue","Wed","Thu","Fri"))</f>
        <v/>
      </c>
      <c r="M1228" s="27" t="str">
        <f aca="false">IF(J1228="","",IF(J1228=1,"Every week",R1228+1&amp;" of "&amp;J1228))</f>
        <v/>
      </c>
      <c r="N1228" s="28" t="str">
        <f aca="false">IF(J1228="","",Settings!$B$4+R1228*7+Q1228)</f>
        <v/>
      </c>
      <c r="O1228" s="28" t="str">
        <f aca="true">IF(J1228="","",N1228+MAX(0,ROUNDUP((TODAY()-N1228)/(J1228*7),0))*J1228*7)</f>
        <v/>
      </c>
      <c r="P1228" s="27" t="str">
        <f aca="false">IF(J1228="","",MOD(K1228-1,J1228*4))</f>
        <v/>
      </c>
      <c r="Q1228" s="27" t="str">
        <f aca="false">IF(J1228="","",MOD(P1228,4))</f>
        <v/>
      </c>
      <c r="R1228" s="27" t="str">
        <f aca="false">IF(J1228="","",INT(P1228/4))</f>
        <v/>
      </c>
      <c r="S1228" s="27" t="str">
        <f aca="false">IF(J1228="","",IF(AND('Daily Count Sheet'!$H$3=Q1228,MOD('Daily Count Sheet'!$I$3,J1228)=R1228),1,""))</f>
        <v/>
      </c>
      <c r="T1228" s="27" t="str">
        <f aca="false">IF(S1228=1,COUNTIF($S$2:S1228,1),"")</f>
        <v/>
      </c>
    </row>
    <row r="1229" customFormat="false" ht="15" hidden="false" customHeight="false" outlineLevel="0" collapsed="false">
      <c r="H1229" s="26"/>
      <c r="I1229" s="27" t="str">
        <f aca="false">IF(A1229="","",IF(H1229&lt;&gt;"",UPPER(TRIM(H1229)),IFERROR(CHOOSE(VALUE(E1229)+1,"A","B","C","D"),IF(OR(LEFT(UPPER(TRIM(E1229)),1)="F",UPPER(TRIM(E1229))="A"),"A",IF(OR(LEFT(UPPER(TRIM(E1229)),1)="M",UPPER(TRIM(E1229))="B"),"B",IF(OR(LEFT(UPPER(TRIM(E1229)),2)="SL",UPPER(TRIM(E1229))="C"),"C",IF(OR(LEFT(UPPER(TRIM(E1229)),1)="D",UPPER(TRIM(E1229))="D"),"D","")))))))</f>
        <v/>
      </c>
      <c r="J1229" s="27" t="str">
        <f aca="false">IF(I1229="","",IF(AND(I1229="D",Settings!$B$6&lt;&gt;"Yes"),"",IFERROR(INDEX(Settings!$C$9:$C$12,MATCH(I1229,Settings!$A$9:$A$12,0)),"")))</f>
        <v/>
      </c>
      <c r="K1229" s="27" t="str">
        <f aca="false">IF(J1229="","",COUNTIF($I$2:I1229,I1229))</f>
        <v/>
      </c>
      <c r="L1229" s="27" t="str">
        <f aca="false">IF(J1229="","",CHOOSE(Q1229+1,"Tue","Wed","Thu","Fri"))</f>
        <v/>
      </c>
      <c r="M1229" s="27" t="str">
        <f aca="false">IF(J1229="","",IF(J1229=1,"Every week",R1229+1&amp;" of "&amp;J1229))</f>
        <v/>
      </c>
      <c r="N1229" s="28" t="str">
        <f aca="false">IF(J1229="","",Settings!$B$4+R1229*7+Q1229)</f>
        <v/>
      </c>
      <c r="O1229" s="28" t="str">
        <f aca="true">IF(J1229="","",N1229+MAX(0,ROUNDUP((TODAY()-N1229)/(J1229*7),0))*J1229*7)</f>
        <v/>
      </c>
      <c r="P1229" s="27" t="str">
        <f aca="false">IF(J1229="","",MOD(K1229-1,J1229*4))</f>
        <v/>
      </c>
      <c r="Q1229" s="27" t="str">
        <f aca="false">IF(J1229="","",MOD(P1229,4))</f>
        <v/>
      </c>
      <c r="R1229" s="27" t="str">
        <f aca="false">IF(J1229="","",INT(P1229/4))</f>
        <v/>
      </c>
      <c r="S1229" s="27" t="str">
        <f aca="false">IF(J1229="","",IF(AND('Daily Count Sheet'!$H$3=Q1229,MOD('Daily Count Sheet'!$I$3,J1229)=R1229),1,""))</f>
        <v/>
      </c>
      <c r="T1229" s="27" t="str">
        <f aca="false">IF(S1229=1,COUNTIF($S$2:S1229,1),"")</f>
        <v/>
      </c>
    </row>
    <row r="1230" customFormat="false" ht="15" hidden="false" customHeight="false" outlineLevel="0" collapsed="false">
      <c r="H1230" s="26"/>
      <c r="I1230" s="27" t="str">
        <f aca="false">IF(A1230="","",IF(H1230&lt;&gt;"",UPPER(TRIM(H1230)),IFERROR(CHOOSE(VALUE(E1230)+1,"A","B","C","D"),IF(OR(LEFT(UPPER(TRIM(E1230)),1)="F",UPPER(TRIM(E1230))="A"),"A",IF(OR(LEFT(UPPER(TRIM(E1230)),1)="M",UPPER(TRIM(E1230))="B"),"B",IF(OR(LEFT(UPPER(TRIM(E1230)),2)="SL",UPPER(TRIM(E1230))="C"),"C",IF(OR(LEFT(UPPER(TRIM(E1230)),1)="D",UPPER(TRIM(E1230))="D"),"D","")))))))</f>
        <v/>
      </c>
      <c r="J1230" s="27" t="str">
        <f aca="false">IF(I1230="","",IF(AND(I1230="D",Settings!$B$6&lt;&gt;"Yes"),"",IFERROR(INDEX(Settings!$C$9:$C$12,MATCH(I1230,Settings!$A$9:$A$12,0)),"")))</f>
        <v/>
      </c>
      <c r="K1230" s="27" t="str">
        <f aca="false">IF(J1230="","",COUNTIF($I$2:I1230,I1230))</f>
        <v/>
      </c>
      <c r="L1230" s="27" t="str">
        <f aca="false">IF(J1230="","",CHOOSE(Q1230+1,"Tue","Wed","Thu","Fri"))</f>
        <v/>
      </c>
      <c r="M1230" s="27" t="str">
        <f aca="false">IF(J1230="","",IF(J1230=1,"Every week",R1230+1&amp;" of "&amp;J1230))</f>
        <v/>
      </c>
      <c r="N1230" s="28" t="str">
        <f aca="false">IF(J1230="","",Settings!$B$4+R1230*7+Q1230)</f>
        <v/>
      </c>
      <c r="O1230" s="28" t="str">
        <f aca="true">IF(J1230="","",N1230+MAX(0,ROUNDUP((TODAY()-N1230)/(J1230*7),0))*J1230*7)</f>
        <v/>
      </c>
      <c r="P1230" s="27" t="str">
        <f aca="false">IF(J1230="","",MOD(K1230-1,J1230*4))</f>
        <v/>
      </c>
      <c r="Q1230" s="27" t="str">
        <f aca="false">IF(J1230="","",MOD(P1230,4))</f>
        <v/>
      </c>
      <c r="R1230" s="27" t="str">
        <f aca="false">IF(J1230="","",INT(P1230/4))</f>
        <v/>
      </c>
      <c r="S1230" s="27" t="str">
        <f aca="false">IF(J1230="","",IF(AND('Daily Count Sheet'!$H$3=Q1230,MOD('Daily Count Sheet'!$I$3,J1230)=R1230),1,""))</f>
        <v/>
      </c>
      <c r="T1230" s="27" t="str">
        <f aca="false">IF(S1230=1,COUNTIF($S$2:S1230,1),"")</f>
        <v/>
      </c>
    </row>
    <row r="1231" customFormat="false" ht="15" hidden="false" customHeight="false" outlineLevel="0" collapsed="false">
      <c r="H1231" s="26"/>
      <c r="I1231" s="27" t="str">
        <f aca="false">IF(A1231="","",IF(H1231&lt;&gt;"",UPPER(TRIM(H1231)),IFERROR(CHOOSE(VALUE(E1231)+1,"A","B","C","D"),IF(OR(LEFT(UPPER(TRIM(E1231)),1)="F",UPPER(TRIM(E1231))="A"),"A",IF(OR(LEFT(UPPER(TRIM(E1231)),1)="M",UPPER(TRIM(E1231))="B"),"B",IF(OR(LEFT(UPPER(TRIM(E1231)),2)="SL",UPPER(TRIM(E1231))="C"),"C",IF(OR(LEFT(UPPER(TRIM(E1231)),1)="D",UPPER(TRIM(E1231))="D"),"D","")))))))</f>
        <v/>
      </c>
      <c r="J1231" s="27" t="str">
        <f aca="false">IF(I1231="","",IF(AND(I1231="D",Settings!$B$6&lt;&gt;"Yes"),"",IFERROR(INDEX(Settings!$C$9:$C$12,MATCH(I1231,Settings!$A$9:$A$12,0)),"")))</f>
        <v/>
      </c>
      <c r="K1231" s="27" t="str">
        <f aca="false">IF(J1231="","",COUNTIF($I$2:I1231,I1231))</f>
        <v/>
      </c>
      <c r="L1231" s="27" t="str">
        <f aca="false">IF(J1231="","",CHOOSE(Q1231+1,"Tue","Wed","Thu","Fri"))</f>
        <v/>
      </c>
      <c r="M1231" s="27" t="str">
        <f aca="false">IF(J1231="","",IF(J1231=1,"Every week",R1231+1&amp;" of "&amp;J1231))</f>
        <v/>
      </c>
      <c r="N1231" s="28" t="str">
        <f aca="false">IF(J1231="","",Settings!$B$4+R1231*7+Q1231)</f>
        <v/>
      </c>
      <c r="O1231" s="28" t="str">
        <f aca="true">IF(J1231="","",N1231+MAX(0,ROUNDUP((TODAY()-N1231)/(J1231*7),0))*J1231*7)</f>
        <v/>
      </c>
      <c r="P1231" s="27" t="str">
        <f aca="false">IF(J1231="","",MOD(K1231-1,J1231*4))</f>
        <v/>
      </c>
      <c r="Q1231" s="27" t="str">
        <f aca="false">IF(J1231="","",MOD(P1231,4))</f>
        <v/>
      </c>
      <c r="R1231" s="27" t="str">
        <f aca="false">IF(J1231="","",INT(P1231/4))</f>
        <v/>
      </c>
      <c r="S1231" s="27" t="str">
        <f aca="false">IF(J1231="","",IF(AND('Daily Count Sheet'!$H$3=Q1231,MOD('Daily Count Sheet'!$I$3,J1231)=R1231),1,""))</f>
        <v/>
      </c>
      <c r="T1231" s="27" t="str">
        <f aca="false">IF(S1231=1,COUNTIF($S$2:S1231,1),"")</f>
        <v/>
      </c>
    </row>
    <row r="1232" customFormat="false" ht="15" hidden="false" customHeight="false" outlineLevel="0" collapsed="false">
      <c r="H1232" s="26"/>
      <c r="I1232" s="27" t="str">
        <f aca="false">IF(A1232="","",IF(H1232&lt;&gt;"",UPPER(TRIM(H1232)),IFERROR(CHOOSE(VALUE(E1232)+1,"A","B","C","D"),IF(OR(LEFT(UPPER(TRIM(E1232)),1)="F",UPPER(TRIM(E1232))="A"),"A",IF(OR(LEFT(UPPER(TRIM(E1232)),1)="M",UPPER(TRIM(E1232))="B"),"B",IF(OR(LEFT(UPPER(TRIM(E1232)),2)="SL",UPPER(TRIM(E1232))="C"),"C",IF(OR(LEFT(UPPER(TRIM(E1232)),1)="D",UPPER(TRIM(E1232))="D"),"D","")))))))</f>
        <v/>
      </c>
      <c r="J1232" s="27" t="str">
        <f aca="false">IF(I1232="","",IF(AND(I1232="D",Settings!$B$6&lt;&gt;"Yes"),"",IFERROR(INDEX(Settings!$C$9:$C$12,MATCH(I1232,Settings!$A$9:$A$12,0)),"")))</f>
        <v/>
      </c>
      <c r="K1232" s="27" t="str">
        <f aca="false">IF(J1232="","",COUNTIF($I$2:I1232,I1232))</f>
        <v/>
      </c>
      <c r="L1232" s="27" t="str">
        <f aca="false">IF(J1232="","",CHOOSE(Q1232+1,"Tue","Wed","Thu","Fri"))</f>
        <v/>
      </c>
      <c r="M1232" s="27" t="str">
        <f aca="false">IF(J1232="","",IF(J1232=1,"Every week",R1232+1&amp;" of "&amp;J1232))</f>
        <v/>
      </c>
      <c r="N1232" s="28" t="str">
        <f aca="false">IF(J1232="","",Settings!$B$4+R1232*7+Q1232)</f>
        <v/>
      </c>
      <c r="O1232" s="28" t="str">
        <f aca="true">IF(J1232="","",N1232+MAX(0,ROUNDUP((TODAY()-N1232)/(J1232*7),0))*J1232*7)</f>
        <v/>
      </c>
      <c r="P1232" s="27" t="str">
        <f aca="false">IF(J1232="","",MOD(K1232-1,J1232*4))</f>
        <v/>
      </c>
      <c r="Q1232" s="27" t="str">
        <f aca="false">IF(J1232="","",MOD(P1232,4))</f>
        <v/>
      </c>
      <c r="R1232" s="27" t="str">
        <f aca="false">IF(J1232="","",INT(P1232/4))</f>
        <v/>
      </c>
      <c r="S1232" s="27" t="str">
        <f aca="false">IF(J1232="","",IF(AND('Daily Count Sheet'!$H$3=Q1232,MOD('Daily Count Sheet'!$I$3,J1232)=R1232),1,""))</f>
        <v/>
      </c>
      <c r="T1232" s="27" t="str">
        <f aca="false">IF(S1232=1,COUNTIF($S$2:S1232,1),"")</f>
        <v/>
      </c>
    </row>
    <row r="1233" customFormat="false" ht="15" hidden="false" customHeight="false" outlineLevel="0" collapsed="false">
      <c r="H1233" s="26"/>
      <c r="I1233" s="27" t="str">
        <f aca="false">IF(A1233="","",IF(H1233&lt;&gt;"",UPPER(TRIM(H1233)),IFERROR(CHOOSE(VALUE(E1233)+1,"A","B","C","D"),IF(OR(LEFT(UPPER(TRIM(E1233)),1)="F",UPPER(TRIM(E1233))="A"),"A",IF(OR(LEFT(UPPER(TRIM(E1233)),1)="M",UPPER(TRIM(E1233))="B"),"B",IF(OR(LEFT(UPPER(TRIM(E1233)),2)="SL",UPPER(TRIM(E1233))="C"),"C",IF(OR(LEFT(UPPER(TRIM(E1233)),1)="D",UPPER(TRIM(E1233))="D"),"D","")))))))</f>
        <v/>
      </c>
      <c r="J1233" s="27" t="str">
        <f aca="false">IF(I1233="","",IF(AND(I1233="D",Settings!$B$6&lt;&gt;"Yes"),"",IFERROR(INDEX(Settings!$C$9:$C$12,MATCH(I1233,Settings!$A$9:$A$12,0)),"")))</f>
        <v/>
      </c>
      <c r="K1233" s="27" t="str">
        <f aca="false">IF(J1233="","",COUNTIF($I$2:I1233,I1233))</f>
        <v/>
      </c>
      <c r="L1233" s="27" t="str">
        <f aca="false">IF(J1233="","",CHOOSE(Q1233+1,"Tue","Wed","Thu","Fri"))</f>
        <v/>
      </c>
      <c r="M1233" s="27" t="str">
        <f aca="false">IF(J1233="","",IF(J1233=1,"Every week",R1233+1&amp;" of "&amp;J1233))</f>
        <v/>
      </c>
      <c r="N1233" s="28" t="str">
        <f aca="false">IF(J1233="","",Settings!$B$4+R1233*7+Q1233)</f>
        <v/>
      </c>
      <c r="O1233" s="28" t="str">
        <f aca="true">IF(J1233="","",N1233+MAX(0,ROUNDUP((TODAY()-N1233)/(J1233*7),0))*J1233*7)</f>
        <v/>
      </c>
      <c r="P1233" s="27" t="str">
        <f aca="false">IF(J1233="","",MOD(K1233-1,J1233*4))</f>
        <v/>
      </c>
      <c r="Q1233" s="27" t="str">
        <f aca="false">IF(J1233="","",MOD(P1233,4))</f>
        <v/>
      </c>
      <c r="R1233" s="27" t="str">
        <f aca="false">IF(J1233="","",INT(P1233/4))</f>
        <v/>
      </c>
      <c r="S1233" s="27" t="str">
        <f aca="false">IF(J1233="","",IF(AND('Daily Count Sheet'!$H$3=Q1233,MOD('Daily Count Sheet'!$I$3,J1233)=R1233),1,""))</f>
        <v/>
      </c>
      <c r="T1233" s="27" t="str">
        <f aca="false">IF(S1233=1,COUNTIF($S$2:S1233,1),"")</f>
        <v/>
      </c>
    </row>
    <row r="1234" customFormat="false" ht="15" hidden="false" customHeight="false" outlineLevel="0" collapsed="false">
      <c r="H1234" s="26"/>
      <c r="I1234" s="27" t="str">
        <f aca="false">IF(A1234="","",IF(H1234&lt;&gt;"",UPPER(TRIM(H1234)),IFERROR(CHOOSE(VALUE(E1234)+1,"A","B","C","D"),IF(OR(LEFT(UPPER(TRIM(E1234)),1)="F",UPPER(TRIM(E1234))="A"),"A",IF(OR(LEFT(UPPER(TRIM(E1234)),1)="M",UPPER(TRIM(E1234))="B"),"B",IF(OR(LEFT(UPPER(TRIM(E1234)),2)="SL",UPPER(TRIM(E1234))="C"),"C",IF(OR(LEFT(UPPER(TRIM(E1234)),1)="D",UPPER(TRIM(E1234))="D"),"D","")))))))</f>
        <v/>
      </c>
      <c r="J1234" s="27" t="str">
        <f aca="false">IF(I1234="","",IF(AND(I1234="D",Settings!$B$6&lt;&gt;"Yes"),"",IFERROR(INDEX(Settings!$C$9:$C$12,MATCH(I1234,Settings!$A$9:$A$12,0)),"")))</f>
        <v/>
      </c>
      <c r="K1234" s="27" t="str">
        <f aca="false">IF(J1234="","",COUNTIF($I$2:I1234,I1234))</f>
        <v/>
      </c>
      <c r="L1234" s="27" t="str">
        <f aca="false">IF(J1234="","",CHOOSE(Q1234+1,"Tue","Wed","Thu","Fri"))</f>
        <v/>
      </c>
      <c r="M1234" s="27" t="str">
        <f aca="false">IF(J1234="","",IF(J1234=1,"Every week",R1234+1&amp;" of "&amp;J1234))</f>
        <v/>
      </c>
      <c r="N1234" s="28" t="str">
        <f aca="false">IF(J1234="","",Settings!$B$4+R1234*7+Q1234)</f>
        <v/>
      </c>
      <c r="O1234" s="28" t="str">
        <f aca="true">IF(J1234="","",N1234+MAX(0,ROUNDUP((TODAY()-N1234)/(J1234*7),0))*J1234*7)</f>
        <v/>
      </c>
      <c r="P1234" s="27" t="str">
        <f aca="false">IF(J1234="","",MOD(K1234-1,J1234*4))</f>
        <v/>
      </c>
      <c r="Q1234" s="27" t="str">
        <f aca="false">IF(J1234="","",MOD(P1234,4))</f>
        <v/>
      </c>
      <c r="R1234" s="27" t="str">
        <f aca="false">IF(J1234="","",INT(P1234/4))</f>
        <v/>
      </c>
      <c r="S1234" s="27" t="str">
        <f aca="false">IF(J1234="","",IF(AND('Daily Count Sheet'!$H$3=Q1234,MOD('Daily Count Sheet'!$I$3,J1234)=R1234),1,""))</f>
        <v/>
      </c>
      <c r="T1234" s="27" t="str">
        <f aca="false">IF(S1234=1,COUNTIF($S$2:S1234,1),"")</f>
        <v/>
      </c>
    </row>
    <row r="1235" customFormat="false" ht="15" hidden="false" customHeight="false" outlineLevel="0" collapsed="false">
      <c r="H1235" s="26"/>
      <c r="I1235" s="27" t="str">
        <f aca="false">IF(A1235="","",IF(H1235&lt;&gt;"",UPPER(TRIM(H1235)),IFERROR(CHOOSE(VALUE(E1235)+1,"A","B","C","D"),IF(OR(LEFT(UPPER(TRIM(E1235)),1)="F",UPPER(TRIM(E1235))="A"),"A",IF(OR(LEFT(UPPER(TRIM(E1235)),1)="M",UPPER(TRIM(E1235))="B"),"B",IF(OR(LEFT(UPPER(TRIM(E1235)),2)="SL",UPPER(TRIM(E1235))="C"),"C",IF(OR(LEFT(UPPER(TRIM(E1235)),1)="D",UPPER(TRIM(E1235))="D"),"D","")))))))</f>
        <v/>
      </c>
      <c r="J1235" s="27" t="str">
        <f aca="false">IF(I1235="","",IF(AND(I1235="D",Settings!$B$6&lt;&gt;"Yes"),"",IFERROR(INDEX(Settings!$C$9:$C$12,MATCH(I1235,Settings!$A$9:$A$12,0)),"")))</f>
        <v/>
      </c>
      <c r="K1235" s="27" t="str">
        <f aca="false">IF(J1235="","",COUNTIF($I$2:I1235,I1235))</f>
        <v/>
      </c>
      <c r="L1235" s="27" t="str">
        <f aca="false">IF(J1235="","",CHOOSE(Q1235+1,"Tue","Wed","Thu","Fri"))</f>
        <v/>
      </c>
      <c r="M1235" s="27" t="str">
        <f aca="false">IF(J1235="","",IF(J1235=1,"Every week",R1235+1&amp;" of "&amp;J1235))</f>
        <v/>
      </c>
      <c r="N1235" s="28" t="str">
        <f aca="false">IF(J1235="","",Settings!$B$4+R1235*7+Q1235)</f>
        <v/>
      </c>
      <c r="O1235" s="28" t="str">
        <f aca="true">IF(J1235="","",N1235+MAX(0,ROUNDUP((TODAY()-N1235)/(J1235*7),0))*J1235*7)</f>
        <v/>
      </c>
      <c r="P1235" s="27" t="str">
        <f aca="false">IF(J1235="","",MOD(K1235-1,J1235*4))</f>
        <v/>
      </c>
      <c r="Q1235" s="27" t="str">
        <f aca="false">IF(J1235="","",MOD(P1235,4))</f>
        <v/>
      </c>
      <c r="R1235" s="27" t="str">
        <f aca="false">IF(J1235="","",INT(P1235/4))</f>
        <v/>
      </c>
      <c r="S1235" s="27" t="str">
        <f aca="false">IF(J1235="","",IF(AND('Daily Count Sheet'!$H$3=Q1235,MOD('Daily Count Sheet'!$I$3,J1235)=R1235),1,""))</f>
        <v/>
      </c>
      <c r="T1235" s="27" t="str">
        <f aca="false">IF(S1235=1,COUNTIF($S$2:S1235,1),"")</f>
        <v/>
      </c>
    </row>
    <row r="1236" customFormat="false" ht="15" hidden="false" customHeight="false" outlineLevel="0" collapsed="false">
      <c r="H1236" s="26"/>
      <c r="I1236" s="27" t="str">
        <f aca="false">IF(A1236="","",IF(H1236&lt;&gt;"",UPPER(TRIM(H1236)),IFERROR(CHOOSE(VALUE(E1236)+1,"A","B","C","D"),IF(OR(LEFT(UPPER(TRIM(E1236)),1)="F",UPPER(TRIM(E1236))="A"),"A",IF(OR(LEFT(UPPER(TRIM(E1236)),1)="M",UPPER(TRIM(E1236))="B"),"B",IF(OR(LEFT(UPPER(TRIM(E1236)),2)="SL",UPPER(TRIM(E1236))="C"),"C",IF(OR(LEFT(UPPER(TRIM(E1236)),1)="D",UPPER(TRIM(E1236))="D"),"D","")))))))</f>
        <v/>
      </c>
      <c r="J1236" s="27" t="str">
        <f aca="false">IF(I1236="","",IF(AND(I1236="D",Settings!$B$6&lt;&gt;"Yes"),"",IFERROR(INDEX(Settings!$C$9:$C$12,MATCH(I1236,Settings!$A$9:$A$12,0)),"")))</f>
        <v/>
      </c>
      <c r="K1236" s="27" t="str">
        <f aca="false">IF(J1236="","",COUNTIF($I$2:I1236,I1236))</f>
        <v/>
      </c>
      <c r="L1236" s="27" t="str">
        <f aca="false">IF(J1236="","",CHOOSE(Q1236+1,"Tue","Wed","Thu","Fri"))</f>
        <v/>
      </c>
      <c r="M1236" s="27" t="str">
        <f aca="false">IF(J1236="","",IF(J1236=1,"Every week",R1236+1&amp;" of "&amp;J1236))</f>
        <v/>
      </c>
      <c r="N1236" s="28" t="str">
        <f aca="false">IF(J1236="","",Settings!$B$4+R1236*7+Q1236)</f>
        <v/>
      </c>
      <c r="O1236" s="28" t="str">
        <f aca="true">IF(J1236="","",N1236+MAX(0,ROUNDUP((TODAY()-N1236)/(J1236*7),0))*J1236*7)</f>
        <v/>
      </c>
      <c r="P1236" s="27" t="str">
        <f aca="false">IF(J1236="","",MOD(K1236-1,J1236*4))</f>
        <v/>
      </c>
      <c r="Q1236" s="27" t="str">
        <f aca="false">IF(J1236="","",MOD(P1236,4))</f>
        <v/>
      </c>
      <c r="R1236" s="27" t="str">
        <f aca="false">IF(J1236="","",INT(P1236/4))</f>
        <v/>
      </c>
      <c r="S1236" s="27" t="str">
        <f aca="false">IF(J1236="","",IF(AND('Daily Count Sheet'!$H$3=Q1236,MOD('Daily Count Sheet'!$I$3,J1236)=R1236),1,""))</f>
        <v/>
      </c>
      <c r="T1236" s="27" t="str">
        <f aca="false">IF(S1236=1,COUNTIF($S$2:S1236,1),"")</f>
        <v/>
      </c>
    </row>
    <row r="1237" customFormat="false" ht="15" hidden="false" customHeight="false" outlineLevel="0" collapsed="false">
      <c r="H1237" s="26"/>
      <c r="I1237" s="27" t="str">
        <f aca="false">IF(A1237="","",IF(H1237&lt;&gt;"",UPPER(TRIM(H1237)),IFERROR(CHOOSE(VALUE(E1237)+1,"A","B","C","D"),IF(OR(LEFT(UPPER(TRIM(E1237)),1)="F",UPPER(TRIM(E1237))="A"),"A",IF(OR(LEFT(UPPER(TRIM(E1237)),1)="M",UPPER(TRIM(E1237))="B"),"B",IF(OR(LEFT(UPPER(TRIM(E1237)),2)="SL",UPPER(TRIM(E1237))="C"),"C",IF(OR(LEFT(UPPER(TRIM(E1237)),1)="D",UPPER(TRIM(E1237))="D"),"D","")))))))</f>
        <v/>
      </c>
      <c r="J1237" s="27" t="str">
        <f aca="false">IF(I1237="","",IF(AND(I1237="D",Settings!$B$6&lt;&gt;"Yes"),"",IFERROR(INDEX(Settings!$C$9:$C$12,MATCH(I1237,Settings!$A$9:$A$12,0)),"")))</f>
        <v/>
      </c>
      <c r="K1237" s="27" t="str">
        <f aca="false">IF(J1237="","",COUNTIF($I$2:I1237,I1237))</f>
        <v/>
      </c>
      <c r="L1237" s="27" t="str">
        <f aca="false">IF(J1237="","",CHOOSE(Q1237+1,"Tue","Wed","Thu","Fri"))</f>
        <v/>
      </c>
      <c r="M1237" s="27" t="str">
        <f aca="false">IF(J1237="","",IF(J1237=1,"Every week",R1237+1&amp;" of "&amp;J1237))</f>
        <v/>
      </c>
      <c r="N1237" s="28" t="str">
        <f aca="false">IF(J1237="","",Settings!$B$4+R1237*7+Q1237)</f>
        <v/>
      </c>
      <c r="O1237" s="28" t="str">
        <f aca="true">IF(J1237="","",N1237+MAX(0,ROUNDUP((TODAY()-N1237)/(J1237*7),0))*J1237*7)</f>
        <v/>
      </c>
      <c r="P1237" s="27" t="str">
        <f aca="false">IF(J1237="","",MOD(K1237-1,J1237*4))</f>
        <v/>
      </c>
      <c r="Q1237" s="27" t="str">
        <f aca="false">IF(J1237="","",MOD(P1237,4))</f>
        <v/>
      </c>
      <c r="R1237" s="27" t="str">
        <f aca="false">IF(J1237="","",INT(P1237/4))</f>
        <v/>
      </c>
      <c r="S1237" s="27" t="str">
        <f aca="false">IF(J1237="","",IF(AND('Daily Count Sheet'!$H$3=Q1237,MOD('Daily Count Sheet'!$I$3,J1237)=R1237),1,""))</f>
        <v/>
      </c>
      <c r="T1237" s="27" t="str">
        <f aca="false">IF(S1237=1,COUNTIF($S$2:S1237,1),"")</f>
        <v/>
      </c>
    </row>
    <row r="1238" customFormat="false" ht="15" hidden="false" customHeight="false" outlineLevel="0" collapsed="false">
      <c r="H1238" s="26"/>
      <c r="I1238" s="27" t="str">
        <f aca="false">IF(A1238="","",IF(H1238&lt;&gt;"",UPPER(TRIM(H1238)),IFERROR(CHOOSE(VALUE(E1238)+1,"A","B","C","D"),IF(OR(LEFT(UPPER(TRIM(E1238)),1)="F",UPPER(TRIM(E1238))="A"),"A",IF(OR(LEFT(UPPER(TRIM(E1238)),1)="M",UPPER(TRIM(E1238))="B"),"B",IF(OR(LEFT(UPPER(TRIM(E1238)),2)="SL",UPPER(TRIM(E1238))="C"),"C",IF(OR(LEFT(UPPER(TRIM(E1238)),1)="D",UPPER(TRIM(E1238))="D"),"D","")))))))</f>
        <v/>
      </c>
      <c r="J1238" s="27" t="str">
        <f aca="false">IF(I1238="","",IF(AND(I1238="D",Settings!$B$6&lt;&gt;"Yes"),"",IFERROR(INDEX(Settings!$C$9:$C$12,MATCH(I1238,Settings!$A$9:$A$12,0)),"")))</f>
        <v/>
      </c>
      <c r="K1238" s="27" t="str">
        <f aca="false">IF(J1238="","",COUNTIF($I$2:I1238,I1238))</f>
        <v/>
      </c>
      <c r="L1238" s="27" t="str">
        <f aca="false">IF(J1238="","",CHOOSE(Q1238+1,"Tue","Wed","Thu","Fri"))</f>
        <v/>
      </c>
      <c r="M1238" s="27" t="str">
        <f aca="false">IF(J1238="","",IF(J1238=1,"Every week",R1238+1&amp;" of "&amp;J1238))</f>
        <v/>
      </c>
      <c r="N1238" s="28" t="str">
        <f aca="false">IF(J1238="","",Settings!$B$4+R1238*7+Q1238)</f>
        <v/>
      </c>
      <c r="O1238" s="28" t="str">
        <f aca="true">IF(J1238="","",N1238+MAX(0,ROUNDUP((TODAY()-N1238)/(J1238*7),0))*J1238*7)</f>
        <v/>
      </c>
      <c r="P1238" s="27" t="str">
        <f aca="false">IF(J1238="","",MOD(K1238-1,J1238*4))</f>
        <v/>
      </c>
      <c r="Q1238" s="27" t="str">
        <f aca="false">IF(J1238="","",MOD(P1238,4))</f>
        <v/>
      </c>
      <c r="R1238" s="27" t="str">
        <f aca="false">IF(J1238="","",INT(P1238/4))</f>
        <v/>
      </c>
      <c r="S1238" s="27" t="str">
        <f aca="false">IF(J1238="","",IF(AND('Daily Count Sheet'!$H$3=Q1238,MOD('Daily Count Sheet'!$I$3,J1238)=R1238),1,""))</f>
        <v/>
      </c>
      <c r="T1238" s="27" t="str">
        <f aca="false">IF(S1238=1,COUNTIF($S$2:S1238,1),"")</f>
        <v/>
      </c>
    </row>
    <row r="1239" customFormat="false" ht="15" hidden="false" customHeight="false" outlineLevel="0" collapsed="false">
      <c r="H1239" s="26"/>
      <c r="I1239" s="27" t="str">
        <f aca="false">IF(A1239="","",IF(H1239&lt;&gt;"",UPPER(TRIM(H1239)),IFERROR(CHOOSE(VALUE(E1239)+1,"A","B","C","D"),IF(OR(LEFT(UPPER(TRIM(E1239)),1)="F",UPPER(TRIM(E1239))="A"),"A",IF(OR(LEFT(UPPER(TRIM(E1239)),1)="M",UPPER(TRIM(E1239))="B"),"B",IF(OR(LEFT(UPPER(TRIM(E1239)),2)="SL",UPPER(TRIM(E1239))="C"),"C",IF(OR(LEFT(UPPER(TRIM(E1239)),1)="D",UPPER(TRIM(E1239))="D"),"D","")))))))</f>
        <v/>
      </c>
      <c r="J1239" s="27" t="str">
        <f aca="false">IF(I1239="","",IF(AND(I1239="D",Settings!$B$6&lt;&gt;"Yes"),"",IFERROR(INDEX(Settings!$C$9:$C$12,MATCH(I1239,Settings!$A$9:$A$12,0)),"")))</f>
        <v/>
      </c>
      <c r="K1239" s="27" t="str">
        <f aca="false">IF(J1239="","",COUNTIF($I$2:I1239,I1239))</f>
        <v/>
      </c>
      <c r="L1239" s="27" t="str">
        <f aca="false">IF(J1239="","",CHOOSE(Q1239+1,"Tue","Wed","Thu","Fri"))</f>
        <v/>
      </c>
      <c r="M1239" s="27" t="str">
        <f aca="false">IF(J1239="","",IF(J1239=1,"Every week",R1239+1&amp;" of "&amp;J1239))</f>
        <v/>
      </c>
      <c r="N1239" s="28" t="str">
        <f aca="false">IF(J1239="","",Settings!$B$4+R1239*7+Q1239)</f>
        <v/>
      </c>
      <c r="O1239" s="28" t="str">
        <f aca="true">IF(J1239="","",N1239+MAX(0,ROUNDUP((TODAY()-N1239)/(J1239*7),0))*J1239*7)</f>
        <v/>
      </c>
      <c r="P1239" s="27" t="str">
        <f aca="false">IF(J1239="","",MOD(K1239-1,J1239*4))</f>
        <v/>
      </c>
      <c r="Q1239" s="27" t="str">
        <f aca="false">IF(J1239="","",MOD(P1239,4))</f>
        <v/>
      </c>
      <c r="R1239" s="27" t="str">
        <f aca="false">IF(J1239="","",INT(P1239/4))</f>
        <v/>
      </c>
      <c r="S1239" s="27" t="str">
        <f aca="false">IF(J1239="","",IF(AND('Daily Count Sheet'!$H$3=Q1239,MOD('Daily Count Sheet'!$I$3,J1239)=R1239),1,""))</f>
        <v/>
      </c>
      <c r="T1239" s="27" t="str">
        <f aca="false">IF(S1239=1,COUNTIF($S$2:S1239,1),"")</f>
        <v/>
      </c>
    </row>
    <row r="1240" customFormat="false" ht="15" hidden="false" customHeight="false" outlineLevel="0" collapsed="false">
      <c r="H1240" s="26"/>
      <c r="I1240" s="27" t="str">
        <f aca="false">IF(A1240="","",IF(H1240&lt;&gt;"",UPPER(TRIM(H1240)),IFERROR(CHOOSE(VALUE(E1240)+1,"A","B","C","D"),IF(OR(LEFT(UPPER(TRIM(E1240)),1)="F",UPPER(TRIM(E1240))="A"),"A",IF(OR(LEFT(UPPER(TRIM(E1240)),1)="M",UPPER(TRIM(E1240))="B"),"B",IF(OR(LEFT(UPPER(TRIM(E1240)),2)="SL",UPPER(TRIM(E1240))="C"),"C",IF(OR(LEFT(UPPER(TRIM(E1240)),1)="D",UPPER(TRIM(E1240))="D"),"D","")))))))</f>
        <v/>
      </c>
      <c r="J1240" s="27" t="str">
        <f aca="false">IF(I1240="","",IF(AND(I1240="D",Settings!$B$6&lt;&gt;"Yes"),"",IFERROR(INDEX(Settings!$C$9:$C$12,MATCH(I1240,Settings!$A$9:$A$12,0)),"")))</f>
        <v/>
      </c>
      <c r="K1240" s="27" t="str">
        <f aca="false">IF(J1240="","",COUNTIF($I$2:I1240,I1240))</f>
        <v/>
      </c>
      <c r="L1240" s="27" t="str">
        <f aca="false">IF(J1240="","",CHOOSE(Q1240+1,"Tue","Wed","Thu","Fri"))</f>
        <v/>
      </c>
      <c r="M1240" s="27" t="str">
        <f aca="false">IF(J1240="","",IF(J1240=1,"Every week",R1240+1&amp;" of "&amp;J1240))</f>
        <v/>
      </c>
      <c r="N1240" s="28" t="str">
        <f aca="false">IF(J1240="","",Settings!$B$4+R1240*7+Q1240)</f>
        <v/>
      </c>
      <c r="O1240" s="28" t="str">
        <f aca="true">IF(J1240="","",N1240+MAX(0,ROUNDUP((TODAY()-N1240)/(J1240*7),0))*J1240*7)</f>
        <v/>
      </c>
      <c r="P1240" s="27" t="str">
        <f aca="false">IF(J1240="","",MOD(K1240-1,J1240*4))</f>
        <v/>
      </c>
      <c r="Q1240" s="27" t="str">
        <f aca="false">IF(J1240="","",MOD(P1240,4))</f>
        <v/>
      </c>
      <c r="R1240" s="27" t="str">
        <f aca="false">IF(J1240="","",INT(P1240/4))</f>
        <v/>
      </c>
      <c r="S1240" s="27" t="str">
        <f aca="false">IF(J1240="","",IF(AND('Daily Count Sheet'!$H$3=Q1240,MOD('Daily Count Sheet'!$I$3,J1240)=R1240),1,""))</f>
        <v/>
      </c>
      <c r="T1240" s="27" t="str">
        <f aca="false">IF(S1240=1,COUNTIF($S$2:S1240,1),"")</f>
        <v/>
      </c>
    </row>
    <row r="1241" customFormat="false" ht="15" hidden="false" customHeight="false" outlineLevel="0" collapsed="false">
      <c r="H1241" s="26"/>
      <c r="I1241" s="27" t="str">
        <f aca="false">IF(A1241="","",IF(H1241&lt;&gt;"",UPPER(TRIM(H1241)),IFERROR(CHOOSE(VALUE(E1241)+1,"A","B","C","D"),IF(OR(LEFT(UPPER(TRIM(E1241)),1)="F",UPPER(TRIM(E1241))="A"),"A",IF(OR(LEFT(UPPER(TRIM(E1241)),1)="M",UPPER(TRIM(E1241))="B"),"B",IF(OR(LEFT(UPPER(TRIM(E1241)),2)="SL",UPPER(TRIM(E1241))="C"),"C",IF(OR(LEFT(UPPER(TRIM(E1241)),1)="D",UPPER(TRIM(E1241))="D"),"D","")))))))</f>
        <v/>
      </c>
      <c r="J1241" s="27" t="str">
        <f aca="false">IF(I1241="","",IF(AND(I1241="D",Settings!$B$6&lt;&gt;"Yes"),"",IFERROR(INDEX(Settings!$C$9:$C$12,MATCH(I1241,Settings!$A$9:$A$12,0)),"")))</f>
        <v/>
      </c>
      <c r="K1241" s="27" t="str">
        <f aca="false">IF(J1241="","",COUNTIF($I$2:I1241,I1241))</f>
        <v/>
      </c>
      <c r="L1241" s="27" t="str">
        <f aca="false">IF(J1241="","",CHOOSE(Q1241+1,"Tue","Wed","Thu","Fri"))</f>
        <v/>
      </c>
      <c r="M1241" s="27" t="str">
        <f aca="false">IF(J1241="","",IF(J1241=1,"Every week",R1241+1&amp;" of "&amp;J1241))</f>
        <v/>
      </c>
      <c r="N1241" s="28" t="str">
        <f aca="false">IF(J1241="","",Settings!$B$4+R1241*7+Q1241)</f>
        <v/>
      </c>
      <c r="O1241" s="28" t="str">
        <f aca="true">IF(J1241="","",N1241+MAX(0,ROUNDUP((TODAY()-N1241)/(J1241*7),0))*J1241*7)</f>
        <v/>
      </c>
      <c r="P1241" s="27" t="str">
        <f aca="false">IF(J1241="","",MOD(K1241-1,J1241*4))</f>
        <v/>
      </c>
      <c r="Q1241" s="27" t="str">
        <f aca="false">IF(J1241="","",MOD(P1241,4))</f>
        <v/>
      </c>
      <c r="R1241" s="27" t="str">
        <f aca="false">IF(J1241="","",INT(P1241/4))</f>
        <v/>
      </c>
      <c r="S1241" s="27" t="str">
        <f aca="false">IF(J1241="","",IF(AND('Daily Count Sheet'!$H$3=Q1241,MOD('Daily Count Sheet'!$I$3,J1241)=R1241),1,""))</f>
        <v/>
      </c>
      <c r="T1241" s="27" t="str">
        <f aca="false">IF(S1241=1,COUNTIF($S$2:S1241,1),"")</f>
        <v/>
      </c>
    </row>
    <row r="1242" customFormat="false" ht="15" hidden="false" customHeight="false" outlineLevel="0" collapsed="false">
      <c r="H1242" s="26"/>
      <c r="I1242" s="27" t="str">
        <f aca="false">IF(A1242="","",IF(H1242&lt;&gt;"",UPPER(TRIM(H1242)),IFERROR(CHOOSE(VALUE(E1242)+1,"A","B","C","D"),IF(OR(LEFT(UPPER(TRIM(E1242)),1)="F",UPPER(TRIM(E1242))="A"),"A",IF(OR(LEFT(UPPER(TRIM(E1242)),1)="M",UPPER(TRIM(E1242))="B"),"B",IF(OR(LEFT(UPPER(TRIM(E1242)),2)="SL",UPPER(TRIM(E1242))="C"),"C",IF(OR(LEFT(UPPER(TRIM(E1242)),1)="D",UPPER(TRIM(E1242))="D"),"D","")))))))</f>
        <v/>
      </c>
      <c r="J1242" s="27" t="str">
        <f aca="false">IF(I1242="","",IF(AND(I1242="D",Settings!$B$6&lt;&gt;"Yes"),"",IFERROR(INDEX(Settings!$C$9:$C$12,MATCH(I1242,Settings!$A$9:$A$12,0)),"")))</f>
        <v/>
      </c>
      <c r="K1242" s="27" t="str">
        <f aca="false">IF(J1242="","",COUNTIF($I$2:I1242,I1242))</f>
        <v/>
      </c>
      <c r="L1242" s="27" t="str">
        <f aca="false">IF(J1242="","",CHOOSE(Q1242+1,"Tue","Wed","Thu","Fri"))</f>
        <v/>
      </c>
      <c r="M1242" s="27" t="str">
        <f aca="false">IF(J1242="","",IF(J1242=1,"Every week",R1242+1&amp;" of "&amp;J1242))</f>
        <v/>
      </c>
      <c r="N1242" s="28" t="str">
        <f aca="false">IF(J1242="","",Settings!$B$4+R1242*7+Q1242)</f>
        <v/>
      </c>
      <c r="O1242" s="28" t="str">
        <f aca="true">IF(J1242="","",N1242+MAX(0,ROUNDUP((TODAY()-N1242)/(J1242*7),0))*J1242*7)</f>
        <v/>
      </c>
      <c r="P1242" s="27" t="str">
        <f aca="false">IF(J1242="","",MOD(K1242-1,J1242*4))</f>
        <v/>
      </c>
      <c r="Q1242" s="27" t="str">
        <f aca="false">IF(J1242="","",MOD(P1242,4))</f>
        <v/>
      </c>
      <c r="R1242" s="27" t="str">
        <f aca="false">IF(J1242="","",INT(P1242/4))</f>
        <v/>
      </c>
      <c r="S1242" s="27" t="str">
        <f aca="false">IF(J1242="","",IF(AND('Daily Count Sheet'!$H$3=Q1242,MOD('Daily Count Sheet'!$I$3,J1242)=R1242),1,""))</f>
        <v/>
      </c>
      <c r="T1242" s="27" t="str">
        <f aca="false">IF(S1242=1,COUNTIF($S$2:S1242,1),"")</f>
        <v/>
      </c>
    </row>
    <row r="1243" customFormat="false" ht="15" hidden="false" customHeight="false" outlineLevel="0" collapsed="false">
      <c r="H1243" s="26"/>
      <c r="I1243" s="27" t="str">
        <f aca="false">IF(A1243="","",IF(H1243&lt;&gt;"",UPPER(TRIM(H1243)),IFERROR(CHOOSE(VALUE(E1243)+1,"A","B","C","D"),IF(OR(LEFT(UPPER(TRIM(E1243)),1)="F",UPPER(TRIM(E1243))="A"),"A",IF(OR(LEFT(UPPER(TRIM(E1243)),1)="M",UPPER(TRIM(E1243))="B"),"B",IF(OR(LEFT(UPPER(TRIM(E1243)),2)="SL",UPPER(TRIM(E1243))="C"),"C",IF(OR(LEFT(UPPER(TRIM(E1243)),1)="D",UPPER(TRIM(E1243))="D"),"D","")))))))</f>
        <v/>
      </c>
      <c r="J1243" s="27" t="str">
        <f aca="false">IF(I1243="","",IF(AND(I1243="D",Settings!$B$6&lt;&gt;"Yes"),"",IFERROR(INDEX(Settings!$C$9:$C$12,MATCH(I1243,Settings!$A$9:$A$12,0)),"")))</f>
        <v/>
      </c>
      <c r="K1243" s="27" t="str">
        <f aca="false">IF(J1243="","",COUNTIF($I$2:I1243,I1243))</f>
        <v/>
      </c>
      <c r="L1243" s="27" t="str">
        <f aca="false">IF(J1243="","",CHOOSE(Q1243+1,"Tue","Wed","Thu","Fri"))</f>
        <v/>
      </c>
      <c r="M1243" s="27" t="str">
        <f aca="false">IF(J1243="","",IF(J1243=1,"Every week",R1243+1&amp;" of "&amp;J1243))</f>
        <v/>
      </c>
      <c r="N1243" s="28" t="str">
        <f aca="false">IF(J1243="","",Settings!$B$4+R1243*7+Q1243)</f>
        <v/>
      </c>
      <c r="O1243" s="28" t="str">
        <f aca="true">IF(J1243="","",N1243+MAX(0,ROUNDUP((TODAY()-N1243)/(J1243*7),0))*J1243*7)</f>
        <v/>
      </c>
      <c r="P1243" s="27" t="str">
        <f aca="false">IF(J1243="","",MOD(K1243-1,J1243*4))</f>
        <v/>
      </c>
      <c r="Q1243" s="27" t="str">
        <f aca="false">IF(J1243="","",MOD(P1243,4))</f>
        <v/>
      </c>
      <c r="R1243" s="27" t="str">
        <f aca="false">IF(J1243="","",INT(P1243/4))</f>
        <v/>
      </c>
      <c r="S1243" s="27" t="str">
        <f aca="false">IF(J1243="","",IF(AND('Daily Count Sheet'!$H$3=Q1243,MOD('Daily Count Sheet'!$I$3,J1243)=R1243),1,""))</f>
        <v/>
      </c>
      <c r="T1243" s="27" t="str">
        <f aca="false">IF(S1243=1,COUNTIF($S$2:S1243,1),"")</f>
        <v/>
      </c>
    </row>
    <row r="1244" customFormat="false" ht="15" hidden="false" customHeight="false" outlineLevel="0" collapsed="false">
      <c r="H1244" s="26"/>
      <c r="I1244" s="27" t="str">
        <f aca="false">IF(A1244="","",IF(H1244&lt;&gt;"",UPPER(TRIM(H1244)),IFERROR(CHOOSE(VALUE(E1244)+1,"A","B","C","D"),IF(OR(LEFT(UPPER(TRIM(E1244)),1)="F",UPPER(TRIM(E1244))="A"),"A",IF(OR(LEFT(UPPER(TRIM(E1244)),1)="M",UPPER(TRIM(E1244))="B"),"B",IF(OR(LEFT(UPPER(TRIM(E1244)),2)="SL",UPPER(TRIM(E1244))="C"),"C",IF(OR(LEFT(UPPER(TRIM(E1244)),1)="D",UPPER(TRIM(E1244))="D"),"D","")))))))</f>
        <v/>
      </c>
      <c r="J1244" s="27" t="str">
        <f aca="false">IF(I1244="","",IF(AND(I1244="D",Settings!$B$6&lt;&gt;"Yes"),"",IFERROR(INDEX(Settings!$C$9:$C$12,MATCH(I1244,Settings!$A$9:$A$12,0)),"")))</f>
        <v/>
      </c>
      <c r="K1244" s="27" t="str">
        <f aca="false">IF(J1244="","",COUNTIF($I$2:I1244,I1244))</f>
        <v/>
      </c>
      <c r="L1244" s="27" t="str">
        <f aca="false">IF(J1244="","",CHOOSE(Q1244+1,"Tue","Wed","Thu","Fri"))</f>
        <v/>
      </c>
      <c r="M1244" s="27" t="str">
        <f aca="false">IF(J1244="","",IF(J1244=1,"Every week",R1244+1&amp;" of "&amp;J1244))</f>
        <v/>
      </c>
      <c r="N1244" s="28" t="str">
        <f aca="false">IF(J1244="","",Settings!$B$4+R1244*7+Q1244)</f>
        <v/>
      </c>
      <c r="O1244" s="28" t="str">
        <f aca="true">IF(J1244="","",N1244+MAX(0,ROUNDUP((TODAY()-N1244)/(J1244*7),0))*J1244*7)</f>
        <v/>
      </c>
      <c r="P1244" s="27" t="str">
        <f aca="false">IF(J1244="","",MOD(K1244-1,J1244*4))</f>
        <v/>
      </c>
      <c r="Q1244" s="27" t="str">
        <f aca="false">IF(J1244="","",MOD(P1244,4))</f>
        <v/>
      </c>
      <c r="R1244" s="27" t="str">
        <f aca="false">IF(J1244="","",INT(P1244/4))</f>
        <v/>
      </c>
      <c r="S1244" s="27" t="str">
        <f aca="false">IF(J1244="","",IF(AND('Daily Count Sheet'!$H$3=Q1244,MOD('Daily Count Sheet'!$I$3,J1244)=R1244),1,""))</f>
        <v/>
      </c>
      <c r="T1244" s="27" t="str">
        <f aca="false">IF(S1244=1,COUNTIF($S$2:S1244,1),"")</f>
        <v/>
      </c>
    </row>
    <row r="1245" customFormat="false" ht="15" hidden="false" customHeight="false" outlineLevel="0" collapsed="false">
      <c r="H1245" s="26"/>
      <c r="I1245" s="27" t="str">
        <f aca="false">IF(A1245="","",IF(H1245&lt;&gt;"",UPPER(TRIM(H1245)),IFERROR(CHOOSE(VALUE(E1245)+1,"A","B","C","D"),IF(OR(LEFT(UPPER(TRIM(E1245)),1)="F",UPPER(TRIM(E1245))="A"),"A",IF(OR(LEFT(UPPER(TRIM(E1245)),1)="M",UPPER(TRIM(E1245))="B"),"B",IF(OR(LEFT(UPPER(TRIM(E1245)),2)="SL",UPPER(TRIM(E1245))="C"),"C",IF(OR(LEFT(UPPER(TRIM(E1245)),1)="D",UPPER(TRIM(E1245))="D"),"D","")))))))</f>
        <v/>
      </c>
      <c r="J1245" s="27" t="str">
        <f aca="false">IF(I1245="","",IF(AND(I1245="D",Settings!$B$6&lt;&gt;"Yes"),"",IFERROR(INDEX(Settings!$C$9:$C$12,MATCH(I1245,Settings!$A$9:$A$12,0)),"")))</f>
        <v/>
      </c>
      <c r="K1245" s="27" t="str">
        <f aca="false">IF(J1245="","",COUNTIF($I$2:I1245,I1245))</f>
        <v/>
      </c>
      <c r="L1245" s="27" t="str">
        <f aca="false">IF(J1245="","",CHOOSE(Q1245+1,"Tue","Wed","Thu","Fri"))</f>
        <v/>
      </c>
      <c r="M1245" s="27" t="str">
        <f aca="false">IF(J1245="","",IF(J1245=1,"Every week",R1245+1&amp;" of "&amp;J1245))</f>
        <v/>
      </c>
      <c r="N1245" s="28" t="str">
        <f aca="false">IF(J1245="","",Settings!$B$4+R1245*7+Q1245)</f>
        <v/>
      </c>
      <c r="O1245" s="28" t="str">
        <f aca="true">IF(J1245="","",N1245+MAX(0,ROUNDUP((TODAY()-N1245)/(J1245*7),0))*J1245*7)</f>
        <v/>
      </c>
      <c r="P1245" s="27" t="str">
        <f aca="false">IF(J1245="","",MOD(K1245-1,J1245*4))</f>
        <v/>
      </c>
      <c r="Q1245" s="27" t="str">
        <f aca="false">IF(J1245="","",MOD(P1245,4))</f>
        <v/>
      </c>
      <c r="R1245" s="27" t="str">
        <f aca="false">IF(J1245="","",INT(P1245/4))</f>
        <v/>
      </c>
      <c r="S1245" s="27" t="str">
        <f aca="false">IF(J1245="","",IF(AND('Daily Count Sheet'!$H$3=Q1245,MOD('Daily Count Sheet'!$I$3,J1245)=R1245),1,""))</f>
        <v/>
      </c>
      <c r="T1245" s="27" t="str">
        <f aca="false">IF(S1245=1,COUNTIF($S$2:S1245,1),"")</f>
        <v/>
      </c>
    </row>
    <row r="1246" customFormat="false" ht="15" hidden="false" customHeight="false" outlineLevel="0" collapsed="false">
      <c r="H1246" s="26"/>
      <c r="I1246" s="27" t="str">
        <f aca="false">IF(A1246="","",IF(H1246&lt;&gt;"",UPPER(TRIM(H1246)),IFERROR(CHOOSE(VALUE(E1246)+1,"A","B","C","D"),IF(OR(LEFT(UPPER(TRIM(E1246)),1)="F",UPPER(TRIM(E1246))="A"),"A",IF(OR(LEFT(UPPER(TRIM(E1246)),1)="M",UPPER(TRIM(E1246))="B"),"B",IF(OR(LEFT(UPPER(TRIM(E1246)),2)="SL",UPPER(TRIM(E1246))="C"),"C",IF(OR(LEFT(UPPER(TRIM(E1246)),1)="D",UPPER(TRIM(E1246))="D"),"D","")))))))</f>
        <v/>
      </c>
      <c r="J1246" s="27" t="str">
        <f aca="false">IF(I1246="","",IF(AND(I1246="D",Settings!$B$6&lt;&gt;"Yes"),"",IFERROR(INDEX(Settings!$C$9:$C$12,MATCH(I1246,Settings!$A$9:$A$12,0)),"")))</f>
        <v/>
      </c>
      <c r="K1246" s="27" t="str">
        <f aca="false">IF(J1246="","",COUNTIF($I$2:I1246,I1246))</f>
        <v/>
      </c>
      <c r="L1246" s="27" t="str">
        <f aca="false">IF(J1246="","",CHOOSE(Q1246+1,"Tue","Wed","Thu","Fri"))</f>
        <v/>
      </c>
      <c r="M1246" s="27" t="str">
        <f aca="false">IF(J1246="","",IF(J1246=1,"Every week",R1246+1&amp;" of "&amp;J1246))</f>
        <v/>
      </c>
      <c r="N1246" s="28" t="str">
        <f aca="false">IF(J1246="","",Settings!$B$4+R1246*7+Q1246)</f>
        <v/>
      </c>
      <c r="O1246" s="28" t="str">
        <f aca="true">IF(J1246="","",N1246+MAX(0,ROUNDUP((TODAY()-N1246)/(J1246*7),0))*J1246*7)</f>
        <v/>
      </c>
      <c r="P1246" s="27" t="str">
        <f aca="false">IF(J1246="","",MOD(K1246-1,J1246*4))</f>
        <v/>
      </c>
      <c r="Q1246" s="27" t="str">
        <f aca="false">IF(J1246="","",MOD(P1246,4))</f>
        <v/>
      </c>
      <c r="R1246" s="27" t="str">
        <f aca="false">IF(J1246="","",INT(P1246/4))</f>
        <v/>
      </c>
      <c r="S1246" s="27" t="str">
        <f aca="false">IF(J1246="","",IF(AND('Daily Count Sheet'!$H$3=Q1246,MOD('Daily Count Sheet'!$I$3,J1246)=R1246),1,""))</f>
        <v/>
      </c>
      <c r="T1246" s="27" t="str">
        <f aca="false">IF(S1246=1,COUNTIF($S$2:S1246,1),"")</f>
        <v/>
      </c>
    </row>
    <row r="1247" customFormat="false" ht="15" hidden="false" customHeight="false" outlineLevel="0" collapsed="false">
      <c r="H1247" s="26"/>
      <c r="I1247" s="27" t="str">
        <f aca="false">IF(A1247="","",IF(H1247&lt;&gt;"",UPPER(TRIM(H1247)),IFERROR(CHOOSE(VALUE(E1247)+1,"A","B","C","D"),IF(OR(LEFT(UPPER(TRIM(E1247)),1)="F",UPPER(TRIM(E1247))="A"),"A",IF(OR(LEFT(UPPER(TRIM(E1247)),1)="M",UPPER(TRIM(E1247))="B"),"B",IF(OR(LEFT(UPPER(TRIM(E1247)),2)="SL",UPPER(TRIM(E1247))="C"),"C",IF(OR(LEFT(UPPER(TRIM(E1247)),1)="D",UPPER(TRIM(E1247))="D"),"D","")))))))</f>
        <v/>
      </c>
      <c r="J1247" s="27" t="str">
        <f aca="false">IF(I1247="","",IF(AND(I1247="D",Settings!$B$6&lt;&gt;"Yes"),"",IFERROR(INDEX(Settings!$C$9:$C$12,MATCH(I1247,Settings!$A$9:$A$12,0)),"")))</f>
        <v/>
      </c>
      <c r="K1247" s="27" t="str">
        <f aca="false">IF(J1247="","",COUNTIF($I$2:I1247,I1247))</f>
        <v/>
      </c>
      <c r="L1247" s="27" t="str">
        <f aca="false">IF(J1247="","",CHOOSE(Q1247+1,"Tue","Wed","Thu","Fri"))</f>
        <v/>
      </c>
      <c r="M1247" s="27" t="str">
        <f aca="false">IF(J1247="","",IF(J1247=1,"Every week",R1247+1&amp;" of "&amp;J1247))</f>
        <v/>
      </c>
      <c r="N1247" s="28" t="str">
        <f aca="false">IF(J1247="","",Settings!$B$4+R1247*7+Q1247)</f>
        <v/>
      </c>
      <c r="O1247" s="28" t="str">
        <f aca="true">IF(J1247="","",N1247+MAX(0,ROUNDUP((TODAY()-N1247)/(J1247*7),0))*J1247*7)</f>
        <v/>
      </c>
      <c r="P1247" s="27" t="str">
        <f aca="false">IF(J1247="","",MOD(K1247-1,J1247*4))</f>
        <v/>
      </c>
      <c r="Q1247" s="27" t="str">
        <f aca="false">IF(J1247="","",MOD(P1247,4))</f>
        <v/>
      </c>
      <c r="R1247" s="27" t="str">
        <f aca="false">IF(J1247="","",INT(P1247/4))</f>
        <v/>
      </c>
      <c r="S1247" s="27" t="str">
        <f aca="false">IF(J1247="","",IF(AND('Daily Count Sheet'!$H$3=Q1247,MOD('Daily Count Sheet'!$I$3,J1247)=R1247),1,""))</f>
        <v/>
      </c>
      <c r="T1247" s="27" t="str">
        <f aca="false">IF(S1247=1,COUNTIF($S$2:S1247,1),"")</f>
        <v/>
      </c>
    </row>
    <row r="1248" customFormat="false" ht="15" hidden="false" customHeight="false" outlineLevel="0" collapsed="false">
      <c r="H1248" s="26"/>
      <c r="I1248" s="27" t="str">
        <f aca="false">IF(A1248="","",IF(H1248&lt;&gt;"",UPPER(TRIM(H1248)),IFERROR(CHOOSE(VALUE(E1248)+1,"A","B","C","D"),IF(OR(LEFT(UPPER(TRIM(E1248)),1)="F",UPPER(TRIM(E1248))="A"),"A",IF(OR(LEFT(UPPER(TRIM(E1248)),1)="M",UPPER(TRIM(E1248))="B"),"B",IF(OR(LEFT(UPPER(TRIM(E1248)),2)="SL",UPPER(TRIM(E1248))="C"),"C",IF(OR(LEFT(UPPER(TRIM(E1248)),1)="D",UPPER(TRIM(E1248))="D"),"D","")))))))</f>
        <v/>
      </c>
      <c r="J1248" s="27" t="str">
        <f aca="false">IF(I1248="","",IF(AND(I1248="D",Settings!$B$6&lt;&gt;"Yes"),"",IFERROR(INDEX(Settings!$C$9:$C$12,MATCH(I1248,Settings!$A$9:$A$12,0)),"")))</f>
        <v/>
      </c>
      <c r="K1248" s="27" t="str">
        <f aca="false">IF(J1248="","",COUNTIF($I$2:I1248,I1248))</f>
        <v/>
      </c>
      <c r="L1248" s="27" t="str">
        <f aca="false">IF(J1248="","",CHOOSE(Q1248+1,"Tue","Wed","Thu","Fri"))</f>
        <v/>
      </c>
      <c r="M1248" s="27" t="str">
        <f aca="false">IF(J1248="","",IF(J1248=1,"Every week",R1248+1&amp;" of "&amp;J1248))</f>
        <v/>
      </c>
      <c r="N1248" s="28" t="str">
        <f aca="false">IF(J1248="","",Settings!$B$4+R1248*7+Q1248)</f>
        <v/>
      </c>
      <c r="O1248" s="28" t="str">
        <f aca="true">IF(J1248="","",N1248+MAX(0,ROUNDUP((TODAY()-N1248)/(J1248*7),0))*J1248*7)</f>
        <v/>
      </c>
      <c r="P1248" s="27" t="str">
        <f aca="false">IF(J1248="","",MOD(K1248-1,J1248*4))</f>
        <v/>
      </c>
      <c r="Q1248" s="27" t="str">
        <f aca="false">IF(J1248="","",MOD(P1248,4))</f>
        <v/>
      </c>
      <c r="R1248" s="27" t="str">
        <f aca="false">IF(J1248="","",INT(P1248/4))</f>
        <v/>
      </c>
      <c r="S1248" s="27" t="str">
        <f aca="false">IF(J1248="","",IF(AND('Daily Count Sheet'!$H$3=Q1248,MOD('Daily Count Sheet'!$I$3,J1248)=R1248),1,""))</f>
        <v/>
      </c>
      <c r="T1248" s="27" t="str">
        <f aca="false">IF(S1248=1,COUNTIF($S$2:S1248,1),"")</f>
        <v/>
      </c>
    </row>
    <row r="1249" customFormat="false" ht="15" hidden="false" customHeight="false" outlineLevel="0" collapsed="false">
      <c r="H1249" s="26"/>
      <c r="I1249" s="27" t="str">
        <f aca="false">IF(A1249="","",IF(H1249&lt;&gt;"",UPPER(TRIM(H1249)),IFERROR(CHOOSE(VALUE(E1249)+1,"A","B","C","D"),IF(OR(LEFT(UPPER(TRIM(E1249)),1)="F",UPPER(TRIM(E1249))="A"),"A",IF(OR(LEFT(UPPER(TRIM(E1249)),1)="M",UPPER(TRIM(E1249))="B"),"B",IF(OR(LEFT(UPPER(TRIM(E1249)),2)="SL",UPPER(TRIM(E1249))="C"),"C",IF(OR(LEFT(UPPER(TRIM(E1249)),1)="D",UPPER(TRIM(E1249))="D"),"D","")))))))</f>
        <v/>
      </c>
      <c r="J1249" s="27" t="str">
        <f aca="false">IF(I1249="","",IF(AND(I1249="D",Settings!$B$6&lt;&gt;"Yes"),"",IFERROR(INDEX(Settings!$C$9:$C$12,MATCH(I1249,Settings!$A$9:$A$12,0)),"")))</f>
        <v/>
      </c>
      <c r="K1249" s="27" t="str">
        <f aca="false">IF(J1249="","",COUNTIF($I$2:I1249,I1249))</f>
        <v/>
      </c>
      <c r="L1249" s="27" t="str">
        <f aca="false">IF(J1249="","",CHOOSE(Q1249+1,"Tue","Wed","Thu","Fri"))</f>
        <v/>
      </c>
      <c r="M1249" s="27" t="str">
        <f aca="false">IF(J1249="","",IF(J1249=1,"Every week",R1249+1&amp;" of "&amp;J1249))</f>
        <v/>
      </c>
      <c r="N1249" s="28" t="str">
        <f aca="false">IF(J1249="","",Settings!$B$4+R1249*7+Q1249)</f>
        <v/>
      </c>
      <c r="O1249" s="28" t="str">
        <f aca="true">IF(J1249="","",N1249+MAX(0,ROUNDUP((TODAY()-N1249)/(J1249*7),0))*J1249*7)</f>
        <v/>
      </c>
      <c r="P1249" s="27" t="str">
        <f aca="false">IF(J1249="","",MOD(K1249-1,J1249*4))</f>
        <v/>
      </c>
      <c r="Q1249" s="27" t="str">
        <f aca="false">IF(J1249="","",MOD(P1249,4))</f>
        <v/>
      </c>
      <c r="R1249" s="27" t="str">
        <f aca="false">IF(J1249="","",INT(P1249/4))</f>
        <v/>
      </c>
      <c r="S1249" s="27" t="str">
        <f aca="false">IF(J1249="","",IF(AND('Daily Count Sheet'!$H$3=Q1249,MOD('Daily Count Sheet'!$I$3,J1249)=R1249),1,""))</f>
        <v/>
      </c>
      <c r="T1249" s="27" t="str">
        <f aca="false">IF(S1249=1,COUNTIF($S$2:S1249,1),"")</f>
        <v/>
      </c>
    </row>
    <row r="1250" customFormat="false" ht="15" hidden="false" customHeight="false" outlineLevel="0" collapsed="false">
      <c r="H1250" s="26"/>
      <c r="I1250" s="27" t="str">
        <f aca="false">IF(A1250="","",IF(H1250&lt;&gt;"",UPPER(TRIM(H1250)),IFERROR(CHOOSE(VALUE(E1250)+1,"A","B","C","D"),IF(OR(LEFT(UPPER(TRIM(E1250)),1)="F",UPPER(TRIM(E1250))="A"),"A",IF(OR(LEFT(UPPER(TRIM(E1250)),1)="M",UPPER(TRIM(E1250))="B"),"B",IF(OR(LEFT(UPPER(TRIM(E1250)),2)="SL",UPPER(TRIM(E1250))="C"),"C",IF(OR(LEFT(UPPER(TRIM(E1250)),1)="D",UPPER(TRIM(E1250))="D"),"D","")))))))</f>
        <v/>
      </c>
      <c r="J1250" s="27" t="str">
        <f aca="false">IF(I1250="","",IF(AND(I1250="D",Settings!$B$6&lt;&gt;"Yes"),"",IFERROR(INDEX(Settings!$C$9:$C$12,MATCH(I1250,Settings!$A$9:$A$12,0)),"")))</f>
        <v/>
      </c>
      <c r="K1250" s="27" t="str">
        <f aca="false">IF(J1250="","",COUNTIF($I$2:I1250,I1250))</f>
        <v/>
      </c>
      <c r="L1250" s="27" t="str">
        <f aca="false">IF(J1250="","",CHOOSE(Q1250+1,"Tue","Wed","Thu","Fri"))</f>
        <v/>
      </c>
      <c r="M1250" s="27" t="str">
        <f aca="false">IF(J1250="","",IF(J1250=1,"Every week",R1250+1&amp;" of "&amp;J1250))</f>
        <v/>
      </c>
      <c r="N1250" s="28" t="str">
        <f aca="false">IF(J1250="","",Settings!$B$4+R1250*7+Q1250)</f>
        <v/>
      </c>
      <c r="O1250" s="28" t="str">
        <f aca="true">IF(J1250="","",N1250+MAX(0,ROUNDUP((TODAY()-N1250)/(J1250*7),0))*J1250*7)</f>
        <v/>
      </c>
      <c r="P1250" s="27" t="str">
        <f aca="false">IF(J1250="","",MOD(K1250-1,J1250*4))</f>
        <v/>
      </c>
      <c r="Q1250" s="27" t="str">
        <f aca="false">IF(J1250="","",MOD(P1250,4))</f>
        <v/>
      </c>
      <c r="R1250" s="27" t="str">
        <f aca="false">IF(J1250="","",INT(P1250/4))</f>
        <v/>
      </c>
      <c r="S1250" s="27" t="str">
        <f aca="false">IF(J1250="","",IF(AND('Daily Count Sheet'!$H$3=Q1250,MOD('Daily Count Sheet'!$I$3,J1250)=R1250),1,""))</f>
        <v/>
      </c>
      <c r="T1250" s="27" t="str">
        <f aca="false">IF(S1250=1,COUNTIF($S$2:S1250,1),"")</f>
        <v/>
      </c>
    </row>
    <row r="1251" customFormat="false" ht="15" hidden="false" customHeight="false" outlineLevel="0" collapsed="false">
      <c r="H1251" s="26"/>
      <c r="I1251" s="27" t="str">
        <f aca="false">IF(A1251="","",IF(H1251&lt;&gt;"",UPPER(TRIM(H1251)),IFERROR(CHOOSE(VALUE(E1251)+1,"A","B","C","D"),IF(OR(LEFT(UPPER(TRIM(E1251)),1)="F",UPPER(TRIM(E1251))="A"),"A",IF(OR(LEFT(UPPER(TRIM(E1251)),1)="M",UPPER(TRIM(E1251))="B"),"B",IF(OR(LEFT(UPPER(TRIM(E1251)),2)="SL",UPPER(TRIM(E1251))="C"),"C",IF(OR(LEFT(UPPER(TRIM(E1251)),1)="D",UPPER(TRIM(E1251))="D"),"D","")))))))</f>
        <v/>
      </c>
      <c r="J1251" s="27" t="str">
        <f aca="false">IF(I1251="","",IF(AND(I1251="D",Settings!$B$6&lt;&gt;"Yes"),"",IFERROR(INDEX(Settings!$C$9:$C$12,MATCH(I1251,Settings!$A$9:$A$12,0)),"")))</f>
        <v/>
      </c>
      <c r="K1251" s="27" t="str">
        <f aca="false">IF(J1251="","",COUNTIF($I$2:I1251,I1251))</f>
        <v/>
      </c>
      <c r="L1251" s="27" t="str">
        <f aca="false">IF(J1251="","",CHOOSE(Q1251+1,"Tue","Wed","Thu","Fri"))</f>
        <v/>
      </c>
      <c r="M1251" s="27" t="str">
        <f aca="false">IF(J1251="","",IF(J1251=1,"Every week",R1251+1&amp;" of "&amp;J1251))</f>
        <v/>
      </c>
      <c r="N1251" s="28" t="str">
        <f aca="false">IF(J1251="","",Settings!$B$4+R1251*7+Q1251)</f>
        <v/>
      </c>
      <c r="O1251" s="28" t="str">
        <f aca="true">IF(J1251="","",N1251+MAX(0,ROUNDUP((TODAY()-N1251)/(J1251*7),0))*J1251*7)</f>
        <v/>
      </c>
      <c r="P1251" s="27" t="str">
        <f aca="false">IF(J1251="","",MOD(K1251-1,J1251*4))</f>
        <v/>
      </c>
      <c r="Q1251" s="27" t="str">
        <f aca="false">IF(J1251="","",MOD(P1251,4))</f>
        <v/>
      </c>
      <c r="R1251" s="27" t="str">
        <f aca="false">IF(J1251="","",INT(P1251/4))</f>
        <v/>
      </c>
      <c r="S1251" s="27" t="str">
        <f aca="false">IF(J1251="","",IF(AND('Daily Count Sheet'!$H$3=Q1251,MOD('Daily Count Sheet'!$I$3,J1251)=R1251),1,""))</f>
        <v/>
      </c>
      <c r="T1251" s="27" t="str">
        <f aca="false">IF(S1251=1,COUNTIF($S$2:S1251,1),"")</f>
        <v/>
      </c>
    </row>
    <row r="1252" customFormat="false" ht="15" hidden="false" customHeight="false" outlineLevel="0" collapsed="false">
      <c r="H1252" s="26"/>
      <c r="I1252" s="27" t="str">
        <f aca="false">IF(A1252="","",IF(H1252&lt;&gt;"",UPPER(TRIM(H1252)),IFERROR(CHOOSE(VALUE(E1252)+1,"A","B","C","D"),IF(OR(LEFT(UPPER(TRIM(E1252)),1)="F",UPPER(TRIM(E1252))="A"),"A",IF(OR(LEFT(UPPER(TRIM(E1252)),1)="M",UPPER(TRIM(E1252))="B"),"B",IF(OR(LEFT(UPPER(TRIM(E1252)),2)="SL",UPPER(TRIM(E1252))="C"),"C",IF(OR(LEFT(UPPER(TRIM(E1252)),1)="D",UPPER(TRIM(E1252))="D"),"D","")))))))</f>
        <v/>
      </c>
      <c r="J1252" s="27" t="str">
        <f aca="false">IF(I1252="","",IF(AND(I1252="D",Settings!$B$6&lt;&gt;"Yes"),"",IFERROR(INDEX(Settings!$C$9:$C$12,MATCH(I1252,Settings!$A$9:$A$12,0)),"")))</f>
        <v/>
      </c>
      <c r="K1252" s="27" t="str">
        <f aca="false">IF(J1252="","",COUNTIF($I$2:I1252,I1252))</f>
        <v/>
      </c>
      <c r="L1252" s="27" t="str">
        <f aca="false">IF(J1252="","",CHOOSE(Q1252+1,"Tue","Wed","Thu","Fri"))</f>
        <v/>
      </c>
      <c r="M1252" s="27" t="str">
        <f aca="false">IF(J1252="","",IF(J1252=1,"Every week",R1252+1&amp;" of "&amp;J1252))</f>
        <v/>
      </c>
      <c r="N1252" s="28" t="str">
        <f aca="false">IF(J1252="","",Settings!$B$4+R1252*7+Q1252)</f>
        <v/>
      </c>
      <c r="O1252" s="28" t="str">
        <f aca="true">IF(J1252="","",N1252+MAX(0,ROUNDUP((TODAY()-N1252)/(J1252*7),0))*J1252*7)</f>
        <v/>
      </c>
      <c r="P1252" s="27" t="str">
        <f aca="false">IF(J1252="","",MOD(K1252-1,J1252*4))</f>
        <v/>
      </c>
      <c r="Q1252" s="27" t="str">
        <f aca="false">IF(J1252="","",MOD(P1252,4))</f>
        <v/>
      </c>
      <c r="R1252" s="27" t="str">
        <f aca="false">IF(J1252="","",INT(P1252/4))</f>
        <v/>
      </c>
      <c r="S1252" s="27" t="str">
        <f aca="false">IF(J1252="","",IF(AND('Daily Count Sheet'!$H$3=Q1252,MOD('Daily Count Sheet'!$I$3,J1252)=R1252),1,""))</f>
        <v/>
      </c>
      <c r="T1252" s="27" t="str">
        <f aca="false">IF(S1252=1,COUNTIF($S$2:S1252,1),"")</f>
        <v/>
      </c>
    </row>
    <row r="1253" customFormat="false" ht="15" hidden="false" customHeight="false" outlineLevel="0" collapsed="false">
      <c r="H1253" s="26"/>
      <c r="I1253" s="27" t="str">
        <f aca="false">IF(A1253="","",IF(H1253&lt;&gt;"",UPPER(TRIM(H1253)),IFERROR(CHOOSE(VALUE(E1253)+1,"A","B","C","D"),IF(OR(LEFT(UPPER(TRIM(E1253)),1)="F",UPPER(TRIM(E1253))="A"),"A",IF(OR(LEFT(UPPER(TRIM(E1253)),1)="M",UPPER(TRIM(E1253))="B"),"B",IF(OR(LEFT(UPPER(TRIM(E1253)),2)="SL",UPPER(TRIM(E1253))="C"),"C",IF(OR(LEFT(UPPER(TRIM(E1253)),1)="D",UPPER(TRIM(E1253))="D"),"D","")))))))</f>
        <v/>
      </c>
      <c r="J1253" s="27" t="str">
        <f aca="false">IF(I1253="","",IF(AND(I1253="D",Settings!$B$6&lt;&gt;"Yes"),"",IFERROR(INDEX(Settings!$C$9:$C$12,MATCH(I1253,Settings!$A$9:$A$12,0)),"")))</f>
        <v/>
      </c>
      <c r="K1253" s="27" t="str">
        <f aca="false">IF(J1253="","",COUNTIF($I$2:I1253,I1253))</f>
        <v/>
      </c>
      <c r="L1253" s="27" t="str">
        <f aca="false">IF(J1253="","",CHOOSE(Q1253+1,"Tue","Wed","Thu","Fri"))</f>
        <v/>
      </c>
      <c r="M1253" s="27" t="str">
        <f aca="false">IF(J1253="","",IF(J1253=1,"Every week",R1253+1&amp;" of "&amp;J1253))</f>
        <v/>
      </c>
      <c r="N1253" s="28" t="str">
        <f aca="false">IF(J1253="","",Settings!$B$4+R1253*7+Q1253)</f>
        <v/>
      </c>
      <c r="O1253" s="28" t="str">
        <f aca="true">IF(J1253="","",N1253+MAX(0,ROUNDUP((TODAY()-N1253)/(J1253*7),0))*J1253*7)</f>
        <v/>
      </c>
      <c r="P1253" s="27" t="str">
        <f aca="false">IF(J1253="","",MOD(K1253-1,J1253*4))</f>
        <v/>
      </c>
      <c r="Q1253" s="27" t="str">
        <f aca="false">IF(J1253="","",MOD(P1253,4))</f>
        <v/>
      </c>
      <c r="R1253" s="27" t="str">
        <f aca="false">IF(J1253="","",INT(P1253/4))</f>
        <v/>
      </c>
      <c r="S1253" s="27" t="str">
        <f aca="false">IF(J1253="","",IF(AND('Daily Count Sheet'!$H$3=Q1253,MOD('Daily Count Sheet'!$I$3,J1253)=R1253),1,""))</f>
        <v/>
      </c>
      <c r="T1253" s="27" t="str">
        <f aca="false">IF(S1253=1,COUNTIF($S$2:S1253,1),"")</f>
        <v/>
      </c>
    </row>
    <row r="1254" customFormat="false" ht="15" hidden="false" customHeight="false" outlineLevel="0" collapsed="false">
      <c r="H1254" s="26"/>
      <c r="I1254" s="27" t="str">
        <f aca="false">IF(A1254="","",IF(H1254&lt;&gt;"",UPPER(TRIM(H1254)),IFERROR(CHOOSE(VALUE(E1254)+1,"A","B","C","D"),IF(OR(LEFT(UPPER(TRIM(E1254)),1)="F",UPPER(TRIM(E1254))="A"),"A",IF(OR(LEFT(UPPER(TRIM(E1254)),1)="M",UPPER(TRIM(E1254))="B"),"B",IF(OR(LEFT(UPPER(TRIM(E1254)),2)="SL",UPPER(TRIM(E1254))="C"),"C",IF(OR(LEFT(UPPER(TRIM(E1254)),1)="D",UPPER(TRIM(E1254))="D"),"D","")))))))</f>
        <v/>
      </c>
      <c r="J1254" s="27" t="str">
        <f aca="false">IF(I1254="","",IF(AND(I1254="D",Settings!$B$6&lt;&gt;"Yes"),"",IFERROR(INDEX(Settings!$C$9:$C$12,MATCH(I1254,Settings!$A$9:$A$12,0)),"")))</f>
        <v/>
      </c>
      <c r="K1254" s="27" t="str">
        <f aca="false">IF(J1254="","",COUNTIF($I$2:I1254,I1254))</f>
        <v/>
      </c>
      <c r="L1254" s="27" t="str">
        <f aca="false">IF(J1254="","",CHOOSE(Q1254+1,"Tue","Wed","Thu","Fri"))</f>
        <v/>
      </c>
      <c r="M1254" s="27" t="str">
        <f aca="false">IF(J1254="","",IF(J1254=1,"Every week",R1254+1&amp;" of "&amp;J1254))</f>
        <v/>
      </c>
      <c r="N1254" s="28" t="str">
        <f aca="false">IF(J1254="","",Settings!$B$4+R1254*7+Q1254)</f>
        <v/>
      </c>
      <c r="O1254" s="28" t="str">
        <f aca="true">IF(J1254="","",N1254+MAX(0,ROUNDUP((TODAY()-N1254)/(J1254*7),0))*J1254*7)</f>
        <v/>
      </c>
      <c r="P1254" s="27" t="str">
        <f aca="false">IF(J1254="","",MOD(K1254-1,J1254*4))</f>
        <v/>
      </c>
      <c r="Q1254" s="27" t="str">
        <f aca="false">IF(J1254="","",MOD(P1254,4))</f>
        <v/>
      </c>
      <c r="R1254" s="27" t="str">
        <f aca="false">IF(J1254="","",INT(P1254/4))</f>
        <v/>
      </c>
      <c r="S1254" s="27" t="str">
        <f aca="false">IF(J1254="","",IF(AND('Daily Count Sheet'!$H$3=Q1254,MOD('Daily Count Sheet'!$I$3,J1254)=R1254),1,""))</f>
        <v/>
      </c>
      <c r="T1254" s="27" t="str">
        <f aca="false">IF(S1254=1,COUNTIF($S$2:S1254,1),"")</f>
        <v/>
      </c>
    </row>
    <row r="1255" customFormat="false" ht="15" hidden="false" customHeight="false" outlineLevel="0" collapsed="false">
      <c r="H1255" s="26"/>
      <c r="I1255" s="27" t="str">
        <f aca="false">IF(A1255="","",IF(H1255&lt;&gt;"",UPPER(TRIM(H1255)),IFERROR(CHOOSE(VALUE(E1255)+1,"A","B","C","D"),IF(OR(LEFT(UPPER(TRIM(E1255)),1)="F",UPPER(TRIM(E1255))="A"),"A",IF(OR(LEFT(UPPER(TRIM(E1255)),1)="M",UPPER(TRIM(E1255))="B"),"B",IF(OR(LEFT(UPPER(TRIM(E1255)),2)="SL",UPPER(TRIM(E1255))="C"),"C",IF(OR(LEFT(UPPER(TRIM(E1255)),1)="D",UPPER(TRIM(E1255))="D"),"D","")))))))</f>
        <v/>
      </c>
      <c r="J1255" s="27" t="str">
        <f aca="false">IF(I1255="","",IF(AND(I1255="D",Settings!$B$6&lt;&gt;"Yes"),"",IFERROR(INDEX(Settings!$C$9:$C$12,MATCH(I1255,Settings!$A$9:$A$12,0)),"")))</f>
        <v/>
      </c>
      <c r="K1255" s="27" t="str">
        <f aca="false">IF(J1255="","",COUNTIF($I$2:I1255,I1255))</f>
        <v/>
      </c>
      <c r="L1255" s="27" t="str">
        <f aca="false">IF(J1255="","",CHOOSE(Q1255+1,"Tue","Wed","Thu","Fri"))</f>
        <v/>
      </c>
      <c r="M1255" s="27" t="str">
        <f aca="false">IF(J1255="","",IF(J1255=1,"Every week",R1255+1&amp;" of "&amp;J1255))</f>
        <v/>
      </c>
      <c r="N1255" s="28" t="str">
        <f aca="false">IF(J1255="","",Settings!$B$4+R1255*7+Q1255)</f>
        <v/>
      </c>
      <c r="O1255" s="28" t="str">
        <f aca="true">IF(J1255="","",N1255+MAX(0,ROUNDUP((TODAY()-N1255)/(J1255*7),0))*J1255*7)</f>
        <v/>
      </c>
      <c r="P1255" s="27" t="str">
        <f aca="false">IF(J1255="","",MOD(K1255-1,J1255*4))</f>
        <v/>
      </c>
      <c r="Q1255" s="27" t="str">
        <f aca="false">IF(J1255="","",MOD(P1255,4))</f>
        <v/>
      </c>
      <c r="R1255" s="27" t="str">
        <f aca="false">IF(J1255="","",INT(P1255/4))</f>
        <v/>
      </c>
      <c r="S1255" s="27" t="str">
        <f aca="false">IF(J1255="","",IF(AND('Daily Count Sheet'!$H$3=Q1255,MOD('Daily Count Sheet'!$I$3,J1255)=R1255),1,""))</f>
        <v/>
      </c>
      <c r="T1255" s="27" t="str">
        <f aca="false">IF(S1255=1,COUNTIF($S$2:S1255,1),"")</f>
        <v/>
      </c>
    </row>
    <row r="1256" customFormat="false" ht="15" hidden="false" customHeight="false" outlineLevel="0" collapsed="false">
      <c r="H1256" s="26"/>
      <c r="I1256" s="27" t="str">
        <f aca="false">IF(A1256="","",IF(H1256&lt;&gt;"",UPPER(TRIM(H1256)),IFERROR(CHOOSE(VALUE(E1256)+1,"A","B","C","D"),IF(OR(LEFT(UPPER(TRIM(E1256)),1)="F",UPPER(TRIM(E1256))="A"),"A",IF(OR(LEFT(UPPER(TRIM(E1256)),1)="M",UPPER(TRIM(E1256))="B"),"B",IF(OR(LEFT(UPPER(TRIM(E1256)),2)="SL",UPPER(TRIM(E1256))="C"),"C",IF(OR(LEFT(UPPER(TRIM(E1256)),1)="D",UPPER(TRIM(E1256))="D"),"D","")))))))</f>
        <v/>
      </c>
      <c r="J1256" s="27" t="str">
        <f aca="false">IF(I1256="","",IF(AND(I1256="D",Settings!$B$6&lt;&gt;"Yes"),"",IFERROR(INDEX(Settings!$C$9:$C$12,MATCH(I1256,Settings!$A$9:$A$12,0)),"")))</f>
        <v/>
      </c>
      <c r="K1256" s="27" t="str">
        <f aca="false">IF(J1256="","",COUNTIF($I$2:I1256,I1256))</f>
        <v/>
      </c>
      <c r="L1256" s="27" t="str">
        <f aca="false">IF(J1256="","",CHOOSE(Q1256+1,"Tue","Wed","Thu","Fri"))</f>
        <v/>
      </c>
      <c r="M1256" s="27" t="str">
        <f aca="false">IF(J1256="","",IF(J1256=1,"Every week",R1256+1&amp;" of "&amp;J1256))</f>
        <v/>
      </c>
      <c r="N1256" s="28" t="str">
        <f aca="false">IF(J1256="","",Settings!$B$4+R1256*7+Q1256)</f>
        <v/>
      </c>
      <c r="O1256" s="28" t="str">
        <f aca="true">IF(J1256="","",N1256+MAX(0,ROUNDUP((TODAY()-N1256)/(J1256*7),0))*J1256*7)</f>
        <v/>
      </c>
      <c r="P1256" s="27" t="str">
        <f aca="false">IF(J1256="","",MOD(K1256-1,J1256*4))</f>
        <v/>
      </c>
      <c r="Q1256" s="27" t="str">
        <f aca="false">IF(J1256="","",MOD(P1256,4))</f>
        <v/>
      </c>
      <c r="R1256" s="27" t="str">
        <f aca="false">IF(J1256="","",INT(P1256/4))</f>
        <v/>
      </c>
      <c r="S1256" s="27" t="str">
        <f aca="false">IF(J1256="","",IF(AND('Daily Count Sheet'!$H$3=Q1256,MOD('Daily Count Sheet'!$I$3,J1256)=R1256),1,""))</f>
        <v/>
      </c>
      <c r="T1256" s="27" t="str">
        <f aca="false">IF(S1256=1,COUNTIF($S$2:S1256,1),"")</f>
        <v/>
      </c>
    </row>
    <row r="1257" customFormat="false" ht="15" hidden="false" customHeight="false" outlineLevel="0" collapsed="false">
      <c r="H1257" s="26"/>
      <c r="I1257" s="27" t="str">
        <f aca="false">IF(A1257="","",IF(H1257&lt;&gt;"",UPPER(TRIM(H1257)),IFERROR(CHOOSE(VALUE(E1257)+1,"A","B","C","D"),IF(OR(LEFT(UPPER(TRIM(E1257)),1)="F",UPPER(TRIM(E1257))="A"),"A",IF(OR(LEFT(UPPER(TRIM(E1257)),1)="M",UPPER(TRIM(E1257))="B"),"B",IF(OR(LEFT(UPPER(TRIM(E1257)),2)="SL",UPPER(TRIM(E1257))="C"),"C",IF(OR(LEFT(UPPER(TRIM(E1257)),1)="D",UPPER(TRIM(E1257))="D"),"D","")))))))</f>
        <v/>
      </c>
      <c r="J1257" s="27" t="str">
        <f aca="false">IF(I1257="","",IF(AND(I1257="D",Settings!$B$6&lt;&gt;"Yes"),"",IFERROR(INDEX(Settings!$C$9:$C$12,MATCH(I1257,Settings!$A$9:$A$12,0)),"")))</f>
        <v/>
      </c>
      <c r="K1257" s="27" t="str">
        <f aca="false">IF(J1257="","",COUNTIF($I$2:I1257,I1257))</f>
        <v/>
      </c>
      <c r="L1257" s="27" t="str">
        <f aca="false">IF(J1257="","",CHOOSE(Q1257+1,"Tue","Wed","Thu","Fri"))</f>
        <v/>
      </c>
      <c r="M1257" s="27" t="str">
        <f aca="false">IF(J1257="","",IF(J1257=1,"Every week",R1257+1&amp;" of "&amp;J1257))</f>
        <v/>
      </c>
      <c r="N1257" s="28" t="str">
        <f aca="false">IF(J1257="","",Settings!$B$4+R1257*7+Q1257)</f>
        <v/>
      </c>
      <c r="O1257" s="28" t="str">
        <f aca="true">IF(J1257="","",N1257+MAX(0,ROUNDUP((TODAY()-N1257)/(J1257*7),0))*J1257*7)</f>
        <v/>
      </c>
      <c r="P1257" s="27" t="str">
        <f aca="false">IF(J1257="","",MOD(K1257-1,J1257*4))</f>
        <v/>
      </c>
      <c r="Q1257" s="27" t="str">
        <f aca="false">IF(J1257="","",MOD(P1257,4))</f>
        <v/>
      </c>
      <c r="R1257" s="27" t="str">
        <f aca="false">IF(J1257="","",INT(P1257/4))</f>
        <v/>
      </c>
      <c r="S1257" s="27" t="str">
        <f aca="false">IF(J1257="","",IF(AND('Daily Count Sheet'!$H$3=Q1257,MOD('Daily Count Sheet'!$I$3,J1257)=R1257),1,""))</f>
        <v/>
      </c>
      <c r="T1257" s="27" t="str">
        <f aca="false">IF(S1257=1,COUNTIF($S$2:S1257,1),"")</f>
        <v/>
      </c>
    </row>
    <row r="1258" customFormat="false" ht="15" hidden="false" customHeight="false" outlineLevel="0" collapsed="false">
      <c r="H1258" s="26"/>
      <c r="I1258" s="27" t="str">
        <f aca="false">IF(A1258="","",IF(H1258&lt;&gt;"",UPPER(TRIM(H1258)),IFERROR(CHOOSE(VALUE(E1258)+1,"A","B","C","D"),IF(OR(LEFT(UPPER(TRIM(E1258)),1)="F",UPPER(TRIM(E1258))="A"),"A",IF(OR(LEFT(UPPER(TRIM(E1258)),1)="M",UPPER(TRIM(E1258))="B"),"B",IF(OR(LEFT(UPPER(TRIM(E1258)),2)="SL",UPPER(TRIM(E1258))="C"),"C",IF(OR(LEFT(UPPER(TRIM(E1258)),1)="D",UPPER(TRIM(E1258))="D"),"D","")))))))</f>
        <v/>
      </c>
      <c r="J1258" s="27" t="str">
        <f aca="false">IF(I1258="","",IF(AND(I1258="D",Settings!$B$6&lt;&gt;"Yes"),"",IFERROR(INDEX(Settings!$C$9:$C$12,MATCH(I1258,Settings!$A$9:$A$12,0)),"")))</f>
        <v/>
      </c>
      <c r="K1258" s="27" t="str">
        <f aca="false">IF(J1258="","",COUNTIF($I$2:I1258,I1258))</f>
        <v/>
      </c>
      <c r="L1258" s="27" t="str">
        <f aca="false">IF(J1258="","",CHOOSE(Q1258+1,"Tue","Wed","Thu","Fri"))</f>
        <v/>
      </c>
      <c r="M1258" s="27" t="str">
        <f aca="false">IF(J1258="","",IF(J1258=1,"Every week",R1258+1&amp;" of "&amp;J1258))</f>
        <v/>
      </c>
      <c r="N1258" s="28" t="str">
        <f aca="false">IF(J1258="","",Settings!$B$4+R1258*7+Q1258)</f>
        <v/>
      </c>
      <c r="O1258" s="28" t="str">
        <f aca="true">IF(J1258="","",N1258+MAX(0,ROUNDUP((TODAY()-N1258)/(J1258*7),0))*J1258*7)</f>
        <v/>
      </c>
      <c r="P1258" s="27" t="str">
        <f aca="false">IF(J1258="","",MOD(K1258-1,J1258*4))</f>
        <v/>
      </c>
      <c r="Q1258" s="27" t="str">
        <f aca="false">IF(J1258="","",MOD(P1258,4))</f>
        <v/>
      </c>
      <c r="R1258" s="27" t="str">
        <f aca="false">IF(J1258="","",INT(P1258/4))</f>
        <v/>
      </c>
      <c r="S1258" s="27" t="str">
        <f aca="false">IF(J1258="","",IF(AND('Daily Count Sheet'!$H$3=Q1258,MOD('Daily Count Sheet'!$I$3,J1258)=R1258),1,""))</f>
        <v/>
      </c>
      <c r="T1258" s="27" t="str">
        <f aca="false">IF(S1258=1,COUNTIF($S$2:S1258,1),"")</f>
        <v/>
      </c>
    </row>
    <row r="1259" customFormat="false" ht="15" hidden="false" customHeight="false" outlineLevel="0" collapsed="false">
      <c r="H1259" s="26"/>
      <c r="I1259" s="27" t="str">
        <f aca="false">IF(A1259="","",IF(H1259&lt;&gt;"",UPPER(TRIM(H1259)),IFERROR(CHOOSE(VALUE(E1259)+1,"A","B","C","D"),IF(OR(LEFT(UPPER(TRIM(E1259)),1)="F",UPPER(TRIM(E1259))="A"),"A",IF(OR(LEFT(UPPER(TRIM(E1259)),1)="M",UPPER(TRIM(E1259))="B"),"B",IF(OR(LEFT(UPPER(TRIM(E1259)),2)="SL",UPPER(TRIM(E1259))="C"),"C",IF(OR(LEFT(UPPER(TRIM(E1259)),1)="D",UPPER(TRIM(E1259))="D"),"D","")))))))</f>
        <v/>
      </c>
      <c r="J1259" s="27" t="str">
        <f aca="false">IF(I1259="","",IF(AND(I1259="D",Settings!$B$6&lt;&gt;"Yes"),"",IFERROR(INDEX(Settings!$C$9:$C$12,MATCH(I1259,Settings!$A$9:$A$12,0)),"")))</f>
        <v/>
      </c>
      <c r="K1259" s="27" t="str">
        <f aca="false">IF(J1259="","",COUNTIF($I$2:I1259,I1259))</f>
        <v/>
      </c>
      <c r="L1259" s="27" t="str">
        <f aca="false">IF(J1259="","",CHOOSE(Q1259+1,"Tue","Wed","Thu","Fri"))</f>
        <v/>
      </c>
      <c r="M1259" s="27" t="str">
        <f aca="false">IF(J1259="","",IF(J1259=1,"Every week",R1259+1&amp;" of "&amp;J1259))</f>
        <v/>
      </c>
      <c r="N1259" s="28" t="str">
        <f aca="false">IF(J1259="","",Settings!$B$4+R1259*7+Q1259)</f>
        <v/>
      </c>
      <c r="O1259" s="28" t="str">
        <f aca="true">IF(J1259="","",N1259+MAX(0,ROUNDUP((TODAY()-N1259)/(J1259*7),0))*J1259*7)</f>
        <v/>
      </c>
      <c r="P1259" s="27" t="str">
        <f aca="false">IF(J1259="","",MOD(K1259-1,J1259*4))</f>
        <v/>
      </c>
      <c r="Q1259" s="27" t="str">
        <f aca="false">IF(J1259="","",MOD(P1259,4))</f>
        <v/>
      </c>
      <c r="R1259" s="27" t="str">
        <f aca="false">IF(J1259="","",INT(P1259/4))</f>
        <v/>
      </c>
      <c r="S1259" s="27" t="str">
        <f aca="false">IF(J1259="","",IF(AND('Daily Count Sheet'!$H$3=Q1259,MOD('Daily Count Sheet'!$I$3,J1259)=R1259),1,""))</f>
        <v/>
      </c>
      <c r="T1259" s="27" t="str">
        <f aca="false">IF(S1259=1,COUNTIF($S$2:S1259,1),"")</f>
        <v/>
      </c>
    </row>
    <row r="1260" customFormat="false" ht="15" hidden="false" customHeight="false" outlineLevel="0" collapsed="false">
      <c r="H1260" s="26"/>
      <c r="I1260" s="27" t="str">
        <f aca="false">IF(A1260="","",IF(H1260&lt;&gt;"",UPPER(TRIM(H1260)),IFERROR(CHOOSE(VALUE(E1260)+1,"A","B","C","D"),IF(OR(LEFT(UPPER(TRIM(E1260)),1)="F",UPPER(TRIM(E1260))="A"),"A",IF(OR(LEFT(UPPER(TRIM(E1260)),1)="M",UPPER(TRIM(E1260))="B"),"B",IF(OR(LEFT(UPPER(TRIM(E1260)),2)="SL",UPPER(TRIM(E1260))="C"),"C",IF(OR(LEFT(UPPER(TRIM(E1260)),1)="D",UPPER(TRIM(E1260))="D"),"D","")))))))</f>
        <v/>
      </c>
      <c r="J1260" s="27" t="str">
        <f aca="false">IF(I1260="","",IF(AND(I1260="D",Settings!$B$6&lt;&gt;"Yes"),"",IFERROR(INDEX(Settings!$C$9:$C$12,MATCH(I1260,Settings!$A$9:$A$12,0)),"")))</f>
        <v/>
      </c>
      <c r="K1260" s="27" t="str">
        <f aca="false">IF(J1260="","",COUNTIF($I$2:I1260,I1260))</f>
        <v/>
      </c>
      <c r="L1260" s="27" t="str">
        <f aca="false">IF(J1260="","",CHOOSE(Q1260+1,"Tue","Wed","Thu","Fri"))</f>
        <v/>
      </c>
      <c r="M1260" s="27" t="str">
        <f aca="false">IF(J1260="","",IF(J1260=1,"Every week",R1260+1&amp;" of "&amp;J1260))</f>
        <v/>
      </c>
      <c r="N1260" s="28" t="str">
        <f aca="false">IF(J1260="","",Settings!$B$4+R1260*7+Q1260)</f>
        <v/>
      </c>
      <c r="O1260" s="28" t="str">
        <f aca="true">IF(J1260="","",N1260+MAX(0,ROUNDUP((TODAY()-N1260)/(J1260*7),0))*J1260*7)</f>
        <v/>
      </c>
      <c r="P1260" s="27" t="str">
        <f aca="false">IF(J1260="","",MOD(K1260-1,J1260*4))</f>
        <v/>
      </c>
      <c r="Q1260" s="27" t="str">
        <f aca="false">IF(J1260="","",MOD(P1260,4))</f>
        <v/>
      </c>
      <c r="R1260" s="27" t="str">
        <f aca="false">IF(J1260="","",INT(P1260/4))</f>
        <v/>
      </c>
      <c r="S1260" s="27" t="str">
        <f aca="false">IF(J1260="","",IF(AND('Daily Count Sheet'!$H$3=Q1260,MOD('Daily Count Sheet'!$I$3,J1260)=R1260),1,""))</f>
        <v/>
      </c>
      <c r="T1260" s="27" t="str">
        <f aca="false">IF(S1260=1,COUNTIF($S$2:S1260,1),"")</f>
        <v/>
      </c>
    </row>
    <row r="1261" customFormat="false" ht="15" hidden="false" customHeight="false" outlineLevel="0" collapsed="false">
      <c r="H1261" s="26"/>
      <c r="I1261" s="27" t="str">
        <f aca="false">IF(A1261="","",IF(H1261&lt;&gt;"",UPPER(TRIM(H1261)),IFERROR(CHOOSE(VALUE(E1261)+1,"A","B","C","D"),IF(OR(LEFT(UPPER(TRIM(E1261)),1)="F",UPPER(TRIM(E1261))="A"),"A",IF(OR(LEFT(UPPER(TRIM(E1261)),1)="M",UPPER(TRIM(E1261))="B"),"B",IF(OR(LEFT(UPPER(TRIM(E1261)),2)="SL",UPPER(TRIM(E1261))="C"),"C",IF(OR(LEFT(UPPER(TRIM(E1261)),1)="D",UPPER(TRIM(E1261))="D"),"D","")))))))</f>
        <v/>
      </c>
      <c r="J1261" s="27" t="str">
        <f aca="false">IF(I1261="","",IF(AND(I1261="D",Settings!$B$6&lt;&gt;"Yes"),"",IFERROR(INDEX(Settings!$C$9:$C$12,MATCH(I1261,Settings!$A$9:$A$12,0)),"")))</f>
        <v/>
      </c>
      <c r="K1261" s="27" t="str">
        <f aca="false">IF(J1261="","",COUNTIF($I$2:I1261,I1261))</f>
        <v/>
      </c>
      <c r="L1261" s="27" t="str">
        <f aca="false">IF(J1261="","",CHOOSE(Q1261+1,"Tue","Wed","Thu","Fri"))</f>
        <v/>
      </c>
      <c r="M1261" s="27" t="str">
        <f aca="false">IF(J1261="","",IF(J1261=1,"Every week",R1261+1&amp;" of "&amp;J1261))</f>
        <v/>
      </c>
      <c r="N1261" s="28" t="str">
        <f aca="false">IF(J1261="","",Settings!$B$4+R1261*7+Q1261)</f>
        <v/>
      </c>
      <c r="O1261" s="28" t="str">
        <f aca="true">IF(J1261="","",N1261+MAX(0,ROUNDUP((TODAY()-N1261)/(J1261*7),0))*J1261*7)</f>
        <v/>
      </c>
      <c r="P1261" s="27" t="str">
        <f aca="false">IF(J1261="","",MOD(K1261-1,J1261*4))</f>
        <v/>
      </c>
      <c r="Q1261" s="27" t="str">
        <f aca="false">IF(J1261="","",MOD(P1261,4))</f>
        <v/>
      </c>
      <c r="R1261" s="27" t="str">
        <f aca="false">IF(J1261="","",INT(P1261/4))</f>
        <v/>
      </c>
      <c r="S1261" s="27" t="str">
        <f aca="false">IF(J1261="","",IF(AND('Daily Count Sheet'!$H$3=Q1261,MOD('Daily Count Sheet'!$I$3,J1261)=R1261),1,""))</f>
        <v/>
      </c>
      <c r="T1261" s="27" t="str">
        <f aca="false">IF(S1261=1,COUNTIF($S$2:S1261,1),"")</f>
        <v/>
      </c>
    </row>
    <row r="1262" customFormat="false" ht="15" hidden="false" customHeight="false" outlineLevel="0" collapsed="false">
      <c r="H1262" s="26"/>
      <c r="I1262" s="27" t="str">
        <f aca="false">IF(A1262="","",IF(H1262&lt;&gt;"",UPPER(TRIM(H1262)),IFERROR(CHOOSE(VALUE(E1262)+1,"A","B","C","D"),IF(OR(LEFT(UPPER(TRIM(E1262)),1)="F",UPPER(TRIM(E1262))="A"),"A",IF(OR(LEFT(UPPER(TRIM(E1262)),1)="M",UPPER(TRIM(E1262))="B"),"B",IF(OR(LEFT(UPPER(TRIM(E1262)),2)="SL",UPPER(TRIM(E1262))="C"),"C",IF(OR(LEFT(UPPER(TRIM(E1262)),1)="D",UPPER(TRIM(E1262))="D"),"D","")))))))</f>
        <v/>
      </c>
      <c r="J1262" s="27" t="str">
        <f aca="false">IF(I1262="","",IF(AND(I1262="D",Settings!$B$6&lt;&gt;"Yes"),"",IFERROR(INDEX(Settings!$C$9:$C$12,MATCH(I1262,Settings!$A$9:$A$12,0)),"")))</f>
        <v/>
      </c>
      <c r="K1262" s="27" t="str">
        <f aca="false">IF(J1262="","",COUNTIF($I$2:I1262,I1262))</f>
        <v/>
      </c>
      <c r="L1262" s="27" t="str">
        <f aca="false">IF(J1262="","",CHOOSE(Q1262+1,"Tue","Wed","Thu","Fri"))</f>
        <v/>
      </c>
      <c r="M1262" s="27" t="str">
        <f aca="false">IF(J1262="","",IF(J1262=1,"Every week",R1262+1&amp;" of "&amp;J1262))</f>
        <v/>
      </c>
      <c r="N1262" s="28" t="str">
        <f aca="false">IF(J1262="","",Settings!$B$4+R1262*7+Q1262)</f>
        <v/>
      </c>
      <c r="O1262" s="28" t="str">
        <f aca="true">IF(J1262="","",N1262+MAX(0,ROUNDUP((TODAY()-N1262)/(J1262*7),0))*J1262*7)</f>
        <v/>
      </c>
      <c r="P1262" s="27" t="str">
        <f aca="false">IF(J1262="","",MOD(K1262-1,J1262*4))</f>
        <v/>
      </c>
      <c r="Q1262" s="27" t="str">
        <f aca="false">IF(J1262="","",MOD(P1262,4))</f>
        <v/>
      </c>
      <c r="R1262" s="27" t="str">
        <f aca="false">IF(J1262="","",INT(P1262/4))</f>
        <v/>
      </c>
      <c r="S1262" s="27" t="str">
        <f aca="false">IF(J1262="","",IF(AND('Daily Count Sheet'!$H$3=Q1262,MOD('Daily Count Sheet'!$I$3,J1262)=R1262),1,""))</f>
        <v/>
      </c>
      <c r="T1262" s="27" t="str">
        <f aca="false">IF(S1262=1,COUNTIF($S$2:S1262,1),"")</f>
        <v/>
      </c>
    </row>
    <row r="1263" customFormat="false" ht="15" hidden="false" customHeight="false" outlineLevel="0" collapsed="false">
      <c r="H1263" s="26"/>
      <c r="I1263" s="27" t="str">
        <f aca="false">IF(A1263="","",IF(H1263&lt;&gt;"",UPPER(TRIM(H1263)),IFERROR(CHOOSE(VALUE(E1263)+1,"A","B","C","D"),IF(OR(LEFT(UPPER(TRIM(E1263)),1)="F",UPPER(TRIM(E1263))="A"),"A",IF(OR(LEFT(UPPER(TRIM(E1263)),1)="M",UPPER(TRIM(E1263))="B"),"B",IF(OR(LEFT(UPPER(TRIM(E1263)),2)="SL",UPPER(TRIM(E1263))="C"),"C",IF(OR(LEFT(UPPER(TRIM(E1263)),1)="D",UPPER(TRIM(E1263))="D"),"D","")))))))</f>
        <v/>
      </c>
      <c r="J1263" s="27" t="str">
        <f aca="false">IF(I1263="","",IF(AND(I1263="D",Settings!$B$6&lt;&gt;"Yes"),"",IFERROR(INDEX(Settings!$C$9:$C$12,MATCH(I1263,Settings!$A$9:$A$12,0)),"")))</f>
        <v/>
      </c>
      <c r="K1263" s="27" t="str">
        <f aca="false">IF(J1263="","",COUNTIF($I$2:I1263,I1263))</f>
        <v/>
      </c>
      <c r="L1263" s="27" t="str">
        <f aca="false">IF(J1263="","",CHOOSE(Q1263+1,"Tue","Wed","Thu","Fri"))</f>
        <v/>
      </c>
      <c r="M1263" s="27" t="str">
        <f aca="false">IF(J1263="","",IF(J1263=1,"Every week",R1263+1&amp;" of "&amp;J1263))</f>
        <v/>
      </c>
      <c r="N1263" s="28" t="str">
        <f aca="false">IF(J1263="","",Settings!$B$4+R1263*7+Q1263)</f>
        <v/>
      </c>
      <c r="O1263" s="28" t="str">
        <f aca="true">IF(J1263="","",N1263+MAX(0,ROUNDUP((TODAY()-N1263)/(J1263*7),0))*J1263*7)</f>
        <v/>
      </c>
      <c r="P1263" s="27" t="str">
        <f aca="false">IF(J1263="","",MOD(K1263-1,J1263*4))</f>
        <v/>
      </c>
      <c r="Q1263" s="27" t="str">
        <f aca="false">IF(J1263="","",MOD(P1263,4))</f>
        <v/>
      </c>
      <c r="R1263" s="27" t="str">
        <f aca="false">IF(J1263="","",INT(P1263/4))</f>
        <v/>
      </c>
      <c r="S1263" s="27" t="str">
        <f aca="false">IF(J1263="","",IF(AND('Daily Count Sheet'!$H$3=Q1263,MOD('Daily Count Sheet'!$I$3,J1263)=R1263),1,""))</f>
        <v/>
      </c>
      <c r="T1263" s="27" t="str">
        <f aca="false">IF(S1263=1,COUNTIF($S$2:S1263,1),"")</f>
        <v/>
      </c>
    </row>
    <row r="1264" customFormat="false" ht="15" hidden="false" customHeight="false" outlineLevel="0" collapsed="false">
      <c r="H1264" s="26"/>
      <c r="I1264" s="27" t="str">
        <f aca="false">IF(A1264="","",IF(H1264&lt;&gt;"",UPPER(TRIM(H1264)),IFERROR(CHOOSE(VALUE(E1264)+1,"A","B","C","D"),IF(OR(LEFT(UPPER(TRIM(E1264)),1)="F",UPPER(TRIM(E1264))="A"),"A",IF(OR(LEFT(UPPER(TRIM(E1264)),1)="M",UPPER(TRIM(E1264))="B"),"B",IF(OR(LEFT(UPPER(TRIM(E1264)),2)="SL",UPPER(TRIM(E1264))="C"),"C",IF(OR(LEFT(UPPER(TRIM(E1264)),1)="D",UPPER(TRIM(E1264))="D"),"D","")))))))</f>
        <v/>
      </c>
      <c r="J1264" s="27" t="str">
        <f aca="false">IF(I1264="","",IF(AND(I1264="D",Settings!$B$6&lt;&gt;"Yes"),"",IFERROR(INDEX(Settings!$C$9:$C$12,MATCH(I1264,Settings!$A$9:$A$12,0)),"")))</f>
        <v/>
      </c>
      <c r="K1264" s="27" t="str">
        <f aca="false">IF(J1264="","",COUNTIF($I$2:I1264,I1264))</f>
        <v/>
      </c>
      <c r="L1264" s="27" t="str">
        <f aca="false">IF(J1264="","",CHOOSE(Q1264+1,"Tue","Wed","Thu","Fri"))</f>
        <v/>
      </c>
      <c r="M1264" s="27" t="str">
        <f aca="false">IF(J1264="","",IF(J1264=1,"Every week",R1264+1&amp;" of "&amp;J1264))</f>
        <v/>
      </c>
      <c r="N1264" s="28" t="str">
        <f aca="false">IF(J1264="","",Settings!$B$4+R1264*7+Q1264)</f>
        <v/>
      </c>
      <c r="O1264" s="28" t="str">
        <f aca="true">IF(J1264="","",N1264+MAX(0,ROUNDUP((TODAY()-N1264)/(J1264*7),0))*J1264*7)</f>
        <v/>
      </c>
      <c r="P1264" s="27" t="str">
        <f aca="false">IF(J1264="","",MOD(K1264-1,J1264*4))</f>
        <v/>
      </c>
      <c r="Q1264" s="27" t="str">
        <f aca="false">IF(J1264="","",MOD(P1264,4))</f>
        <v/>
      </c>
      <c r="R1264" s="27" t="str">
        <f aca="false">IF(J1264="","",INT(P1264/4))</f>
        <v/>
      </c>
      <c r="S1264" s="27" t="str">
        <f aca="false">IF(J1264="","",IF(AND('Daily Count Sheet'!$H$3=Q1264,MOD('Daily Count Sheet'!$I$3,J1264)=R1264),1,""))</f>
        <v/>
      </c>
      <c r="T1264" s="27" t="str">
        <f aca="false">IF(S1264=1,COUNTIF($S$2:S1264,1),"")</f>
        <v/>
      </c>
    </row>
    <row r="1265" customFormat="false" ht="15" hidden="false" customHeight="false" outlineLevel="0" collapsed="false">
      <c r="H1265" s="26"/>
      <c r="I1265" s="27" t="str">
        <f aca="false">IF(A1265="","",IF(H1265&lt;&gt;"",UPPER(TRIM(H1265)),IFERROR(CHOOSE(VALUE(E1265)+1,"A","B","C","D"),IF(OR(LEFT(UPPER(TRIM(E1265)),1)="F",UPPER(TRIM(E1265))="A"),"A",IF(OR(LEFT(UPPER(TRIM(E1265)),1)="M",UPPER(TRIM(E1265))="B"),"B",IF(OR(LEFT(UPPER(TRIM(E1265)),2)="SL",UPPER(TRIM(E1265))="C"),"C",IF(OR(LEFT(UPPER(TRIM(E1265)),1)="D",UPPER(TRIM(E1265))="D"),"D","")))))))</f>
        <v/>
      </c>
      <c r="J1265" s="27" t="str">
        <f aca="false">IF(I1265="","",IF(AND(I1265="D",Settings!$B$6&lt;&gt;"Yes"),"",IFERROR(INDEX(Settings!$C$9:$C$12,MATCH(I1265,Settings!$A$9:$A$12,0)),"")))</f>
        <v/>
      </c>
      <c r="K1265" s="27" t="str">
        <f aca="false">IF(J1265="","",COUNTIF($I$2:I1265,I1265))</f>
        <v/>
      </c>
      <c r="L1265" s="27" t="str">
        <f aca="false">IF(J1265="","",CHOOSE(Q1265+1,"Tue","Wed","Thu","Fri"))</f>
        <v/>
      </c>
      <c r="M1265" s="27" t="str">
        <f aca="false">IF(J1265="","",IF(J1265=1,"Every week",R1265+1&amp;" of "&amp;J1265))</f>
        <v/>
      </c>
      <c r="N1265" s="28" t="str">
        <f aca="false">IF(J1265="","",Settings!$B$4+R1265*7+Q1265)</f>
        <v/>
      </c>
      <c r="O1265" s="28" t="str">
        <f aca="true">IF(J1265="","",N1265+MAX(0,ROUNDUP((TODAY()-N1265)/(J1265*7),0))*J1265*7)</f>
        <v/>
      </c>
      <c r="P1265" s="27" t="str">
        <f aca="false">IF(J1265="","",MOD(K1265-1,J1265*4))</f>
        <v/>
      </c>
      <c r="Q1265" s="27" t="str">
        <f aca="false">IF(J1265="","",MOD(P1265,4))</f>
        <v/>
      </c>
      <c r="R1265" s="27" t="str">
        <f aca="false">IF(J1265="","",INT(P1265/4))</f>
        <v/>
      </c>
      <c r="S1265" s="27" t="str">
        <f aca="false">IF(J1265="","",IF(AND('Daily Count Sheet'!$H$3=Q1265,MOD('Daily Count Sheet'!$I$3,J1265)=R1265),1,""))</f>
        <v/>
      </c>
      <c r="T1265" s="27" t="str">
        <f aca="false">IF(S1265=1,COUNTIF($S$2:S1265,1),"")</f>
        <v/>
      </c>
    </row>
    <row r="1266" customFormat="false" ht="15" hidden="false" customHeight="false" outlineLevel="0" collapsed="false">
      <c r="H1266" s="26"/>
      <c r="I1266" s="27" t="str">
        <f aca="false">IF(A1266="","",IF(H1266&lt;&gt;"",UPPER(TRIM(H1266)),IFERROR(CHOOSE(VALUE(E1266)+1,"A","B","C","D"),IF(OR(LEFT(UPPER(TRIM(E1266)),1)="F",UPPER(TRIM(E1266))="A"),"A",IF(OR(LEFT(UPPER(TRIM(E1266)),1)="M",UPPER(TRIM(E1266))="B"),"B",IF(OR(LEFT(UPPER(TRIM(E1266)),2)="SL",UPPER(TRIM(E1266))="C"),"C",IF(OR(LEFT(UPPER(TRIM(E1266)),1)="D",UPPER(TRIM(E1266))="D"),"D","")))))))</f>
        <v/>
      </c>
      <c r="J1266" s="27" t="str">
        <f aca="false">IF(I1266="","",IF(AND(I1266="D",Settings!$B$6&lt;&gt;"Yes"),"",IFERROR(INDEX(Settings!$C$9:$C$12,MATCH(I1266,Settings!$A$9:$A$12,0)),"")))</f>
        <v/>
      </c>
      <c r="K1266" s="27" t="str">
        <f aca="false">IF(J1266="","",COUNTIF($I$2:I1266,I1266))</f>
        <v/>
      </c>
      <c r="L1266" s="27" t="str">
        <f aca="false">IF(J1266="","",CHOOSE(Q1266+1,"Tue","Wed","Thu","Fri"))</f>
        <v/>
      </c>
      <c r="M1266" s="27" t="str">
        <f aca="false">IF(J1266="","",IF(J1266=1,"Every week",R1266+1&amp;" of "&amp;J1266))</f>
        <v/>
      </c>
      <c r="N1266" s="28" t="str">
        <f aca="false">IF(J1266="","",Settings!$B$4+R1266*7+Q1266)</f>
        <v/>
      </c>
      <c r="O1266" s="28" t="str">
        <f aca="true">IF(J1266="","",N1266+MAX(0,ROUNDUP((TODAY()-N1266)/(J1266*7),0))*J1266*7)</f>
        <v/>
      </c>
      <c r="P1266" s="27" t="str">
        <f aca="false">IF(J1266="","",MOD(K1266-1,J1266*4))</f>
        <v/>
      </c>
      <c r="Q1266" s="27" t="str">
        <f aca="false">IF(J1266="","",MOD(P1266,4))</f>
        <v/>
      </c>
      <c r="R1266" s="27" t="str">
        <f aca="false">IF(J1266="","",INT(P1266/4))</f>
        <v/>
      </c>
      <c r="S1266" s="27" t="str">
        <f aca="false">IF(J1266="","",IF(AND('Daily Count Sheet'!$H$3=Q1266,MOD('Daily Count Sheet'!$I$3,J1266)=R1266),1,""))</f>
        <v/>
      </c>
      <c r="T1266" s="27" t="str">
        <f aca="false">IF(S1266=1,COUNTIF($S$2:S1266,1),"")</f>
        <v/>
      </c>
    </row>
    <row r="1267" customFormat="false" ht="15" hidden="false" customHeight="false" outlineLevel="0" collapsed="false">
      <c r="H1267" s="26"/>
      <c r="I1267" s="27" t="str">
        <f aca="false">IF(A1267="","",IF(H1267&lt;&gt;"",UPPER(TRIM(H1267)),IFERROR(CHOOSE(VALUE(E1267)+1,"A","B","C","D"),IF(OR(LEFT(UPPER(TRIM(E1267)),1)="F",UPPER(TRIM(E1267))="A"),"A",IF(OR(LEFT(UPPER(TRIM(E1267)),1)="M",UPPER(TRIM(E1267))="B"),"B",IF(OR(LEFT(UPPER(TRIM(E1267)),2)="SL",UPPER(TRIM(E1267))="C"),"C",IF(OR(LEFT(UPPER(TRIM(E1267)),1)="D",UPPER(TRIM(E1267))="D"),"D","")))))))</f>
        <v/>
      </c>
      <c r="J1267" s="27" t="str">
        <f aca="false">IF(I1267="","",IF(AND(I1267="D",Settings!$B$6&lt;&gt;"Yes"),"",IFERROR(INDEX(Settings!$C$9:$C$12,MATCH(I1267,Settings!$A$9:$A$12,0)),"")))</f>
        <v/>
      </c>
      <c r="K1267" s="27" t="str">
        <f aca="false">IF(J1267="","",COUNTIF($I$2:I1267,I1267))</f>
        <v/>
      </c>
      <c r="L1267" s="27" t="str">
        <f aca="false">IF(J1267="","",CHOOSE(Q1267+1,"Tue","Wed","Thu","Fri"))</f>
        <v/>
      </c>
      <c r="M1267" s="27" t="str">
        <f aca="false">IF(J1267="","",IF(J1267=1,"Every week",R1267+1&amp;" of "&amp;J1267))</f>
        <v/>
      </c>
      <c r="N1267" s="28" t="str">
        <f aca="false">IF(J1267="","",Settings!$B$4+R1267*7+Q1267)</f>
        <v/>
      </c>
      <c r="O1267" s="28" t="str">
        <f aca="true">IF(J1267="","",N1267+MAX(0,ROUNDUP((TODAY()-N1267)/(J1267*7),0))*J1267*7)</f>
        <v/>
      </c>
      <c r="P1267" s="27" t="str">
        <f aca="false">IF(J1267="","",MOD(K1267-1,J1267*4))</f>
        <v/>
      </c>
      <c r="Q1267" s="27" t="str">
        <f aca="false">IF(J1267="","",MOD(P1267,4))</f>
        <v/>
      </c>
      <c r="R1267" s="27" t="str">
        <f aca="false">IF(J1267="","",INT(P1267/4))</f>
        <v/>
      </c>
      <c r="S1267" s="27" t="str">
        <f aca="false">IF(J1267="","",IF(AND('Daily Count Sheet'!$H$3=Q1267,MOD('Daily Count Sheet'!$I$3,J1267)=R1267),1,""))</f>
        <v/>
      </c>
      <c r="T1267" s="27" t="str">
        <f aca="false">IF(S1267=1,COUNTIF($S$2:S1267,1),"")</f>
        <v/>
      </c>
    </row>
    <row r="1268" customFormat="false" ht="15" hidden="false" customHeight="false" outlineLevel="0" collapsed="false">
      <c r="H1268" s="26"/>
      <c r="I1268" s="27" t="str">
        <f aca="false">IF(A1268="","",IF(H1268&lt;&gt;"",UPPER(TRIM(H1268)),IFERROR(CHOOSE(VALUE(E1268)+1,"A","B","C","D"),IF(OR(LEFT(UPPER(TRIM(E1268)),1)="F",UPPER(TRIM(E1268))="A"),"A",IF(OR(LEFT(UPPER(TRIM(E1268)),1)="M",UPPER(TRIM(E1268))="B"),"B",IF(OR(LEFT(UPPER(TRIM(E1268)),2)="SL",UPPER(TRIM(E1268))="C"),"C",IF(OR(LEFT(UPPER(TRIM(E1268)),1)="D",UPPER(TRIM(E1268))="D"),"D","")))))))</f>
        <v/>
      </c>
      <c r="J1268" s="27" t="str">
        <f aca="false">IF(I1268="","",IF(AND(I1268="D",Settings!$B$6&lt;&gt;"Yes"),"",IFERROR(INDEX(Settings!$C$9:$C$12,MATCH(I1268,Settings!$A$9:$A$12,0)),"")))</f>
        <v/>
      </c>
      <c r="K1268" s="27" t="str">
        <f aca="false">IF(J1268="","",COUNTIF($I$2:I1268,I1268))</f>
        <v/>
      </c>
      <c r="L1268" s="27" t="str">
        <f aca="false">IF(J1268="","",CHOOSE(Q1268+1,"Tue","Wed","Thu","Fri"))</f>
        <v/>
      </c>
      <c r="M1268" s="27" t="str">
        <f aca="false">IF(J1268="","",IF(J1268=1,"Every week",R1268+1&amp;" of "&amp;J1268))</f>
        <v/>
      </c>
      <c r="N1268" s="28" t="str">
        <f aca="false">IF(J1268="","",Settings!$B$4+R1268*7+Q1268)</f>
        <v/>
      </c>
      <c r="O1268" s="28" t="str">
        <f aca="true">IF(J1268="","",N1268+MAX(0,ROUNDUP((TODAY()-N1268)/(J1268*7),0))*J1268*7)</f>
        <v/>
      </c>
      <c r="P1268" s="27" t="str">
        <f aca="false">IF(J1268="","",MOD(K1268-1,J1268*4))</f>
        <v/>
      </c>
      <c r="Q1268" s="27" t="str">
        <f aca="false">IF(J1268="","",MOD(P1268,4))</f>
        <v/>
      </c>
      <c r="R1268" s="27" t="str">
        <f aca="false">IF(J1268="","",INT(P1268/4))</f>
        <v/>
      </c>
      <c r="S1268" s="27" t="str">
        <f aca="false">IF(J1268="","",IF(AND('Daily Count Sheet'!$H$3=Q1268,MOD('Daily Count Sheet'!$I$3,J1268)=R1268),1,""))</f>
        <v/>
      </c>
      <c r="T1268" s="27" t="str">
        <f aca="false">IF(S1268=1,COUNTIF($S$2:S1268,1),"")</f>
        <v/>
      </c>
    </row>
    <row r="1269" customFormat="false" ht="15" hidden="false" customHeight="false" outlineLevel="0" collapsed="false">
      <c r="H1269" s="26"/>
      <c r="I1269" s="27" t="str">
        <f aca="false">IF(A1269="","",IF(H1269&lt;&gt;"",UPPER(TRIM(H1269)),IFERROR(CHOOSE(VALUE(E1269)+1,"A","B","C","D"),IF(OR(LEFT(UPPER(TRIM(E1269)),1)="F",UPPER(TRIM(E1269))="A"),"A",IF(OR(LEFT(UPPER(TRIM(E1269)),1)="M",UPPER(TRIM(E1269))="B"),"B",IF(OR(LEFT(UPPER(TRIM(E1269)),2)="SL",UPPER(TRIM(E1269))="C"),"C",IF(OR(LEFT(UPPER(TRIM(E1269)),1)="D",UPPER(TRIM(E1269))="D"),"D","")))))))</f>
        <v/>
      </c>
      <c r="J1269" s="27" t="str">
        <f aca="false">IF(I1269="","",IF(AND(I1269="D",Settings!$B$6&lt;&gt;"Yes"),"",IFERROR(INDEX(Settings!$C$9:$C$12,MATCH(I1269,Settings!$A$9:$A$12,0)),"")))</f>
        <v/>
      </c>
      <c r="K1269" s="27" t="str">
        <f aca="false">IF(J1269="","",COUNTIF($I$2:I1269,I1269))</f>
        <v/>
      </c>
      <c r="L1269" s="27" t="str">
        <f aca="false">IF(J1269="","",CHOOSE(Q1269+1,"Tue","Wed","Thu","Fri"))</f>
        <v/>
      </c>
      <c r="M1269" s="27" t="str">
        <f aca="false">IF(J1269="","",IF(J1269=1,"Every week",R1269+1&amp;" of "&amp;J1269))</f>
        <v/>
      </c>
      <c r="N1269" s="28" t="str">
        <f aca="false">IF(J1269="","",Settings!$B$4+R1269*7+Q1269)</f>
        <v/>
      </c>
      <c r="O1269" s="28" t="str">
        <f aca="true">IF(J1269="","",N1269+MAX(0,ROUNDUP((TODAY()-N1269)/(J1269*7),0))*J1269*7)</f>
        <v/>
      </c>
      <c r="P1269" s="27" t="str">
        <f aca="false">IF(J1269="","",MOD(K1269-1,J1269*4))</f>
        <v/>
      </c>
      <c r="Q1269" s="27" t="str">
        <f aca="false">IF(J1269="","",MOD(P1269,4))</f>
        <v/>
      </c>
      <c r="R1269" s="27" t="str">
        <f aca="false">IF(J1269="","",INT(P1269/4))</f>
        <v/>
      </c>
      <c r="S1269" s="27" t="str">
        <f aca="false">IF(J1269="","",IF(AND('Daily Count Sheet'!$H$3=Q1269,MOD('Daily Count Sheet'!$I$3,J1269)=R1269),1,""))</f>
        <v/>
      </c>
      <c r="T1269" s="27" t="str">
        <f aca="false">IF(S1269=1,COUNTIF($S$2:S1269,1),"")</f>
        <v/>
      </c>
    </row>
    <row r="1270" customFormat="false" ht="15" hidden="false" customHeight="false" outlineLevel="0" collapsed="false">
      <c r="H1270" s="26"/>
      <c r="I1270" s="27" t="str">
        <f aca="false">IF(A1270="","",IF(H1270&lt;&gt;"",UPPER(TRIM(H1270)),IFERROR(CHOOSE(VALUE(E1270)+1,"A","B","C","D"),IF(OR(LEFT(UPPER(TRIM(E1270)),1)="F",UPPER(TRIM(E1270))="A"),"A",IF(OR(LEFT(UPPER(TRIM(E1270)),1)="M",UPPER(TRIM(E1270))="B"),"B",IF(OR(LEFT(UPPER(TRIM(E1270)),2)="SL",UPPER(TRIM(E1270))="C"),"C",IF(OR(LEFT(UPPER(TRIM(E1270)),1)="D",UPPER(TRIM(E1270))="D"),"D","")))))))</f>
        <v/>
      </c>
      <c r="J1270" s="27" t="str">
        <f aca="false">IF(I1270="","",IF(AND(I1270="D",Settings!$B$6&lt;&gt;"Yes"),"",IFERROR(INDEX(Settings!$C$9:$C$12,MATCH(I1270,Settings!$A$9:$A$12,0)),"")))</f>
        <v/>
      </c>
      <c r="K1270" s="27" t="str">
        <f aca="false">IF(J1270="","",COUNTIF($I$2:I1270,I1270))</f>
        <v/>
      </c>
      <c r="L1270" s="27" t="str">
        <f aca="false">IF(J1270="","",CHOOSE(Q1270+1,"Tue","Wed","Thu","Fri"))</f>
        <v/>
      </c>
      <c r="M1270" s="27" t="str">
        <f aca="false">IF(J1270="","",IF(J1270=1,"Every week",R1270+1&amp;" of "&amp;J1270))</f>
        <v/>
      </c>
      <c r="N1270" s="28" t="str">
        <f aca="false">IF(J1270="","",Settings!$B$4+R1270*7+Q1270)</f>
        <v/>
      </c>
      <c r="O1270" s="28" t="str">
        <f aca="true">IF(J1270="","",N1270+MAX(0,ROUNDUP((TODAY()-N1270)/(J1270*7),0))*J1270*7)</f>
        <v/>
      </c>
      <c r="P1270" s="27" t="str">
        <f aca="false">IF(J1270="","",MOD(K1270-1,J1270*4))</f>
        <v/>
      </c>
      <c r="Q1270" s="27" t="str">
        <f aca="false">IF(J1270="","",MOD(P1270,4))</f>
        <v/>
      </c>
      <c r="R1270" s="27" t="str">
        <f aca="false">IF(J1270="","",INT(P1270/4))</f>
        <v/>
      </c>
      <c r="S1270" s="27" t="str">
        <f aca="false">IF(J1270="","",IF(AND('Daily Count Sheet'!$H$3=Q1270,MOD('Daily Count Sheet'!$I$3,J1270)=R1270),1,""))</f>
        <v/>
      </c>
      <c r="T1270" s="27" t="str">
        <f aca="false">IF(S1270=1,COUNTIF($S$2:S1270,1),"")</f>
        <v/>
      </c>
    </row>
    <row r="1271" customFormat="false" ht="15" hidden="false" customHeight="false" outlineLevel="0" collapsed="false">
      <c r="H1271" s="26"/>
      <c r="I1271" s="27" t="str">
        <f aca="false">IF(A1271="","",IF(H1271&lt;&gt;"",UPPER(TRIM(H1271)),IFERROR(CHOOSE(VALUE(E1271)+1,"A","B","C","D"),IF(OR(LEFT(UPPER(TRIM(E1271)),1)="F",UPPER(TRIM(E1271))="A"),"A",IF(OR(LEFT(UPPER(TRIM(E1271)),1)="M",UPPER(TRIM(E1271))="B"),"B",IF(OR(LEFT(UPPER(TRIM(E1271)),2)="SL",UPPER(TRIM(E1271))="C"),"C",IF(OR(LEFT(UPPER(TRIM(E1271)),1)="D",UPPER(TRIM(E1271))="D"),"D","")))))))</f>
        <v/>
      </c>
      <c r="J1271" s="27" t="str">
        <f aca="false">IF(I1271="","",IF(AND(I1271="D",Settings!$B$6&lt;&gt;"Yes"),"",IFERROR(INDEX(Settings!$C$9:$C$12,MATCH(I1271,Settings!$A$9:$A$12,0)),"")))</f>
        <v/>
      </c>
      <c r="K1271" s="27" t="str">
        <f aca="false">IF(J1271="","",COUNTIF($I$2:I1271,I1271))</f>
        <v/>
      </c>
      <c r="L1271" s="27" t="str">
        <f aca="false">IF(J1271="","",CHOOSE(Q1271+1,"Tue","Wed","Thu","Fri"))</f>
        <v/>
      </c>
      <c r="M1271" s="27" t="str">
        <f aca="false">IF(J1271="","",IF(J1271=1,"Every week",R1271+1&amp;" of "&amp;J1271))</f>
        <v/>
      </c>
      <c r="N1271" s="28" t="str">
        <f aca="false">IF(J1271="","",Settings!$B$4+R1271*7+Q1271)</f>
        <v/>
      </c>
      <c r="O1271" s="28" t="str">
        <f aca="true">IF(J1271="","",N1271+MAX(0,ROUNDUP((TODAY()-N1271)/(J1271*7),0))*J1271*7)</f>
        <v/>
      </c>
      <c r="P1271" s="27" t="str">
        <f aca="false">IF(J1271="","",MOD(K1271-1,J1271*4))</f>
        <v/>
      </c>
      <c r="Q1271" s="27" t="str">
        <f aca="false">IF(J1271="","",MOD(P1271,4))</f>
        <v/>
      </c>
      <c r="R1271" s="27" t="str">
        <f aca="false">IF(J1271="","",INT(P1271/4))</f>
        <v/>
      </c>
      <c r="S1271" s="27" t="str">
        <f aca="false">IF(J1271="","",IF(AND('Daily Count Sheet'!$H$3=Q1271,MOD('Daily Count Sheet'!$I$3,J1271)=R1271),1,""))</f>
        <v/>
      </c>
      <c r="T1271" s="27" t="str">
        <f aca="false">IF(S1271=1,COUNTIF($S$2:S1271,1),"")</f>
        <v/>
      </c>
    </row>
    <row r="1272" customFormat="false" ht="15" hidden="false" customHeight="false" outlineLevel="0" collapsed="false">
      <c r="H1272" s="26"/>
      <c r="I1272" s="27" t="str">
        <f aca="false">IF(A1272="","",IF(H1272&lt;&gt;"",UPPER(TRIM(H1272)),IFERROR(CHOOSE(VALUE(E1272)+1,"A","B","C","D"),IF(OR(LEFT(UPPER(TRIM(E1272)),1)="F",UPPER(TRIM(E1272))="A"),"A",IF(OR(LEFT(UPPER(TRIM(E1272)),1)="M",UPPER(TRIM(E1272))="B"),"B",IF(OR(LEFT(UPPER(TRIM(E1272)),2)="SL",UPPER(TRIM(E1272))="C"),"C",IF(OR(LEFT(UPPER(TRIM(E1272)),1)="D",UPPER(TRIM(E1272))="D"),"D","")))))))</f>
        <v/>
      </c>
      <c r="J1272" s="27" t="str">
        <f aca="false">IF(I1272="","",IF(AND(I1272="D",Settings!$B$6&lt;&gt;"Yes"),"",IFERROR(INDEX(Settings!$C$9:$C$12,MATCH(I1272,Settings!$A$9:$A$12,0)),"")))</f>
        <v/>
      </c>
      <c r="K1272" s="27" t="str">
        <f aca="false">IF(J1272="","",COUNTIF($I$2:I1272,I1272))</f>
        <v/>
      </c>
      <c r="L1272" s="27" t="str">
        <f aca="false">IF(J1272="","",CHOOSE(Q1272+1,"Tue","Wed","Thu","Fri"))</f>
        <v/>
      </c>
      <c r="M1272" s="27" t="str">
        <f aca="false">IF(J1272="","",IF(J1272=1,"Every week",R1272+1&amp;" of "&amp;J1272))</f>
        <v/>
      </c>
      <c r="N1272" s="28" t="str">
        <f aca="false">IF(J1272="","",Settings!$B$4+R1272*7+Q1272)</f>
        <v/>
      </c>
      <c r="O1272" s="28" t="str">
        <f aca="true">IF(J1272="","",N1272+MAX(0,ROUNDUP((TODAY()-N1272)/(J1272*7),0))*J1272*7)</f>
        <v/>
      </c>
      <c r="P1272" s="27" t="str">
        <f aca="false">IF(J1272="","",MOD(K1272-1,J1272*4))</f>
        <v/>
      </c>
      <c r="Q1272" s="27" t="str">
        <f aca="false">IF(J1272="","",MOD(P1272,4))</f>
        <v/>
      </c>
      <c r="R1272" s="27" t="str">
        <f aca="false">IF(J1272="","",INT(P1272/4))</f>
        <v/>
      </c>
      <c r="S1272" s="27" t="str">
        <f aca="false">IF(J1272="","",IF(AND('Daily Count Sheet'!$H$3=Q1272,MOD('Daily Count Sheet'!$I$3,J1272)=R1272),1,""))</f>
        <v/>
      </c>
      <c r="T1272" s="27" t="str">
        <f aca="false">IF(S1272=1,COUNTIF($S$2:S1272,1),"")</f>
        <v/>
      </c>
    </row>
    <row r="1273" customFormat="false" ht="15" hidden="false" customHeight="false" outlineLevel="0" collapsed="false">
      <c r="H1273" s="26"/>
      <c r="I1273" s="27" t="str">
        <f aca="false">IF(A1273="","",IF(H1273&lt;&gt;"",UPPER(TRIM(H1273)),IFERROR(CHOOSE(VALUE(E1273)+1,"A","B","C","D"),IF(OR(LEFT(UPPER(TRIM(E1273)),1)="F",UPPER(TRIM(E1273))="A"),"A",IF(OR(LEFT(UPPER(TRIM(E1273)),1)="M",UPPER(TRIM(E1273))="B"),"B",IF(OR(LEFT(UPPER(TRIM(E1273)),2)="SL",UPPER(TRIM(E1273))="C"),"C",IF(OR(LEFT(UPPER(TRIM(E1273)),1)="D",UPPER(TRIM(E1273))="D"),"D","")))))))</f>
        <v/>
      </c>
      <c r="J1273" s="27" t="str">
        <f aca="false">IF(I1273="","",IF(AND(I1273="D",Settings!$B$6&lt;&gt;"Yes"),"",IFERROR(INDEX(Settings!$C$9:$C$12,MATCH(I1273,Settings!$A$9:$A$12,0)),"")))</f>
        <v/>
      </c>
      <c r="K1273" s="27" t="str">
        <f aca="false">IF(J1273="","",COUNTIF($I$2:I1273,I1273))</f>
        <v/>
      </c>
      <c r="L1273" s="27" t="str">
        <f aca="false">IF(J1273="","",CHOOSE(Q1273+1,"Tue","Wed","Thu","Fri"))</f>
        <v/>
      </c>
      <c r="M1273" s="27" t="str">
        <f aca="false">IF(J1273="","",IF(J1273=1,"Every week",R1273+1&amp;" of "&amp;J1273))</f>
        <v/>
      </c>
      <c r="N1273" s="28" t="str">
        <f aca="false">IF(J1273="","",Settings!$B$4+R1273*7+Q1273)</f>
        <v/>
      </c>
      <c r="O1273" s="28" t="str">
        <f aca="true">IF(J1273="","",N1273+MAX(0,ROUNDUP((TODAY()-N1273)/(J1273*7),0))*J1273*7)</f>
        <v/>
      </c>
      <c r="P1273" s="27" t="str">
        <f aca="false">IF(J1273="","",MOD(K1273-1,J1273*4))</f>
        <v/>
      </c>
      <c r="Q1273" s="27" t="str">
        <f aca="false">IF(J1273="","",MOD(P1273,4))</f>
        <v/>
      </c>
      <c r="R1273" s="27" t="str">
        <f aca="false">IF(J1273="","",INT(P1273/4))</f>
        <v/>
      </c>
      <c r="S1273" s="27" t="str">
        <f aca="false">IF(J1273="","",IF(AND('Daily Count Sheet'!$H$3=Q1273,MOD('Daily Count Sheet'!$I$3,J1273)=R1273),1,""))</f>
        <v/>
      </c>
      <c r="T1273" s="27" t="str">
        <f aca="false">IF(S1273=1,COUNTIF($S$2:S1273,1),"")</f>
        <v/>
      </c>
    </row>
    <row r="1274" customFormat="false" ht="15" hidden="false" customHeight="false" outlineLevel="0" collapsed="false">
      <c r="H1274" s="26"/>
      <c r="I1274" s="27" t="str">
        <f aca="false">IF(A1274="","",IF(H1274&lt;&gt;"",UPPER(TRIM(H1274)),IFERROR(CHOOSE(VALUE(E1274)+1,"A","B","C","D"),IF(OR(LEFT(UPPER(TRIM(E1274)),1)="F",UPPER(TRIM(E1274))="A"),"A",IF(OR(LEFT(UPPER(TRIM(E1274)),1)="M",UPPER(TRIM(E1274))="B"),"B",IF(OR(LEFT(UPPER(TRIM(E1274)),2)="SL",UPPER(TRIM(E1274))="C"),"C",IF(OR(LEFT(UPPER(TRIM(E1274)),1)="D",UPPER(TRIM(E1274))="D"),"D","")))))))</f>
        <v/>
      </c>
      <c r="J1274" s="27" t="str">
        <f aca="false">IF(I1274="","",IF(AND(I1274="D",Settings!$B$6&lt;&gt;"Yes"),"",IFERROR(INDEX(Settings!$C$9:$C$12,MATCH(I1274,Settings!$A$9:$A$12,0)),"")))</f>
        <v/>
      </c>
      <c r="K1274" s="27" t="str">
        <f aca="false">IF(J1274="","",COUNTIF($I$2:I1274,I1274))</f>
        <v/>
      </c>
      <c r="L1274" s="27" t="str">
        <f aca="false">IF(J1274="","",CHOOSE(Q1274+1,"Tue","Wed","Thu","Fri"))</f>
        <v/>
      </c>
      <c r="M1274" s="27" t="str">
        <f aca="false">IF(J1274="","",IF(J1274=1,"Every week",R1274+1&amp;" of "&amp;J1274))</f>
        <v/>
      </c>
      <c r="N1274" s="28" t="str">
        <f aca="false">IF(J1274="","",Settings!$B$4+R1274*7+Q1274)</f>
        <v/>
      </c>
      <c r="O1274" s="28" t="str">
        <f aca="true">IF(J1274="","",N1274+MAX(0,ROUNDUP((TODAY()-N1274)/(J1274*7),0))*J1274*7)</f>
        <v/>
      </c>
      <c r="P1274" s="27" t="str">
        <f aca="false">IF(J1274="","",MOD(K1274-1,J1274*4))</f>
        <v/>
      </c>
      <c r="Q1274" s="27" t="str">
        <f aca="false">IF(J1274="","",MOD(P1274,4))</f>
        <v/>
      </c>
      <c r="R1274" s="27" t="str">
        <f aca="false">IF(J1274="","",INT(P1274/4))</f>
        <v/>
      </c>
      <c r="S1274" s="27" t="str">
        <f aca="false">IF(J1274="","",IF(AND('Daily Count Sheet'!$H$3=Q1274,MOD('Daily Count Sheet'!$I$3,J1274)=R1274),1,""))</f>
        <v/>
      </c>
      <c r="T1274" s="27" t="str">
        <f aca="false">IF(S1274=1,COUNTIF($S$2:S1274,1),"")</f>
        <v/>
      </c>
    </row>
    <row r="1275" customFormat="false" ht="15" hidden="false" customHeight="false" outlineLevel="0" collapsed="false">
      <c r="H1275" s="26"/>
      <c r="I1275" s="27" t="str">
        <f aca="false">IF(A1275="","",IF(H1275&lt;&gt;"",UPPER(TRIM(H1275)),IFERROR(CHOOSE(VALUE(E1275)+1,"A","B","C","D"),IF(OR(LEFT(UPPER(TRIM(E1275)),1)="F",UPPER(TRIM(E1275))="A"),"A",IF(OR(LEFT(UPPER(TRIM(E1275)),1)="M",UPPER(TRIM(E1275))="B"),"B",IF(OR(LEFT(UPPER(TRIM(E1275)),2)="SL",UPPER(TRIM(E1275))="C"),"C",IF(OR(LEFT(UPPER(TRIM(E1275)),1)="D",UPPER(TRIM(E1275))="D"),"D","")))))))</f>
        <v/>
      </c>
      <c r="J1275" s="27" t="str">
        <f aca="false">IF(I1275="","",IF(AND(I1275="D",Settings!$B$6&lt;&gt;"Yes"),"",IFERROR(INDEX(Settings!$C$9:$C$12,MATCH(I1275,Settings!$A$9:$A$12,0)),"")))</f>
        <v/>
      </c>
      <c r="K1275" s="27" t="str">
        <f aca="false">IF(J1275="","",COUNTIF($I$2:I1275,I1275))</f>
        <v/>
      </c>
      <c r="L1275" s="27" t="str">
        <f aca="false">IF(J1275="","",CHOOSE(Q1275+1,"Tue","Wed","Thu","Fri"))</f>
        <v/>
      </c>
      <c r="M1275" s="27" t="str">
        <f aca="false">IF(J1275="","",IF(J1275=1,"Every week",R1275+1&amp;" of "&amp;J1275))</f>
        <v/>
      </c>
      <c r="N1275" s="28" t="str">
        <f aca="false">IF(J1275="","",Settings!$B$4+R1275*7+Q1275)</f>
        <v/>
      </c>
      <c r="O1275" s="28" t="str">
        <f aca="true">IF(J1275="","",N1275+MAX(0,ROUNDUP((TODAY()-N1275)/(J1275*7),0))*J1275*7)</f>
        <v/>
      </c>
      <c r="P1275" s="27" t="str">
        <f aca="false">IF(J1275="","",MOD(K1275-1,J1275*4))</f>
        <v/>
      </c>
      <c r="Q1275" s="27" t="str">
        <f aca="false">IF(J1275="","",MOD(P1275,4))</f>
        <v/>
      </c>
      <c r="R1275" s="27" t="str">
        <f aca="false">IF(J1275="","",INT(P1275/4))</f>
        <v/>
      </c>
      <c r="S1275" s="27" t="str">
        <f aca="false">IF(J1275="","",IF(AND('Daily Count Sheet'!$H$3=Q1275,MOD('Daily Count Sheet'!$I$3,J1275)=R1275),1,""))</f>
        <v/>
      </c>
      <c r="T1275" s="27" t="str">
        <f aca="false">IF(S1275=1,COUNTIF($S$2:S1275,1),"")</f>
        <v/>
      </c>
    </row>
    <row r="1276" customFormat="false" ht="15" hidden="false" customHeight="false" outlineLevel="0" collapsed="false">
      <c r="H1276" s="26"/>
      <c r="I1276" s="27" t="str">
        <f aca="false">IF(A1276="","",IF(H1276&lt;&gt;"",UPPER(TRIM(H1276)),IFERROR(CHOOSE(VALUE(E1276)+1,"A","B","C","D"),IF(OR(LEFT(UPPER(TRIM(E1276)),1)="F",UPPER(TRIM(E1276))="A"),"A",IF(OR(LEFT(UPPER(TRIM(E1276)),1)="M",UPPER(TRIM(E1276))="B"),"B",IF(OR(LEFT(UPPER(TRIM(E1276)),2)="SL",UPPER(TRIM(E1276))="C"),"C",IF(OR(LEFT(UPPER(TRIM(E1276)),1)="D",UPPER(TRIM(E1276))="D"),"D","")))))))</f>
        <v/>
      </c>
      <c r="J1276" s="27" t="str">
        <f aca="false">IF(I1276="","",IF(AND(I1276="D",Settings!$B$6&lt;&gt;"Yes"),"",IFERROR(INDEX(Settings!$C$9:$C$12,MATCH(I1276,Settings!$A$9:$A$12,0)),"")))</f>
        <v/>
      </c>
      <c r="K1276" s="27" t="str">
        <f aca="false">IF(J1276="","",COUNTIF($I$2:I1276,I1276))</f>
        <v/>
      </c>
      <c r="L1276" s="27" t="str">
        <f aca="false">IF(J1276="","",CHOOSE(Q1276+1,"Tue","Wed","Thu","Fri"))</f>
        <v/>
      </c>
      <c r="M1276" s="27" t="str">
        <f aca="false">IF(J1276="","",IF(J1276=1,"Every week",R1276+1&amp;" of "&amp;J1276))</f>
        <v/>
      </c>
      <c r="N1276" s="28" t="str">
        <f aca="false">IF(J1276="","",Settings!$B$4+R1276*7+Q1276)</f>
        <v/>
      </c>
      <c r="O1276" s="28" t="str">
        <f aca="true">IF(J1276="","",N1276+MAX(0,ROUNDUP((TODAY()-N1276)/(J1276*7),0))*J1276*7)</f>
        <v/>
      </c>
      <c r="P1276" s="27" t="str">
        <f aca="false">IF(J1276="","",MOD(K1276-1,J1276*4))</f>
        <v/>
      </c>
      <c r="Q1276" s="27" t="str">
        <f aca="false">IF(J1276="","",MOD(P1276,4))</f>
        <v/>
      </c>
      <c r="R1276" s="27" t="str">
        <f aca="false">IF(J1276="","",INT(P1276/4))</f>
        <v/>
      </c>
      <c r="S1276" s="27" t="str">
        <f aca="false">IF(J1276="","",IF(AND('Daily Count Sheet'!$H$3=Q1276,MOD('Daily Count Sheet'!$I$3,J1276)=R1276),1,""))</f>
        <v/>
      </c>
      <c r="T1276" s="27" t="str">
        <f aca="false">IF(S1276=1,COUNTIF($S$2:S1276,1),"")</f>
        <v/>
      </c>
    </row>
    <row r="1277" customFormat="false" ht="15" hidden="false" customHeight="false" outlineLevel="0" collapsed="false">
      <c r="H1277" s="26"/>
      <c r="I1277" s="27" t="str">
        <f aca="false">IF(A1277="","",IF(H1277&lt;&gt;"",UPPER(TRIM(H1277)),IFERROR(CHOOSE(VALUE(E1277)+1,"A","B","C","D"),IF(OR(LEFT(UPPER(TRIM(E1277)),1)="F",UPPER(TRIM(E1277))="A"),"A",IF(OR(LEFT(UPPER(TRIM(E1277)),1)="M",UPPER(TRIM(E1277))="B"),"B",IF(OR(LEFT(UPPER(TRIM(E1277)),2)="SL",UPPER(TRIM(E1277))="C"),"C",IF(OR(LEFT(UPPER(TRIM(E1277)),1)="D",UPPER(TRIM(E1277))="D"),"D","")))))))</f>
        <v/>
      </c>
      <c r="J1277" s="27" t="str">
        <f aca="false">IF(I1277="","",IF(AND(I1277="D",Settings!$B$6&lt;&gt;"Yes"),"",IFERROR(INDEX(Settings!$C$9:$C$12,MATCH(I1277,Settings!$A$9:$A$12,0)),"")))</f>
        <v/>
      </c>
      <c r="K1277" s="27" t="str">
        <f aca="false">IF(J1277="","",COUNTIF($I$2:I1277,I1277))</f>
        <v/>
      </c>
      <c r="L1277" s="27" t="str">
        <f aca="false">IF(J1277="","",CHOOSE(Q1277+1,"Tue","Wed","Thu","Fri"))</f>
        <v/>
      </c>
      <c r="M1277" s="27" t="str">
        <f aca="false">IF(J1277="","",IF(J1277=1,"Every week",R1277+1&amp;" of "&amp;J1277))</f>
        <v/>
      </c>
      <c r="N1277" s="28" t="str">
        <f aca="false">IF(J1277="","",Settings!$B$4+R1277*7+Q1277)</f>
        <v/>
      </c>
      <c r="O1277" s="28" t="str">
        <f aca="true">IF(J1277="","",N1277+MAX(0,ROUNDUP((TODAY()-N1277)/(J1277*7),0))*J1277*7)</f>
        <v/>
      </c>
      <c r="P1277" s="27" t="str">
        <f aca="false">IF(J1277="","",MOD(K1277-1,J1277*4))</f>
        <v/>
      </c>
      <c r="Q1277" s="27" t="str">
        <f aca="false">IF(J1277="","",MOD(P1277,4))</f>
        <v/>
      </c>
      <c r="R1277" s="27" t="str">
        <f aca="false">IF(J1277="","",INT(P1277/4))</f>
        <v/>
      </c>
      <c r="S1277" s="27" t="str">
        <f aca="false">IF(J1277="","",IF(AND('Daily Count Sheet'!$H$3=Q1277,MOD('Daily Count Sheet'!$I$3,J1277)=R1277),1,""))</f>
        <v/>
      </c>
      <c r="T1277" s="27" t="str">
        <f aca="false">IF(S1277=1,COUNTIF($S$2:S1277,1),"")</f>
        <v/>
      </c>
    </row>
    <row r="1278" customFormat="false" ht="15" hidden="false" customHeight="false" outlineLevel="0" collapsed="false">
      <c r="H1278" s="26"/>
      <c r="I1278" s="27" t="str">
        <f aca="false">IF(A1278="","",IF(H1278&lt;&gt;"",UPPER(TRIM(H1278)),IFERROR(CHOOSE(VALUE(E1278)+1,"A","B","C","D"),IF(OR(LEFT(UPPER(TRIM(E1278)),1)="F",UPPER(TRIM(E1278))="A"),"A",IF(OR(LEFT(UPPER(TRIM(E1278)),1)="M",UPPER(TRIM(E1278))="B"),"B",IF(OR(LEFT(UPPER(TRIM(E1278)),2)="SL",UPPER(TRIM(E1278))="C"),"C",IF(OR(LEFT(UPPER(TRIM(E1278)),1)="D",UPPER(TRIM(E1278))="D"),"D","")))))))</f>
        <v/>
      </c>
      <c r="J1278" s="27" t="str">
        <f aca="false">IF(I1278="","",IF(AND(I1278="D",Settings!$B$6&lt;&gt;"Yes"),"",IFERROR(INDEX(Settings!$C$9:$C$12,MATCH(I1278,Settings!$A$9:$A$12,0)),"")))</f>
        <v/>
      </c>
      <c r="K1278" s="27" t="str">
        <f aca="false">IF(J1278="","",COUNTIF($I$2:I1278,I1278))</f>
        <v/>
      </c>
      <c r="L1278" s="27" t="str">
        <f aca="false">IF(J1278="","",CHOOSE(Q1278+1,"Tue","Wed","Thu","Fri"))</f>
        <v/>
      </c>
      <c r="M1278" s="27" t="str">
        <f aca="false">IF(J1278="","",IF(J1278=1,"Every week",R1278+1&amp;" of "&amp;J1278))</f>
        <v/>
      </c>
      <c r="N1278" s="28" t="str">
        <f aca="false">IF(J1278="","",Settings!$B$4+R1278*7+Q1278)</f>
        <v/>
      </c>
      <c r="O1278" s="28" t="str">
        <f aca="true">IF(J1278="","",N1278+MAX(0,ROUNDUP((TODAY()-N1278)/(J1278*7),0))*J1278*7)</f>
        <v/>
      </c>
      <c r="P1278" s="27" t="str">
        <f aca="false">IF(J1278="","",MOD(K1278-1,J1278*4))</f>
        <v/>
      </c>
      <c r="Q1278" s="27" t="str">
        <f aca="false">IF(J1278="","",MOD(P1278,4))</f>
        <v/>
      </c>
      <c r="R1278" s="27" t="str">
        <f aca="false">IF(J1278="","",INT(P1278/4))</f>
        <v/>
      </c>
      <c r="S1278" s="27" t="str">
        <f aca="false">IF(J1278="","",IF(AND('Daily Count Sheet'!$H$3=Q1278,MOD('Daily Count Sheet'!$I$3,J1278)=R1278),1,""))</f>
        <v/>
      </c>
      <c r="T1278" s="27" t="str">
        <f aca="false">IF(S1278=1,COUNTIF($S$2:S1278,1),"")</f>
        <v/>
      </c>
    </row>
    <row r="1279" customFormat="false" ht="15" hidden="false" customHeight="false" outlineLevel="0" collapsed="false">
      <c r="H1279" s="26"/>
      <c r="I1279" s="27" t="str">
        <f aca="false">IF(A1279="","",IF(H1279&lt;&gt;"",UPPER(TRIM(H1279)),IFERROR(CHOOSE(VALUE(E1279)+1,"A","B","C","D"),IF(OR(LEFT(UPPER(TRIM(E1279)),1)="F",UPPER(TRIM(E1279))="A"),"A",IF(OR(LEFT(UPPER(TRIM(E1279)),1)="M",UPPER(TRIM(E1279))="B"),"B",IF(OR(LEFT(UPPER(TRIM(E1279)),2)="SL",UPPER(TRIM(E1279))="C"),"C",IF(OR(LEFT(UPPER(TRIM(E1279)),1)="D",UPPER(TRIM(E1279))="D"),"D","")))))))</f>
        <v/>
      </c>
      <c r="J1279" s="27" t="str">
        <f aca="false">IF(I1279="","",IF(AND(I1279="D",Settings!$B$6&lt;&gt;"Yes"),"",IFERROR(INDEX(Settings!$C$9:$C$12,MATCH(I1279,Settings!$A$9:$A$12,0)),"")))</f>
        <v/>
      </c>
      <c r="K1279" s="27" t="str">
        <f aca="false">IF(J1279="","",COUNTIF($I$2:I1279,I1279))</f>
        <v/>
      </c>
      <c r="L1279" s="27" t="str">
        <f aca="false">IF(J1279="","",CHOOSE(Q1279+1,"Tue","Wed","Thu","Fri"))</f>
        <v/>
      </c>
      <c r="M1279" s="27" t="str">
        <f aca="false">IF(J1279="","",IF(J1279=1,"Every week",R1279+1&amp;" of "&amp;J1279))</f>
        <v/>
      </c>
      <c r="N1279" s="28" t="str">
        <f aca="false">IF(J1279="","",Settings!$B$4+R1279*7+Q1279)</f>
        <v/>
      </c>
      <c r="O1279" s="28" t="str">
        <f aca="true">IF(J1279="","",N1279+MAX(0,ROUNDUP((TODAY()-N1279)/(J1279*7),0))*J1279*7)</f>
        <v/>
      </c>
      <c r="P1279" s="27" t="str">
        <f aca="false">IF(J1279="","",MOD(K1279-1,J1279*4))</f>
        <v/>
      </c>
      <c r="Q1279" s="27" t="str">
        <f aca="false">IF(J1279="","",MOD(P1279,4))</f>
        <v/>
      </c>
      <c r="R1279" s="27" t="str">
        <f aca="false">IF(J1279="","",INT(P1279/4))</f>
        <v/>
      </c>
      <c r="S1279" s="27" t="str">
        <f aca="false">IF(J1279="","",IF(AND('Daily Count Sheet'!$H$3=Q1279,MOD('Daily Count Sheet'!$I$3,J1279)=R1279),1,""))</f>
        <v/>
      </c>
      <c r="T1279" s="27" t="str">
        <f aca="false">IF(S1279=1,COUNTIF($S$2:S1279,1),"")</f>
        <v/>
      </c>
    </row>
    <row r="1280" customFormat="false" ht="15" hidden="false" customHeight="false" outlineLevel="0" collapsed="false">
      <c r="H1280" s="26"/>
      <c r="I1280" s="27" t="str">
        <f aca="false">IF(A1280="","",IF(H1280&lt;&gt;"",UPPER(TRIM(H1280)),IFERROR(CHOOSE(VALUE(E1280)+1,"A","B","C","D"),IF(OR(LEFT(UPPER(TRIM(E1280)),1)="F",UPPER(TRIM(E1280))="A"),"A",IF(OR(LEFT(UPPER(TRIM(E1280)),1)="M",UPPER(TRIM(E1280))="B"),"B",IF(OR(LEFT(UPPER(TRIM(E1280)),2)="SL",UPPER(TRIM(E1280))="C"),"C",IF(OR(LEFT(UPPER(TRIM(E1280)),1)="D",UPPER(TRIM(E1280))="D"),"D","")))))))</f>
        <v/>
      </c>
      <c r="J1280" s="27" t="str">
        <f aca="false">IF(I1280="","",IF(AND(I1280="D",Settings!$B$6&lt;&gt;"Yes"),"",IFERROR(INDEX(Settings!$C$9:$C$12,MATCH(I1280,Settings!$A$9:$A$12,0)),"")))</f>
        <v/>
      </c>
      <c r="K1280" s="27" t="str">
        <f aca="false">IF(J1280="","",COUNTIF($I$2:I1280,I1280))</f>
        <v/>
      </c>
      <c r="L1280" s="27" t="str">
        <f aca="false">IF(J1280="","",CHOOSE(Q1280+1,"Tue","Wed","Thu","Fri"))</f>
        <v/>
      </c>
      <c r="M1280" s="27" t="str">
        <f aca="false">IF(J1280="","",IF(J1280=1,"Every week",R1280+1&amp;" of "&amp;J1280))</f>
        <v/>
      </c>
      <c r="N1280" s="28" t="str">
        <f aca="false">IF(J1280="","",Settings!$B$4+R1280*7+Q1280)</f>
        <v/>
      </c>
      <c r="O1280" s="28" t="str">
        <f aca="true">IF(J1280="","",N1280+MAX(0,ROUNDUP((TODAY()-N1280)/(J1280*7),0))*J1280*7)</f>
        <v/>
      </c>
      <c r="P1280" s="27" t="str">
        <f aca="false">IF(J1280="","",MOD(K1280-1,J1280*4))</f>
        <v/>
      </c>
      <c r="Q1280" s="27" t="str">
        <f aca="false">IF(J1280="","",MOD(P1280,4))</f>
        <v/>
      </c>
      <c r="R1280" s="27" t="str">
        <f aca="false">IF(J1280="","",INT(P1280/4))</f>
        <v/>
      </c>
      <c r="S1280" s="27" t="str">
        <f aca="false">IF(J1280="","",IF(AND('Daily Count Sheet'!$H$3=Q1280,MOD('Daily Count Sheet'!$I$3,J1280)=R1280),1,""))</f>
        <v/>
      </c>
      <c r="T1280" s="27" t="str">
        <f aca="false">IF(S1280=1,COUNTIF($S$2:S1280,1),"")</f>
        <v/>
      </c>
    </row>
    <row r="1281" customFormat="false" ht="15" hidden="false" customHeight="false" outlineLevel="0" collapsed="false">
      <c r="H1281" s="26"/>
      <c r="I1281" s="27" t="str">
        <f aca="false">IF(A1281="","",IF(H1281&lt;&gt;"",UPPER(TRIM(H1281)),IFERROR(CHOOSE(VALUE(E1281)+1,"A","B","C","D"),IF(OR(LEFT(UPPER(TRIM(E1281)),1)="F",UPPER(TRIM(E1281))="A"),"A",IF(OR(LEFT(UPPER(TRIM(E1281)),1)="M",UPPER(TRIM(E1281))="B"),"B",IF(OR(LEFT(UPPER(TRIM(E1281)),2)="SL",UPPER(TRIM(E1281))="C"),"C",IF(OR(LEFT(UPPER(TRIM(E1281)),1)="D",UPPER(TRIM(E1281))="D"),"D","")))))))</f>
        <v/>
      </c>
      <c r="J1281" s="27" t="str">
        <f aca="false">IF(I1281="","",IF(AND(I1281="D",Settings!$B$6&lt;&gt;"Yes"),"",IFERROR(INDEX(Settings!$C$9:$C$12,MATCH(I1281,Settings!$A$9:$A$12,0)),"")))</f>
        <v/>
      </c>
      <c r="K1281" s="27" t="str">
        <f aca="false">IF(J1281="","",COUNTIF($I$2:I1281,I1281))</f>
        <v/>
      </c>
      <c r="L1281" s="27" t="str">
        <f aca="false">IF(J1281="","",CHOOSE(Q1281+1,"Tue","Wed","Thu","Fri"))</f>
        <v/>
      </c>
      <c r="M1281" s="27" t="str">
        <f aca="false">IF(J1281="","",IF(J1281=1,"Every week",R1281+1&amp;" of "&amp;J1281))</f>
        <v/>
      </c>
      <c r="N1281" s="28" t="str">
        <f aca="false">IF(J1281="","",Settings!$B$4+R1281*7+Q1281)</f>
        <v/>
      </c>
      <c r="O1281" s="28" t="str">
        <f aca="true">IF(J1281="","",N1281+MAX(0,ROUNDUP((TODAY()-N1281)/(J1281*7),0))*J1281*7)</f>
        <v/>
      </c>
      <c r="P1281" s="27" t="str">
        <f aca="false">IF(J1281="","",MOD(K1281-1,J1281*4))</f>
        <v/>
      </c>
      <c r="Q1281" s="27" t="str">
        <f aca="false">IF(J1281="","",MOD(P1281,4))</f>
        <v/>
      </c>
      <c r="R1281" s="27" t="str">
        <f aca="false">IF(J1281="","",INT(P1281/4))</f>
        <v/>
      </c>
      <c r="S1281" s="27" t="str">
        <f aca="false">IF(J1281="","",IF(AND('Daily Count Sheet'!$H$3=Q1281,MOD('Daily Count Sheet'!$I$3,J1281)=R1281),1,""))</f>
        <v/>
      </c>
      <c r="T1281" s="27" t="str">
        <f aca="false">IF(S1281=1,COUNTIF($S$2:S1281,1),"")</f>
        <v/>
      </c>
    </row>
    <row r="1282" customFormat="false" ht="15" hidden="false" customHeight="false" outlineLevel="0" collapsed="false">
      <c r="H1282" s="26"/>
      <c r="I1282" s="27" t="str">
        <f aca="false">IF(A1282="","",IF(H1282&lt;&gt;"",UPPER(TRIM(H1282)),IFERROR(CHOOSE(VALUE(E1282)+1,"A","B","C","D"),IF(OR(LEFT(UPPER(TRIM(E1282)),1)="F",UPPER(TRIM(E1282))="A"),"A",IF(OR(LEFT(UPPER(TRIM(E1282)),1)="M",UPPER(TRIM(E1282))="B"),"B",IF(OR(LEFT(UPPER(TRIM(E1282)),2)="SL",UPPER(TRIM(E1282))="C"),"C",IF(OR(LEFT(UPPER(TRIM(E1282)),1)="D",UPPER(TRIM(E1282))="D"),"D","")))))))</f>
        <v/>
      </c>
      <c r="J1282" s="27" t="str">
        <f aca="false">IF(I1282="","",IF(AND(I1282="D",Settings!$B$6&lt;&gt;"Yes"),"",IFERROR(INDEX(Settings!$C$9:$C$12,MATCH(I1282,Settings!$A$9:$A$12,0)),"")))</f>
        <v/>
      </c>
      <c r="K1282" s="27" t="str">
        <f aca="false">IF(J1282="","",COUNTIF($I$2:I1282,I1282))</f>
        <v/>
      </c>
      <c r="L1282" s="27" t="str">
        <f aca="false">IF(J1282="","",CHOOSE(Q1282+1,"Tue","Wed","Thu","Fri"))</f>
        <v/>
      </c>
      <c r="M1282" s="27" t="str">
        <f aca="false">IF(J1282="","",IF(J1282=1,"Every week",R1282+1&amp;" of "&amp;J1282))</f>
        <v/>
      </c>
      <c r="N1282" s="28" t="str">
        <f aca="false">IF(J1282="","",Settings!$B$4+R1282*7+Q1282)</f>
        <v/>
      </c>
      <c r="O1282" s="28" t="str">
        <f aca="true">IF(J1282="","",N1282+MAX(0,ROUNDUP((TODAY()-N1282)/(J1282*7),0))*J1282*7)</f>
        <v/>
      </c>
      <c r="P1282" s="27" t="str">
        <f aca="false">IF(J1282="","",MOD(K1282-1,J1282*4))</f>
        <v/>
      </c>
      <c r="Q1282" s="27" t="str">
        <f aca="false">IF(J1282="","",MOD(P1282,4))</f>
        <v/>
      </c>
      <c r="R1282" s="27" t="str">
        <f aca="false">IF(J1282="","",INT(P1282/4))</f>
        <v/>
      </c>
      <c r="S1282" s="27" t="str">
        <f aca="false">IF(J1282="","",IF(AND('Daily Count Sheet'!$H$3=Q1282,MOD('Daily Count Sheet'!$I$3,J1282)=R1282),1,""))</f>
        <v/>
      </c>
      <c r="T1282" s="27" t="str">
        <f aca="false">IF(S1282=1,COUNTIF($S$2:S1282,1),"")</f>
        <v/>
      </c>
    </row>
    <row r="1283" customFormat="false" ht="15" hidden="false" customHeight="false" outlineLevel="0" collapsed="false">
      <c r="H1283" s="26"/>
      <c r="I1283" s="27" t="str">
        <f aca="false">IF(A1283="","",IF(H1283&lt;&gt;"",UPPER(TRIM(H1283)),IFERROR(CHOOSE(VALUE(E1283)+1,"A","B","C","D"),IF(OR(LEFT(UPPER(TRIM(E1283)),1)="F",UPPER(TRIM(E1283))="A"),"A",IF(OR(LEFT(UPPER(TRIM(E1283)),1)="M",UPPER(TRIM(E1283))="B"),"B",IF(OR(LEFT(UPPER(TRIM(E1283)),2)="SL",UPPER(TRIM(E1283))="C"),"C",IF(OR(LEFT(UPPER(TRIM(E1283)),1)="D",UPPER(TRIM(E1283))="D"),"D","")))))))</f>
        <v/>
      </c>
      <c r="J1283" s="27" t="str">
        <f aca="false">IF(I1283="","",IF(AND(I1283="D",Settings!$B$6&lt;&gt;"Yes"),"",IFERROR(INDEX(Settings!$C$9:$C$12,MATCH(I1283,Settings!$A$9:$A$12,0)),"")))</f>
        <v/>
      </c>
      <c r="K1283" s="27" t="str">
        <f aca="false">IF(J1283="","",COUNTIF($I$2:I1283,I1283))</f>
        <v/>
      </c>
      <c r="L1283" s="27" t="str">
        <f aca="false">IF(J1283="","",CHOOSE(Q1283+1,"Tue","Wed","Thu","Fri"))</f>
        <v/>
      </c>
      <c r="M1283" s="27" t="str">
        <f aca="false">IF(J1283="","",IF(J1283=1,"Every week",R1283+1&amp;" of "&amp;J1283))</f>
        <v/>
      </c>
      <c r="N1283" s="28" t="str">
        <f aca="false">IF(J1283="","",Settings!$B$4+R1283*7+Q1283)</f>
        <v/>
      </c>
      <c r="O1283" s="28" t="str">
        <f aca="true">IF(J1283="","",N1283+MAX(0,ROUNDUP((TODAY()-N1283)/(J1283*7),0))*J1283*7)</f>
        <v/>
      </c>
      <c r="P1283" s="27" t="str">
        <f aca="false">IF(J1283="","",MOD(K1283-1,J1283*4))</f>
        <v/>
      </c>
      <c r="Q1283" s="27" t="str">
        <f aca="false">IF(J1283="","",MOD(P1283,4))</f>
        <v/>
      </c>
      <c r="R1283" s="27" t="str">
        <f aca="false">IF(J1283="","",INT(P1283/4))</f>
        <v/>
      </c>
      <c r="S1283" s="27" t="str">
        <f aca="false">IF(J1283="","",IF(AND('Daily Count Sheet'!$H$3=Q1283,MOD('Daily Count Sheet'!$I$3,J1283)=R1283),1,""))</f>
        <v/>
      </c>
      <c r="T1283" s="27" t="str">
        <f aca="false">IF(S1283=1,COUNTIF($S$2:S1283,1),"")</f>
        <v/>
      </c>
    </row>
    <row r="1284" customFormat="false" ht="15" hidden="false" customHeight="false" outlineLevel="0" collapsed="false">
      <c r="H1284" s="26"/>
      <c r="I1284" s="27" t="str">
        <f aca="false">IF(A1284="","",IF(H1284&lt;&gt;"",UPPER(TRIM(H1284)),IFERROR(CHOOSE(VALUE(E1284)+1,"A","B","C","D"),IF(OR(LEFT(UPPER(TRIM(E1284)),1)="F",UPPER(TRIM(E1284))="A"),"A",IF(OR(LEFT(UPPER(TRIM(E1284)),1)="M",UPPER(TRIM(E1284))="B"),"B",IF(OR(LEFT(UPPER(TRIM(E1284)),2)="SL",UPPER(TRIM(E1284))="C"),"C",IF(OR(LEFT(UPPER(TRIM(E1284)),1)="D",UPPER(TRIM(E1284))="D"),"D","")))))))</f>
        <v/>
      </c>
      <c r="J1284" s="27" t="str">
        <f aca="false">IF(I1284="","",IF(AND(I1284="D",Settings!$B$6&lt;&gt;"Yes"),"",IFERROR(INDEX(Settings!$C$9:$C$12,MATCH(I1284,Settings!$A$9:$A$12,0)),"")))</f>
        <v/>
      </c>
      <c r="K1284" s="27" t="str">
        <f aca="false">IF(J1284="","",COUNTIF($I$2:I1284,I1284))</f>
        <v/>
      </c>
      <c r="L1284" s="27" t="str">
        <f aca="false">IF(J1284="","",CHOOSE(Q1284+1,"Tue","Wed","Thu","Fri"))</f>
        <v/>
      </c>
      <c r="M1284" s="27" t="str">
        <f aca="false">IF(J1284="","",IF(J1284=1,"Every week",R1284+1&amp;" of "&amp;J1284))</f>
        <v/>
      </c>
      <c r="N1284" s="28" t="str">
        <f aca="false">IF(J1284="","",Settings!$B$4+R1284*7+Q1284)</f>
        <v/>
      </c>
      <c r="O1284" s="28" t="str">
        <f aca="true">IF(J1284="","",N1284+MAX(0,ROUNDUP((TODAY()-N1284)/(J1284*7),0))*J1284*7)</f>
        <v/>
      </c>
      <c r="P1284" s="27" t="str">
        <f aca="false">IF(J1284="","",MOD(K1284-1,J1284*4))</f>
        <v/>
      </c>
      <c r="Q1284" s="27" t="str">
        <f aca="false">IF(J1284="","",MOD(P1284,4))</f>
        <v/>
      </c>
      <c r="R1284" s="27" t="str">
        <f aca="false">IF(J1284="","",INT(P1284/4))</f>
        <v/>
      </c>
      <c r="S1284" s="27" t="str">
        <f aca="false">IF(J1284="","",IF(AND('Daily Count Sheet'!$H$3=Q1284,MOD('Daily Count Sheet'!$I$3,J1284)=R1284),1,""))</f>
        <v/>
      </c>
      <c r="T1284" s="27" t="str">
        <f aca="false">IF(S1284=1,COUNTIF($S$2:S1284,1),"")</f>
        <v/>
      </c>
    </row>
    <row r="1285" customFormat="false" ht="15" hidden="false" customHeight="false" outlineLevel="0" collapsed="false">
      <c r="H1285" s="26"/>
      <c r="I1285" s="27" t="str">
        <f aca="false">IF(A1285="","",IF(H1285&lt;&gt;"",UPPER(TRIM(H1285)),IFERROR(CHOOSE(VALUE(E1285)+1,"A","B","C","D"),IF(OR(LEFT(UPPER(TRIM(E1285)),1)="F",UPPER(TRIM(E1285))="A"),"A",IF(OR(LEFT(UPPER(TRIM(E1285)),1)="M",UPPER(TRIM(E1285))="B"),"B",IF(OR(LEFT(UPPER(TRIM(E1285)),2)="SL",UPPER(TRIM(E1285))="C"),"C",IF(OR(LEFT(UPPER(TRIM(E1285)),1)="D",UPPER(TRIM(E1285))="D"),"D","")))))))</f>
        <v/>
      </c>
      <c r="J1285" s="27" t="str">
        <f aca="false">IF(I1285="","",IF(AND(I1285="D",Settings!$B$6&lt;&gt;"Yes"),"",IFERROR(INDEX(Settings!$C$9:$C$12,MATCH(I1285,Settings!$A$9:$A$12,0)),"")))</f>
        <v/>
      </c>
      <c r="K1285" s="27" t="str">
        <f aca="false">IF(J1285="","",COUNTIF($I$2:I1285,I1285))</f>
        <v/>
      </c>
      <c r="L1285" s="27" t="str">
        <f aca="false">IF(J1285="","",CHOOSE(Q1285+1,"Tue","Wed","Thu","Fri"))</f>
        <v/>
      </c>
      <c r="M1285" s="27" t="str">
        <f aca="false">IF(J1285="","",IF(J1285=1,"Every week",R1285+1&amp;" of "&amp;J1285))</f>
        <v/>
      </c>
      <c r="N1285" s="28" t="str">
        <f aca="false">IF(J1285="","",Settings!$B$4+R1285*7+Q1285)</f>
        <v/>
      </c>
      <c r="O1285" s="28" t="str">
        <f aca="true">IF(J1285="","",N1285+MAX(0,ROUNDUP((TODAY()-N1285)/(J1285*7),0))*J1285*7)</f>
        <v/>
      </c>
      <c r="P1285" s="27" t="str">
        <f aca="false">IF(J1285="","",MOD(K1285-1,J1285*4))</f>
        <v/>
      </c>
      <c r="Q1285" s="27" t="str">
        <f aca="false">IF(J1285="","",MOD(P1285,4))</f>
        <v/>
      </c>
      <c r="R1285" s="27" t="str">
        <f aca="false">IF(J1285="","",INT(P1285/4))</f>
        <v/>
      </c>
      <c r="S1285" s="27" t="str">
        <f aca="false">IF(J1285="","",IF(AND('Daily Count Sheet'!$H$3=Q1285,MOD('Daily Count Sheet'!$I$3,J1285)=R1285),1,""))</f>
        <v/>
      </c>
      <c r="T1285" s="27" t="str">
        <f aca="false">IF(S1285=1,COUNTIF($S$2:S1285,1),"")</f>
        <v/>
      </c>
    </row>
    <row r="1286" customFormat="false" ht="15" hidden="false" customHeight="false" outlineLevel="0" collapsed="false">
      <c r="H1286" s="26"/>
      <c r="I1286" s="27" t="str">
        <f aca="false">IF(A1286="","",IF(H1286&lt;&gt;"",UPPER(TRIM(H1286)),IFERROR(CHOOSE(VALUE(E1286)+1,"A","B","C","D"),IF(OR(LEFT(UPPER(TRIM(E1286)),1)="F",UPPER(TRIM(E1286))="A"),"A",IF(OR(LEFT(UPPER(TRIM(E1286)),1)="M",UPPER(TRIM(E1286))="B"),"B",IF(OR(LEFT(UPPER(TRIM(E1286)),2)="SL",UPPER(TRIM(E1286))="C"),"C",IF(OR(LEFT(UPPER(TRIM(E1286)),1)="D",UPPER(TRIM(E1286))="D"),"D","")))))))</f>
        <v/>
      </c>
      <c r="J1286" s="27" t="str">
        <f aca="false">IF(I1286="","",IF(AND(I1286="D",Settings!$B$6&lt;&gt;"Yes"),"",IFERROR(INDEX(Settings!$C$9:$C$12,MATCH(I1286,Settings!$A$9:$A$12,0)),"")))</f>
        <v/>
      </c>
      <c r="K1286" s="27" t="str">
        <f aca="false">IF(J1286="","",COUNTIF($I$2:I1286,I1286))</f>
        <v/>
      </c>
      <c r="L1286" s="27" t="str">
        <f aca="false">IF(J1286="","",CHOOSE(Q1286+1,"Tue","Wed","Thu","Fri"))</f>
        <v/>
      </c>
      <c r="M1286" s="27" t="str">
        <f aca="false">IF(J1286="","",IF(J1286=1,"Every week",R1286+1&amp;" of "&amp;J1286))</f>
        <v/>
      </c>
      <c r="N1286" s="28" t="str">
        <f aca="false">IF(J1286="","",Settings!$B$4+R1286*7+Q1286)</f>
        <v/>
      </c>
      <c r="O1286" s="28" t="str">
        <f aca="true">IF(J1286="","",N1286+MAX(0,ROUNDUP((TODAY()-N1286)/(J1286*7),0))*J1286*7)</f>
        <v/>
      </c>
      <c r="P1286" s="27" t="str">
        <f aca="false">IF(J1286="","",MOD(K1286-1,J1286*4))</f>
        <v/>
      </c>
      <c r="Q1286" s="27" t="str">
        <f aca="false">IF(J1286="","",MOD(P1286,4))</f>
        <v/>
      </c>
      <c r="R1286" s="27" t="str">
        <f aca="false">IF(J1286="","",INT(P1286/4))</f>
        <v/>
      </c>
      <c r="S1286" s="27" t="str">
        <f aca="false">IF(J1286="","",IF(AND('Daily Count Sheet'!$H$3=Q1286,MOD('Daily Count Sheet'!$I$3,J1286)=R1286),1,""))</f>
        <v/>
      </c>
      <c r="T1286" s="27" t="str">
        <f aca="false">IF(S1286=1,COUNTIF($S$2:S1286,1),"")</f>
        <v/>
      </c>
    </row>
    <row r="1287" customFormat="false" ht="15" hidden="false" customHeight="false" outlineLevel="0" collapsed="false">
      <c r="H1287" s="26"/>
      <c r="I1287" s="27" t="str">
        <f aca="false">IF(A1287="","",IF(H1287&lt;&gt;"",UPPER(TRIM(H1287)),IFERROR(CHOOSE(VALUE(E1287)+1,"A","B","C","D"),IF(OR(LEFT(UPPER(TRIM(E1287)),1)="F",UPPER(TRIM(E1287))="A"),"A",IF(OR(LEFT(UPPER(TRIM(E1287)),1)="M",UPPER(TRIM(E1287))="B"),"B",IF(OR(LEFT(UPPER(TRIM(E1287)),2)="SL",UPPER(TRIM(E1287))="C"),"C",IF(OR(LEFT(UPPER(TRIM(E1287)),1)="D",UPPER(TRIM(E1287))="D"),"D","")))))))</f>
        <v/>
      </c>
      <c r="J1287" s="27" t="str">
        <f aca="false">IF(I1287="","",IF(AND(I1287="D",Settings!$B$6&lt;&gt;"Yes"),"",IFERROR(INDEX(Settings!$C$9:$C$12,MATCH(I1287,Settings!$A$9:$A$12,0)),"")))</f>
        <v/>
      </c>
      <c r="K1287" s="27" t="str">
        <f aca="false">IF(J1287="","",COUNTIF($I$2:I1287,I1287))</f>
        <v/>
      </c>
      <c r="L1287" s="27" t="str">
        <f aca="false">IF(J1287="","",CHOOSE(Q1287+1,"Tue","Wed","Thu","Fri"))</f>
        <v/>
      </c>
      <c r="M1287" s="27" t="str">
        <f aca="false">IF(J1287="","",IF(J1287=1,"Every week",R1287+1&amp;" of "&amp;J1287))</f>
        <v/>
      </c>
      <c r="N1287" s="28" t="str">
        <f aca="false">IF(J1287="","",Settings!$B$4+R1287*7+Q1287)</f>
        <v/>
      </c>
      <c r="O1287" s="28" t="str">
        <f aca="true">IF(J1287="","",N1287+MAX(0,ROUNDUP((TODAY()-N1287)/(J1287*7),0))*J1287*7)</f>
        <v/>
      </c>
      <c r="P1287" s="27" t="str">
        <f aca="false">IF(J1287="","",MOD(K1287-1,J1287*4))</f>
        <v/>
      </c>
      <c r="Q1287" s="27" t="str">
        <f aca="false">IF(J1287="","",MOD(P1287,4))</f>
        <v/>
      </c>
      <c r="R1287" s="27" t="str">
        <f aca="false">IF(J1287="","",INT(P1287/4))</f>
        <v/>
      </c>
      <c r="S1287" s="27" t="str">
        <f aca="false">IF(J1287="","",IF(AND('Daily Count Sheet'!$H$3=Q1287,MOD('Daily Count Sheet'!$I$3,J1287)=R1287),1,""))</f>
        <v/>
      </c>
      <c r="T1287" s="27" t="str">
        <f aca="false">IF(S1287=1,COUNTIF($S$2:S1287,1),"")</f>
        <v/>
      </c>
    </row>
    <row r="1288" customFormat="false" ht="15" hidden="false" customHeight="false" outlineLevel="0" collapsed="false">
      <c r="H1288" s="26"/>
      <c r="I1288" s="27" t="str">
        <f aca="false">IF(A1288="","",IF(H1288&lt;&gt;"",UPPER(TRIM(H1288)),IFERROR(CHOOSE(VALUE(E1288)+1,"A","B","C","D"),IF(OR(LEFT(UPPER(TRIM(E1288)),1)="F",UPPER(TRIM(E1288))="A"),"A",IF(OR(LEFT(UPPER(TRIM(E1288)),1)="M",UPPER(TRIM(E1288))="B"),"B",IF(OR(LEFT(UPPER(TRIM(E1288)),2)="SL",UPPER(TRIM(E1288))="C"),"C",IF(OR(LEFT(UPPER(TRIM(E1288)),1)="D",UPPER(TRIM(E1288))="D"),"D","")))))))</f>
        <v/>
      </c>
      <c r="J1288" s="27" t="str">
        <f aca="false">IF(I1288="","",IF(AND(I1288="D",Settings!$B$6&lt;&gt;"Yes"),"",IFERROR(INDEX(Settings!$C$9:$C$12,MATCH(I1288,Settings!$A$9:$A$12,0)),"")))</f>
        <v/>
      </c>
      <c r="K1288" s="27" t="str">
        <f aca="false">IF(J1288="","",COUNTIF($I$2:I1288,I1288))</f>
        <v/>
      </c>
      <c r="L1288" s="27" t="str">
        <f aca="false">IF(J1288="","",CHOOSE(Q1288+1,"Tue","Wed","Thu","Fri"))</f>
        <v/>
      </c>
      <c r="M1288" s="27" t="str">
        <f aca="false">IF(J1288="","",IF(J1288=1,"Every week",R1288+1&amp;" of "&amp;J1288))</f>
        <v/>
      </c>
      <c r="N1288" s="28" t="str">
        <f aca="false">IF(J1288="","",Settings!$B$4+R1288*7+Q1288)</f>
        <v/>
      </c>
      <c r="O1288" s="28" t="str">
        <f aca="true">IF(J1288="","",N1288+MAX(0,ROUNDUP((TODAY()-N1288)/(J1288*7),0))*J1288*7)</f>
        <v/>
      </c>
      <c r="P1288" s="27" t="str">
        <f aca="false">IF(J1288="","",MOD(K1288-1,J1288*4))</f>
        <v/>
      </c>
      <c r="Q1288" s="27" t="str">
        <f aca="false">IF(J1288="","",MOD(P1288,4))</f>
        <v/>
      </c>
      <c r="R1288" s="27" t="str">
        <f aca="false">IF(J1288="","",INT(P1288/4))</f>
        <v/>
      </c>
      <c r="S1288" s="27" t="str">
        <f aca="false">IF(J1288="","",IF(AND('Daily Count Sheet'!$H$3=Q1288,MOD('Daily Count Sheet'!$I$3,J1288)=R1288),1,""))</f>
        <v/>
      </c>
      <c r="T1288" s="27" t="str">
        <f aca="false">IF(S1288=1,COUNTIF($S$2:S1288,1),"")</f>
        <v/>
      </c>
    </row>
    <row r="1289" customFormat="false" ht="15" hidden="false" customHeight="false" outlineLevel="0" collapsed="false">
      <c r="H1289" s="26"/>
      <c r="I1289" s="27" t="str">
        <f aca="false">IF(A1289="","",IF(H1289&lt;&gt;"",UPPER(TRIM(H1289)),IFERROR(CHOOSE(VALUE(E1289)+1,"A","B","C","D"),IF(OR(LEFT(UPPER(TRIM(E1289)),1)="F",UPPER(TRIM(E1289))="A"),"A",IF(OR(LEFT(UPPER(TRIM(E1289)),1)="M",UPPER(TRIM(E1289))="B"),"B",IF(OR(LEFT(UPPER(TRIM(E1289)),2)="SL",UPPER(TRIM(E1289))="C"),"C",IF(OR(LEFT(UPPER(TRIM(E1289)),1)="D",UPPER(TRIM(E1289))="D"),"D","")))))))</f>
        <v/>
      </c>
      <c r="J1289" s="27" t="str">
        <f aca="false">IF(I1289="","",IF(AND(I1289="D",Settings!$B$6&lt;&gt;"Yes"),"",IFERROR(INDEX(Settings!$C$9:$C$12,MATCH(I1289,Settings!$A$9:$A$12,0)),"")))</f>
        <v/>
      </c>
      <c r="K1289" s="27" t="str">
        <f aca="false">IF(J1289="","",COUNTIF($I$2:I1289,I1289))</f>
        <v/>
      </c>
      <c r="L1289" s="27" t="str">
        <f aca="false">IF(J1289="","",CHOOSE(Q1289+1,"Tue","Wed","Thu","Fri"))</f>
        <v/>
      </c>
      <c r="M1289" s="27" t="str">
        <f aca="false">IF(J1289="","",IF(J1289=1,"Every week",R1289+1&amp;" of "&amp;J1289))</f>
        <v/>
      </c>
      <c r="N1289" s="28" t="str">
        <f aca="false">IF(J1289="","",Settings!$B$4+R1289*7+Q1289)</f>
        <v/>
      </c>
      <c r="O1289" s="28" t="str">
        <f aca="true">IF(J1289="","",N1289+MAX(0,ROUNDUP((TODAY()-N1289)/(J1289*7),0))*J1289*7)</f>
        <v/>
      </c>
      <c r="P1289" s="27" t="str">
        <f aca="false">IF(J1289="","",MOD(K1289-1,J1289*4))</f>
        <v/>
      </c>
      <c r="Q1289" s="27" t="str">
        <f aca="false">IF(J1289="","",MOD(P1289,4))</f>
        <v/>
      </c>
      <c r="R1289" s="27" t="str">
        <f aca="false">IF(J1289="","",INT(P1289/4))</f>
        <v/>
      </c>
      <c r="S1289" s="27" t="str">
        <f aca="false">IF(J1289="","",IF(AND('Daily Count Sheet'!$H$3=Q1289,MOD('Daily Count Sheet'!$I$3,J1289)=R1289),1,""))</f>
        <v/>
      </c>
      <c r="T1289" s="27" t="str">
        <f aca="false">IF(S1289=1,COUNTIF($S$2:S1289,1),"")</f>
        <v/>
      </c>
    </row>
    <row r="1290" customFormat="false" ht="15" hidden="false" customHeight="false" outlineLevel="0" collapsed="false">
      <c r="H1290" s="26"/>
      <c r="I1290" s="27" t="str">
        <f aca="false">IF(A1290="","",IF(H1290&lt;&gt;"",UPPER(TRIM(H1290)),IFERROR(CHOOSE(VALUE(E1290)+1,"A","B","C","D"),IF(OR(LEFT(UPPER(TRIM(E1290)),1)="F",UPPER(TRIM(E1290))="A"),"A",IF(OR(LEFT(UPPER(TRIM(E1290)),1)="M",UPPER(TRIM(E1290))="B"),"B",IF(OR(LEFT(UPPER(TRIM(E1290)),2)="SL",UPPER(TRIM(E1290))="C"),"C",IF(OR(LEFT(UPPER(TRIM(E1290)),1)="D",UPPER(TRIM(E1290))="D"),"D","")))))))</f>
        <v/>
      </c>
      <c r="J1290" s="27" t="str">
        <f aca="false">IF(I1290="","",IF(AND(I1290="D",Settings!$B$6&lt;&gt;"Yes"),"",IFERROR(INDEX(Settings!$C$9:$C$12,MATCH(I1290,Settings!$A$9:$A$12,0)),"")))</f>
        <v/>
      </c>
      <c r="K1290" s="27" t="str">
        <f aca="false">IF(J1290="","",COUNTIF($I$2:I1290,I1290))</f>
        <v/>
      </c>
      <c r="L1290" s="27" t="str">
        <f aca="false">IF(J1290="","",CHOOSE(Q1290+1,"Tue","Wed","Thu","Fri"))</f>
        <v/>
      </c>
      <c r="M1290" s="27" t="str">
        <f aca="false">IF(J1290="","",IF(J1290=1,"Every week",R1290+1&amp;" of "&amp;J1290))</f>
        <v/>
      </c>
      <c r="N1290" s="28" t="str">
        <f aca="false">IF(J1290="","",Settings!$B$4+R1290*7+Q1290)</f>
        <v/>
      </c>
      <c r="O1290" s="28" t="str">
        <f aca="true">IF(J1290="","",N1290+MAX(0,ROUNDUP((TODAY()-N1290)/(J1290*7),0))*J1290*7)</f>
        <v/>
      </c>
      <c r="P1290" s="27" t="str">
        <f aca="false">IF(J1290="","",MOD(K1290-1,J1290*4))</f>
        <v/>
      </c>
      <c r="Q1290" s="27" t="str">
        <f aca="false">IF(J1290="","",MOD(P1290,4))</f>
        <v/>
      </c>
      <c r="R1290" s="27" t="str">
        <f aca="false">IF(J1290="","",INT(P1290/4))</f>
        <v/>
      </c>
      <c r="S1290" s="27" t="str">
        <f aca="false">IF(J1290="","",IF(AND('Daily Count Sheet'!$H$3=Q1290,MOD('Daily Count Sheet'!$I$3,J1290)=R1290),1,""))</f>
        <v/>
      </c>
      <c r="T1290" s="27" t="str">
        <f aca="false">IF(S1290=1,COUNTIF($S$2:S1290,1),"")</f>
        <v/>
      </c>
    </row>
    <row r="1291" customFormat="false" ht="15" hidden="false" customHeight="false" outlineLevel="0" collapsed="false">
      <c r="H1291" s="26"/>
      <c r="I1291" s="27" t="str">
        <f aca="false">IF(A1291="","",IF(H1291&lt;&gt;"",UPPER(TRIM(H1291)),IFERROR(CHOOSE(VALUE(E1291)+1,"A","B","C","D"),IF(OR(LEFT(UPPER(TRIM(E1291)),1)="F",UPPER(TRIM(E1291))="A"),"A",IF(OR(LEFT(UPPER(TRIM(E1291)),1)="M",UPPER(TRIM(E1291))="B"),"B",IF(OR(LEFT(UPPER(TRIM(E1291)),2)="SL",UPPER(TRIM(E1291))="C"),"C",IF(OR(LEFT(UPPER(TRIM(E1291)),1)="D",UPPER(TRIM(E1291))="D"),"D","")))))))</f>
        <v/>
      </c>
      <c r="J1291" s="27" t="str">
        <f aca="false">IF(I1291="","",IF(AND(I1291="D",Settings!$B$6&lt;&gt;"Yes"),"",IFERROR(INDEX(Settings!$C$9:$C$12,MATCH(I1291,Settings!$A$9:$A$12,0)),"")))</f>
        <v/>
      </c>
      <c r="K1291" s="27" t="str">
        <f aca="false">IF(J1291="","",COUNTIF($I$2:I1291,I1291))</f>
        <v/>
      </c>
      <c r="L1291" s="27" t="str">
        <f aca="false">IF(J1291="","",CHOOSE(Q1291+1,"Tue","Wed","Thu","Fri"))</f>
        <v/>
      </c>
      <c r="M1291" s="27" t="str">
        <f aca="false">IF(J1291="","",IF(J1291=1,"Every week",R1291+1&amp;" of "&amp;J1291))</f>
        <v/>
      </c>
      <c r="N1291" s="28" t="str">
        <f aca="false">IF(J1291="","",Settings!$B$4+R1291*7+Q1291)</f>
        <v/>
      </c>
      <c r="O1291" s="28" t="str">
        <f aca="true">IF(J1291="","",N1291+MAX(0,ROUNDUP((TODAY()-N1291)/(J1291*7),0))*J1291*7)</f>
        <v/>
      </c>
      <c r="P1291" s="27" t="str">
        <f aca="false">IF(J1291="","",MOD(K1291-1,J1291*4))</f>
        <v/>
      </c>
      <c r="Q1291" s="27" t="str">
        <f aca="false">IF(J1291="","",MOD(P1291,4))</f>
        <v/>
      </c>
      <c r="R1291" s="27" t="str">
        <f aca="false">IF(J1291="","",INT(P1291/4))</f>
        <v/>
      </c>
      <c r="S1291" s="27" t="str">
        <f aca="false">IF(J1291="","",IF(AND('Daily Count Sheet'!$H$3=Q1291,MOD('Daily Count Sheet'!$I$3,J1291)=R1291),1,""))</f>
        <v/>
      </c>
      <c r="T1291" s="27" t="str">
        <f aca="false">IF(S1291=1,COUNTIF($S$2:S1291,1),"")</f>
        <v/>
      </c>
    </row>
    <row r="1292" customFormat="false" ht="15" hidden="false" customHeight="false" outlineLevel="0" collapsed="false">
      <c r="H1292" s="26"/>
      <c r="I1292" s="27" t="str">
        <f aca="false">IF(A1292="","",IF(H1292&lt;&gt;"",UPPER(TRIM(H1292)),IFERROR(CHOOSE(VALUE(E1292)+1,"A","B","C","D"),IF(OR(LEFT(UPPER(TRIM(E1292)),1)="F",UPPER(TRIM(E1292))="A"),"A",IF(OR(LEFT(UPPER(TRIM(E1292)),1)="M",UPPER(TRIM(E1292))="B"),"B",IF(OR(LEFT(UPPER(TRIM(E1292)),2)="SL",UPPER(TRIM(E1292))="C"),"C",IF(OR(LEFT(UPPER(TRIM(E1292)),1)="D",UPPER(TRIM(E1292))="D"),"D","")))))))</f>
        <v/>
      </c>
      <c r="J1292" s="27" t="str">
        <f aca="false">IF(I1292="","",IF(AND(I1292="D",Settings!$B$6&lt;&gt;"Yes"),"",IFERROR(INDEX(Settings!$C$9:$C$12,MATCH(I1292,Settings!$A$9:$A$12,0)),"")))</f>
        <v/>
      </c>
      <c r="K1292" s="27" t="str">
        <f aca="false">IF(J1292="","",COUNTIF($I$2:I1292,I1292))</f>
        <v/>
      </c>
      <c r="L1292" s="27" t="str">
        <f aca="false">IF(J1292="","",CHOOSE(Q1292+1,"Tue","Wed","Thu","Fri"))</f>
        <v/>
      </c>
      <c r="M1292" s="27" t="str">
        <f aca="false">IF(J1292="","",IF(J1292=1,"Every week",R1292+1&amp;" of "&amp;J1292))</f>
        <v/>
      </c>
      <c r="N1292" s="28" t="str">
        <f aca="false">IF(J1292="","",Settings!$B$4+R1292*7+Q1292)</f>
        <v/>
      </c>
      <c r="O1292" s="28" t="str">
        <f aca="true">IF(J1292="","",N1292+MAX(0,ROUNDUP((TODAY()-N1292)/(J1292*7),0))*J1292*7)</f>
        <v/>
      </c>
      <c r="P1292" s="27" t="str">
        <f aca="false">IF(J1292="","",MOD(K1292-1,J1292*4))</f>
        <v/>
      </c>
      <c r="Q1292" s="27" t="str">
        <f aca="false">IF(J1292="","",MOD(P1292,4))</f>
        <v/>
      </c>
      <c r="R1292" s="27" t="str">
        <f aca="false">IF(J1292="","",INT(P1292/4))</f>
        <v/>
      </c>
      <c r="S1292" s="27" t="str">
        <f aca="false">IF(J1292="","",IF(AND('Daily Count Sheet'!$H$3=Q1292,MOD('Daily Count Sheet'!$I$3,J1292)=R1292),1,""))</f>
        <v/>
      </c>
      <c r="T1292" s="27" t="str">
        <f aca="false">IF(S1292=1,COUNTIF($S$2:S1292,1),"")</f>
        <v/>
      </c>
    </row>
    <row r="1293" customFormat="false" ht="15" hidden="false" customHeight="false" outlineLevel="0" collapsed="false">
      <c r="H1293" s="26"/>
      <c r="I1293" s="27" t="str">
        <f aca="false">IF(A1293="","",IF(H1293&lt;&gt;"",UPPER(TRIM(H1293)),IFERROR(CHOOSE(VALUE(E1293)+1,"A","B","C","D"),IF(OR(LEFT(UPPER(TRIM(E1293)),1)="F",UPPER(TRIM(E1293))="A"),"A",IF(OR(LEFT(UPPER(TRIM(E1293)),1)="M",UPPER(TRIM(E1293))="B"),"B",IF(OR(LEFT(UPPER(TRIM(E1293)),2)="SL",UPPER(TRIM(E1293))="C"),"C",IF(OR(LEFT(UPPER(TRIM(E1293)),1)="D",UPPER(TRIM(E1293))="D"),"D","")))))))</f>
        <v/>
      </c>
      <c r="J1293" s="27" t="str">
        <f aca="false">IF(I1293="","",IF(AND(I1293="D",Settings!$B$6&lt;&gt;"Yes"),"",IFERROR(INDEX(Settings!$C$9:$C$12,MATCH(I1293,Settings!$A$9:$A$12,0)),"")))</f>
        <v/>
      </c>
      <c r="K1293" s="27" t="str">
        <f aca="false">IF(J1293="","",COUNTIF($I$2:I1293,I1293))</f>
        <v/>
      </c>
      <c r="L1293" s="27" t="str">
        <f aca="false">IF(J1293="","",CHOOSE(Q1293+1,"Tue","Wed","Thu","Fri"))</f>
        <v/>
      </c>
      <c r="M1293" s="27" t="str">
        <f aca="false">IF(J1293="","",IF(J1293=1,"Every week",R1293+1&amp;" of "&amp;J1293))</f>
        <v/>
      </c>
      <c r="N1293" s="28" t="str">
        <f aca="false">IF(J1293="","",Settings!$B$4+R1293*7+Q1293)</f>
        <v/>
      </c>
      <c r="O1293" s="28" t="str">
        <f aca="true">IF(J1293="","",N1293+MAX(0,ROUNDUP((TODAY()-N1293)/(J1293*7),0))*J1293*7)</f>
        <v/>
      </c>
      <c r="P1293" s="27" t="str">
        <f aca="false">IF(J1293="","",MOD(K1293-1,J1293*4))</f>
        <v/>
      </c>
      <c r="Q1293" s="27" t="str">
        <f aca="false">IF(J1293="","",MOD(P1293,4))</f>
        <v/>
      </c>
      <c r="R1293" s="27" t="str">
        <f aca="false">IF(J1293="","",INT(P1293/4))</f>
        <v/>
      </c>
      <c r="S1293" s="27" t="str">
        <f aca="false">IF(J1293="","",IF(AND('Daily Count Sheet'!$H$3=Q1293,MOD('Daily Count Sheet'!$I$3,J1293)=R1293),1,""))</f>
        <v/>
      </c>
      <c r="T1293" s="27" t="str">
        <f aca="false">IF(S1293=1,COUNTIF($S$2:S1293,1),"")</f>
        <v/>
      </c>
    </row>
    <row r="1294" customFormat="false" ht="15" hidden="false" customHeight="false" outlineLevel="0" collapsed="false">
      <c r="H1294" s="26"/>
      <c r="I1294" s="27" t="str">
        <f aca="false">IF(A1294="","",IF(H1294&lt;&gt;"",UPPER(TRIM(H1294)),IFERROR(CHOOSE(VALUE(E1294)+1,"A","B","C","D"),IF(OR(LEFT(UPPER(TRIM(E1294)),1)="F",UPPER(TRIM(E1294))="A"),"A",IF(OR(LEFT(UPPER(TRIM(E1294)),1)="M",UPPER(TRIM(E1294))="B"),"B",IF(OR(LEFT(UPPER(TRIM(E1294)),2)="SL",UPPER(TRIM(E1294))="C"),"C",IF(OR(LEFT(UPPER(TRIM(E1294)),1)="D",UPPER(TRIM(E1294))="D"),"D","")))))))</f>
        <v/>
      </c>
      <c r="J1294" s="27" t="str">
        <f aca="false">IF(I1294="","",IF(AND(I1294="D",Settings!$B$6&lt;&gt;"Yes"),"",IFERROR(INDEX(Settings!$C$9:$C$12,MATCH(I1294,Settings!$A$9:$A$12,0)),"")))</f>
        <v/>
      </c>
      <c r="K1294" s="27" t="str">
        <f aca="false">IF(J1294="","",COUNTIF($I$2:I1294,I1294))</f>
        <v/>
      </c>
      <c r="L1294" s="27" t="str">
        <f aca="false">IF(J1294="","",CHOOSE(Q1294+1,"Tue","Wed","Thu","Fri"))</f>
        <v/>
      </c>
      <c r="M1294" s="27" t="str">
        <f aca="false">IF(J1294="","",IF(J1294=1,"Every week",R1294+1&amp;" of "&amp;J1294))</f>
        <v/>
      </c>
      <c r="N1294" s="28" t="str">
        <f aca="false">IF(J1294="","",Settings!$B$4+R1294*7+Q1294)</f>
        <v/>
      </c>
      <c r="O1294" s="28" t="str">
        <f aca="true">IF(J1294="","",N1294+MAX(0,ROUNDUP((TODAY()-N1294)/(J1294*7),0))*J1294*7)</f>
        <v/>
      </c>
      <c r="P1294" s="27" t="str">
        <f aca="false">IF(J1294="","",MOD(K1294-1,J1294*4))</f>
        <v/>
      </c>
      <c r="Q1294" s="27" t="str">
        <f aca="false">IF(J1294="","",MOD(P1294,4))</f>
        <v/>
      </c>
      <c r="R1294" s="27" t="str">
        <f aca="false">IF(J1294="","",INT(P1294/4))</f>
        <v/>
      </c>
      <c r="S1294" s="27" t="str">
        <f aca="false">IF(J1294="","",IF(AND('Daily Count Sheet'!$H$3=Q1294,MOD('Daily Count Sheet'!$I$3,J1294)=R1294),1,""))</f>
        <v/>
      </c>
      <c r="T1294" s="27" t="str">
        <f aca="false">IF(S1294=1,COUNTIF($S$2:S1294,1),"")</f>
        <v/>
      </c>
    </row>
    <row r="1295" customFormat="false" ht="15" hidden="false" customHeight="false" outlineLevel="0" collapsed="false">
      <c r="H1295" s="26"/>
      <c r="I1295" s="27" t="str">
        <f aca="false">IF(A1295="","",IF(H1295&lt;&gt;"",UPPER(TRIM(H1295)),IFERROR(CHOOSE(VALUE(E1295)+1,"A","B","C","D"),IF(OR(LEFT(UPPER(TRIM(E1295)),1)="F",UPPER(TRIM(E1295))="A"),"A",IF(OR(LEFT(UPPER(TRIM(E1295)),1)="M",UPPER(TRIM(E1295))="B"),"B",IF(OR(LEFT(UPPER(TRIM(E1295)),2)="SL",UPPER(TRIM(E1295))="C"),"C",IF(OR(LEFT(UPPER(TRIM(E1295)),1)="D",UPPER(TRIM(E1295))="D"),"D","")))))))</f>
        <v/>
      </c>
      <c r="J1295" s="27" t="str">
        <f aca="false">IF(I1295="","",IF(AND(I1295="D",Settings!$B$6&lt;&gt;"Yes"),"",IFERROR(INDEX(Settings!$C$9:$C$12,MATCH(I1295,Settings!$A$9:$A$12,0)),"")))</f>
        <v/>
      </c>
      <c r="K1295" s="27" t="str">
        <f aca="false">IF(J1295="","",COUNTIF($I$2:I1295,I1295))</f>
        <v/>
      </c>
      <c r="L1295" s="27" t="str">
        <f aca="false">IF(J1295="","",CHOOSE(Q1295+1,"Tue","Wed","Thu","Fri"))</f>
        <v/>
      </c>
      <c r="M1295" s="27" t="str">
        <f aca="false">IF(J1295="","",IF(J1295=1,"Every week",R1295+1&amp;" of "&amp;J1295))</f>
        <v/>
      </c>
      <c r="N1295" s="28" t="str">
        <f aca="false">IF(J1295="","",Settings!$B$4+R1295*7+Q1295)</f>
        <v/>
      </c>
      <c r="O1295" s="28" t="str">
        <f aca="true">IF(J1295="","",N1295+MAX(0,ROUNDUP((TODAY()-N1295)/(J1295*7),0))*J1295*7)</f>
        <v/>
      </c>
      <c r="P1295" s="27" t="str">
        <f aca="false">IF(J1295="","",MOD(K1295-1,J1295*4))</f>
        <v/>
      </c>
      <c r="Q1295" s="27" t="str">
        <f aca="false">IF(J1295="","",MOD(P1295,4))</f>
        <v/>
      </c>
      <c r="R1295" s="27" t="str">
        <f aca="false">IF(J1295="","",INT(P1295/4))</f>
        <v/>
      </c>
      <c r="S1295" s="27" t="str">
        <f aca="false">IF(J1295="","",IF(AND('Daily Count Sheet'!$H$3=Q1295,MOD('Daily Count Sheet'!$I$3,J1295)=R1295),1,""))</f>
        <v/>
      </c>
      <c r="T1295" s="27" t="str">
        <f aca="false">IF(S1295=1,COUNTIF($S$2:S1295,1),"")</f>
        <v/>
      </c>
    </row>
    <row r="1296" customFormat="false" ht="15" hidden="false" customHeight="false" outlineLevel="0" collapsed="false">
      <c r="H1296" s="26"/>
      <c r="I1296" s="27" t="str">
        <f aca="false">IF(A1296="","",IF(H1296&lt;&gt;"",UPPER(TRIM(H1296)),IFERROR(CHOOSE(VALUE(E1296)+1,"A","B","C","D"),IF(OR(LEFT(UPPER(TRIM(E1296)),1)="F",UPPER(TRIM(E1296))="A"),"A",IF(OR(LEFT(UPPER(TRIM(E1296)),1)="M",UPPER(TRIM(E1296))="B"),"B",IF(OR(LEFT(UPPER(TRIM(E1296)),2)="SL",UPPER(TRIM(E1296))="C"),"C",IF(OR(LEFT(UPPER(TRIM(E1296)),1)="D",UPPER(TRIM(E1296))="D"),"D","")))))))</f>
        <v/>
      </c>
      <c r="J1296" s="27" t="str">
        <f aca="false">IF(I1296="","",IF(AND(I1296="D",Settings!$B$6&lt;&gt;"Yes"),"",IFERROR(INDEX(Settings!$C$9:$C$12,MATCH(I1296,Settings!$A$9:$A$12,0)),"")))</f>
        <v/>
      </c>
      <c r="K1296" s="27" t="str">
        <f aca="false">IF(J1296="","",COUNTIF($I$2:I1296,I1296))</f>
        <v/>
      </c>
      <c r="L1296" s="27" t="str">
        <f aca="false">IF(J1296="","",CHOOSE(Q1296+1,"Tue","Wed","Thu","Fri"))</f>
        <v/>
      </c>
      <c r="M1296" s="27" t="str">
        <f aca="false">IF(J1296="","",IF(J1296=1,"Every week",R1296+1&amp;" of "&amp;J1296))</f>
        <v/>
      </c>
      <c r="N1296" s="28" t="str">
        <f aca="false">IF(J1296="","",Settings!$B$4+R1296*7+Q1296)</f>
        <v/>
      </c>
      <c r="O1296" s="28" t="str">
        <f aca="true">IF(J1296="","",N1296+MAX(0,ROUNDUP((TODAY()-N1296)/(J1296*7),0))*J1296*7)</f>
        <v/>
      </c>
      <c r="P1296" s="27" t="str">
        <f aca="false">IF(J1296="","",MOD(K1296-1,J1296*4))</f>
        <v/>
      </c>
      <c r="Q1296" s="27" t="str">
        <f aca="false">IF(J1296="","",MOD(P1296,4))</f>
        <v/>
      </c>
      <c r="R1296" s="27" t="str">
        <f aca="false">IF(J1296="","",INT(P1296/4))</f>
        <v/>
      </c>
      <c r="S1296" s="27" t="str">
        <f aca="false">IF(J1296="","",IF(AND('Daily Count Sheet'!$H$3=Q1296,MOD('Daily Count Sheet'!$I$3,J1296)=R1296),1,""))</f>
        <v/>
      </c>
      <c r="T1296" s="27" t="str">
        <f aca="false">IF(S1296=1,COUNTIF($S$2:S1296,1),"")</f>
        <v/>
      </c>
    </row>
    <row r="1297" customFormat="false" ht="15" hidden="false" customHeight="false" outlineLevel="0" collapsed="false">
      <c r="H1297" s="26"/>
      <c r="I1297" s="27" t="str">
        <f aca="false">IF(A1297="","",IF(H1297&lt;&gt;"",UPPER(TRIM(H1297)),IFERROR(CHOOSE(VALUE(E1297)+1,"A","B","C","D"),IF(OR(LEFT(UPPER(TRIM(E1297)),1)="F",UPPER(TRIM(E1297))="A"),"A",IF(OR(LEFT(UPPER(TRIM(E1297)),1)="M",UPPER(TRIM(E1297))="B"),"B",IF(OR(LEFT(UPPER(TRIM(E1297)),2)="SL",UPPER(TRIM(E1297))="C"),"C",IF(OR(LEFT(UPPER(TRIM(E1297)),1)="D",UPPER(TRIM(E1297))="D"),"D","")))))))</f>
        <v/>
      </c>
      <c r="J1297" s="27" t="str">
        <f aca="false">IF(I1297="","",IF(AND(I1297="D",Settings!$B$6&lt;&gt;"Yes"),"",IFERROR(INDEX(Settings!$C$9:$C$12,MATCH(I1297,Settings!$A$9:$A$12,0)),"")))</f>
        <v/>
      </c>
      <c r="K1297" s="27" t="str">
        <f aca="false">IF(J1297="","",COUNTIF($I$2:I1297,I1297))</f>
        <v/>
      </c>
      <c r="L1297" s="27" t="str">
        <f aca="false">IF(J1297="","",CHOOSE(Q1297+1,"Tue","Wed","Thu","Fri"))</f>
        <v/>
      </c>
      <c r="M1297" s="27" t="str">
        <f aca="false">IF(J1297="","",IF(J1297=1,"Every week",R1297+1&amp;" of "&amp;J1297))</f>
        <v/>
      </c>
      <c r="N1297" s="28" t="str">
        <f aca="false">IF(J1297="","",Settings!$B$4+R1297*7+Q1297)</f>
        <v/>
      </c>
      <c r="O1297" s="28" t="str">
        <f aca="true">IF(J1297="","",N1297+MAX(0,ROUNDUP((TODAY()-N1297)/(J1297*7),0))*J1297*7)</f>
        <v/>
      </c>
      <c r="P1297" s="27" t="str">
        <f aca="false">IF(J1297="","",MOD(K1297-1,J1297*4))</f>
        <v/>
      </c>
      <c r="Q1297" s="27" t="str">
        <f aca="false">IF(J1297="","",MOD(P1297,4))</f>
        <v/>
      </c>
      <c r="R1297" s="27" t="str">
        <f aca="false">IF(J1297="","",INT(P1297/4))</f>
        <v/>
      </c>
      <c r="S1297" s="27" t="str">
        <f aca="false">IF(J1297="","",IF(AND('Daily Count Sheet'!$H$3=Q1297,MOD('Daily Count Sheet'!$I$3,J1297)=R1297),1,""))</f>
        <v/>
      </c>
      <c r="T1297" s="27" t="str">
        <f aca="false">IF(S1297=1,COUNTIF($S$2:S1297,1),"")</f>
        <v/>
      </c>
    </row>
    <row r="1298" customFormat="false" ht="15" hidden="false" customHeight="false" outlineLevel="0" collapsed="false">
      <c r="H1298" s="26"/>
      <c r="I1298" s="27" t="str">
        <f aca="false">IF(A1298="","",IF(H1298&lt;&gt;"",UPPER(TRIM(H1298)),IFERROR(CHOOSE(VALUE(E1298)+1,"A","B","C","D"),IF(OR(LEFT(UPPER(TRIM(E1298)),1)="F",UPPER(TRIM(E1298))="A"),"A",IF(OR(LEFT(UPPER(TRIM(E1298)),1)="M",UPPER(TRIM(E1298))="B"),"B",IF(OR(LEFT(UPPER(TRIM(E1298)),2)="SL",UPPER(TRIM(E1298))="C"),"C",IF(OR(LEFT(UPPER(TRIM(E1298)),1)="D",UPPER(TRIM(E1298))="D"),"D","")))))))</f>
        <v/>
      </c>
      <c r="J1298" s="27" t="str">
        <f aca="false">IF(I1298="","",IF(AND(I1298="D",Settings!$B$6&lt;&gt;"Yes"),"",IFERROR(INDEX(Settings!$C$9:$C$12,MATCH(I1298,Settings!$A$9:$A$12,0)),"")))</f>
        <v/>
      </c>
      <c r="K1298" s="27" t="str">
        <f aca="false">IF(J1298="","",COUNTIF($I$2:I1298,I1298))</f>
        <v/>
      </c>
      <c r="L1298" s="27" t="str">
        <f aca="false">IF(J1298="","",CHOOSE(Q1298+1,"Tue","Wed","Thu","Fri"))</f>
        <v/>
      </c>
      <c r="M1298" s="27" t="str">
        <f aca="false">IF(J1298="","",IF(J1298=1,"Every week",R1298+1&amp;" of "&amp;J1298))</f>
        <v/>
      </c>
      <c r="N1298" s="28" t="str">
        <f aca="false">IF(J1298="","",Settings!$B$4+R1298*7+Q1298)</f>
        <v/>
      </c>
      <c r="O1298" s="28" t="str">
        <f aca="true">IF(J1298="","",N1298+MAX(0,ROUNDUP((TODAY()-N1298)/(J1298*7),0))*J1298*7)</f>
        <v/>
      </c>
      <c r="P1298" s="27" t="str">
        <f aca="false">IF(J1298="","",MOD(K1298-1,J1298*4))</f>
        <v/>
      </c>
      <c r="Q1298" s="27" t="str">
        <f aca="false">IF(J1298="","",MOD(P1298,4))</f>
        <v/>
      </c>
      <c r="R1298" s="27" t="str">
        <f aca="false">IF(J1298="","",INT(P1298/4))</f>
        <v/>
      </c>
      <c r="S1298" s="27" t="str">
        <f aca="false">IF(J1298="","",IF(AND('Daily Count Sheet'!$H$3=Q1298,MOD('Daily Count Sheet'!$I$3,J1298)=R1298),1,""))</f>
        <v/>
      </c>
      <c r="T1298" s="27" t="str">
        <f aca="false">IF(S1298=1,COUNTIF($S$2:S1298,1),"")</f>
        <v/>
      </c>
    </row>
    <row r="1299" customFormat="false" ht="15" hidden="false" customHeight="false" outlineLevel="0" collapsed="false">
      <c r="H1299" s="26"/>
      <c r="I1299" s="27" t="str">
        <f aca="false">IF(A1299="","",IF(H1299&lt;&gt;"",UPPER(TRIM(H1299)),IFERROR(CHOOSE(VALUE(E1299)+1,"A","B","C","D"),IF(OR(LEFT(UPPER(TRIM(E1299)),1)="F",UPPER(TRIM(E1299))="A"),"A",IF(OR(LEFT(UPPER(TRIM(E1299)),1)="M",UPPER(TRIM(E1299))="B"),"B",IF(OR(LEFT(UPPER(TRIM(E1299)),2)="SL",UPPER(TRIM(E1299))="C"),"C",IF(OR(LEFT(UPPER(TRIM(E1299)),1)="D",UPPER(TRIM(E1299))="D"),"D","")))))))</f>
        <v/>
      </c>
      <c r="J1299" s="27" t="str">
        <f aca="false">IF(I1299="","",IF(AND(I1299="D",Settings!$B$6&lt;&gt;"Yes"),"",IFERROR(INDEX(Settings!$C$9:$C$12,MATCH(I1299,Settings!$A$9:$A$12,0)),"")))</f>
        <v/>
      </c>
      <c r="K1299" s="27" t="str">
        <f aca="false">IF(J1299="","",COUNTIF($I$2:I1299,I1299))</f>
        <v/>
      </c>
      <c r="L1299" s="27" t="str">
        <f aca="false">IF(J1299="","",CHOOSE(Q1299+1,"Tue","Wed","Thu","Fri"))</f>
        <v/>
      </c>
      <c r="M1299" s="27" t="str">
        <f aca="false">IF(J1299="","",IF(J1299=1,"Every week",R1299+1&amp;" of "&amp;J1299))</f>
        <v/>
      </c>
      <c r="N1299" s="28" t="str">
        <f aca="false">IF(J1299="","",Settings!$B$4+R1299*7+Q1299)</f>
        <v/>
      </c>
      <c r="O1299" s="28" t="str">
        <f aca="true">IF(J1299="","",N1299+MAX(0,ROUNDUP((TODAY()-N1299)/(J1299*7),0))*J1299*7)</f>
        <v/>
      </c>
      <c r="P1299" s="27" t="str">
        <f aca="false">IF(J1299="","",MOD(K1299-1,J1299*4))</f>
        <v/>
      </c>
      <c r="Q1299" s="27" t="str">
        <f aca="false">IF(J1299="","",MOD(P1299,4))</f>
        <v/>
      </c>
      <c r="R1299" s="27" t="str">
        <f aca="false">IF(J1299="","",INT(P1299/4))</f>
        <v/>
      </c>
      <c r="S1299" s="27" t="str">
        <f aca="false">IF(J1299="","",IF(AND('Daily Count Sheet'!$H$3=Q1299,MOD('Daily Count Sheet'!$I$3,J1299)=R1299),1,""))</f>
        <v/>
      </c>
      <c r="T1299" s="27" t="str">
        <f aca="false">IF(S1299=1,COUNTIF($S$2:S1299,1),"")</f>
        <v/>
      </c>
    </row>
    <row r="1300" customFormat="false" ht="15" hidden="false" customHeight="false" outlineLevel="0" collapsed="false">
      <c r="H1300" s="26"/>
      <c r="I1300" s="27" t="str">
        <f aca="false">IF(A1300="","",IF(H1300&lt;&gt;"",UPPER(TRIM(H1300)),IFERROR(CHOOSE(VALUE(E1300)+1,"A","B","C","D"),IF(OR(LEFT(UPPER(TRIM(E1300)),1)="F",UPPER(TRIM(E1300))="A"),"A",IF(OR(LEFT(UPPER(TRIM(E1300)),1)="M",UPPER(TRIM(E1300))="B"),"B",IF(OR(LEFT(UPPER(TRIM(E1300)),2)="SL",UPPER(TRIM(E1300))="C"),"C",IF(OR(LEFT(UPPER(TRIM(E1300)),1)="D",UPPER(TRIM(E1300))="D"),"D","")))))))</f>
        <v/>
      </c>
      <c r="J1300" s="27" t="str">
        <f aca="false">IF(I1300="","",IF(AND(I1300="D",Settings!$B$6&lt;&gt;"Yes"),"",IFERROR(INDEX(Settings!$C$9:$C$12,MATCH(I1300,Settings!$A$9:$A$12,0)),"")))</f>
        <v/>
      </c>
      <c r="K1300" s="27" t="str">
        <f aca="false">IF(J1300="","",COUNTIF($I$2:I1300,I1300))</f>
        <v/>
      </c>
      <c r="L1300" s="27" t="str">
        <f aca="false">IF(J1300="","",CHOOSE(Q1300+1,"Tue","Wed","Thu","Fri"))</f>
        <v/>
      </c>
      <c r="M1300" s="27" t="str">
        <f aca="false">IF(J1300="","",IF(J1300=1,"Every week",R1300+1&amp;" of "&amp;J1300))</f>
        <v/>
      </c>
      <c r="N1300" s="28" t="str">
        <f aca="false">IF(J1300="","",Settings!$B$4+R1300*7+Q1300)</f>
        <v/>
      </c>
      <c r="O1300" s="28" t="str">
        <f aca="true">IF(J1300="","",N1300+MAX(0,ROUNDUP((TODAY()-N1300)/(J1300*7),0))*J1300*7)</f>
        <v/>
      </c>
      <c r="P1300" s="27" t="str">
        <f aca="false">IF(J1300="","",MOD(K1300-1,J1300*4))</f>
        <v/>
      </c>
      <c r="Q1300" s="27" t="str">
        <f aca="false">IF(J1300="","",MOD(P1300,4))</f>
        <v/>
      </c>
      <c r="R1300" s="27" t="str">
        <f aca="false">IF(J1300="","",INT(P1300/4))</f>
        <v/>
      </c>
      <c r="S1300" s="27" t="str">
        <f aca="false">IF(J1300="","",IF(AND('Daily Count Sheet'!$H$3=Q1300,MOD('Daily Count Sheet'!$I$3,J1300)=R1300),1,""))</f>
        <v/>
      </c>
      <c r="T1300" s="27" t="str">
        <f aca="false">IF(S1300=1,COUNTIF($S$2:S1300,1),"")</f>
        <v/>
      </c>
    </row>
    <row r="1301" customFormat="false" ht="15" hidden="false" customHeight="false" outlineLevel="0" collapsed="false">
      <c r="H1301" s="26"/>
      <c r="I1301" s="27" t="str">
        <f aca="false">IF(A1301="","",IF(H1301&lt;&gt;"",UPPER(TRIM(H1301)),IFERROR(CHOOSE(VALUE(E1301)+1,"A","B","C","D"),IF(OR(LEFT(UPPER(TRIM(E1301)),1)="F",UPPER(TRIM(E1301))="A"),"A",IF(OR(LEFT(UPPER(TRIM(E1301)),1)="M",UPPER(TRIM(E1301))="B"),"B",IF(OR(LEFT(UPPER(TRIM(E1301)),2)="SL",UPPER(TRIM(E1301))="C"),"C",IF(OR(LEFT(UPPER(TRIM(E1301)),1)="D",UPPER(TRIM(E1301))="D"),"D","")))))))</f>
        <v/>
      </c>
      <c r="J1301" s="27" t="str">
        <f aca="false">IF(I1301="","",IF(AND(I1301="D",Settings!$B$6&lt;&gt;"Yes"),"",IFERROR(INDEX(Settings!$C$9:$C$12,MATCH(I1301,Settings!$A$9:$A$12,0)),"")))</f>
        <v/>
      </c>
      <c r="K1301" s="27" t="str">
        <f aca="false">IF(J1301="","",COUNTIF($I$2:I1301,I1301))</f>
        <v/>
      </c>
      <c r="L1301" s="27" t="str">
        <f aca="false">IF(J1301="","",CHOOSE(Q1301+1,"Tue","Wed","Thu","Fri"))</f>
        <v/>
      </c>
      <c r="M1301" s="27" t="str">
        <f aca="false">IF(J1301="","",IF(J1301=1,"Every week",R1301+1&amp;" of "&amp;J1301))</f>
        <v/>
      </c>
      <c r="N1301" s="28" t="str">
        <f aca="false">IF(J1301="","",Settings!$B$4+R1301*7+Q1301)</f>
        <v/>
      </c>
      <c r="O1301" s="28" t="str">
        <f aca="true">IF(J1301="","",N1301+MAX(0,ROUNDUP((TODAY()-N1301)/(J1301*7),0))*J1301*7)</f>
        <v/>
      </c>
      <c r="P1301" s="27" t="str">
        <f aca="false">IF(J1301="","",MOD(K1301-1,J1301*4))</f>
        <v/>
      </c>
      <c r="Q1301" s="27" t="str">
        <f aca="false">IF(J1301="","",MOD(P1301,4))</f>
        <v/>
      </c>
      <c r="R1301" s="27" t="str">
        <f aca="false">IF(J1301="","",INT(P1301/4))</f>
        <v/>
      </c>
      <c r="S1301" s="27" t="str">
        <f aca="false">IF(J1301="","",IF(AND('Daily Count Sheet'!$H$3=Q1301,MOD('Daily Count Sheet'!$I$3,J1301)=R1301),1,""))</f>
        <v/>
      </c>
      <c r="T1301" s="27" t="str">
        <f aca="false">IF(S1301=1,COUNTIF($S$2:S1301,1),"")</f>
        <v/>
      </c>
    </row>
    <row r="1302" customFormat="false" ht="15" hidden="false" customHeight="false" outlineLevel="0" collapsed="false">
      <c r="H1302" s="26"/>
      <c r="I1302" s="27" t="str">
        <f aca="false">IF(A1302="","",IF(H1302&lt;&gt;"",UPPER(TRIM(H1302)),IFERROR(CHOOSE(VALUE(E1302)+1,"A","B","C","D"),IF(OR(LEFT(UPPER(TRIM(E1302)),1)="F",UPPER(TRIM(E1302))="A"),"A",IF(OR(LEFT(UPPER(TRIM(E1302)),1)="M",UPPER(TRIM(E1302))="B"),"B",IF(OR(LEFT(UPPER(TRIM(E1302)),2)="SL",UPPER(TRIM(E1302))="C"),"C",IF(OR(LEFT(UPPER(TRIM(E1302)),1)="D",UPPER(TRIM(E1302))="D"),"D","")))))))</f>
        <v/>
      </c>
      <c r="J1302" s="27" t="str">
        <f aca="false">IF(I1302="","",IF(AND(I1302="D",Settings!$B$6&lt;&gt;"Yes"),"",IFERROR(INDEX(Settings!$C$9:$C$12,MATCH(I1302,Settings!$A$9:$A$12,0)),"")))</f>
        <v/>
      </c>
      <c r="K1302" s="27" t="str">
        <f aca="false">IF(J1302="","",COUNTIF($I$2:I1302,I1302))</f>
        <v/>
      </c>
      <c r="L1302" s="27" t="str">
        <f aca="false">IF(J1302="","",CHOOSE(Q1302+1,"Tue","Wed","Thu","Fri"))</f>
        <v/>
      </c>
      <c r="M1302" s="27" t="str">
        <f aca="false">IF(J1302="","",IF(J1302=1,"Every week",R1302+1&amp;" of "&amp;J1302))</f>
        <v/>
      </c>
      <c r="N1302" s="28" t="str">
        <f aca="false">IF(J1302="","",Settings!$B$4+R1302*7+Q1302)</f>
        <v/>
      </c>
      <c r="O1302" s="28" t="str">
        <f aca="true">IF(J1302="","",N1302+MAX(0,ROUNDUP((TODAY()-N1302)/(J1302*7),0))*J1302*7)</f>
        <v/>
      </c>
      <c r="P1302" s="27" t="str">
        <f aca="false">IF(J1302="","",MOD(K1302-1,J1302*4))</f>
        <v/>
      </c>
      <c r="Q1302" s="27" t="str">
        <f aca="false">IF(J1302="","",MOD(P1302,4))</f>
        <v/>
      </c>
      <c r="R1302" s="27" t="str">
        <f aca="false">IF(J1302="","",INT(P1302/4))</f>
        <v/>
      </c>
      <c r="S1302" s="27" t="str">
        <f aca="false">IF(J1302="","",IF(AND('Daily Count Sheet'!$H$3=Q1302,MOD('Daily Count Sheet'!$I$3,J1302)=R1302),1,""))</f>
        <v/>
      </c>
      <c r="T1302" s="27" t="str">
        <f aca="false">IF(S1302=1,COUNTIF($S$2:S1302,1),"")</f>
        <v/>
      </c>
    </row>
    <row r="1303" customFormat="false" ht="15" hidden="false" customHeight="false" outlineLevel="0" collapsed="false">
      <c r="H1303" s="26"/>
      <c r="I1303" s="27" t="str">
        <f aca="false">IF(A1303="","",IF(H1303&lt;&gt;"",UPPER(TRIM(H1303)),IFERROR(CHOOSE(VALUE(E1303)+1,"A","B","C","D"),IF(OR(LEFT(UPPER(TRIM(E1303)),1)="F",UPPER(TRIM(E1303))="A"),"A",IF(OR(LEFT(UPPER(TRIM(E1303)),1)="M",UPPER(TRIM(E1303))="B"),"B",IF(OR(LEFT(UPPER(TRIM(E1303)),2)="SL",UPPER(TRIM(E1303))="C"),"C",IF(OR(LEFT(UPPER(TRIM(E1303)),1)="D",UPPER(TRIM(E1303))="D"),"D","")))))))</f>
        <v/>
      </c>
      <c r="J1303" s="27" t="str">
        <f aca="false">IF(I1303="","",IF(AND(I1303="D",Settings!$B$6&lt;&gt;"Yes"),"",IFERROR(INDEX(Settings!$C$9:$C$12,MATCH(I1303,Settings!$A$9:$A$12,0)),"")))</f>
        <v/>
      </c>
      <c r="K1303" s="27" t="str">
        <f aca="false">IF(J1303="","",COUNTIF($I$2:I1303,I1303))</f>
        <v/>
      </c>
      <c r="L1303" s="27" t="str">
        <f aca="false">IF(J1303="","",CHOOSE(Q1303+1,"Tue","Wed","Thu","Fri"))</f>
        <v/>
      </c>
      <c r="M1303" s="27" t="str">
        <f aca="false">IF(J1303="","",IF(J1303=1,"Every week",R1303+1&amp;" of "&amp;J1303))</f>
        <v/>
      </c>
      <c r="N1303" s="28" t="str">
        <f aca="false">IF(J1303="","",Settings!$B$4+R1303*7+Q1303)</f>
        <v/>
      </c>
      <c r="O1303" s="28" t="str">
        <f aca="true">IF(J1303="","",N1303+MAX(0,ROUNDUP((TODAY()-N1303)/(J1303*7),0))*J1303*7)</f>
        <v/>
      </c>
      <c r="P1303" s="27" t="str">
        <f aca="false">IF(J1303="","",MOD(K1303-1,J1303*4))</f>
        <v/>
      </c>
      <c r="Q1303" s="27" t="str">
        <f aca="false">IF(J1303="","",MOD(P1303,4))</f>
        <v/>
      </c>
      <c r="R1303" s="27" t="str">
        <f aca="false">IF(J1303="","",INT(P1303/4))</f>
        <v/>
      </c>
      <c r="S1303" s="27" t="str">
        <f aca="false">IF(J1303="","",IF(AND('Daily Count Sheet'!$H$3=Q1303,MOD('Daily Count Sheet'!$I$3,J1303)=R1303),1,""))</f>
        <v/>
      </c>
      <c r="T1303" s="27" t="str">
        <f aca="false">IF(S1303=1,COUNTIF($S$2:S1303,1),"")</f>
        <v/>
      </c>
    </row>
    <row r="1304" customFormat="false" ht="15" hidden="false" customHeight="false" outlineLevel="0" collapsed="false">
      <c r="H1304" s="26"/>
      <c r="I1304" s="27" t="str">
        <f aca="false">IF(A1304="","",IF(H1304&lt;&gt;"",UPPER(TRIM(H1304)),IFERROR(CHOOSE(VALUE(E1304)+1,"A","B","C","D"),IF(OR(LEFT(UPPER(TRIM(E1304)),1)="F",UPPER(TRIM(E1304))="A"),"A",IF(OR(LEFT(UPPER(TRIM(E1304)),1)="M",UPPER(TRIM(E1304))="B"),"B",IF(OR(LEFT(UPPER(TRIM(E1304)),2)="SL",UPPER(TRIM(E1304))="C"),"C",IF(OR(LEFT(UPPER(TRIM(E1304)),1)="D",UPPER(TRIM(E1304))="D"),"D","")))))))</f>
        <v/>
      </c>
      <c r="J1304" s="27" t="str">
        <f aca="false">IF(I1304="","",IF(AND(I1304="D",Settings!$B$6&lt;&gt;"Yes"),"",IFERROR(INDEX(Settings!$C$9:$C$12,MATCH(I1304,Settings!$A$9:$A$12,0)),"")))</f>
        <v/>
      </c>
      <c r="K1304" s="27" t="str">
        <f aca="false">IF(J1304="","",COUNTIF($I$2:I1304,I1304))</f>
        <v/>
      </c>
      <c r="L1304" s="27" t="str">
        <f aca="false">IF(J1304="","",CHOOSE(Q1304+1,"Tue","Wed","Thu","Fri"))</f>
        <v/>
      </c>
      <c r="M1304" s="27" t="str">
        <f aca="false">IF(J1304="","",IF(J1304=1,"Every week",R1304+1&amp;" of "&amp;J1304))</f>
        <v/>
      </c>
      <c r="N1304" s="28" t="str">
        <f aca="false">IF(J1304="","",Settings!$B$4+R1304*7+Q1304)</f>
        <v/>
      </c>
      <c r="O1304" s="28" t="str">
        <f aca="true">IF(J1304="","",N1304+MAX(0,ROUNDUP((TODAY()-N1304)/(J1304*7),0))*J1304*7)</f>
        <v/>
      </c>
      <c r="P1304" s="27" t="str">
        <f aca="false">IF(J1304="","",MOD(K1304-1,J1304*4))</f>
        <v/>
      </c>
      <c r="Q1304" s="27" t="str">
        <f aca="false">IF(J1304="","",MOD(P1304,4))</f>
        <v/>
      </c>
      <c r="R1304" s="27" t="str">
        <f aca="false">IF(J1304="","",INT(P1304/4))</f>
        <v/>
      </c>
      <c r="S1304" s="27" t="str">
        <f aca="false">IF(J1304="","",IF(AND('Daily Count Sheet'!$H$3=Q1304,MOD('Daily Count Sheet'!$I$3,J1304)=R1304),1,""))</f>
        <v/>
      </c>
      <c r="T1304" s="27" t="str">
        <f aca="false">IF(S1304=1,COUNTIF($S$2:S1304,1),"")</f>
        <v/>
      </c>
    </row>
    <row r="1305" customFormat="false" ht="15" hidden="false" customHeight="false" outlineLevel="0" collapsed="false">
      <c r="H1305" s="26"/>
      <c r="I1305" s="27" t="str">
        <f aca="false">IF(A1305="","",IF(H1305&lt;&gt;"",UPPER(TRIM(H1305)),IFERROR(CHOOSE(VALUE(E1305)+1,"A","B","C","D"),IF(OR(LEFT(UPPER(TRIM(E1305)),1)="F",UPPER(TRIM(E1305))="A"),"A",IF(OR(LEFT(UPPER(TRIM(E1305)),1)="M",UPPER(TRIM(E1305))="B"),"B",IF(OR(LEFT(UPPER(TRIM(E1305)),2)="SL",UPPER(TRIM(E1305))="C"),"C",IF(OR(LEFT(UPPER(TRIM(E1305)),1)="D",UPPER(TRIM(E1305))="D"),"D","")))))))</f>
        <v/>
      </c>
      <c r="J1305" s="27" t="str">
        <f aca="false">IF(I1305="","",IF(AND(I1305="D",Settings!$B$6&lt;&gt;"Yes"),"",IFERROR(INDEX(Settings!$C$9:$C$12,MATCH(I1305,Settings!$A$9:$A$12,0)),"")))</f>
        <v/>
      </c>
      <c r="K1305" s="27" t="str">
        <f aca="false">IF(J1305="","",COUNTIF($I$2:I1305,I1305))</f>
        <v/>
      </c>
      <c r="L1305" s="27" t="str">
        <f aca="false">IF(J1305="","",CHOOSE(Q1305+1,"Tue","Wed","Thu","Fri"))</f>
        <v/>
      </c>
      <c r="M1305" s="27" t="str">
        <f aca="false">IF(J1305="","",IF(J1305=1,"Every week",R1305+1&amp;" of "&amp;J1305))</f>
        <v/>
      </c>
      <c r="N1305" s="28" t="str">
        <f aca="false">IF(J1305="","",Settings!$B$4+R1305*7+Q1305)</f>
        <v/>
      </c>
      <c r="O1305" s="28" t="str">
        <f aca="true">IF(J1305="","",N1305+MAX(0,ROUNDUP((TODAY()-N1305)/(J1305*7),0))*J1305*7)</f>
        <v/>
      </c>
      <c r="P1305" s="27" t="str">
        <f aca="false">IF(J1305="","",MOD(K1305-1,J1305*4))</f>
        <v/>
      </c>
      <c r="Q1305" s="27" t="str">
        <f aca="false">IF(J1305="","",MOD(P1305,4))</f>
        <v/>
      </c>
      <c r="R1305" s="27" t="str">
        <f aca="false">IF(J1305="","",INT(P1305/4))</f>
        <v/>
      </c>
      <c r="S1305" s="27" t="str">
        <f aca="false">IF(J1305="","",IF(AND('Daily Count Sheet'!$H$3=Q1305,MOD('Daily Count Sheet'!$I$3,J1305)=R1305),1,""))</f>
        <v/>
      </c>
      <c r="T1305" s="27" t="str">
        <f aca="false">IF(S1305=1,COUNTIF($S$2:S1305,1),"")</f>
        <v/>
      </c>
    </row>
    <row r="1306" customFormat="false" ht="15" hidden="false" customHeight="false" outlineLevel="0" collapsed="false">
      <c r="H1306" s="26"/>
      <c r="I1306" s="27" t="str">
        <f aca="false">IF(A1306="","",IF(H1306&lt;&gt;"",UPPER(TRIM(H1306)),IFERROR(CHOOSE(VALUE(E1306)+1,"A","B","C","D"),IF(OR(LEFT(UPPER(TRIM(E1306)),1)="F",UPPER(TRIM(E1306))="A"),"A",IF(OR(LEFT(UPPER(TRIM(E1306)),1)="M",UPPER(TRIM(E1306))="B"),"B",IF(OR(LEFT(UPPER(TRIM(E1306)),2)="SL",UPPER(TRIM(E1306))="C"),"C",IF(OR(LEFT(UPPER(TRIM(E1306)),1)="D",UPPER(TRIM(E1306))="D"),"D","")))))))</f>
        <v/>
      </c>
      <c r="J1306" s="27" t="str">
        <f aca="false">IF(I1306="","",IF(AND(I1306="D",Settings!$B$6&lt;&gt;"Yes"),"",IFERROR(INDEX(Settings!$C$9:$C$12,MATCH(I1306,Settings!$A$9:$A$12,0)),"")))</f>
        <v/>
      </c>
      <c r="K1306" s="27" t="str">
        <f aca="false">IF(J1306="","",COUNTIF($I$2:I1306,I1306))</f>
        <v/>
      </c>
      <c r="L1306" s="27" t="str">
        <f aca="false">IF(J1306="","",CHOOSE(Q1306+1,"Tue","Wed","Thu","Fri"))</f>
        <v/>
      </c>
      <c r="M1306" s="27" t="str">
        <f aca="false">IF(J1306="","",IF(J1306=1,"Every week",R1306+1&amp;" of "&amp;J1306))</f>
        <v/>
      </c>
      <c r="N1306" s="28" t="str">
        <f aca="false">IF(J1306="","",Settings!$B$4+R1306*7+Q1306)</f>
        <v/>
      </c>
      <c r="O1306" s="28" t="str">
        <f aca="true">IF(J1306="","",N1306+MAX(0,ROUNDUP((TODAY()-N1306)/(J1306*7),0))*J1306*7)</f>
        <v/>
      </c>
      <c r="P1306" s="27" t="str">
        <f aca="false">IF(J1306="","",MOD(K1306-1,J1306*4))</f>
        <v/>
      </c>
      <c r="Q1306" s="27" t="str">
        <f aca="false">IF(J1306="","",MOD(P1306,4))</f>
        <v/>
      </c>
      <c r="R1306" s="27" t="str">
        <f aca="false">IF(J1306="","",INT(P1306/4))</f>
        <v/>
      </c>
      <c r="S1306" s="27" t="str">
        <f aca="false">IF(J1306="","",IF(AND('Daily Count Sheet'!$H$3=Q1306,MOD('Daily Count Sheet'!$I$3,J1306)=R1306),1,""))</f>
        <v/>
      </c>
      <c r="T1306" s="27" t="str">
        <f aca="false">IF(S1306=1,COUNTIF($S$2:S1306,1),"")</f>
        <v/>
      </c>
    </row>
    <row r="1307" customFormat="false" ht="15" hidden="false" customHeight="false" outlineLevel="0" collapsed="false">
      <c r="H1307" s="26"/>
      <c r="I1307" s="27" t="str">
        <f aca="false">IF(A1307="","",IF(H1307&lt;&gt;"",UPPER(TRIM(H1307)),IFERROR(CHOOSE(VALUE(E1307)+1,"A","B","C","D"),IF(OR(LEFT(UPPER(TRIM(E1307)),1)="F",UPPER(TRIM(E1307))="A"),"A",IF(OR(LEFT(UPPER(TRIM(E1307)),1)="M",UPPER(TRIM(E1307))="B"),"B",IF(OR(LEFT(UPPER(TRIM(E1307)),2)="SL",UPPER(TRIM(E1307))="C"),"C",IF(OR(LEFT(UPPER(TRIM(E1307)),1)="D",UPPER(TRIM(E1307))="D"),"D","")))))))</f>
        <v/>
      </c>
      <c r="J1307" s="27" t="str">
        <f aca="false">IF(I1307="","",IF(AND(I1307="D",Settings!$B$6&lt;&gt;"Yes"),"",IFERROR(INDEX(Settings!$C$9:$C$12,MATCH(I1307,Settings!$A$9:$A$12,0)),"")))</f>
        <v/>
      </c>
      <c r="K1307" s="27" t="str">
        <f aca="false">IF(J1307="","",COUNTIF($I$2:I1307,I1307))</f>
        <v/>
      </c>
      <c r="L1307" s="27" t="str">
        <f aca="false">IF(J1307="","",CHOOSE(Q1307+1,"Tue","Wed","Thu","Fri"))</f>
        <v/>
      </c>
      <c r="M1307" s="27" t="str">
        <f aca="false">IF(J1307="","",IF(J1307=1,"Every week",R1307+1&amp;" of "&amp;J1307))</f>
        <v/>
      </c>
      <c r="N1307" s="28" t="str">
        <f aca="false">IF(J1307="","",Settings!$B$4+R1307*7+Q1307)</f>
        <v/>
      </c>
      <c r="O1307" s="28" t="str">
        <f aca="true">IF(J1307="","",N1307+MAX(0,ROUNDUP((TODAY()-N1307)/(J1307*7),0))*J1307*7)</f>
        <v/>
      </c>
      <c r="P1307" s="27" t="str">
        <f aca="false">IF(J1307="","",MOD(K1307-1,J1307*4))</f>
        <v/>
      </c>
      <c r="Q1307" s="27" t="str">
        <f aca="false">IF(J1307="","",MOD(P1307,4))</f>
        <v/>
      </c>
      <c r="R1307" s="27" t="str">
        <f aca="false">IF(J1307="","",INT(P1307/4))</f>
        <v/>
      </c>
      <c r="S1307" s="27" t="str">
        <f aca="false">IF(J1307="","",IF(AND('Daily Count Sheet'!$H$3=Q1307,MOD('Daily Count Sheet'!$I$3,J1307)=R1307),1,""))</f>
        <v/>
      </c>
      <c r="T1307" s="27" t="str">
        <f aca="false">IF(S1307=1,COUNTIF($S$2:S1307,1),"")</f>
        <v/>
      </c>
    </row>
    <row r="1308" customFormat="false" ht="15" hidden="false" customHeight="false" outlineLevel="0" collapsed="false">
      <c r="H1308" s="26"/>
      <c r="I1308" s="27" t="str">
        <f aca="false">IF(A1308="","",IF(H1308&lt;&gt;"",UPPER(TRIM(H1308)),IFERROR(CHOOSE(VALUE(E1308)+1,"A","B","C","D"),IF(OR(LEFT(UPPER(TRIM(E1308)),1)="F",UPPER(TRIM(E1308))="A"),"A",IF(OR(LEFT(UPPER(TRIM(E1308)),1)="M",UPPER(TRIM(E1308))="B"),"B",IF(OR(LEFT(UPPER(TRIM(E1308)),2)="SL",UPPER(TRIM(E1308))="C"),"C",IF(OR(LEFT(UPPER(TRIM(E1308)),1)="D",UPPER(TRIM(E1308))="D"),"D","")))))))</f>
        <v/>
      </c>
      <c r="J1308" s="27" t="str">
        <f aca="false">IF(I1308="","",IF(AND(I1308="D",Settings!$B$6&lt;&gt;"Yes"),"",IFERROR(INDEX(Settings!$C$9:$C$12,MATCH(I1308,Settings!$A$9:$A$12,0)),"")))</f>
        <v/>
      </c>
      <c r="K1308" s="27" t="str">
        <f aca="false">IF(J1308="","",COUNTIF($I$2:I1308,I1308))</f>
        <v/>
      </c>
      <c r="L1308" s="27" t="str">
        <f aca="false">IF(J1308="","",CHOOSE(Q1308+1,"Tue","Wed","Thu","Fri"))</f>
        <v/>
      </c>
      <c r="M1308" s="27" t="str">
        <f aca="false">IF(J1308="","",IF(J1308=1,"Every week",R1308+1&amp;" of "&amp;J1308))</f>
        <v/>
      </c>
      <c r="N1308" s="28" t="str">
        <f aca="false">IF(J1308="","",Settings!$B$4+R1308*7+Q1308)</f>
        <v/>
      </c>
      <c r="O1308" s="28" t="str">
        <f aca="true">IF(J1308="","",N1308+MAX(0,ROUNDUP((TODAY()-N1308)/(J1308*7),0))*J1308*7)</f>
        <v/>
      </c>
      <c r="P1308" s="27" t="str">
        <f aca="false">IF(J1308="","",MOD(K1308-1,J1308*4))</f>
        <v/>
      </c>
      <c r="Q1308" s="27" t="str">
        <f aca="false">IF(J1308="","",MOD(P1308,4))</f>
        <v/>
      </c>
      <c r="R1308" s="27" t="str">
        <f aca="false">IF(J1308="","",INT(P1308/4))</f>
        <v/>
      </c>
      <c r="S1308" s="27" t="str">
        <f aca="false">IF(J1308="","",IF(AND('Daily Count Sheet'!$H$3=Q1308,MOD('Daily Count Sheet'!$I$3,J1308)=R1308),1,""))</f>
        <v/>
      </c>
      <c r="T1308" s="27" t="str">
        <f aca="false">IF(S1308=1,COUNTIF($S$2:S1308,1),"")</f>
        <v/>
      </c>
    </row>
    <row r="1309" customFormat="false" ht="15" hidden="false" customHeight="false" outlineLevel="0" collapsed="false">
      <c r="H1309" s="26"/>
      <c r="I1309" s="27" t="str">
        <f aca="false">IF(A1309="","",IF(H1309&lt;&gt;"",UPPER(TRIM(H1309)),IFERROR(CHOOSE(VALUE(E1309)+1,"A","B","C","D"),IF(OR(LEFT(UPPER(TRIM(E1309)),1)="F",UPPER(TRIM(E1309))="A"),"A",IF(OR(LEFT(UPPER(TRIM(E1309)),1)="M",UPPER(TRIM(E1309))="B"),"B",IF(OR(LEFT(UPPER(TRIM(E1309)),2)="SL",UPPER(TRIM(E1309))="C"),"C",IF(OR(LEFT(UPPER(TRIM(E1309)),1)="D",UPPER(TRIM(E1309))="D"),"D","")))))))</f>
        <v/>
      </c>
      <c r="J1309" s="27" t="str">
        <f aca="false">IF(I1309="","",IF(AND(I1309="D",Settings!$B$6&lt;&gt;"Yes"),"",IFERROR(INDEX(Settings!$C$9:$C$12,MATCH(I1309,Settings!$A$9:$A$12,0)),"")))</f>
        <v/>
      </c>
      <c r="K1309" s="27" t="str">
        <f aca="false">IF(J1309="","",COUNTIF($I$2:I1309,I1309))</f>
        <v/>
      </c>
      <c r="L1309" s="27" t="str">
        <f aca="false">IF(J1309="","",CHOOSE(Q1309+1,"Tue","Wed","Thu","Fri"))</f>
        <v/>
      </c>
      <c r="M1309" s="27" t="str">
        <f aca="false">IF(J1309="","",IF(J1309=1,"Every week",R1309+1&amp;" of "&amp;J1309))</f>
        <v/>
      </c>
      <c r="N1309" s="28" t="str">
        <f aca="false">IF(J1309="","",Settings!$B$4+R1309*7+Q1309)</f>
        <v/>
      </c>
      <c r="O1309" s="28" t="str">
        <f aca="true">IF(J1309="","",N1309+MAX(0,ROUNDUP((TODAY()-N1309)/(J1309*7),0))*J1309*7)</f>
        <v/>
      </c>
      <c r="P1309" s="27" t="str">
        <f aca="false">IF(J1309="","",MOD(K1309-1,J1309*4))</f>
        <v/>
      </c>
      <c r="Q1309" s="27" t="str">
        <f aca="false">IF(J1309="","",MOD(P1309,4))</f>
        <v/>
      </c>
      <c r="R1309" s="27" t="str">
        <f aca="false">IF(J1309="","",INT(P1309/4))</f>
        <v/>
      </c>
      <c r="S1309" s="27" t="str">
        <f aca="false">IF(J1309="","",IF(AND('Daily Count Sheet'!$H$3=Q1309,MOD('Daily Count Sheet'!$I$3,J1309)=R1309),1,""))</f>
        <v/>
      </c>
      <c r="T1309" s="27" t="str">
        <f aca="false">IF(S1309=1,COUNTIF($S$2:S1309,1),"")</f>
        <v/>
      </c>
    </row>
    <row r="1310" customFormat="false" ht="15" hidden="false" customHeight="false" outlineLevel="0" collapsed="false">
      <c r="H1310" s="26"/>
      <c r="I1310" s="27" t="str">
        <f aca="false">IF(A1310="","",IF(H1310&lt;&gt;"",UPPER(TRIM(H1310)),IFERROR(CHOOSE(VALUE(E1310)+1,"A","B","C","D"),IF(OR(LEFT(UPPER(TRIM(E1310)),1)="F",UPPER(TRIM(E1310))="A"),"A",IF(OR(LEFT(UPPER(TRIM(E1310)),1)="M",UPPER(TRIM(E1310))="B"),"B",IF(OR(LEFT(UPPER(TRIM(E1310)),2)="SL",UPPER(TRIM(E1310))="C"),"C",IF(OR(LEFT(UPPER(TRIM(E1310)),1)="D",UPPER(TRIM(E1310))="D"),"D","")))))))</f>
        <v/>
      </c>
      <c r="J1310" s="27" t="str">
        <f aca="false">IF(I1310="","",IF(AND(I1310="D",Settings!$B$6&lt;&gt;"Yes"),"",IFERROR(INDEX(Settings!$C$9:$C$12,MATCH(I1310,Settings!$A$9:$A$12,0)),"")))</f>
        <v/>
      </c>
      <c r="K1310" s="27" t="str">
        <f aca="false">IF(J1310="","",COUNTIF($I$2:I1310,I1310))</f>
        <v/>
      </c>
      <c r="L1310" s="27" t="str">
        <f aca="false">IF(J1310="","",CHOOSE(Q1310+1,"Tue","Wed","Thu","Fri"))</f>
        <v/>
      </c>
      <c r="M1310" s="27" t="str">
        <f aca="false">IF(J1310="","",IF(J1310=1,"Every week",R1310+1&amp;" of "&amp;J1310))</f>
        <v/>
      </c>
      <c r="N1310" s="28" t="str">
        <f aca="false">IF(J1310="","",Settings!$B$4+R1310*7+Q1310)</f>
        <v/>
      </c>
      <c r="O1310" s="28" t="str">
        <f aca="true">IF(J1310="","",N1310+MAX(0,ROUNDUP((TODAY()-N1310)/(J1310*7),0))*J1310*7)</f>
        <v/>
      </c>
      <c r="P1310" s="27" t="str">
        <f aca="false">IF(J1310="","",MOD(K1310-1,J1310*4))</f>
        <v/>
      </c>
      <c r="Q1310" s="27" t="str">
        <f aca="false">IF(J1310="","",MOD(P1310,4))</f>
        <v/>
      </c>
      <c r="R1310" s="27" t="str">
        <f aca="false">IF(J1310="","",INT(P1310/4))</f>
        <v/>
      </c>
      <c r="S1310" s="27" t="str">
        <f aca="false">IF(J1310="","",IF(AND('Daily Count Sheet'!$H$3=Q1310,MOD('Daily Count Sheet'!$I$3,J1310)=R1310),1,""))</f>
        <v/>
      </c>
      <c r="T1310" s="27" t="str">
        <f aca="false">IF(S1310=1,COUNTIF($S$2:S1310,1),"")</f>
        <v/>
      </c>
    </row>
    <row r="1311" customFormat="false" ht="15" hidden="false" customHeight="false" outlineLevel="0" collapsed="false">
      <c r="H1311" s="26"/>
      <c r="I1311" s="27" t="str">
        <f aca="false">IF(A1311="","",IF(H1311&lt;&gt;"",UPPER(TRIM(H1311)),IFERROR(CHOOSE(VALUE(E1311)+1,"A","B","C","D"),IF(OR(LEFT(UPPER(TRIM(E1311)),1)="F",UPPER(TRIM(E1311))="A"),"A",IF(OR(LEFT(UPPER(TRIM(E1311)),1)="M",UPPER(TRIM(E1311))="B"),"B",IF(OR(LEFT(UPPER(TRIM(E1311)),2)="SL",UPPER(TRIM(E1311))="C"),"C",IF(OR(LEFT(UPPER(TRIM(E1311)),1)="D",UPPER(TRIM(E1311))="D"),"D","")))))))</f>
        <v/>
      </c>
      <c r="J1311" s="27" t="str">
        <f aca="false">IF(I1311="","",IF(AND(I1311="D",Settings!$B$6&lt;&gt;"Yes"),"",IFERROR(INDEX(Settings!$C$9:$C$12,MATCH(I1311,Settings!$A$9:$A$12,0)),"")))</f>
        <v/>
      </c>
      <c r="K1311" s="27" t="str">
        <f aca="false">IF(J1311="","",COUNTIF($I$2:I1311,I1311))</f>
        <v/>
      </c>
      <c r="L1311" s="27" t="str">
        <f aca="false">IF(J1311="","",CHOOSE(Q1311+1,"Tue","Wed","Thu","Fri"))</f>
        <v/>
      </c>
      <c r="M1311" s="27" t="str">
        <f aca="false">IF(J1311="","",IF(J1311=1,"Every week",R1311+1&amp;" of "&amp;J1311))</f>
        <v/>
      </c>
      <c r="N1311" s="28" t="str">
        <f aca="false">IF(J1311="","",Settings!$B$4+R1311*7+Q1311)</f>
        <v/>
      </c>
      <c r="O1311" s="28" t="str">
        <f aca="true">IF(J1311="","",N1311+MAX(0,ROUNDUP((TODAY()-N1311)/(J1311*7),0))*J1311*7)</f>
        <v/>
      </c>
      <c r="P1311" s="27" t="str">
        <f aca="false">IF(J1311="","",MOD(K1311-1,J1311*4))</f>
        <v/>
      </c>
      <c r="Q1311" s="27" t="str">
        <f aca="false">IF(J1311="","",MOD(P1311,4))</f>
        <v/>
      </c>
      <c r="R1311" s="27" t="str">
        <f aca="false">IF(J1311="","",INT(P1311/4))</f>
        <v/>
      </c>
      <c r="S1311" s="27" t="str">
        <f aca="false">IF(J1311="","",IF(AND('Daily Count Sheet'!$H$3=Q1311,MOD('Daily Count Sheet'!$I$3,J1311)=R1311),1,""))</f>
        <v/>
      </c>
      <c r="T1311" s="27" t="str">
        <f aca="false">IF(S1311=1,COUNTIF($S$2:S1311,1),"")</f>
        <v/>
      </c>
    </row>
    <row r="1312" customFormat="false" ht="15" hidden="false" customHeight="false" outlineLevel="0" collapsed="false">
      <c r="H1312" s="26"/>
      <c r="I1312" s="27" t="str">
        <f aca="false">IF(A1312="","",IF(H1312&lt;&gt;"",UPPER(TRIM(H1312)),IFERROR(CHOOSE(VALUE(E1312)+1,"A","B","C","D"),IF(OR(LEFT(UPPER(TRIM(E1312)),1)="F",UPPER(TRIM(E1312))="A"),"A",IF(OR(LEFT(UPPER(TRIM(E1312)),1)="M",UPPER(TRIM(E1312))="B"),"B",IF(OR(LEFT(UPPER(TRIM(E1312)),2)="SL",UPPER(TRIM(E1312))="C"),"C",IF(OR(LEFT(UPPER(TRIM(E1312)),1)="D",UPPER(TRIM(E1312))="D"),"D","")))))))</f>
        <v/>
      </c>
      <c r="J1312" s="27" t="str">
        <f aca="false">IF(I1312="","",IF(AND(I1312="D",Settings!$B$6&lt;&gt;"Yes"),"",IFERROR(INDEX(Settings!$C$9:$C$12,MATCH(I1312,Settings!$A$9:$A$12,0)),"")))</f>
        <v/>
      </c>
      <c r="K1312" s="27" t="str">
        <f aca="false">IF(J1312="","",COUNTIF($I$2:I1312,I1312))</f>
        <v/>
      </c>
      <c r="L1312" s="27" t="str">
        <f aca="false">IF(J1312="","",CHOOSE(Q1312+1,"Tue","Wed","Thu","Fri"))</f>
        <v/>
      </c>
      <c r="M1312" s="27" t="str">
        <f aca="false">IF(J1312="","",IF(J1312=1,"Every week",R1312+1&amp;" of "&amp;J1312))</f>
        <v/>
      </c>
      <c r="N1312" s="28" t="str">
        <f aca="false">IF(J1312="","",Settings!$B$4+R1312*7+Q1312)</f>
        <v/>
      </c>
      <c r="O1312" s="28" t="str">
        <f aca="true">IF(J1312="","",N1312+MAX(0,ROUNDUP((TODAY()-N1312)/(J1312*7),0))*J1312*7)</f>
        <v/>
      </c>
      <c r="P1312" s="27" t="str">
        <f aca="false">IF(J1312="","",MOD(K1312-1,J1312*4))</f>
        <v/>
      </c>
      <c r="Q1312" s="27" t="str">
        <f aca="false">IF(J1312="","",MOD(P1312,4))</f>
        <v/>
      </c>
      <c r="R1312" s="27" t="str">
        <f aca="false">IF(J1312="","",INT(P1312/4))</f>
        <v/>
      </c>
      <c r="S1312" s="27" t="str">
        <f aca="false">IF(J1312="","",IF(AND('Daily Count Sheet'!$H$3=Q1312,MOD('Daily Count Sheet'!$I$3,J1312)=R1312),1,""))</f>
        <v/>
      </c>
      <c r="T1312" s="27" t="str">
        <f aca="false">IF(S1312=1,COUNTIF($S$2:S1312,1),"")</f>
        <v/>
      </c>
    </row>
    <row r="1313" customFormat="false" ht="15" hidden="false" customHeight="false" outlineLevel="0" collapsed="false">
      <c r="H1313" s="26"/>
      <c r="I1313" s="27" t="str">
        <f aca="false">IF(A1313="","",IF(H1313&lt;&gt;"",UPPER(TRIM(H1313)),IFERROR(CHOOSE(VALUE(E1313)+1,"A","B","C","D"),IF(OR(LEFT(UPPER(TRIM(E1313)),1)="F",UPPER(TRIM(E1313))="A"),"A",IF(OR(LEFT(UPPER(TRIM(E1313)),1)="M",UPPER(TRIM(E1313))="B"),"B",IF(OR(LEFT(UPPER(TRIM(E1313)),2)="SL",UPPER(TRIM(E1313))="C"),"C",IF(OR(LEFT(UPPER(TRIM(E1313)),1)="D",UPPER(TRIM(E1313))="D"),"D","")))))))</f>
        <v/>
      </c>
      <c r="J1313" s="27" t="str">
        <f aca="false">IF(I1313="","",IF(AND(I1313="D",Settings!$B$6&lt;&gt;"Yes"),"",IFERROR(INDEX(Settings!$C$9:$C$12,MATCH(I1313,Settings!$A$9:$A$12,0)),"")))</f>
        <v/>
      </c>
      <c r="K1313" s="27" t="str">
        <f aca="false">IF(J1313="","",COUNTIF($I$2:I1313,I1313))</f>
        <v/>
      </c>
      <c r="L1313" s="27" t="str">
        <f aca="false">IF(J1313="","",CHOOSE(Q1313+1,"Tue","Wed","Thu","Fri"))</f>
        <v/>
      </c>
      <c r="M1313" s="27" t="str">
        <f aca="false">IF(J1313="","",IF(J1313=1,"Every week",R1313+1&amp;" of "&amp;J1313))</f>
        <v/>
      </c>
      <c r="N1313" s="28" t="str">
        <f aca="false">IF(J1313="","",Settings!$B$4+R1313*7+Q1313)</f>
        <v/>
      </c>
      <c r="O1313" s="28" t="str">
        <f aca="true">IF(J1313="","",N1313+MAX(0,ROUNDUP((TODAY()-N1313)/(J1313*7),0))*J1313*7)</f>
        <v/>
      </c>
      <c r="P1313" s="27" t="str">
        <f aca="false">IF(J1313="","",MOD(K1313-1,J1313*4))</f>
        <v/>
      </c>
      <c r="Q1313" s="27" t="str">
        <f aca="false">IF(J1313="","",MOD(P1313,4))</f>
        <v/>
      </c>
      <c r="R1313" s="27" t="str">
        <f aca="false">IF(J1313="","",INT(P1313/4))</f>
        <v/>
      </c>
      <c r="S1313" s="27" t="str">
        <f aca="false">IF(J1313="","",IF(AND('Daily Count Sheet'!$H$3=Q1313,MOD('Daily Count Sheet'!$I$3,J1313)=R1313),1,""))</f>
        <v/>
      </c>
      <c r="T1313" s="27" t="str">
        <f aca="false">IF(S1313=1,COUNTIF($S$2:S1313,1),"")</f>
        <v/>
      </c>
    </row>
    <row r="1314" customFormat="false" ht="15" hidden="false" customHeight="false" outlineLevel="0" collapsed="false">
      <c r="H1314" s="26"/>
      <c r="I1314" s="27" t="str">
        <f aca="false">IF(A1314="","",IF(H1314&lt;&gt;"",UPPER(TRIM(H1314)),IFERROR(CHOOSE(VALUE(E1314)+1,"A","B","C","D"),IF(OR(LEFT(UPPER(TRIM(E1314)),1)="F",UPPER(TRIM(E1314))="A"),"A",IF(OR(LEFT(UPPER(TRIM(E1314)),1)="M",UPPER(TRIM(E1314))="B"),"B",IF(OR(LEFT(UPPER(TRIM(E1314)),2)="SL",UPPER(TRIM(E1314))="C"),"C",IF(OR(LEFT(UPPER(TRIM(E1314)),1)="D",UPPER(TRIM(E1314))="D"),"D","")))))))</f>
        <v/>
      </c>
      <c r="J1314" s="27" t="str">
        <f aca="false">IF(I1314="","",IF(AND(I1314="D",Settings!$B$6&lt;&gt;"Yes"),"",IFERROR(INDEX(Settings!$C$9:$C$12,MATCH(I1314,Settings!$A$9:$A$12,0)),"")))</f>
        <v/>
      </c>
      <c r="K1314" s="27" t="str">
        <f aca="false">IF(J1314="","",COUNTIF($I$2:I1314,I1314))</f>
        <v/>
      </c>
      <c r="L1314" s="27" t="str">
        <f aca="false">IF(J1314="","",CHOOSE(Q1314+1,"Tue","Wed","Thu","Fri"))</f>
        <v/>
      </c>
      <c r="M1314" s="27" t="str">
        <f aca="false">IF(J1314="","",IF(J1314=1,"Every week",R1314+1&amp;" of "&amp;J1314))</f>
        <v/>
      </c>
      <c r="N1314" s="28" t="str">
        <f aca="false">IF(J1314="","",Settings!$B$4+R1314*7+Q1314)</f>
        <v/>
      </c>
      <c r="O1314" s="28" t="str">
        <f aca="true">IF(J1314="","",N1314+MAX(0,ROUNDUP((TODAY()-N1314)/(J1314*7),0))*J1314*7)</f>
        <v/>
      </c>
      <c r="P1314" s="27" t="str">
        <f aca="false">IF(J1314="","",MOD(K1314-1,J1314*4))</f>
        <v/>
      </c>
      <c r="Q1314" s="27" t="str">
        <f aca="false">IF(J1314="","",MOD(P1314,4))</f>
        <v/>
      </c>
      <c r="R1314" s="27" t="str">
        <f aca="false">IF(J1314="","",INT(P1314/4))</f>
        <v/>
      </c>
      <c r="S1314" s="27" t="str">
        <f aca="false">IF(J1314="","",IF(AND('Daily Count Sheet'!$H$3=Q1314,MOD('Daily Count Sheet'!$I$3,J1314)=R1314),1,""))</f>
        <v/>
      </c>
      <c r="T1314" s="27" t="str">
        <f aca="false">IF(S1314=1,COUNTIF($S$2:S1314,1),"")</f>
        <v/>
      </c>
    </row>
    <row r="1315" customFormat="false" ht="15" hidden="false" customHeight="false" outlineLevel="0" collapsed="false">
      <c r="H1315" s="26"/>
      <c r="I1315" s="27" t="str">
        <f aca="false">IF(A1315="","",IF(H1315&lt;&gt;"",UPPER(TRIM(H1315)),IFERROR(CHOOSE(VALUE(E1315)+1,"A","B","C","D"),IF(OR(LEFT(UPPER(TRIM(E1315)),1)="F",UPPER(TRIM(E1315))="A"),"A",IF(OR(LEFT(UPPER(TRIM(E1315)),1)="M",UPPER(TRIM(E1315))="B"),"B",IF(OR(LEFT(UPPER(TRIM(E1315)),2)="SL",UPPER(TRIM(E1315))="C"),"C",IF(OR(LEFT(UPPER(TRIM(E1315)),1)="D",UPPER(TRIM(E1315))="D"),"D","")))))))</f>
        <v/>
      </c>
      <c r="J1315" s="27" t="str">
        <f aca="false">IF(I1315="","",IF(AND(I1315="D",Settings!$B$6&lt;&gt;"Yes"),"",IFERROR(INDEX(Settings!$C$9:$C$12,MATCH(I1315,Settings!$A$9:$A$12,0)),"")))</f>
        <v/>
      </c>
      <c r="K1315" s="27" t="str">
        <f aca="false">IF(J1315="","",COUNTIF($I$2:I1315,I1315))</f>
        <v/>
      </c>
      <c r="L1315" s="27" t="str">
        <f aca="false">IF(J1315="","",CHOOSE(Q1315+1,"Tue","Wed","Thu","Fri"))</f>
        <v/>
      </c>
      <c r="M1315" s="27" t="str">
        <f aca="false">IF(J1315="","",IF(J1315=1,"Every week",R1315+1&amp;" of "&amp;J1315))</f>
        <v/>
      </c>
      <c r="N1315" s="28" t="str">
        <f aca="false">IF(J1315="","",Settings!$B$4+R1315*7+Q1315)</f>
        <v/>
      </c>
      <c r="O1315" s="28" t="str">
        <f aca="true">IF(J1315="","",N1315+MAX(0,ROUNDUP((TODAY()-N1315)/(J1315*7),0))*J1315*7)</f>
        <v/>
      </c>
      <c r="P1315" s="27" t="str">
        <f aca="false">IF(J1315="","",MOD(K1315-1,J1315*4))</f>
        <v/>
      </c>
      <c r="Q1315" s="27" t="str">
        <f aca="false">IF(J1315="","",MOD(P1315,4))</f>
        <v/>
      </c>
      <c r="R1315" s="27" t="str">
        <f aca="false">IF(J1315="","",INT(P1315/4))</f>
        <v/>
      </c>
      <c r="S1315" s="27" t="str">
        <f aca="false">IF(J1315="","",IF(AND('Daily Count Sheet'!$H$3=Q1315,MOD('Daily Count Sheet'!$I$3,J1315)=R1315),1,""))</f>
        <v/>
      </c>
      <c r="T1315" s="27" t="str">
        <f aca="false">IF(S1315=1,COUNTIF($S$2:S1315,1),"")</f>
        <v/>
      </c>
    </row>
    <row r="1316" customFormat="false" ht="15" hidden="false" customHeight="false" outlineLevel="0" collapsed="false">
      <c r="H1316" s="26"/>
      <c r="I1316" s="27" t="str">
        <f aca="false">IF(A1316="","",IF(H1316&lt;&gt;"",UPPER(TRIM(H1316)),IFERROR(CHOOSE(VALUE(E1316)+1,"A","B","C","D"),IF(OR(LEFT(UPPER(TRIM(E1316)),1)="F",UPPER(TRIM(E1316))="A"),"A",IF(OR(LEFT(UPPER(TRIM(E1316)),1)="M",UPPER(TRIM(E1316))="B"),"B",IF(OR(LEFT(UPPER(TRIM(E1316)),2)="SL",UPPER(TRIM(E1316))="C"),"C",IF(OR(LEFT(UPPER(TRIM(E1316)),1)="D",UPPER(TRIM(E1316))="D"),"D","")))))))</f>
        <v/>
      </c>
      <c r="J1316" s="27" t="str">
        <f aca="false">IF(I1316="","",IF(AND(I1316="D",Settings!$B$6&lt;&gt;"Yes"),"",IFERROR(INDEX(Settings!$C$9:$C$12,MATCH(I1316,Settings!$A$9:$A$12,0)),"")))</f>
        <v/>
      </c>
      <c r="K1316" s="27" t="str">
        <f aca="false">IF(J1316="","",COUNTIF($I$2:I1316,I1316))</f>
        <v/>
      </c>
      <c r="L1316" s="27" t="str">
        <f aca="false">IF(J1316="","",CHOOSE(Q1316+1,"Tue","Wed","Thu","Fri"))</f>
        <v/>
      </c>
      <c r="M1316" s="27" t="str">
        <f aca="false">IF(J1316="","",IF(J1316=1,"Every week",R1316+1&amp;" of "&amp;J1316))</f>
        <v/>
      </c>
      <c r="N1316" s="28" t="str">
        <f aca="false">IF(J1316="","",Settings!$B$4+R1316*7+Q1316)</f>
        <v/>
      </c>
      <c r="O1316" s="28" t="str">
        <f aca="true">IF(J1316="","",N1316+MAX(0,ROUNDUP((TODAY()-N1316)/(J1316*7),0))*J1316*7)</f>
        <v/>
      </c>
      <c r="P1316" s="27" t="str">
        <f aca="false">IF(J1316="","",MOD(K1316-1,J1316*4))</f>
        <v/>
      </c>
      <c r="Q1316" s="27" t="str">
        <f aca="false">IF(J1316="","",MOD(P1316,4))</f>
        <v/>
      </c>
      <c r="R1316" s="27" t="str">
        <f aca="false">IF(J1316="","",INT(P1316/4))</f>
        <v/>
      </c>
      <c r="S1316" s="27" t="str">
        <f aca="false">IF(J1316="","",IF(AND('Daily Count Sheet'!$H$3=Q1316,MOD('Daily Count Sheet'!$I$3,J1316)=R1316),1,""))</f>
        <v/>
      </c>
      <c r="T1316" s="27" t="str">
        <f aca="false">IF(S1316=1,COUNTIF($S$2:S1316,1),"")</f>
        <v/>
      </c>
    </row>
    <row r="1317" customFormat="false" ht="15" hidden="false" customHeight="false" outlineLevel="0" collapsed="false">
      <c r="H1317" s="26"/>
      <c r="I1317" s="27" t="str">
        <f aca="false">IF(A1317="","",IF(H1317&lt;&gt;"",UPPER(TRIM(H1317)),IFERROR(CHOOSE(VALUE(E1317)+1,"A","B","C","D"),IF(OR(LEFT(UPPER(TRIM(E1317)),1)="F",UPPER(TRIM(E1317))="A"),"A",IF(OR(LEFT(UPPER(TRIM(E1317)),1)="M",UPPER(TRIM(E1317))="B"),"B",IF(OR(LEFT(UPPER(TRIM(E1317)),2)="SL",UPPER(TRIM(E1317))="C"),"C",IF(OR(LEFT(UPPER(TRIM(E1317)),1)="D",UPPER(TRIM(E1317))="D"),"D","")))))))</f>
        <v/>
      </c>
      <c r="J1317" s="27" t="str">
        <f aca="false">IF(I1317="","",IF(AND(I1317="D",Settings!$B$6&lt;&gt;"Yes"),"",IFERROR(INDEX(Settings!$C$9:$C$12,MATCH(I1317,Settings!$A$9:$A$12,0)),"")))</f>
        <v/>
      </c>
      <c r="K1317" s="27" t="str">
        <f aca="false">IF(J1317="","",COUNTIF($I$2:I1317,I1317))</f>
        <v/>
      </c>
      <c r="L1317" s="27" t="str">
        <f aca="false">IF(J1317="","",CHOOSE(Q1317+1,"Tue","Wed","Thu","Fri"))</f>
        <v/>
      </c>
      <c r="M1317" s="27" t="str">
        <f aca="false">IF(J1317="","",IF(J1317=1,"Every week",R1317+1&amp;" of "&amp;J1317))</f>
        <v/>
      </c>
      <c r="N1317" s="28" t="str">
        <f aca="false">IF(J1317="","",Settings!$B$4+R1317*7+Q1317)</f>
        <v/>
      </c>
      <c r="O1317" s="28" t="str">
        <f aca="true">IF(J1317="","",N1317+MAX(0,ROUNDUP((TODAY()-N1317)/(J1317*7),0))*J1317*7)</f>
        <v/>
      </c>
      <c r="P1317" s="27" t="str">
        <f aca="false">IF(J1317="","",MOD(K1317-1,J1317*4))</f>
        <v/>
      </c>
      <c r="Q1317" s="27" t="str">
        <f aca="false">IF(J1317="","",MOD(P1317,4))</f>
        <v/>
      </c>
      <c r="R1317" s="27" t="str">
        <f aca="false">IF(J1317="","",INT(P1317/4))</f>
        <v/>
      </c>
      <c r="S1317" s="27" t="str">
        <f aca="false">IF(J1317="","",IF(AND('Daily Count Sheet'!$H$3=Q1317,MOD('Daily Count Sheet'!$I$3,J1317)=R1317),1,""))</f>
        <v/>
      </c>
      <c r="T1317" s="27" t="str">
        <f aca="false">IF(S1317=1,COUNTIF($S$2:S1317,1),"")</f>
        <v/>
      </c>
    </row>
    <row r="1318" customFormat="false" ht="15" hidden="false" customHeight="false" outlineLevel="0" collapsed="false">
      <c r="H1318" s="26"/>
      <c r="I1318" s="27" t="str">
        <f aca="false">IF(A1318="","",IF(H1318&lt;&gt;"",UPPER(TRIM(H1318)),IFERROR(CHOOSE(VALUE(E1318)+1,"A","B","C","D"),IF(OR(LEFT(UPPER(TRIM(E1318)),1)="F",UPPER(TRIM(E1318))="A"),"A",IF(OR(LEFT(UPPER(TRIM(E1318)),1)="M",UPPER(TRIM(E1318))="B"),"B",IF(OR(LEFT(UPPER(TRIM(E1318)),2)="SL",UPPER(TRIM(E1318))="C"),"C",IF(OR(LEFT(UPPER(TRIM(E1318)),1)="D",UPPER(TRIM(E1318))="D"),"D","")))))))</f>
        <v/>
      </c>
      <c r="J1318" s="27" t="str">
        <f aca="false">IF(I1318="","",IF(AND(I1318="D",Settings!$B$6&lt;&gt;"Yes"),"",IFERROR(INDEX(Settings!$C$9:$C$12,MATCH(I1318,Settings!$A$9:$A$12,0)),"")))</f>
        <v/>
      </c>
      <c r="K1318" s="27" t="str">
        <f aca="false">IF(J1318="","",COUNTIF($I$2:I1318,I1318))</f>
        <v/>
      </c>
      <c r="L1318" s="27" t="str">
        <f aca="false">IF(J1318="","",CHOOSE(Q1318+1,"Tue","Wed","Thu","Fri"))</f>
        <v/>
      </c>
      <c r="M1318" s="27" t="str">
        <f aca="false">IF(J1318="","",IF(J1318=1,"Every week",R1318+1&amp;" of "&amp;J1318))</f>
        <v/>
      </c>
      <c r="N1318" s="28" t="str">
        <f aca="false">IF(J1318="","",Settings!$B$4+R1318*7+Q1318)</f>
        <v/>
      </c>
      <c r="O1318" s="28" t="str">
        <f aca="true">IF(J1318="","",N1318+MAX(0,ROUNDUP((TODAY()-N1318)/(J1318*7),0))*J1318*7)</f>
        <v/>
      </c>
      <c r="P1318" s="27" t="str">
        <f aca="false">IF(J1318="","",MOD(K1318-1,J1318*4))</f>
        <v/>
      </c>
      <c r="Q1318" s="27" t="str">
        <f aca="false">IF(J1318="","",MOD(P1318,4))</f>
        <v/>
      </c>
      <c r="R1318" s="27" t="str">
        <f aca="false">IF(J1318="","",INT(P1318/4))</f>
        <v/>
      </c>
      <c r="S1318" s="27" t="str">
        <f aca="false">IF(J1318="","",IF(AND('Daily Count Sheet'!$H$3=Q1318,MOD('Daily Count Sheet'!$I$3,J1318)=R1318),1,""))</f>
        <v/>
      </c>
      <c r="T1318" s="27" t="str">
        <f aca="false">IF(S1318=1,COUNTIF($S$2:S1318,1),"")</f>
        <v/>
      </c>
    </row>
    <row r="1319" customFormat="false" ht="15" hidden="false" customHeight="false" outlineLevel="0" collapsed="false">
      <c r="H1319" s="26"/>
      <c r="I1319" s="27" t="str">
        <f aca="false">IF(A1319="","",IF(H1319&lt;&gt;"",UPPER(TRIM(H1319)),IFERROR(CHOOSE(VALUE(E1319)+1,"A","B","C","D"),IF(OR(LEFT(UPPER(TRIM(E1319)),1)="F",UPPER(TRIM(E1319))="A"),"A",IF(OR(LEFT(UPPER(TRIM(E1319)),1)="M",UPPER(TRIM(E1319))="B"),"B",IF(OR(LEFT(UPPER(TRIM(E1319)),2)="SL",UPPER(TRIM(E1319))="C"),"C",IF(OR(LEFT(UPPER(TRIM(E1319)),1)="D",UPPER(TRIM(E1319))="D"),"D","")))))))</f>
        <v/>
      </c>
      <c r="J1319" s="27" t="str">
        <f aca="false">IF(I1319="","",IF(AND(I1319="D",Settings!$B$6&lt;&gt;"Yes"),"",IFERROR(INDEX(Settings!$C$9:$C$12,MATCH(I1319,Settings!$A$9:$A$12,0)),"")))</f>
        <v/>
      </c>
      <c r="K1319" s="27" t="str">
        <f aca="false">IF(J1319="","",COUNTIF($I$2:I1319,I1319))</f>
        <v/>
      </c>
      <c r="L1319" s="27" t="str">
        <f aca="false">IF(J1319="","",CHOOSE(Q1319+1,"Tue","Wed","Thu","Fri"))</f>
        <v/>
      </c>
      <c r="M1319" s="27" t="str">
        <f aca="false">IF(J1319="","",IF(J1319=1,"Every week",R1319+1&amp;" of "&amp;J1319))</f>
        <v/>
      </c>
      <c r="N1319" s="28" t="str">
        <f aca="false">IF(J1319="","",Settings!$B$4+R1319*7+Q1319)</f>
        <v/>
      </c>
      <c r="O1319" s="28" t="str">
        <f aca="true">IF(J1319="","",N1319+MAX(0,ROUNDUP((TODAY()-N1319)/(J1319*7),0))*J1319*7)</f>
        <v/>
      </c>
      <c r="P1319" s="27" t="str">
        <f aca="false">IF(J1319="","",MOD(K1319-1,J1319*4))</f>
        <v/>
      </c>
      <c r="Q1319" s="27" t="str">
        <f aca="false">IF(J1319="","",MOD(P1319,4))</f>
        <v/>
      </c>
      <c r="R1319" s="27" t="str">
        <f aca="false">IF(J1319="","",INT(P1319/4))</f>
        <v/>
      </c>
      <c r="S1319" s="27" t="str">
        <f aca="false">IF(J1319="","",IF(AND('Daily Count Sheet'!$H$3=Q1319,MOD('Daily Count Sheet'!$I$3,J1319)=R1319),1,""))</f>
        <v/>
      </c>
      <c r="T1319" s="27" t="str">
        <f aca="false">IF(S1319=1,COUNTIF($S$2:S1319,1),"")</f>
        <v/>
      </c>
    </row>
    <row r="1320" customFormat="false" ht="15" hidden="false" customHeight="false" outlineLevel="0" collapsed="false">
      <c r="H1320" s="26"/>
      <c r="I1320" s="27" t="str">
        <f aca="false">IF(A1320="","",IF(H1320&lt;&gt;"",UPPER(TRIM(H1320)),IFERROR(CHOOSE(VALUE(E1320)+1,"A","B","C","D"),IF(OR(LEFT(UPPER(TRIM(E1320)),1)="F",UPPER(TRIM(E1320))="A"),"A",IF(OR(LEFT(UPPER(TRIM(E1320)),1)="M",UPPER(TRIM(E1320))="B"),"B",IF(OR(LEFT(UPPER(TRIM(E1320)),2)="SL",UPPER(TRIM(E1320))="C"),"C",IF(OR(LEFT(UPPER(TRIM(E1320)),1)="D",UPPER(TRIM(E1320))="D"),"D","")))))))</f>
        <v/>
      </c>
      <c r="J1320" s="27" t="str">
        <f aca="false">IF(I1320="","",IF(AND(I1320="D",Settings!$B$6&lt;&gt;"Yes"),"",IFERROR(INDEX(Settings!$C$9:$C$12,MATCH(I1320,Settings!$A$9:$A$12,0)),"")))</f>
        <v/>
      </c>
      <c r="K1320" s="27" t="str">
        <f aca="false">IF(J1320="","",COUNTIF($I$2:I1320,I1320))</f>
        <v/>
      </c>
      <c r="L1320" s="27" t="str">
        <f aca="false">IF(J1320="","",CHOOSE(Q1320+1,"Tue","Wed","Thu","Fri"))</f>
        <v/>
      </c>
      <c r="M1320" s="27" t="str">
        <f aca="false">IF(J1320="","",IF(J1320=1,"Every week",R1320+1&amp;" of "&amp;J1320))</f>
        <v/>
      </c>
      <c r="N1320" s="28" t="str">
        <f aca="false">IF(J1320="","",Settings!$B$4+R1320*7+Q1320)</f>
        <v/>
      </c>
      <c r="O1320" s="28" t="str">
        <f aca="true">IF(J1320="","",N1320+MAX(0,ROUNDUP((TODAY()-N1320)/(J1320*7),0))*J1320*7)</f>
        <v/>
      </c>
      <c r="P1320" s="27" t="str">
        <f aca="false">IF(J1320="","",MOD(K1320-1,J1320*4))</f>
        <v/>
      </c>
      <c r="Q1320" s="27" t="str">
        <f aca="false">IF(J1320="","",MOD(P1320,4))</f>
        <v/>
      </c>
      <c r="R1320" s="27" t="str">
        <f aca="false">IF(J1320="","",INT(P1320/4))</f>
        <v/>
      </c>
      <c r="S1320" s="27" t="str">
        <f aca="false">IF(J1320="","",IF(AND('Daily Count Sheet'!$H$3=Q1320,MOD('Daily Count Sheet'!$I$3,J1320)=R1320),1,""))</f>
        <v/>
      </c>
      <c r="T1320" s="27" t="str">
        <f aca="false">IF(S1320=1,COUNTIF($S$2:S1320,1),"")</f>
        <v/>
      </c>
    </row>
    <row r="1321" customFormat="false" ht="15" hidden="false" customHeight="false" outlineLevel="0" collapsed="false">
      <c r="H1321" s="26"/>
      <c r="I1321" s="27" t="str">
        <f aca="false">IF(A1321="","",IF(H1321&lt;&gt;"",UPPER(TRIM(H1321)),IFERROR(CHOOSE(VALUE(E1321)+1,"A","B","C","D"),IF(OR(LEFT(UPPER(TRIM(E1321)),1)="F",UPPER(TRIM(E1321))="A"),"A",IF(OR(LEFT(UPPER(TRIM(E1321)),1)="M",UPPER(TRIM(E1321))="B"),"B",IF(OR(LEFT(UPPER(TRIM(E1321)),2)="SL",UPPER(TRIM(E1321))="C"),"C",IF(OR(LEFT(UPPER(TRIM(E1321)),1)="D",UPPER(TRIM(E1321))="D"),"D","")))))))</f>
        <v/>
      </c>
      <c r="J1321" s="27" t="str">
        <f aca="false">IF(I1321="","",IF(AND(I1321="D",Settings!$B$6&lt;&gt;"Yes"),"",IFERROR(INDEX(Settings!$C$9:$C$12,MATCH(I1321,Settings!$A$9:$A$12,0)),"")))</f>
        <v/>
      </c>
      <c r="K1321" s="27" t="str">
        <f aca="false">IF(J1321="","",COUNTIF($I$2:I1321,I1321))</f>
        <v/>
      </c>
      <c r="L1321" s="27" t="str">
        <f aca="false">IF(J1321="","",CHOOSE(Q1321+1,"Tue","Wed","Thu","Fri"))</f>
        <v/>
      </c>
      <c r="M1321" s="27" t="str">
        <f aca="false">IF(J1321="","",IF(J1321=1,"Every week",R1321+1&amp;" of "&amp;J1321))</f>
        <v/>
      </c>
      <c r="N1321" s="28" t="str">
        <f aca="false">IF(J1321="","",Settings!$B$4+R1321*7+Q1321)</f>
        <v/>
      </c>
      <c r="O1321" s="28" t="str">
        <f aca="true">IF(J1321="","",N1321+MAX(0,ROUNDUP((TODAY()-N1321)/(J1321*7),0))*J1321*7)</f>
        <v/>
      </c>
      <c r="P1321" s="27" t="str">
        <f aca="false">IF(J1321="","",MOD(K1321-1,J1321*4))</f>
        <v/>
      </c>
      <c r="Q1321" s="27" t="str">
        <f aca="false">IF(J1321="","",MOD(P1321,4))</f>
        <v/>
      </c>
      <c r="R1321" s="27" t="str">
        <f aca="false">IF(J1321="","",INT(P1321/4))</f>
        <v/>
      </c>
      <c r="S1321" s="27" t="str">
        <f aca="false">IF(J1321="","",IF(AND('Daily Count Sheet'!$H$3=Q1321,MOD('Daily Count Sheet'!$I$3,J1321)=R1321),1,""))</f>
        <v/>
      </c>
      <c r="T1321" s="27" t="str">
        <f aca="false">IF(S1321=1,COUNTIF($S$2:S1321,1),"")</f>
        <v/>
      </c>
    </row>
    <row r="1322" customFormat="false" ht="15" hidden="false" customHeight="false" outlineLevel="0" collapsed="false">
      <c r="H1322" s="26"/>
      <c r="I1322" s="27" t="str">
        <f aca="false">IF(A1322="","",IF(H1322&lt;&gt;"",UPPER(TRIM(H1322)),IFERROR(CHOOSE(VALUE(E1322)+1,"A","B","C","D"),IF(OR(LEFT(UPPER(TRIM(E1322)),1)="F",UPPER(TRIM(E1322))="A"),"A",IF(OR(LEFT(UPPER(TRIM(E1322)),1)="M",UPPER(TRIM(E1322))="B"),"B",IF(OR(LEFT(UPPER(TRIM(E1322)),2)="SL",UPPER(TRIM(E1322))="C"),"C",IF(OR(LEFT(UPPER(TRIM(E1322)),1)="D",UPPER(TRIM(E1322))="D"),"D","")))))))</f>
        <v/>
      </c>
      <c r="J1322" s="27" t="str">
        <f aca="false">IF(I1322="","",IF(AND(I1322="D",Settings!$B$6&lt;&gt;"Yes"),"",IFERROR(INDEX(Settings!$C$9:$C$12,MATCH(I1322,Settings!$A$9:$A$12,0)),"")))</f>
        <v/>
      </c>
      <c r="K1322" s="27" t="str">
        <f aca="false">IF(J1322="","",COUNTIF($I$2:I1322,I1322))</f>
        <v/>
      </c>
      <c r="L1322" s="27" t="str">
        <f aca="false">IF(J1322="","",CHOOSE(Q1322+1,"Tue","Wed","Thu","Fri"))</f>
        <v/>
      </c>
      <c r="M1322" s="27" t="str">
        <f aca="false">IF(J1322="","",IF(J1322=1,"Every week",R1322+1&amp;" of "&amp;J1322))</f>
        <v/>
      </c>
      <c r="N1322" s="28" t="str">
        <f aca="false">IF(J1322="","",Settings!$B$4+R1322*7+Q1322)</f>
        <v/>
      </c>
      <c r="O1322" s="28" t="str">
        <f aca="true">IF(J1322="","",N1322+MAX(0,ROUNDUP((TODAY()-N1322)/(J1322*7),0))*J1322*7)</f>
        <v/>
      </c>
      <c r="P1322" s="27" t="str">
        <f aca="false">IF(J1322="","",MOD(K1322-1,J1322*4))</f>
        <v/>
      </c>
      <c r="Q1322" s="27" t="str">
        <f aca="false">IF(J1322="","",MOD(P1322,4))</f>
        <v/>
      </c>
      <c r="R1322" s="27" t="str">
        <f aca="false">IF(J1322="","",INT(P1322/4))</f>
        <v/>
      </c>
      <c r="S1322" s="27" t="str">
        <f aca="false">IF(J1322="","",IF(AND('Daily Count Sheet'!$H$3=Q1322,MOD('Daily Count Sheet'!$I$3,J1322)=R1322),1,""))</f>
        <v/>
      </c>
      <c r="T1322" s="27" t="str">
        <f aca="false">IF(S1322=1,COUNTIF($S$2:S1322,1),"")</f>
        <v/>
      </c>
    </row>
    <row r="1323" customFormat="false" ht="15" hidden="false" customHeight="false" outlineLevel="0" collapsed="false">
      <c r="H1323" s="26"/>
      <c r="I1323" s="27" t="str">
        <f aca="false">IF(A1323="","",IF(H1323&lt;&gt;"",UPPER(TRIM(H1323)),IFERROR(CHOOSE(VALUE(E1323)+1,"A","B","C","D"),IF(OR(LEFT(UPPER(TRIM(E1323)),1)="F",UPPER(TRIM(E1323))="A"),"A",IF(OR(LEFT(UPPER(TRIM(E1323)),1)="M",UPPER(TRIM(E1323))="B"),"B",IF(OR(LEFT(UPPER(TRIM(E1323)),2)="SL",UPPER(TRIM(E1323))="C"),"C",IF(OR(LEFT(UPPER(TRIM(E1323)),1)="D",UPPER(TRIM(E1323))="D"),"D","")))))))</f>
        <v/>
      </c>
      <c r="J1323" s="27" t="str">
        <f aca="false">IF(I1323="","",IF(AND(I1323="D",Settings!$B$6&lt;&gt;"Yes"),"",IFERROR(INDEX(Settings!$C$9:$C$12,MATCH(I1323,Settings!$A$9:$A$12,0)),"")))</f>
        <v/>
      </c>
      <c r="K1323" s="27" t="str">
        <f aca="false">IF(J1323="","",COUNTIF($I$2:I1323,I1323))</f>
        <v/>
      </c>
      <c r="L1323" s="27" t="str">
        <f aca="false">IF(J1323="","",CHOOSE(Q1323+1,"Tue","Wed","Thu","Fri"))</f>
        <v/>
      </c>
      <c r="M1323" s="27" t="str">
        <f aca="false">IF(J1323="","",IF(J1323=1,"Every week",R1323+1&amp;" of "&amp;J1323))</f>
        <v/>
      </c>
      <c r="N1323" s="28" t="str">
        <f aca="false">IF(J1323="","",Settings!$B$4+R1323*7+Q1323)</f>
        <v/>
      </c>
      <c r="O1323" s="28" t="str">
        <f aca="true">IF(J1323="","",N1323+MAX(0,ROUNDUP((TODAY()-N1323)/(J1323*7),0))*J1323*7)</f>
        <v/>
      </c>
      <c r="P1323" s="27" t="str">
        <f aca="false">IF(J1323="","",MOD(K1323-1,J1323*4))</f>
        <v/>
      </c>
      <c r="Q1323" s="27" t="str">
        <f aca="false">IF(J1323="","",MOD(P1323,4))</f>
        <v/>
      </c>
      <c r="R1323" s="27" t="str">
        <f aca="false">IF(J1323="","",INT(P1323/4))</f>
        <v/>
      </c>
      <c r="S1323" s="27" t="str">
        <f aca="false">IF(J1323="","",IF(AND('Daily Count Sheet'!$H$3=Q1323,MOD('Daily Count Sheet'!$I$3,J1323)=R1323),1,""))</f>
        <v/>
      </c>
      <c r="T1323" s="27" t="str">
        <f aca="false">IF(S1323=1,COUNTIF($S$2:S1323,1),"")</f>
        <v/>
      </c>
    </row>
    <row r="1324" customFormat="false" ht="15" hidden="false" customHeight="false" outlineLevel="0" collapsed="false">
      <c r="H1324" s="26"/>
      <c r="I1324" s="27" t="str">
        <f aca="false">IF(A1324="","",IF(H1324&lt;&gt;"",UPPER(TRIM(H1324)),IFERROR(CHOOSE(VALUE(E1324)+1,"A","B","C","D"),IF(OR(LEFT(UPPER(TRIM(E1324)),1)="F",UPPER(TRIM(E1324))="A"),"A",IF(OR(LEFT(UPPER(TRIM(E1324)),1)="M",UPPER(TRIM(E1324))="B"),"B",IF(OR(LEFT(UPPER(TRIM(E1324)),2)="SL",UPPER(TRIM(E1324))="C"),"C",IF(OR(LEFT(UPPER(TRIM(E1324)),1)="D",UPPER(TRIM(E1324))="D"),"D","")))))))</f>
        <v/>
      </c>
      <c r="J1324" s="27" t="str">
        <f aca="false">IF(I1324="","",IF(AND(I1324="D",Settings!$B$6&lt;&gt;"Yes"),"",IFERROR(INDEX(Settings!$C$9:$C$12,MATCH(I1324,Settings!$A$9:$A$12,0)),"")))</f>
        <v/>
      </c>
      <c r="K1324" s="27" t="str">
        <f aca="false">IF(J1324="","",COUNTIF($I$2:I1324,I1324))</f>
        <v/>
      </c>
      <c r="L1324" s="27" t="str">
        <f aca="false">IF(J1324="","",CHOOSE(Q1324+1,"Tue","Wed","Thu","Fri"))</f>
        <v/>
      </c>
      <c r="M1324" s="27" t="str">
        <f aca="false">IF(J1324="","",IF(J1324=1,"Every week",R1324+1&amp;" of "&amp;J1324))</f>
        <v/>
      </c>
      <c r="N1324" s="28" t="str">
        <f aca="false">IF(J1324="","",Settings!$B$4+R1324*7+Q1324)</f>
        <v/>
      </c>
      <c r="O1324" s="28" t="str">
        <f aca="true">IF(J1324="","",N1324+MAX(0,ROUNDUP((TODAY()-N1324)/(J1324*7),0))*J1324*7)</f>
        <v/>
      </c>
      <c r="P1324" s="27" t="str">
        <f aca="false">IF(J1324="","",MOD(K1324-1,J1324*4))</f>
        <v/>
      </c>
      <c r="Q1324" s="27" t="str">
        <f aca="false">IF(J1324="","",MOD(P1324,4))</f>
        <v/>
      </c>
      <c r="R1324" s="27" t="str">
        <f aca="false">IF(J1324="","",INT(P1324/4))</f>
        <v/>
      </c>
      <c r="S1324" s="27" t="str">
        <f aca="false">IF(J1324="","",IF(AND('Daily Count Sheet'!$H$3=Q1324,MOD('Daily Count Sheet'!$I$3,J1324)=R1324),1,""))</f>
        <v/>
      </c>
      <c r="T1324" s="27" t="str">
        <f aca="false">IF(S1324=1,COUNTIF($S$2:S1324,1),"")</f>
        <v/>
      </c>
    </row>
    <row r="1325" customFormat="false" ht="15" hidden="false" customHeight="false" outlineLevel="0" collapsed="false">
      <c r="H1325" s="26"/>
      <c r="I1325" s="27" t="str">
        <f aca="false">IF(A1325="","",IF(H1325&lt;&gt;"",UPPER(TRIM(H1325)),IFERROR(CHOOSE(VALUE(E1325)+1,"A","B","C","D"),IF(OR(LEFT(UPPER(TRIM(E1325)),1)="F",UPPER(TRIM(E1325))="A"),"A",IF(OR(LEFT(UPPER(TRIM(E1325)),1)="M",UPPER(TRIM(E1325))="B"),"B",IF(OR(LEFT(UPPER(TRIM(E1325)),2)="SL",UPPER(TRIM(E1325))="C"),"C",IF(OR(LEFT(UPPER(TRIM(E1325)),1)="D",UPPER(TRIM(E1325))="D"),"D","")))))))</f>
        <v/>
      </c>
      <c r="J1325" s="27" t="str">
        <f aca="false">IF(I1325="","",IF(AND(I1325="D",Settings!$B$6&lt;&gt;"Yes"),"",IFERROR(INDEX(Settings!$C$9:$C$12,MATCH(I1325,Settings!$A$9:$A$12,0)),"")))</f>
        <v/>
      </c>
      <c r="K1325" s="27" t="str">
        <f aca="false">IF(J1325="","",COUNTIF($I$2:I1325,I1325))</f>
        <v/>
      </c>
      <c r="L1325" s="27" t="str">
        <f aca="false">IF(J1325="","",CHOOSE(Q1325+1,"Tue","Wed","Thu","Fri"))</f>
        <v/>
      </c>
      <c r="M1325" s="27" t="str">
        <f aca="false">IF(J1325="","",IF(J1325=1,"Every week",R1325+1&amp;" of "&amp;J1325))</f>
        <v/>
      </c>
      <c r="N1325" s="28" t="str">
        <f aca="false">IF(J1325="","",Settings!$B$4+R1325*7+Q1325)</f>
        <v/>
      </c>
      <c r="O1325" s="28" t="str">
        <f aca="true">IF(J1325="","",N1325+MAX(0,ROUNDUP((TODAY()-N1325)/(J1325*7),0))*J1325*7)</f>
        <v/>
      </c>
      <c r="P1325" s="27" t="str">
        <f aca="false">IF(J1325="","",MOD(K1325-1,J1325*4))</f>
        <v/>
      </c>
      <c r="Q1325" s="27" t="str">
        <f aca="false">IF(J1325="","",MOD(P1325,4))</f>
        <v/>
      </c>
      <c r="R1325" s="27" t="str">
        <f aca="false">IF(J1325="","",INT(P1325/4))</f>
        <v/>
      </c>
      <c r="S1325" s="27" t="str">
        <f aca="false">IF(J1325="","",IF(AND('Daily Count Sheet'!$H$3=Q1325,MOD('Daily Count Sheet'!$I$3,J1325)=R1325),1,""))</f>
        <v/>
      </c>
      <c r="T1325" s="27" t="str">
        <f aca="false">IF(S1325=1,COUNTIF($S$2:S1325,1),"")</f>
        <v/>
      </c>
    </row>
    <row r="1326" customFormat="false" ht="15" hidden="false" customHeight="false" outlineLevel="0" collapsed="false">
      <c r="H1326" s="26"/>
      <c r="I1326" s="27" t="str">
        <f aca="false">IF(A1326="","",IF(H1326&lt;&gt;"",UPPER(TRIM(H1326)),IFERROR(CHOOSE(VALUE(E1326)+1,"A","B","C","D"),IF(OR(LEFT(UPPER(TRIM(E1326)),1)="F",UPPER(TRIM(E1326))="A"),"A",IF(OR(LEFT(UPPER(TRIM(E1326)),1)="M",UPPER(TRIM(E1326))="B"),"B",IF(OR(LEFT(UPPER(TRIM(E1326)),2)="SL",UPPER(TRIM(E1326))="C"),"C",IF(OR(LEFT(UPPER(TRIM(E1326)),1)="D",UPPER(TRIM(E1326))="D"),"D","")))))))</f>
        <v/>
      </c>
      <c r="J1326" s="27" t="str">
        <f aca="false">IF(I1326="","",IF(AND(I1326="D",Settings!$B$6&lt;&gt;"Yes"),"",IFERROR(INDEX(Settings!$C$9:$C$12,MATCH(I1326,Settings!$A$9:$A$12,0)),"")))</f>
        <v/>
      </c>
      <c r="K1326" s="27" t="str">
        <f aca="false">IF(J1326="","",COUNTIF($I$2:I1326,I1326))</f>
        <v/>
      </c>
      <c r="L1326" s="27" t="str">
        <f aca="false">IF(J1326="","",CHOOSE(Q1326+1,"Tue","Wed","Thu","Fri"))</f>
        <v/>
      </c>
      <c r="M1326" s="27" t="str">
        <f aca="false">IF(J1326="","",IF(J1326=1,"Every week",R1326+1&amp;" of "&amp;J1326))</f>
        <v/>
      </c>
      <c r="N1326" s="28" t="str">
        <f aca="false">IF(J1326="","",Settings!$B$4+R1326*7+Q1326)</f>
        <v/>
      </c>
      <c r="O1326" s="28" t="str">
        <f aca="true">IF(J1326="","",N1326+MAX(0,ROUNDUP((TODAY()-N1326)/(J1326*7),0))*J1326*7)</f>
        <v/>
      </c>
      <c r="P1326" s="27" t="str">
        <f aca="false">IF(J1326="","",MOD(K1326-1,J1326*4))</f>
        <v/>
      </c>
      <c r="Q1326" s="27" t="str">
        <f aca="false">IF(J1326="","",MOD(P1326,4))</f>
        <v/>
      </c>
      <c r="R1326" s="27" t="str">
        <f aca="false">IF(J1326="","",INT(P1326/4))</f>
        <v/>
      </c>
      <c r="S1326" s="27" t="str">
        <f aca="false">IF(J1326="","",IF(AND('Daily Count Sheet'!$H$3=Q1326,MOD('Daily Count Sheet'!$I$3,J1326)=R1326),1,""))</f>
        <v/>
      </c>
      <c r="T1326" s="27" t="str">
        <f aca="false">IF(S1326=1,COUNTIF($S$2:S1326,1),"")</f>
        <v/>
      </c>
    </row>
    <row r="1327" customFormat="false" ht="15" hidden="false" customHeight="false" outlineLevel="0" collapsed="false">
      <c r="H1327" s="26"/>
      <c r="I1327" s="27" t="str">
        <f aca="false">IF(A1327="","",IF(H1327&lt;&gt;"",UPPER(TRIM(H1327)),IFERROR(CHOOSE(VALUE(E1327)+1,"A","B","C","D"),IF(OR(LEFT(UPPER(TRIM(E1327)),1)="F",UPPER(TRIM(E1327))="A"),"A",IF(OR(LEFT(UPPER(TRIM(E1327)),1)="M",UPPER(TRIM(E1327))="B"),"B",IF(OR(LEFT(UPPER(TRIM(E1327)),2)="SL",UPPER(TRIM(E1327))="C"),"C",IF(OR(LEFT(UPPER(TRIM(E1327)),1)="D",UPPER(TRIM(E1327))="D"),"D","")))))))</f>
        <v/>
      </c>
      <c r="J1327" s="27" t="str">
        <f aca="false">IF(I1327="","",IF(AND(I1327="D",Settings!$B$6&lt;&gt;"Yes"),"",IFERROR(INDEX(Settings!$C$9:$C$12,MATCH(I1327,Settings!$A$9:$A$12,0)),"")))</f>
        <v/>
      </c>
      <c r="K1327" s="27" t="str">
        <f aca="false">IF(J1327="","",COUNTIF($I$2:I1327,I1327))</f>
        <v/>
      </c>
      <c r="L1327" s="27" t="str">
        <f aca="false">IF(J1327="","",CHOOSE(Q1327+1,"Tue","Wed","Thu","Fri"))</f>
        <v/>
      </c>
      <c r="M1327" s="27" t="str">
        <f aca="false">IF(J1327="","",IF(J1327=1,"Every week",R1327+1&amp;" of "&amp;J1327))</f>
        <v/>
      </c>
      <c r="N1327" s="28" t="str">
        <f aca="false">IF(J1327="","",Settings!$B$4+R1327*7+Q1327)</f>
        <v/>
      </c>
      <c r="O1327" s="28" t="str">
        <f aca="true">IF(J1327="","",N1327+MAX(0,ROUNDUP((TODAY()-N1327)/(J1327*7),0))*J1327*7)</f>
        <v/>
      </c>
      <c r="P1327" s="27" t="str">
        <f aca="false">IF(J1327="","",MOD(K1327-1,J1327*4))</f>
        <v/>
      </c>
      <c r="Q1327" s="27" t="str">
        <f aca="false">IF(J1327="","",MOD(P1327,4))</f>
        <v/>
      </c>
      <c r="R1327" s="27" t="str">
        <f aca="false">IF(J1327="","",INT(P1327/4))</f>
        <v/>
      </c>
      <c r="S1327" s="27" t="str">
        <f aca="false">IF(J1327="","",IF(AND('Daily Count Sheet'!$H$3=Q1327,MOD('Daily Count Sheet'!$I$3,J1327)=R1327),1,""))</f>
        <v/>
      </c>
      <c r="T1327" s="27" t="str">
        <f aca="false">IF(S1327=1,COUNTIF($S$2:S1327,1),"")</f>
        <v/>
      </c>
    </row>
    <row r="1328" customFormat="false" ht="15" hidden="false" customHeight="false" outlineLevel="0" collapsed="false">
      <c r="H1328" s="26"/>
      <c r="I1328" s="27" t="str">
        <f aca="false">IF(A1328="","",IF(H1328&lt;&gt;"",UPPER(TRIM(H1328)),IFERROR(CHOOSE(VALUE(E1328)+1,"A","B","C","D"),IF(OR(LEFT(UPPER(TRIM(E1328)),1)="F",UPPER(TRIM(E1328))="A"),"A",IF(OR(LEFT(UPPER(TRIM(E1328)),1)="M",UPPER(TRIM(E1328))="B"),"B",IF(OR(LEFT(UPPER(TRIM(E1328)),2)="SL",UPPER(TRIM(E1328))="C"),"C",IF(OR(LEFT(UPPER(TRIM(E1328)),1)="D",UPPER(TRIM(E1328))="D"),"D","")))))))</f>
        <v/>
      </c>
      <c r="J1328" s="27" t="str">
        <f aca="false">IF(I1328="","",IF(AND(I1328="D",Settings!$B$6&lt;&gt;"Yes"),"",IFERROR(INDEX(Settings!$C$9:$C$12,MATCH(I1328,Settings!$A$9:$A$12,0)),"")))</f>
        <v/>
      </c>
      <c r="K1328" s="27" t="str">
        <f aca="false">IF(J1328="","",COUNTIF($I$2:I1328,I1328))</f>
        <v/>
      </c>
      <c r="L1328" s="27" t="str">
        <f aca="false">IF(J1328="","",CHOOSE(Q1328+1,"Tue","Wed","Thu","Fri"))</f>
        <v/>
      </c>
      <c r="M1328" s="27" t="str">
        <f aca="false">IF(J1328="","",IF(J1328=1,"Every week",R1328+1&amp;" of "&amp;J1328))</f>
        <v/>
      </c>
      <c r="N1328" s="28" t="str">
        <f aca="false">IF(J1328="","",Settings!$B$4+R1328*7+Q1328)</f>
        <v/>
      </c>
      <c r="O1328" s="28" t="str">
        <f aca="true">IF(J1328="","",N1328+MAX(0,ROUNDUP((TODAY()-N1328)/(J1328*7),0))*J1328*7)</f>
        <v/>
      </c>
      <c r="P1328" s="27" t="str">
        <f aca="false">IF(J1328="","",MOD(K1328-1,J1328*4))</f>
        <v/>
      </c>
      <c r="Q1328" s="27" t="str">
        <f aca="false">IF(J1328="","",MOD(P1328,4))</f>
        <v/>
      </c>
      <c r="R1328" s="27" t="str">
        <f aca="false">IF(J1328="","",INT(P1328/4))</f>
        <v/>
      </c>
      <c r="S1328" s="27" t="str">
        <f aca="false">IF(J1328="","",IF(AND('Daily Count Sheet'!$H$3=Q1328,MOD('Daily Count Sheet'!$I$3,J1328)=R1328),1,""))</f>
        <v/>
      </c>
      <c r="T1328" s="27" t="str">
        <f aca="false">IF(S1328=1,COUNTIF($S$2:S1328,1),"")</f>
        <v/>
      </c>
    </row>
    <row r="1329" customFormat="false" ht="15" hidden="false" customHeight="false" outlineLevel="0" collapsed="false">
      <c r="H1329" s="26"/>
      <c r="I1329" s="27" t="str">
        <f aca="false">IF(A1329="","",IF(H1329&lt;&gt;"",UPPER(TRIM(H1329)),IFERROR(CHOOSE(VALUE(E1329)+1,"A","B","C","D"),IF(OR(LEFT(UPPER(TRIM(E1329)),1)="F",UPPER(TRIM(E1329))="A"),"A",IF(OR(LEFT(UPPER(TRIM(E1329)),1)="M",UPPER(TRIM(E1329))="B"),"B",IF(OR(LEFT(UPPER(TRIM(E1329)),2)="SL",UPPER(TRIM(E1329))="C"),"C",IF(OR(LEFT(UPPER(TRIM(E1329)),1)="D",UPPER(TRIM(E1329))="D"),"D","")))))))</f>
        <v/>
      </c>
      <c r="J1329" s="27" t="str">
        <f aca="false">IF(I1329="","",IF(AND(I1329="D",Settings!$B$6&lt;&gt;"Yes"),"",IFERROR(INDEX(Settings!$C$9:$C$12,MATCH(I1329,Settings!$A$9:$A$12,0)),"")))</f>
        <v/>
      </c>
      <c r="K1329" s="27" t="str">
        <f aca="false">IF(J1329="","",COUNTIF($I$2:I1329,I1329))</f>
        <v/>
      </c>
      <c r="L1329" s="27" t="str">
        <f aca="false">IF(J1329="","",CHOOSE(Q1329+1,"Tue","Wed","Thu","Fri"))</f>
        <v/>
      </c>
      <c r="M1329" s="27" t="str">
        <f aca="false">IF(J1329="","",IF(J1329=1,"Every week",R1329+1&amp;" of "&amp;J1329))</f>
        <v/>
      </c>
      <c r="N1329" s="28" t="str">
        <f aca="false">IF(J1329="","",Settings!$B$4+R1329*7+Q1329)</f>
        <v/>
      </c>
      <c r="O1329" s="28" t="str">
        <f aca="true">IF(J1329="","",N1329+MAX(0,ROUNDUP((TODAY()-N1329)/(J1329*7),0))*J1329*7)</f>
        <v/>
      </c>
      <c r="P1329" s="27" t="str">
        <f aca="false">IF(J1329="","",MOD(K1329-1,J1329*4))</f>
        <v/>
      </c>
      <c r="Q1329" s="27" t="str">
        <f aca="false">IF(J1329="","",MOD(P1329,4))</f>
        <v/>
      </c>
      <c r="R1329" s="27" t="str">
        <f aca="false">IF(J1329="","",INT(P1329/4))</f>
        <v/>
      </c>
      <c r="S1329" s="27" t="str">
        <f aca="false">IF(J1329="","",IF(AND('Daily Count Sheet'!$H$3=Q1329,MOD('Daily Count Sheet'!$I$3,J1329)=R1329),1,""))</f>
        <v/>
      </c>
      <c r="T1329" s="27" t="str">
        <f aca="false">IF(S1329=1,COUNTIF($S$2:S1329,1),"")</f>
        <v/>
      </c>
    </row>
    <row r="1330" customFormat="false" ht="15" hidden="false" customHeight="false" outlineLevel="0" collapsed="false">
      <c r="H1330" s="26"/>
      <c r="I1330" s="27" t="str">
        <f aca="false">IF(A1330="","",IF(H1330&lt;&gt;"",UPPER(TRIM(H1330)),IFERROR(CHOOSE(VALUE(E1330)+1,"A","B","C","D"),IF(OR(LEFT(UPPER(TRIM(E1330)),1)="F",UPPER(TRIM(E1330))="A"),"A",IF(OR(LEFT(UPPER(TRIM(E1330)),1)="M",UPPER(TRIM(E1330))="B"),"B",IF(OR(LEFT(UPPER(TRIM(E1330)),2)="SL",UPPER(TRIM(E1330))="C"),"C",IF(OR(LEFT(UPPER(TRIM(E1330)),1)="D",UPPER(TRIM(E1330))="D"),"D","")))))))</f>
        <v/>
      </c>
      <c r="J1330" s="27" t="str">
        <f aca="false">IF(I1330="","",IF(AND(I1330="D",Settings!$B$6&lt;&gt;"Yes"),"",IFERROR(INDEX(Settings!$C$9:$C$12,MATCH(I1330,Settings!$A$9:$A$12,0)),"")))</f>
        <v/>
      </c>
      <c r="K1330" s="27" t="str">
        <f aca="false">IF(J1330="","",COUNTIF($I$2:I1330,I1330))</f>
        <v/>
      </c>
      <c r="L1330" s="27" t="str">
        <f aca="false">IF(J1330="","",CHOOSE(Q1330+1,"Tue","Wed","Thu","Fri"))</f>
        <v/>
      </c>
      <c r="M1330" s="27" t="str">
        <f aca="false">IF(J1330="","",IF(J1330=1,"Every week",R1330+1&amp;" of "&amp;J1330))</f>
        <v/>
      </c>
      <c r="N1330" s="28" t="str">
        <f aca="false">IF(J1330="","",Settings!$B$4+R1330*7+Q1330)</f>
        <v/>
      </c>
      <c r="O1330" s="28" t="str">
        <f aca="true">IF(J1330="","",N1330+MAX(0,ROUNDUP((TODAY()-N1330)/(J1330*7),0))*J1330*7)</f>
        <v/>
      </c>
      <c r="P1330" s="27" t="str">
        <f aca="false">IF(J1330="","",MOD(K1330-1,J1330*4))</f>
        <v/>
      </c>
      <c r="Q1330" s="27" t="str">
        <f aca="false">IF(J1330="","",MOD(P1330,4))</f>
        <v/>
      </c>
      <c r="R1330" s="27" t="str">
        <f aca="false">IF(J1330="","",INT(P1330/4))</f>
        <v/>
      </c>
      <c r="S1330" s="27" t="str">
        <f aca="false">IF(J1330="","",IF(AND('Daily Count Sheet'!$H$3=Q1330,MOD('Daily Count Sheet'!$I$3,J1330)=R1330),1,""))</f>
        <v/>
      </c>
      <c r="T1330" s="27" t="str">
        <f aca="false">IF(S1330=1,COUNTIF($S$2:S1330,1),"")</f>
        <v/>
      </c>
    </row>
    <row r="1331" customFormat="false" ht="15" hidden="false" customHeight="false" outlineLevel="0" collapsed="false">
      <c r="H1331" s="26"/>
      <c r="I1331" s="27" t="str">
        <f aca="false">IF(A1331="","",IF(H1331&lt;&gt;"",UPPER(TRIM(H1331)),IFERROR(CHOOSE(VALUE(E1331)+1,"A","B","C","D"),IF(OR(LEFT(UPPER(TRIM(E1331)),1)="F",UPPER(TRIM(E1331))="A"),"A",IF(OR(LEFT(UPPER(TRIM(E1331)),1)="M",UPPER(TRIM(E1331))="B"),"B",IF(OR(LEFT(UPPER(TRIM(E1331)),2)="SL",UPPER(TRIM(E1331))="C"),"C",IF(OR(LEFT(UPPER(TRIM(E1331)),1)="D",UPPER(TRIM(E1331))="D"),"D","")))))))</f>
        <v/>
      </c>
      <c r="J1331" s="27" t="str">
        <f aca="false">IF(I1331="","",IF(AND(I1331="D",Settings!$B$6&lt;&gt;"Yes"),"",IFERROR(INDEX(Settings!$C$9:$C$12,MATCH(I1331,Settings!$A$9:$A$12,0)),"")))</f>
        <v/>
      </c>
      <c r="K1331" s="27" t="str">
        <f aca="false">IF(J1331="","",COUNTIF($I$2:I1331,I1331))</f>
        <v/>
      </c>
      <c r="L1331" s="27" t="str">
        <f aca="false">IF(J1331="","",CHOOSE(Q1331+1,"Tue","Wed","Thu","Fri"))</f>
        <v/>
      </c>
      <c r="M1331" s="27" t="str">
        <f aca="false">IF(J1331="","",IF(J1331=1,"Every week",R1331+1&amp;" of "&amp;J1331))</f>
        <v/>
      </c>
      <c r="N1331" s="28" t="str">
        <f aca="false">IF(J1331="","",Settings!$B$4+R1331*7+Q1331)</f>
        <v/>
      </c>
      <c r="O1331" s="28" t="str">
        <f aca="true">IF(J1331="","",N1331+MAX(0,ROUNDUP((TODAY()-N1331)/(J1331*7),0))*J1331*7)</f>
        <v/>
      </c>
      <c r="P1331" s="27" t="str">
        <f aca="false">IF(J1331="","",MOD(K1331-1,J1331*4))</f>
        <v/>
      </c>
      <c r="Q1331" s="27" t="str">
        <f aca="false">IF(J1331="","",MOD(P1331,4))</f>
        <v/>
      </c>
      <c r="R1331" s="27" t="str">
        <f aca="false">IF(J1331="","",INT(P1331/4))</f>
        <v/>
      </c>
      <c r="S1331" s="27" t="str">
        <f aca="false">IF(J1331="","",IF(AND('Daily Count Sheet'!$H$3=Q1331,MOD('Daily Count Sheet'!$I$3,J1331)=R1331),1,""))</f>
        <v/>
      </c>
      <c r="T1331" s="27" t="str">
        <f aca="false">IF(S1331=1,COUNTIF($S$2:S1331,1),"")</f>
        <v/>
      </c>
    </row>
    <row r="1332" customFormat="false" ht="15" hidden="false" customHeight="false" outlineLevel="0" collapsed="false">
      <c r="H1332" s="26"/>
      <c r="I1332" s="27" t="str">
        <f aca="false">IF(A1332="","",IF(H1332&lt;&gt;"",UPPER(TRIM(H1332)),IFERROR(CHOOSE(VALUE(E1332)+1,"A","B","C","D"),IF(OR(LEFT(UPPER(TRIM(E1332)),1)="F",UPPER(TRIM(E1332))="A"),"A",IF(OR(LEFT(UPPER(TRIM(E1332)),1)="M",UPPER(TRIM(E1332))="B"),"B",IF(OR(LEFT(UPPER(TRIM(E1332)),2)="SL",UPPER(TRIM(E1332))="C"),"C",IF(OR(LEFT(UPPER(TRIM(E1332)),1)="D",UPPER(TRIM(E1332))="D"),"D","")))))))</f>
        <v/>
      </c>
      <c r="J1332" s="27" t="str">
        <f aca="false">IF(I1332="","",IF(AND(I1332="D",Settings!$B$6&lt;&gt;"Yes"),"",IFERROR(INDEX(Settings!$C$9:$C$12,MATCH(I1332,Settings!$A$9:$A$12,0)),"")))</f>
        <v/>
      </c>
      <c r="K1332" s="27" t="str">
        <f aca="false">IF(J1332="","",COUNTIF($I$2:I1332,I1332))</f>
        <v/>
      </c>
      <c r="L1332" s="27" t="str">
        <f aca="false">IF(J1332="","",CHOOSE(Q1332+1,"Tue","Wed","Thu","Fri"))</f>
        <v/>
      </c>
      <c r="M1332" s="27" t="str">
        <f aca="false">IF(J1332="","",IF(J1332=1,"Every week",R1332+1&amp;" of "&amp;J1332))</f>
        <v/>
      </c>
      <c r="N1332" s="28" t="str">
        <f aca="false">IF(J1332="","",Settings!$B$4+R1332*7+Q1332)</f>
        <v/>
      </c>
      <c r="O1332" s="28" t="str">
        <f aca="true">IF(J1332="","",N1332+MAX(0,ROUNDUP((TODAY()-N1332)/(J1332*7),0))*J1332*7)</f>
        <v/>
      </c>
      <c r="P1332" s="27" t="str">
        <f aca="false">IF(J1332="","",MOD(K1332-1,J1332*4))</f>
        <v/>
      </c>
      <c r="Q1332" s="27" t="str">
        <f aca="false">IF(J1332="","",MOD(P1332,4))</f>
        <v/>
      </c>
      <c r="R1332" s="27" t="str">
        <f aca="false">IF(J1332="","",INT(P1332/4))</f>
        <v/>
      </c>
      <c r="S1332" s="27" t="str">
        <f aca="false">IF(J1332="","",IF(AND('Daily Count Sheet'!$H$3=Q1332,MOD('Daily Count Sheet'!$I$3,J1332)=R1332),1,""))</f>
        <v/>
      </c>
      <c r="T1332" s="27" t="str">
        <f aca="false">IF(S1332=1,COUNTIF($S$2:S1332,1),"")</f>
        <v/>
      </c>
    </row>
    <row r="1333" customFormat="false" ht="15" hidden="false" customHeight="false" outlineLevel="0" collapsed="false">
      <c r="H1333" s="26"/>
      <c r="I1333" s="27" t="str">
        <f aca="false">IF(A1333="","",IF(H1333&lt;&gt;"",UPPER(TRIM(H1333)),IFERROR(CHOOSE(VALUE(E1333)+1,"A","B","C","D"),IF(OR(LEFT(UPPER(TRIM(E1333)),1)="F",UPPER(TRIM(E1333))="A"),"A",IF(OR(LEFT(UPPER(TRIM(E1333)),1)="M",UPPER(TRIM(E1333))="B"),"B",IF(OR(LEFT(UPPER(TRIM(E1333)),2)="SL",UPPER(TRIM(E1333))="C"),"C",IF(OR(LEFT(UPPER(TRIM(E1333)),1)="D",UPPER(TRIM(E1333))="D"),"D","")))))))</f>
        <v/>
      </c>
      <c r="J1333" s="27" t="str">
        <f aca="false">IF(I1333="","",IF(AND(I1333="D",Settings!$B$6&lt;&gt;"Yes"),"",IFERROR(INDEX(Settings!$C$9:$C$12,MATCH(I1333,Settings!$A$9:$A$12,0)),"")))</f>
        <v/>
      </c>
      <c r="K1333" s="27" t="str">
        <f aca="false">IF(J1333="","",COUNTIF($I$2:I1333,I1333))</f>
        <v/>
      </c>
      <c r="L1333" s="27" t="str">
        <f aca="false">IF(J1333="","",CHOOSE(Q1333+1,"Tue","Wed","Thu","Fri"))</f>
        <v/>
      </c>
      <c r="M1333" s="27" t="str">
        <f aca="false">IF(J1333="","",IF(J1333=1,"Every week",R1333+1&amp;" of "&amp;J1333))</f>
        <v/>
      </c>
      <c r="N1333" s="28" t="str">
        <f aca="false">IF(J1333="","",Settings!$B$4+R1333*7+Q1333)</f>
        <v/>
      </c>
      <c r="O1333" s="28" t="str">
        <f aca="true">IF(J1333="","",N1333+MAX(0,ROUNDUP((TODAY()-N1333)/(J1333*7),0))*J1333*7)</f>
        <v/>
      </c>
      <c r="P1333" s="27" t="str">
        <f aca="false">IF(J1333="","",MOD(K1333-1,J1333*4))</f>
        <v/>
      </c>
      <c r="Q1333" s="27" t="str">
        <f aca="false">IF(J1333="","",MOD(P1333,4))</f>
        <v/>
      </c>
      <c r="R1333" s="27" t="str">
        <f aca="false">IF(J1333="","",INT(P1333/4))</f>
        <v/>
      </c>
      <c r="S1333" s="27" t="str">
        <f aca="false">IF(J1333="","",IF(AND('Daily Count Sheet'!$H$3=Q1333,MOD('Daily Count Sheet'!$I$3,J1333)=R1333),1,""))</f>
        <v/>
      </c>
      <c r="T1333" s="27" t="str">
        <f aca="false">IF(S1333=1,COUNTIF($S$2:S1333,1),"")</f>
        <v/>
      </c>
    </row>
    <row r="1334" customFormat="false" ht="15" hidden="false" customHeight="false" outlineLevel="0" collapsed="false">
      <c r="H1334" s="26"/>
      <c r="I1334" s="27" t="str">
        <f aca="false">IF(A1334="","",IF(H1334&lt;&gt;"",UPPER(TRIM(H1334)),IFERROR(CHOOSE(VALUE(E1334)+1,"A","B","C","D"),IF(OR(LEFT(UPPER(TRIM(E1334)),1)="F",UPPER(TRIM(E1334))="A"),"A",IF(OR(LEFT(UPPER(TRIM(E1334)),1)="M",UPPER(TRIM(E1334))="B"),"B",IF(OR(LEFT(UPPER(TRIM(E1334)),2)="SL",UPPER(TRIM(E1334))="C"),"C",IF(OR(LEFT(UPPER(TRIM(E1334)),1)="D",UPPER(TRIM(E1334))="D"),"D","")))))))</f>
        <v/>
      </c>
      <c r="J1334" s="27" t="str">
        <f aca="false">IF(I1334="","",IF(AND(I1334="D",Settings!$B$6&lt;&gt;"Yes"),"",IFERROR(INDEX(Settings!$C$9:$C$12,MATCH(I1334,Settings!$A$9:$A$12,0)),"")))</f>
        <v/>
      </c>
      <c r="K1334" s="27" t="str">
        <f aca="false">IF(J1334="","",COUNTIF($I$2:I1334,I1334))</f>
        <v/>
      </c>
      <c r="L1334" s="27" t="str">
        <f aca="false">IF(J1334="","",CHOOSE(Q1334+1,"Tue","Wed","Thu","Fri"))</f>
        <v/>
      </c>
      <c r="M1334" s="27" t="str">
        <f aca="false">IF(J1334="","",IF(J1334=1,"Every week",R1334+1&amp;" of "&amp;J1334))</f>
        <v/>
      </c>
      <c r="N1334" s="28" t="str">
        <f aca="false">IF(J1334="","",Settings!$B$4+R1334*7+Q1334)</f>
        <v/>
      </c>
      <c r="O1334" s="28" t="str">
        <f aca="true">IF(J1334="","",N1334+MAX(0,ROUNDUP((TODAY()-N1334)/(J1334*7),0))*J1334*7)</f>
        <v/>
      </c>
      <c r="P1334" s="27" t="str">
        <f aca="false">IF(J1334="","",MOD(K1334-1,J1334*4))</f>
        <v/>
      </c>
      <c r="Q1334" s="27" t="str">
        <f aca="false">IF(J1334="","",MOD(P1334,4))</f>
        <v/>
      </c>
      <c r="R1334" s="27" t="str">
        <f aca="false">IF(J1334="","",INT(P1334/4))</f>
        <v/>
      </c>
      <c r="S1334" s="27" t="str">
        <f aca="false">IF(J1334="","",IF(AND('Daily Count Sheet'!$H$3=Q1334,MOD('Daily Count Sheet'!$I$3,J1334)=R1334),1,""))</f>
        <v/>
      </c>
      <c r="T1334" s="27" t="str">
        <f aca="false">IF(S1334=1,COUNTIF($S$2:S1334,1),"")</f>
        <v/>
      </c>
    </row>
    <row r="1335" customFormat="false" ht="15" hidden="false" customHeight="false" outlineLevel="0" collapsed="false">
      <c r="H1335" s="26"/>
      <c r="I1335" s="27" t="str">
        <f aca="false">IF(A1335="","",IF(H1335&lt;&gt;"",UPPER(TRIM(H1335)),IFERROR(CHOOSE(VALUE(E1335)+1,"A","B","C","D"),IF(OR(LEFT(UPPER(TRIM(E1335)),1)="F",UPPER(TRIM(E1335))="A"),"A",IF(OR(LEFT(UPPER(TRIM(E1335)),1)="M",UPPER(TRIM(E1335))="B"),"B",IF(OR(LEFT(UPPER(TRIM(E1335)),2)="SL",UPPER(TRIM(E1335))="C"),"C",IF(OR(LEFT(UPPER(TRIM(E1335)),1)="D",UPPER(TRIM(E1335))="D"),"D","")))))))</f>
        <v/>
      </c>
      <c r="J1335" s="27" t="str">
        <f aca="false">IF(I1335="","",IF(AND(I1335="D",Settings!$B$6&lt;&gt;"Yes"),"",IFERROR(INDEX(Settings!$C$9:$C$12,MATCH(I1335,Settings!$A$9:$A$12,0)),"")))</f>
        <v/>
      </c>
      <c r="K1335" s="27" t="str">
        <f aca="false">IF(J1335="","",COUNTIF($I$2:I1335,I1335))</f>
        <v/>
      </c>
      <c r="L1335" s="27" t="str">
        <f aca="false">IF(J1335="","",CHOOSE(Q1335+1,"Tue","Wed","Thu","Fri"))</f>
        <v/>
      </c>
      <c r="M1335" s="27" t="str">
        <f aca="false">IF(J1335="","",IF(J1335=1,"Every week",R1335+1&amp;" of "&amp;J1335))</f>
        <v/>
      </c>
      <c r="N1335" s="28" t="str">
        <f aca="false">IF(J1335="","",Settings!$B$4+R1335*7+Q1335)</f>
        <v/>
      </c>
      <c r="O1335" s="28" t="str">
        <f aca="true">IF(J1335="","",N1335+MAX(0,ROUNDUP((TODAY()-N1335)/(J1335*7),0))*J1335*7)</f>
        <v/>
      </c>
      <c r="P1335" s="27" t="str">
        <f aca="false">IF(J1335="","",MOD(K1335-1,J1335*4))</f>
        <v/>
      </c>
      <c r="Q1335" s="27" t="str">
        <f aca="false">IF(J1335="","",MOD(P1335,4))</f>
        <v/>
      </c>
      <c r="R1335" s="27" t="str">
        <f aca="false">IF(J1335="","",INT(P1335/4))</f>
        <v/>
      </c>
      <c r="S1335" s="27" t="str">
        <f aca="false">IF(J1335="","",IF(AND('Daily Count Sheet'!$H$3=Q1335,MOD('Daily Count Sheet'!$I$3,J1335)=R1335),1,""))</f>
        <v/>
      </c>
      <c r="T1335" s="27" t="str">
        <f aca="false">IF(S1335=1,COUNTIF($S$2:S1335,1),"")</f>
        <v/>
      </c>
    </row>
    <row r="1336" customFormat="false" ht="15" hidden="false" customHeight="false" outlineLevel="0" collapsed="false">
      <c r="H1336" s="26"/>
      <c r="I1336" s="27" t="str">
        <f aca="false">IF(A1336="","",IF(H1336&lt;&gt;"",UPPER(TRIM(H1336)),IFERROR(CHOOSE(VALUE(E1336)+1,"A","B","C","D"),IF(OR(LEFT(UPPER(TRIM(E1336)),1)="F",UPPER(TRIM(E1336))="A"),"A",IF(OR(LEFT(UPPER(TRIM(E1336)),1)="M",UPPER(TRIM(E1336))="B"),"B",IF(OR(LEFT(UPPER(TRIM(E1336)),2)="SL",UPPER(TRIM(E1336))="C"),"C",IF(OR(LEFT(UPPER(TRIM(E1336)),1)="D",UPPER(TRIM(E1336))="D"),"D","")))))))</f>
        <v/>
      </c>
      <c r="J1336" s="27" t="str">
        <f aca="false">IF(I1336="","",IF(AND(I1336="D",Settings!$B$6&lt;&gt;"Yes"),"",IFERROR(INDEX(Settings!$C$9:$C$12,MATCH(I1336,Settings!$A$9:$A$12,0)),"")))</f>
        <v/>
      </c>
      <c r="K1336" s="27" t="str">
        <f aca="false">IF(J1336="","",COUNTIF($I$2:I1336,I1336))</f>
        <v/>
      </c>
      <c r="L1336" s="27" t="str">
        <f aca="false">IF(J1336="","",CHOOSE(Q1336+1,"Tue","Wed","Thu","Fri"))</f>
        <v/>
      </c>
      <c r="M1336" s="27" t="str">
        <f aca="false">IF(J1336="","",IF(J1336=1,"Every week",R1336+1&amp;" of "&amp;J1336))</f>
        <v/>
      </c>
      <c r="N1336" s="28" t="str">
        <f aca="false">IF(J1336="","",Settings!$B$4+R1336*7+Q1336)</f>
        <v/>
      </c>
      <c r="O1336" s="28" t="str">
        <f aca="true">IF(J1336="","",N1336+MAX(0,ROUNDUP((TODAY()-N1336)/(J1336*7),0))*J1336*7)</f>
        <v/>
      </c>
      <c r="P1336" s="27" t="str">
        <f aca="false">IF(J1336="","",MOD(K1336-1,J1336*4))</f>
        <v/>
      </c>
      <c r="Q1336" s="27" t="str">
        <f aca="false">IF(J1336="","",MOD(P1336,4))</f>
        <v/>
      </c>
      <c r="R1336" s="27" t="str">
        <f aca="false">IF(J1336="","",INT(P1336/4))</f>
        <v/>
      </c>
      <c r="S1336" s="27" t="str">
        <f aca="false">IF(J1336="","",IF(AND('Daily Count Sheet'!$H$3=Q1336,MOD('Daily Count Sheet'!$I$3,J1336)=R1336),1,""))</f>
        <v/>
      </c>
      <c r="T1336" s="27" t="str">
        <f aca="false">IF(S1336=1,COUNTIF($S$2:S1336,1),"")</f>
        <v/>
      </c>
    </row>
    <row r="1337" customFormat="false" ht="15" hidden="false" customHeight="false" outlineLevel="0" collapsed="false">
      <c r="H1337" s="26"/>
      <c r="I1337" s="27" t="str">
        <f aca="false">IF(A1337="","",IF(H1337&lt;&gt;"",UPPER(TRIM(H1337)),IFERROR(CHOOSE(VALUE(E1337)+1,"A","B","C","D"),IF(OR(LEFT(UPPER(TRIM(E1337)),1)="F",UPPER(TRIM(E1337))="A"),"A",IF(OR(LEFT(UPPER(TRIM(E1337)),1)="M",UPPER(TRIM(E1337))="B"),"B",IF(OR(LEFT(UPPER(TRIM(E1337)),2)="SL",UPPER(TRIM(E1337))="C"),"C",IF(OR(LEFT(UPPER(TRIM(E1337)),1)="D",UPPER(TRIM(E1337))="D"),"D","")))))))</f>
        <v/>
      </c>
      <c r="J1337" s="27" t="str">
        <f aca="false">IF(I1337="","",IF(AND(I1337="D",Settings!$B$6&lt;&gt;"Yes"),"",IFERROR(INDEX(Settings!$C$9:$C$12,MATCH(I1337,Settings!$A$9:$A$12,0)),"")))</f>
        <v/>
      </c>
      <c r="K1337" s="27" t="str">
        <f aca="false">IF(J1337="","",COUNTIF($I$2:I1337,I1337))</f>
        <v/>
      </c>
      <c r="L1337" s="27" t="str">
        <f aca="false">IF(J1337="","",CHOOSE(Q1337+1,"Tue","Wed","Thu","Fri"))</f>
        <v/>
      </c>
      <c r="M1337" s="27" t="str">
        <f aca="false">IF(J1337="","",IF(J1337=1,"Every week",R1337+1&amp;" of "&amp;J1337))</f>
        <v/>
      </c>
      <c r="N1337" s="28" t="str">
        <f aca="false">IF(J1337="","",Settings!$B$4+R1337*7+Q1337)</f>
        <v/>
      </c>
      <c r="O1337" s="28" t="str">
        <f aca="true">IF(J1337="","",N1337+MAX(0,ROUNDUP((TODAY()-N1337)/(J1337*7),0))*J1337*7)</f>
        <v/>
      </c>
      <c r="P1337" s="27" t="str">
        <f aca="false">IF(J1337="","",MOD(K1337-1,J1337*4))</f>
        <v/>
      </c>
      <c r="Q1337" s="27" t="str">
        <f aca="false">IF(J1337="","",MOD(P1337,4))</f>
        <v/>
      </c>
      <c r="R1337" s="27" t="str">
        <f aca="false">IF(J1337="","",INT(P1337/4))</f>
        <v/>
      </c>
      <c r="S1337" s="27" t="str">
        <f aca="false">IF(J1337="","",IF(AND('Daily Count Sheet'!$H$3=Q1337,MOD('Daily Count Sheet'!$I$3,J1337)=R1337),1,""))</f>
        <v/>
      </c>
      <c r="T1337" s="27" t="str">
        <f aca="false">IF(S1337=1,COUNTIF($S$2:S1337,1),"")</f>
        <v/>
      </c>
    </row>
    <row r="1338" customFormat="false" ht="15" hidden="false" customHeight="false" outlineLevel="0" collapsed="false">
      <c r="H1338" s="26"/>
      <c r="I1338" s="27" t="str">
        <f aca="false">IF(A1338="","",IF(H1338&lt;&gt;"",UPPER(TRIM(H1338)),IFERROR(CHOOSE(VALUE(E1338)+1,"A","B","C","D"),IF(OR(LEFT(UPPER(TRIM(E1338)),1)="F",UPPER(TRIM(E1338))="A"),"A",IF(OR(LEFT(UPPER(TRIM(E1338)),1)="M",UPPER(TRIM(E1338))="B"),"B",IF(OR(LEFT(UPPER(TRIM(E1338)),2)="SL",UPPER(TRIM(E1338))="C"),"C",IF(OR(LEFT(UPPER(TRIM(E1338)),1)="D",UPPER(TRIM(E1338))="D"),"D","")))))))</f>
        <v/>
      </c>
      <c r="J1338" s="27" t="str">
        <f aca="false">IF(I1338="","",IF(AND(I1338="D",Settings!$B$6&lt;&gt;"Yes"),"",IFERROR(INDEX(Settings!$C$9:$C$12,MATCH(I1338,Settings!$A$9:$A$12,0)),"")))</f>
        <v/>
      </c>
      <c r="K1338" s="27" t="str">
        <f aca="false">IF(J1338="","",COUNTIF($I$2:I1338,I1338))</f>
        <v/>
      </c>
      <c r="L1338" s="27" t="str">
        <f aca="false">IF(J1338="","",CHOOSE(Q1338+1,"Tue","Wed","Thu","Fri"))</f>
        <v/>
      </c>
      <c r="M1338" s="27" t="str">
        <f aca="false">IF(J1338="","",IF(J1338=1,"Every week",R1338+1&amp;" of "&amp;J1338))</f>
        <v/>
      </c>
      <c r="N1338" s="28" t="str">
        <f aca="false">IF(J1338="","",Settings!$B$4+R1338*7+Q1338)</f>
        <v/>
      </c>
      <c r="O1338" s="28" t="str">
        <f aca="true">IF(J1338="","",N1338+MAX(0,ROUNDUP((TODAY()-N1338)/(J1338*7),0))*J1338*7)</f>
        <v/>
      </c>
      <c r="P1338" s="27" t="str">
        <f aca="false">IF(J1338="","",MOD(K1338-1,J1338*4))</f>
        <v/>
      </c>
      <c r="Q1338" s="27" t="str">
        <f aca="false">IF(J1338="","",MOD(P1338,4))</f>
        <v/>
      </c>
      <c r="R1338" s="27" t="str">
        <f aca="false">IF(J1338="","",INT(P1338/4))</f>
        <v/>
      </c>
      <c r="S1338" s="27" t="str">
        <f aca="false">IF(J1338="","",IF(AND('Daily Count Sheet'!$H$3=Q1338,MOD('Daily Count Sheet'!$I$3,J1338)=R1338),1,""))</f>
        <v/>
      </c>
      <c r="T1338" s="27" t="str">
        <f aca="false">IF(S1338=1,COUNTIF($S$2:S1338,1),"")</f>
        <v/>
      </c>
    </row>
    <row r="1339" customFormat="false" ht="15" hidden="false" customHeight="false" outlineLevel="0" collapsed="false">
      <c r="H1339" s="26"/>
      <c r="I1339" s="27" t="str">
        <f aca="false">IF(A1339="","",IF(H1339&lt;&gt;"",UPPER(TRIM(H1339)),IFERROR(CHOOSE(VALUE(E1339)+1,"A","B","C","D"),IF(OR(LEFT(UPPER(TRIM(E1339)),1)="F",UPPER(TRIM(E1339))="A"),"A",IF(OR(LEFT(UPPER(TRIM(E1339)),1)="M",UPPER(TRIM(E1339))="B"),"B",IF(OR(LEFT(UPPER(TRIM(E1339)),2)="SL",UPPER(TRIM(E1339))="C"),"C",IF(OR(LEFT(UPPER(TRIM(E1339)),1)="D",UPPER(TRIM(E1339))="D"),"D","")))))))</f>
        <v/>
      </c>
      <c r="J1339" s="27" t="str">
        <f aca="false">IF(I1339="","",IF(AND(I1339="D",Settings!$B$6&lt;&gt;"Yes"),"",IFERROR(INDEX(Settings!$C$9:$C$12,MATCH(I1339,Settings!$A$9:$A$12,0)),"")))</f>
        <v/>
      </c>
      <c r="K1339" s="27" t="str">
        <f aca="false">IF(J1339="","",COUNTIF($I$2:I1339,I1339))</f>
        <v/>
      </c>
      <c r="L1339" s="27" t="str">
        <f aca="false">IF(J1339="","",CHOOSE(Q1339+1,"Tue","Wed","Thu","Fri"))</f>
        <v/>
      </c>
      <c r="M1339" s="27" t="str">
        <f aca="false">IF(J1339="","",IF(J1339=1,"Every week",R1339+1&amp;" of "&amp;J1339))</f>
        <v/>
      </c>
      <c r="N1339" s="28" t="str">
        <f aca="false">IF(J1339="","",Settings!$B$4+R1339*7+Q1339)</f>
        <v/>
      </c>
      <c r="O1339" s="28" t="str">
        <f aca="true">IF(J1339="","",N1339+MAX(0,ROUNDUP((TODAY()-N1339)/(J1339*7),0))*J1339*7)</f>
        <v/>
      </c>
      <c r="P1339" s="27" t="str">
        <f aca="false">IF(J1339="","",MOD(K1339-1,J1339*4))</f>
        <v/>
      </c>
      <c r="Q1339" s="27" t="str">
        <f aca="false">IF(J1339="","",MOD(P1339,4))</f>
        <v/>
      </c>
      <c r="R1339" s="27" t="str">
        <f aca="false">IF(J1339="","",INT(P1339/4))</f>
        <v/>
      </c>
      <c r="S1339" s="27" t="str">
        <f aca="false">IF(J1339="","",IF(AND('Daily Count Sheet'!$H$3=Q1339,MOD('Daily Count Sheet'!$I$3,J1339)=R1339),1,""))</f>
        <v/>
      </c>
      <c r="T1339" s="27" t="str">
        <f aca="false">IF(S1339=1,COUNTIF($S$2:S1339,1),"")</f>
        <v/>
      </c>
    </row>
    <row r="1340" customFormat="false" ht="15" hidden="false" customHeight="false" outlineLevel="0" collapsed="false">
      <c r="H1340" s="26"/>
      <c r="I1340" s="27" t="str">
        <f aca="false">IF(A1340="","",IF(H1340&lt;&gt;"",UPPER(TRIM(H1340)),IFERROR(CHOOSE(VALUE(E1340)+1,"A","B","C","D"),IF(OR(LEFT(UPPER(TRIM(E1340)),1)="F",UPPER(TRIM(E1340))="A"),"A",IF(OR(LEFT(UPPER(TRIM(E1340)),1)="M",UPPER(TRIM(E1340))="B"),"B",IF(OR(LEFT(UPPER(TRIM(E1340)),2)="SL",UPPER(TRIM(E1340))="C"),"C",IF(OR(LEFT(UPPER(TRIM(E1340)),1)="D",UPPER(TRIM(E1340))="D"),"D","")))))))</f>
        <v/>
      </c>
      <c r="J1340" s="27" t="str">
        <f aca="false">IF(I1340="","",IF(AND(I1340="D",Settings!$B$6&lt;&gt;"Yes"),"",IFERROR(INDEX(Settings!$C$9:$C$12,MATCH(I1340,Settings!$A$9:$A$12,0)),"")))</f>
        <v/>
      </c>
      <c r="K1340" s="27" t="str">
        <f aca="false">IF(J1340="","",COUNTIF($I$2:I1340,I1340))</f>
        <v/>
      </c>
      <c r="L1340" s="27" t="str">
        <f aca="false">IF(J1340="","",CHOOSE(Q1340+1,"Tue","Wed","Thu","Fri"))</f>
        <v/>
      </c>
      <c r="M1340" s="27" t="str">
        <f aca="false">IF(J1340="","",IF(J1340=1,"Every week",R1340+1&amp;" of "&amp;J1340))</f>
        <v/>
      </c>
      <c r="N1340" s="28" t="str">
        <f aca="false">IF(J1340="","",Settings!$B$4+R1340*7+Q1340)</f>
        <v/>
      </c>
      <c r="O1340" s="28" t="str">
        <f aca="true">IF(J1340="","",N1340+MAX(0,ROUNDUP((TODAY()-N1340)/(J1340*7),0))*J1340*7)</f>
        <v/>
      </c>
      <c r="P1340" s="27" t="str">
        <f aca="false">IF(J1340="","",MOD(K1340-1,J1340*4))</f>
        <v/>
      </c>
      <c r="Q1340" s="27" t="str">
        <f aca="false">IF(J1340="","",MOD(P1340,4))</f>
        <v/>
      </c>
      <c r="R1340" s="27" t="str">
        <f aca="false">IF(J1340="","",INT(P1340/4))</f>
        <v/>
      </c>
      <c r="S1340" s="27" t="str">
        <f aca="false">IF(J1340="","",IF(AND('Daily Count Sheet'!$H$3=Q1340,MOD('Daily Count Sheet'!$I$3,J1340)=R1340),1,""))</f>
        <v/>
      </c>
      <c r="T1340" s="27" t="str">
        <f aca="false">IF(S1340=1,COUNTIF($S$2:S1340,1),"")</f>
        <v/>
      </c>
    </row>
    <row r="1341" customFormat="false" ht="15" hidden="false" customHeight="false" outlineLevel="0" collapsed="false">
      <c r="H1341" s="26"/>
      <c r="I1341" s="27" t="str">
        <f aca="false">IF(A1341="","",IF(H1341&lt;&gt;"",UPPER(TRIM(H1341)),IFERROR(CHOOSE(VALUE(E1341)+1,"A","B","C","D"),IF(OR(LEFT(UPPER(TRIM(E1341)),1)="F",UPPER(TRIM(E1341))="A"),"A",IF(OR(LEFT(UPPER(TRIM(E1341)),1)="M",UPPER(TRIM(E1341))="B"),"B",IF(OR(LEFT(UPPER(TRIM(E1341)),2)="SL",UPPER(TRIM(E1341))="C"),"C",IF(OR(LEFT(UPPER(TRIM(E1341)),1)="D",UPPER(TRIM(E1341))="D"),"D","")))))))</f>
        <v/>
      </c>
      <c r="J1341" s="27" t="str">
        <f aca="false">IF(I1341="","",IF(AND(I1341="D",Settings!$B$6&lt;&gt;"Yes"),"",IFERROR(INDEX(Settings!$C$9:$C$12,MATCH(I1341,Settings!$A$9:$A$12,0)),"")))</f>
        <v/>
      </c>
      <c r="K1341" s="27" t="str">
        <f aca="false">IF(J1341="","",COUNTIF($I$2:I1341,I1341))</f>
        <v/>
      </c>
      <c r="L1341" s="27" t="str">
        <f aca="false">IF(J1341="","",CHOOSE(Q1341+1,"Tue","Wed","Thu","Fri"))</f>
        <v/>
      </c>
      <c r="M1341" s="27" t="str">
        <f aca="false">IF(J1341="","",IF(J1341=1,"Every week",R1341+1&amp;" of "&amp;J1341))</f>
        <v/>
      </c>
      <c r="N1341" s="28" t="str">
        <f aca="false">IF(J1341="","",Settings!$B$4+R1341*7+Q1341)</f>
        <v/>
      </c>
      <c r="O1341" s="28" t="str">
        <f aca="true">IF(J1341="","",N1341+MAX(0,ROUNDUP((TODAY()-N1341)/(J1341*7),0))*J1341*7)</f>
        <v/>
      </c>
      <c r="P1341" s="27" t="str">
        <f aca="false">IF(J1341="","",MOD(K1341-1,J1341*4))</f>
        <v/>
      </c>
      <c r="Q1341" s="27" t="str">
        <f aca="false">IF(J1341="","",MOD(P1341,4))</f>
        <v/>
      </c>
      <c r="R1341" s="27" t="str">
        <f aca="false">IF(J1341="","",INT(P1341/4))</f>
        <v/>
      </c>
      <c r="S1341" s="27" t="str">
        <f aca="false">IF(J1341="","",IF(AND('Daily Count Sheet'!$H$3=Q1341,MOD('Daily Count Sheet'!$I$3,J1341)=R1341),1,""))</f>
        <v/>
      </c>
      <c r="T1341" s="27" t="str">
        <f aca="false">IF(S1341=1,COUNTIF($S$2:S1341,1),"")</f>
        <v/>
      </c>
    </row>
    <row r="1342" customFormat="false" ht="15" hidden="false" customHeight="false" outlineLevel="0" collapsed="false">
      <c r="H1342" s="26"/>
      <c r="I1342" s="27" t="str">
        <f aca="false">IF(A1342="","",IF(H1342&lt;&gt;"",UPPER(TRIM(H1342)),IFERROR(CHOOSE(VALUE(E1342)+1,"A","B","C","D"),IF(OR(LEFT(UPPER(TRIM(E1342)),1)="F",UPPER(TRIM(E1342))="A"),"A",IF(OR(LEFT(UPPER(TRIM(E1342)),1)="M",UPPER(TRIM(E1342))="B"),"B",IF(OR(LEFT(UPPER(TRIM(E1342)),2)="SL",UPPER(TRIM(E1342))="C"),"C",IF(OR(LEFT(UPPER(TRIM(E1342)),1)="D",UPPER(TRIM(E1342))="D"),"D","")))))))</f>
        <v/>
      </c>
      <c r="J1342" s="27" t="str">
        <f aca="false">IF(I1342="","",IF(AND(I1342="D",Settings!$B$6&lt;&gt;"Yes"),"",IFERROR(INDEX(Settings!$C$9:$C$12,MATCH(I1342,Settings!$A$9:$A$12,0)),"")))</f>
        <v/>
      </c>
      <c r="K1342" s="27" t="str">
        <f aca="false">IF(J1342="","",COUNTIF($I$2:I1342,I1342))</f>
        <v/>
      </c>
      <c r="L1342" s="27" t="str">
        <f aca="false">IF(J1342="","",CHOOSE(Q1342+1,"Tue","Wed","Thu","Fri"))</f>
        <v/>
      </c>
      <c r="M1342" s="27" t="str">
        <f aca="false">IF(J1342="","",IF(J1342=1,"Every week",R1342+1&amp;" of "&amp;J1342))</f>
        <v/>
      </c>
      <c r="N1342" s="28" t="str">
        <f aca="false">IF(J1342="","",Settings!$B$4+R1342*7+Q1342)</f>
        <v/>
      </c>
      <c r="O1342" s="28" t="str">
        <f aca="true">IF(J1342="","",N1342+MAX(0,ROUNDUP((TODAY()-N1342)/(J1342*7),0))*J1342*7)</f>
        <v/>
      </c>
      <c r="P1342" s="27" t="str">
        <f aca="false">IF(J1342="","",MOD(K1342-1,J1342*4))</f>
        <v/>
      </c>
      <c r="Q1342" s="27" t="str">
        <f aca="false">IF(J1342="","",MOD(P1342,4))</f>
        <v/>
      </c>
      <c r="R1342" s="27" t="str">
        <f aca="false">IF(J1342="","",INT(P1342/4))</f>
        <v/>
      </c>
      <c r="S1342" s="27" t="str">
        <f aca="false">IF(J1342="","",IF(AND('Daily Count Sheet'!$H$3=Q1342,MOD('Daily Count Sheet'!$I$3,J1342)=R1342),1,""))</f>
        <v/>
      </c>
      <c r="T1342" s="27" t="str">
        <f aca="false">IF(S1342=1,COUNTIF($S$2:S1342,1),"")</f>
        <v/>
      </c>
    </row>
    <row r="1343" customFormat="false" ht="15" hidden="false" customHeight="false" outlineLevel="0" collapsed="false">
      <c r="H1343" s="26"/>
      <c r="I1343" s="27" t="str">
        <f aca="false">IF(A1343="","",IF(H1343&lt;&gt;"",UPPER(TRIM(H1343)),IFERROR(CHOOSE(VALUE(E1343)+1,"A","B","C","D"),IF(OR(LEFT(UPPER(TRIM(E1343)),1)="F",UPPER(TRIM(E1343))="A"),"A",IF(OR(LEFT(UPPER(TRIM(E1343)),1)="M",UPPER(TRIM(E1343))="B"),"B",IF(OR(LEFT(UPPER(TRIM(E1343)),2)="SL",UPPER(TRIM(E1343))="C"),"C",IF(OR(LEFT(UPPER(TRIM(E1343)),1)="D",UPPER(TRIM(E1343))="D"),"D","")))))))</f>
        <v/>
      </c>
      <c r="J1343" s="27" t="str">
        <f aca="false">IF(I1343="","",IF(AND(I1343="D",Settings!$B$6&lt;&gt;"Yes"),"",IFERROR(INDEX(Settings!$C$9:$C$12,MATCH(I1343,Settings!$A$9:$A$12,0)),"")))</f>
        <v/>
      </c>
      <c r="K1343" s="27" t="str">
        <f aca="false">IF(J1343="","",COUNTIF($I$2:I1343,I1343))</f>
        <v/>
      </c>
      <c r="L1343" s="27" t="str">
        <f aca="false">IF(J1343="","",CHOOSE(Q1343+1,"Tue","Wed","Thu","Fri"))</f>
        <v/>
      </c>
      <c r="M1343" s="27" t="str">
        <f aca="false">IF(J1343="","",IF(J1343=1,"Every week",R1343+1&amp;" of "&amp;J1343))</f>
        <v/>
      </c>
      <c r="N1343" s="28" t="str">
        <f aca="false">IF(J1343="","",Settings!$B$4+R1343*7+Q1343)</f>
        <v/>
      </c>
      <c r="O1343" s="28" t="str">
        <f aca="true">IF(J1343="","",N1343+MAX(0,ROUNDUP((TODAY()-N1343)/(J1343*7),0))*J1343*7)</f>
        <v/>
      </c>
      <c r="P1343" s="27" t="str">
        <f aca="false">IF(J1343="","",MOD(K1343-1,J1343*4))</f>
        <v/>
      </c>
      <c r="Q1343" s="27" t="str">
        <f aca="false">IF(J1343="","",MOD(P1343,4))</f>
        <v/>
      </c>
      <c r="R1343" s="27" t="str">
        <f aca="false">IF(J1343="","",INT(P1343/4))</f>
        <v/>
      </c>
      <c r="S1343" s="27" t="str">
        <f aca="false">IF(J1343="","",IF(AND('Daily Count Sheet'!$H$3=Q1343,MOD('Daily Count Sheet'!$I$3,J1343)=R1343),1,""))</f>
        <v/>
      </c>
      <c r="T1343" s="27" t="str">
        <f aca="false">IF(S1343=1,COUNTIF($S$2:S1343,1),"")</f>
        <v/>
      </c>
    </row>
    <row r="1344" customFormat="false" ht="15" hidden="false" customHeight="false" outlineLevel="0" collapsed="false">
      <c r="H1344" s="26"/>
      <c r="I1344" s="27" t="str">
        <f aca="false">IF(A1344="","",IF(H1344&lt;&gt;"",UPPER(TRIM(H1344)),IFERROR(CHOOSE(VALUE(E1344)+1,"A","B","C","D"),IF(OR(LEFT(UPPER(TRIM(E1344)),1)="F",UPPER(TRIM(E1344))="A"),"A",IF(OR(LEFT(UPPER(TRIM(E1344)),1)="M",UPPER(TRIM(E1344))="B"),"B",IF(OR(LEFT(UPPER(TRIM(E1344)),2)="SL",UPPER(TRIM(E1344))="C"),"C",IF(OR(LEFT(UPPER(TRIM(E1344)),1)="D",UPPER(TRIM(E1344))="D"),"D","")))))))</f>
        <v/>
      </c>
      <c r="J1344" s="27" t="str">
        <f aca="false">IF(I1344="","",IF(AND(I1344="D",Settings!$B$6&lt;&gt;"Yes"),"",IFERROR(INDEX(Settings!$C$9:$C$12,MATCH(I1344,Settings!$A$9:$A$12,0)),"")))</f>
        <v/>
      </c>
      <c r="K1344" s="27" t="str">
        <f aca="false">IF(J1344="","",COUNTIF($I$2:I1344,I1344))</f>
        <v/>
      </c>
      <c r="L1344" s="27" t="str">
        <f aca="false">IF(J1344="","",CHOOSE(Q1344+1,"Tue","Wed","Thu","Fri"))</f>
        <v/>
      </c>
      <c r="M1344" s="27" t="str">
        <f aca="false">IF(J1344="","",IF(J1344=1,"Every week",R1344+1&amp;" of "&amp;J1344))</f>
        <v/>
      </c>
      <c r="N1344" s="28" t="str">
        <f aca="false">IF(J1344="","",Settings!$B$4+R1344*7+Q1344)</f>
        <v/>
      </c>
      <c r="O1344" s="28" t="str">
        <f aca="true">IF(J1344="","",N1344+MAX(0,ROUNDUP((TODAY()-N1344)/(J1344*7),0))*J1344*7)</f>
        <v/>
      </c>
      <c r="P1344" s="27" t="str">
        <f aca="false">IF(J1344="","",MOD(K1344-1,J1344*4))</f>
        <v/>
      </c>
      <c r="Q1344" s="27" t="str">
        <f aca="false">IF(J1344="","",MOD(P1344,4))</f>
        <v/>
      </c>
      <c r="R1344" s="27" t="str">
        <f aca="false">IF(J1344="","",INT(P1344/4))</f>
        <v/>
      </c>
      <c r="S1344" s="27" t="str">
        <f aca="false">IF(J1344="","",IF(AND('Daily Count Sheet'!$H$3=Q1344,MOD('Daily Count Sheet'!$I$3,J1344)=R1344),1,""))</f>
        <v/>
      </c>
      <c r="T1344" s="27" t="str">
        <f aca="false">IF(S1344=1,COUNTIF($S$2:S1344,1),"")</f>
        <v/>
      </c>
    </row>
    <row r="1345" customFormat="false" ht="15" hidden="false" customHeight="false" outlineLevel="0" collapsed="false">
      <c r="H1345" s="26"/>
      <c r="I1345" s="27" t="str">
        <f aca="false">IF(A1345="","",IF(H1345&lt;&gt;"",UPPER(TRIM(H1345)),IFERROR(CHOOSE(VALUE(E1345)+1,"A","B","C","D"),IF(OR(LEFT(UPPER(TRIM(E1345)),1)="F",UPPER(TRIM(E1345))="A"),"A",IF(OR(LEFT(UPPER(TRIM(E1345)),1)="M",UPPER(TRIM(E1345))="B"),"B",IF(OR(LEFT(UPPER(TRIM(E1345)),2)="SL",UPPER(TRIM(E1345))="C"),"C",IF(OR(LEFT(UPPER(TRIM(E1345)),1)="D",UPPER(TRIM(E1345))="D"),"D","")))))))</f>
        <v/>
      </c>
      <c r="J1345" s="27" t="str">
        <f aca="false">IF(I1345="","",IF(AND(I1345="D",Settings!$B$6&lt;&gt;"Yes"),"",IFERROR(INDEX(Settings!$C$9:$C$12,MATCH(I1345,Settings!$A$9:$A$12,0)),"")))</f>
        <v/>
      </c>
      <c r="K1345" s="27" t="str">
        <f aca="false">IF(J1345="","",COUNTIF($I$2:I1345,I1345))</f>
        <v/>
      </c>
      <c r="L1345" s="27" t="str">
        <f aca="false">IF(J1345="","",CHOOSE(Q1345+1,"Tue","Wed","Thu","Fri"))</f>
        <v/>
      </c>
      <c r="M1345" s="27" t="str">
        <f aca="false">IF(J1345="","",IF(J1345=1,"Every week",R1345+1&amp;" of "&amp;J1345))</f>
        <v/>
      </c>
      <c r="N1345" s="28" t="str">
        <f aca="false">IF(J1345="","",Settings!$B$4+R1345*7+Q1345)</f>
        <v/>
      </c>
      <c r="O1345" s="28" t="str">
        <f aca="true">IF(J1345="","",N1345+MAX(0,ROUNDUP((TODAY()-N1345)/(J1345*7),0))*J1345*7)</f>
        <v/>
      </c>
      <c r="P1345" s="27" t="str">
        <f aca="false">IF(J1345="","",MOD(K1345-1,J1345*4))</f>
        <v/>
      </c>
      <c r="Q1345" s="27" t="str">
        <f aca="false">IF(J1345="","",MOD(P1345,4))</f>
        <v/>
      </c>
      <c r="R1345" s="27" t="str">
        <f aca="false">IF(J1345="","",INT(P1345/4))</f>
        <v/>
      </c>
      <c r="S1345" s="27" t="str">
        <f aca="false">IF(J1345="","",IF(AND('Daily Count Sheet'!$H$3=Q1345,MOD('Daily Count Sheet'!$I$3,J1345)=R1345),1,""))</f>
        <v/>
      </c>
      <c r="T1345" s="27" t="str">
        <f aca="false">IF(S1345=1,COUNTIF($S$2:S1345,1),"")</f>
        <v/>
      </c>
    </row>
    <row r="1346" customFormat="false" ht="15" hidden="false" customHeight="false" outlineLevel="0" collapsed="false">
      <c r="H1346" s="26"/>
      <c r="I1346" s="27" t="str">
        <f aca="false">IF(A1346="","",IF(H1346&lt;&gt;"",UPPER(TRIM(H1346)),IFERROR(CHOOSE(VALUE(E1346)+1,"A","B","C","D"),IF(OR(LEFT(UPPER(TRIM(E1346)),1)="F",UPPER(TRIM(E1346))="A"),"A",IF(OR(LEFT(UPPER(TRIM(E1346)),1)="M",UPPER(TRIM(E1346))="B"),"B",IF(OR(LEFT(UPPER(TRIM(E1346)),2)="SL",UPPER(TRIM(E1346))="C"),"C",IF(OR(LEFT(UPPER(TRIM(E1346)),1)="D",UPPER(TRIM(E1346))="D"),"D","")))))))</f>
        <v/>
      </c>
      <c r="J1346" s="27" t="str">
        <f aca="false">IF(I1346="","",IF(AND(I1346="D",Settings!$B$6&lt;&gt;"Yes"),"",IFERROR(INDEX(Settings!$C$9:$C$12,MATCH(I1346,Settings!$A$9:$A$12,0)),"")))</f>
        <v/>
      </c>
      <c r="K1346" s="27" t="str">
        <f aca="false">IF(J1346="","",COUNTIF($I$2:I1346,I1346))</f>
        <v/>
      </c>
      <c r="L1346" s="27" t="str">
        <f aca="false">IF(J1346="","",CHOOSE(Q1346+1,"Tue","Wed","Thu","Fri"))</f>
        <v/>
      </c>
      <c r="M1346" s="27" t="str">
        <f aca="false">IF(J1346="","",IF(J1346=1,"Every week",R1346+1&amp;" of "&amp;J1346))</f>
        <v/>
      </c>
      <c r="N1346" s="28" t="str">
        <f aca="false">IF(J1346="","",Settings!$B$4+R1346*7+Q1346)</f>
        <v/>
      </c>
      <c r="O1346" s="28" t="str">
        <f aca="true">IF(J1346="","",N1346+MAX(0,ROUNDUP((TODAY()-N1346)/(J1346*7),0))*J1346*7)</f>
        <v/>
      </c>
      <c r="P1346" s="27" t="str">
        <f aca="false">IF(J1346="","",MOD(K1346-1,J1346*4))</f>
        <v/>
      </c>
      <c r="Q1346" s="27" t="str">
        <f aca="false">IF(J1346="","",MOD(P1346,4))</f>
        <v/>
      </c>
      <c r="R1346" s="27" t="str">
        <f aca="false">IF(J1346="","",INT(P1346/4))</f>
        <v/>
      </c>
      <c r="S1346" s="27" t="str">
        <f aca="false">IF(J1346="","",IF(AND('Daily Count Sheet'!$H$3=Q1346,MOD('Daily Count Sheet'!$I$3,J1346)=R1346),1,""))</f>
        <v/>
      </c>
      <c r="T1346" s="27" t="str">
        <f aca="false">IF(S1346=1,COUNTIF($S$2:S1346,1),"")</f>
        <v/>
      </c>
    </row>
    <row r="1347" customFormat="false" ht="15" hidden="false" customHeight="false" outlineLevel="0" collapsed="false">
      <c r="H1347" s="26"/>
      <c r="I1347" s="27" t="str">
        <f aca="false">IF(A1347="","",IF(H1347&lt;&gt;"",UPPER(TRIM(H1347)),IFERROR(CHOOSE(VALUE(E1347)+1,"A","B","C","D"),IF(OR(LEFT(UPPER(TRIM(E1347)),1)="F",UPPER(TRIM(E1347))="A"),"A",IF(OR(LEFT(UPPER(TRIM(E1347)),1)="M",UPPER(TRIM(E1347))="B"),"B",IF(OR(LEFT(UPPER(TRIM(E1347)),2)="SL",UPPER(TRIM(E1347))="C"),"C",IF(OR(LEFT(UPPER(TRIM(E1347)),1)="D",UPPER(TRIM(E1347))="D"),"D","")))))))</f>
        <v/>
      </c>
      <c r="J1347" s="27" t="str">
        <f aca="false">IF(I1347="","",IF(AND(I1347="D",Settings!$B$6&lt;&gt;"Yes"),"",IFERROR(INDEX(Settings!$C$9:$C$12,MATCH(I1347,Settings!$A$9:$A$12,0)),"")))</f>
        <v/>
      </c>
      <c r="K1347" s="27" t="str">
        <f aca="false">IF(J1347="","",COUNTIF($I$2:I1347,I1347))</f>
        <v/>
      </c>
      <c r="L1347" s="27" t="str">
        <f aca="false">IF(J1347="","",CHOOSE(Q1347+1,"Tue","Wed","Thu","Fri"))</f>
        <v/>
      </c>
      <c r="M1347" s="27" t="str">
        <f aca="false">IF(J1347="","",IF(J1347=1,"Every week",R1347+1&amp;" of "&amp;J1347))</f>
        <v/>
      </c>
      <c r="N1347" s="28" t="str">
        <f aca="false">IF(J1347="","",Settings!$B$4+R1347*7+Q1347)</f>
        <v/>
      </c>
      <c r="O1347" s="28" t="str">
        <f aca="true">IF(J1347="","",N1347+MAX(0,ROUNDUP((TODAY()-N1347)/(J1347*7),0))*J1347*7)</f>
        <v/>
      </c>
      <c r="P1347" s="27" t="str">
        <f aca="false">IF(J1347="","",MOD(K1347-1,J1347*4))</f>
        <v/>
      </c>
      <c r="Q1347" s="27" t="str">
        <f aca="false">IF(J1347="","",MOD(P1347,4))</f>
        <v/>
      </c>
      <c r="R1347" s="27" t="str">
        <f aca="false">IF(J1347="","",INT(P1347/4))</f>
        <v/>
      </c>
      <c r="S1347" s="27" t="str">
        <f aca="false">IF(J1347="","",IF(AND('Daily Count Sheet'!$H$3=Q1347,MOD('Daily Count Sheet'!$I$3,J1347)=R1347),1,""))</f>
        <v/>
      </c>
      <c r="T1347" s="27" t="str">
        <f aca="false">IF(S1347=1,COUNTIF($S$2:S1347,1),"")</f>
        <v/>
      </c>
    </row>
    <row r="1348" customFormat="false" ht="15" hidden="false" customHeight="false" outlineLevel="0" collapsed="false">
      <c r="H1348" s="26"/>
      <c r="I1348" s="27" t="str">
        <f aca="false">IF(A1348="","",IF(H1348&lt;&gt;"",UPPER(TRIM(H1348)),IFERROR(CHOOSE(VALUE(E1348)+1,"A","B","C","D"),IF(OR(LEFT(UPPER(TRIM(E1348)),1)="F",UPPER(TRIM(E1348))="A"),"A",IF(OR(LEFT(UPPER(TRIM(E1348)),1)="M",UPPER(TRIM(E1348))="B"),"B",IF(OR(LEFT(UPPER(TRIM(E1348)),2)="SL",UPPER(TRIM(E1348))="C"),"C",IF(OR(LEFT(UPPER(TRIM(E1348)),1)="D",UPPER(TRIM(E1348))="D"),"D","")))))))</f>
        <v/>
      </c>
      <c r="J1348" s="27" t="str">
        <f aca="false">IF(I1348="","",IF(AND(I1348="D",Settings!$B$6&lt;&gt;"Yes"),"",IFERROR(INDEX(Settings!$C$9:$C$12,MATCH(I1348,Settings!$A$9:$A$12,0)),"")))</f>
        <v/>
      </c>
      <c r="K1348" s="27" t="str">
        <f aca="false">IF(J1348="","",COUNTIF($I$2:I1348,I1348))</f>
        <v/>
      </c>
      <c r="L1348" s="27" t="str">
        <f aca="false">IF(J1348="","",CHOOSE(Q1348+1,"Tue","Wed","Thu","Fri"))</f>
        <v/>
      </c>
      <c r="M1348" s="27" t="str">
        <f aca="false">IF(J1348="","",IF(J1348=1,"Every week",R1348+1&amp;" of "&amp;J1348))</f>
        <v/>
      </c>
      <c r="N1348" s="28" t="str">
        <f aca="false">IF(J1348="","",Settings!$B$4+R1348*7+Q1348)</f>
        <v/>
      </c>
      <c r="O1348" s="28" t="str">
        <f aca="true">IF(J1348="","",N1348+MAX(0,ROUNDUP((TODAY()-N1348)/(J1348*7),0))*J1348*7)</f>
        <v/>
      </c>
      <c r="P1348" s="27" t="str">
        <f aca="false">IF(J1348="","",MOD(K1348-1,J1348*4))</f>
        <v/>
      </c>
      <c r="Q1348" s="27" t="str">
        <f aca="false">IF(J1348="","",MOD(P1348,4))</f>
        <v/>
      </c>
      <c r="R1348" s="27" t="str">
        <f aca="false">IF(J1348="","",INT(P1348/4))</f>
        <v/>
      </c>
      <c r="S1348" s="27" t="str">
        <f aca="false">IF(J1348="","",IF(AND('Daily Count Sheet'!$H$3=Q1348,MOD('Daily Count Sheet'!$I$3,J1348)=R1348),1,""))</f>
        <v/>
      </c>
      <c r="T1348" s="27" t="str">
        <f aca="false">IF(S1348=1,COUNTIF($S$2:S1348,1),"")</f>
        <v/>
      </c>
    </row>
    <row r="1349" customFormat="false" ht="15" hidden="false" customHeight="false" outlineLevel="0" collapsed="false">
      <c r="H1349" s="26"/>
      <c r="I1349" s="27" t="str">
        <f aca="false">IF(A1349="","",IF(H1349&lt;&gt;"",UPPER(TRIM(H1349)),IFERROR(CHOOSE(VALUE(E1349)+1,"A","B","C","D"),IF(OR(LEFT(UPPER(TRIM(E1349)),1)="F",UPPER(TRIM(E1349))="A"),"A",IF(OR(LEFT(UPPER(TRIM(E1349)),1)="M",UPPER(TRIM(E1349))="B"),"B",IF(OR(LEFT(UPPER(TRIM(E1349)),2)="SL",UPPER(TRIM(E1349))="C"),"C",IF(OR(LEFT(UPPER(TRIM(E1349)),1)="D",UPPER(TRIM(E1349))="D"),"D","")))))))</f>
        <v/>
      </c>
      <c r="J1349" s="27" t="str">
        <f aca="false">IF(I1349="","",IF(AND(I1349="D",Settings!$B$6&lt;&gt;"Yes"),"",IFERROR(INDEX(Settings!$C$9:$C$12,MATCH(I1349,Settings!$A$9:$A$12,0)),"")))</f>
        <v/>
      </c>
      <c r="K1349" s="27" t="str">
        <f aca="false">IF(J1349="","",COUNTIF($I$2:I1349,I1349))</f>
        <v/>
      </c>
      <c r="L1349" s="27" t="str">
        <f aca="false">IF(J1349="","",CHOOSE(Q1349+1,"Tue","Wed","Thu","Fri"))</f>
        <v/>
      </c>
      <c r="M1349" s="27" t="str">
        <f aca="false">IF(J1349="","",IF(J1349=1,"Every week",R1349+1&amp;" of "&amp;J1349))</f>
        <v/>
      </c>
      <c r="N1349" s="28" t="str">
        <f aca="false">IF(J1349="","",Settings!$B$4+R1349*7+Q1349)</f>
        <v/>
      </c>
      <c r="O1349" s="28" t="str">
        <f aca="true">IF(J1349="","",N1349+MAX(0,ROUNDUP((TODAY()-N1349)/(J1349*7),0))*J1349*7)</f>
        <v/>
      </c>
      <c r="P1349" s="27" t="str">
        <f aca="false">IF(J1349="","",MOD(K1349-1,J1349*4))</f>
        <v/>
      </c>
      <c r="Q1349" s="27" t="str">
        <f aca="false">IF(J1349="","",MOD(P1349,4))</f>
        <v/>
      </c>
      <c r="R1349" s="27" t="str">
        <f aca="false">IF(J1349="","",INT(P1349/4))</f>
        <v/>
      </c>
      <c r="S1349" s="27" t="str">
        <f aca="false">IF(J1349="","",IF(AND('Daily Count Sheet'!$H$3=Q1349,MOD('Daily Count Sheet'!$I$3,J1349)=R1349),1,""))</f>
        <v/>
      </c>
      <c r="T1349" s="27" t="str">
        <f aca="false">IF(S1349=1,COUNTIF($S$2:S1349,1),"")</f>
        <v/>
      </c>
    </row>
    <row r="1350" customFormat="false" ht="15" hidden="false" customHeight="false" outlineLevel="0" collapsed="false">
      <c r="H1350" s="26"/>
      <c r="I1350" s="27" t="str">
        <f aca="false">IF(A1350="","",IF(H1350&lt;&gt;"",UPPER(TRIM(H1350)),IFERROR(CHOOSE(VALUE(E1350)+1,"A","B","C","D"),IF(OR(LEFT(UPPER(TRIM(E1350)),1)="F",UPPER(TRIM(E1350))="A"),"A",IF(OR(LEFT(UPPER(TRIM(E1350)),1)="M",UPPER(TRIM(E1350))="B"),"B",IF(OR(LEFT(UPPER(TRIM(E1350)),2)="SL",UPPER(TRIM(E1350))="C"),"C",IF(OR(LEFT(UPPER(TRIM(E1350)),1)="D",UPPER(TRIM(E1350))="D"),"D","")))))))</f>
        <v/>
      </c>
      <c r="J1350" s="27" t="str">
        <f aca="false">IF(I1350="","",IF(AND(I1350="D",Settings!$B$6&lt;&gt;"Yes"),"",IFERROR(INDEX(Settings!$C$9:$C$12,MATCH(I1350,Settings!$A$9:$A$12,0)),"")))</f>
        <v/>
      </c>
      <c r="K1350" s="27" t="str">
        <f aca="false">IF(J1350="","",COUNTIF($I$2:I1350,I1350))</f>
        <v/>
      </c>
      <c r="L1350" s="27" t="str">
        <f aca="false">IF(J1350="","",CHOOSE(Q1350+1,"Tue","Wed","Thu","Fri"))</f>
        <v/>
      </c>
      <c r="M1350" s="27" t="str">
        <f aca="false">IF(J1350="","",IF(J1350=1,"Every week",R1350+1&amp;" of "&amp;J1350))</f>
        <v/>
      </c>
      <c r="N1350" s="28" t="str">
        <f aca="false">IF(J1350="","",Settings!$B$4+R1350*7+Q1350)</f>
        <v/>
      </c>
      <c r="O1350" s="28" t="str">
        <f aca="true">IF(J1350="","",N1350+MAX(0,ROUNDUP((TODAY()-N1350)/(J1350*7),0))*J1350*7)</f>
        <v/>
      </c>
      <c r="P1350" s="27" t="str">
        <f aca="false">IF(J1350="","",MOD(K1350-1,J1350*4))</f>
        <v/>
      </c>
      <c r="Q1350" s="27" t="str">
        <f aca="false">IF(J1350="","",MOD(P1350,4))</f>
        <v/>
      </c>
      <c r="R1350" s="27" t="str">
        <f aca="false">IF(J1350="","",INT(P1350/4))</f>
        <v/>
      </c>
      <c r="S1350" s="27" t="str">
        <f aca="false">IF(J1350="","",IF(AND('Daily Count Sheet'!$H$3=Q1350,MOD('Daily Count Sheet'!$I$3,J1350)=R1350),1,""))</f>
        <v/>
      </c>
      <c r="T1350" s="27" t="str">
        <f aca="false">IF(S1350=1,COUNTIF($S$2:S1350,1),"")</f>
        <v/>
      </c>
    </row>
    <row r="1351" customFormat="false" ht="15" hidden="false" customHeight="false" outlineLevel="0" collapsed="false">
      <c r="H1351" s="26"/>
      <c r="I1351" s="27" t="str">
        <f aca="false">IF(A1351="","",IF(H1351&lt;&gt;"",UPPER(TRIM(H1351)),IFERROR(CHOOSE(VALUE(E1351)+1,"A","B","C","D"),IF(OR(LEFT(UPPER(TRIM(E1351)),1)="F",UPPER(TRIM(E1351))="A"),"A",IF(OR(LEFT(UPPER(TRIM(E1351)),1)="M",UPPER(TRIM(E1351))="B"),"B",IF(OR(LEFT(UPPER(TRIM(E1351)),2)="SL",UPPER(TRIM(E1351))="C"),"C",IF(OR(LEFT(UPPER(TRIM(E1351)),1)="D",UPPER(TRIM(E1351))="D"),"D","")))))))</f>
        <v/>
      </c>
      <c r="J1351" s="27" t="str">
        <f aca="false">IF(I1351="","",IF(AND(I1351="D",Settings!$B$6&lt;&gt;"Yes"),"",IFERROR(INDEX(Settings!$C$9:$C$12,MATCH(I1351,Settings!$A$9:$A$12,0)),"")))</f>
        <v/>
      </c>
      <c r="K1351" s="27" t="str">
        <f aca="false">IF(J1351="","",COUNTIF($I$2:I1351,I1351))</f>
        <v/>
      </c>
      <c r="L1351" s="27" t="str">
        <f aca="false">IF(J1351="","",CHOOSE(Q1351+1,"Tue","Wed","Thu","Fri"))</f>
        <v/>
      </c>
      <c r="M1351" s="27" t="str">
        <f aca="false">IF(J1351="","",IF(J1351=1,"Every week",R1351+1&amp;" of "&amp;J1351))</f>
        <v/>
      </c>
      <c r="N1351" s="28" t="str">
        <f aca="false">IF(J1351="","",Settings!$B$4+R1351*7+Q1351)</f>
        <v/>
      </c>
      <c r="O1351" s="28" t="str">
        <f aca="true">IF(J1351="","",N1351+MAX(0,ROUNDUP((TODAY()-N1351)/(J1351*7),0))*J1351*7)</f>
        <v/>
      </c>
      <c r="P1351" s="27" t="str">
        <f aca="false">IF(J1351="","",MOD(K1351-1,J1351*4))</f>
        <v/>
      </c>
      <c r="Q1351" s="27" t="str">
        <f aca="false">IF(J1351="","",MOD(P1351,4))</f>
        <v/>
      </c>
      <c r="R1351" s="27" t="str">
        <f aca="false">IF(J1351="","",INT(P1351/4))</f>
        <v/>
      </c>
      <c r="S1351" s="27" t="str">
        <f aca="false">IF(J1351="","",IF(AND('Daily Count Sheet'!$H$3=Q1351,MOD('Daily Count Sheet'!$I$3,J1351)=R1351),1,""))</f>
        <v/>
      </c>
      <c r="T1351" s="27" t="str">
        <f aca="false">IF(S1351=1,COUNTIF($S$2:S1351,1),"")</f>
        <v/>
      </c>
    </row>
    <row r="1352" customFormat="false" ht="15" hidden="false" customHeight="false" outlineLevel="0" collapsed="false">
      <c r="H1352" s="26"/>
      <c r="I1352" s="27" t="str">
        <f aca="false">IF(A1352="","",IF(H1352&lt;&gt;"",UPPER(TRIM(H1352)),IFERROR(CHOOSE(VALUE(E1352)+1,"A","B","C","D"),IF(OR(LEFT(UPPER(TRIM(E1352)),1)="F",UPPER(TRIM(E1352))="A"),"A",IF(OR(LEFT(UPPER(TRIM(E1352)),1)="M",UPPER(TRIM(E1352))="B"),"B",IF(OR(LEFT(UPPER(TRIM(E1352)),2)="SL",UPPER(TRIM(E1352))="C"),"C",IF(OR(LEFT(UPPER(TRIM(E1352)),1)="D",UPPER(TRIM(E1352))="D"),"D","")))))))</f>
        <v/>
      </c>
      <c r="J1352" s="27" t="str">
        <f aca="false">IF(I1352="","",IF(AND(I1352="D",Settings!$B$6&lt;&gt;"Yes"),"",IFERROR(INDEX(Settings!$C$9:$C$12,MATCH(I1352,Settings!$A$9:$A$12,0)),"")))</f>
        <v/>
      </c>
      <c r="K1352" s="27" t="str">
        <f aca="false">IF(J1352="","",COUNTIF($I$2:I1352,I1352))</f>
        <v/>
      </c>
      <c r="L1352" s="27" t="str">
        <f aca="false">IF(J1352="","",CHOOSE(Q1352+1,"Tue","Wed","Thu","Fri"))</f>
        <v/>
      </c>
      <c r="M1352" s="27" t="str">
        <f aca="false">IF(J1352="","",IF(J1352=1,"Every week",R1352+1&amp;" of "&amp;J1352))</f>
        <v/>
      </c>
      <c r="N1352" s="28" t="str">
        <f aca="false">IF(J1352="","",Settings!$B$4+R1352*7+Q1352)</f>
        <v/>
      </c>
      <c r="O1352" s="28" t="str">
        <f aca="true">IF(J1352="","",N1352+MAX(0,ROUNDUP((TODAY()-N1352)/(J1352*7),0))*J1352*7)</f>
        <v/>
      </c>
      <c r="P1352" s="27" t="str">
        <f aca="false">IF(J1352="","",MOD(K1352-1,J1352*4))</f>
        <v/>
      </c>
      <c r="Q1352" s="27" t="str">
        <f aca="false">IF(J1352="","",MOD(P1352,4))</f>
        <v/>
      </c>
      <c r="R1352" s="27" t="str">
        <f aca="false">IF(J1352="","",INT(P1352/4))</f>
        <v/>
      </c>
      <c r="S1352" s="27" t="str">
        <f aca="false">IF(J1352="","",IF(AND('Daily Count Sheet'!$H$3=Q1352,MOD('Daily Count Sheet'!$I$3,J1352)=R1352),1,""))</f>
        <v/>
      </c>
      <c r="T1352" s="27" t="str">
        <f aca="false">IF(S1352=1,COUNTIF($S$2:S1352,1),"")</f>
        <v/>
      </c>
    </row>
    <row r="1353" customFormat="false" ht="15" hidden="false" customHeight="false" outlineLevel="0" collapsed="false">
      <c r="H1353" s="26"/>
      <c r="I1353" s="27" t="str">
        <f aca="false">IF(A1353="","",IF(H1353&lt;&gt;"",UPPER(TRIM(H1353)),IFERROR(CHOOSE(VALUE(E1353)+1,"A","B","C","D"),IF(OR(LEFT(UPPER(TRIM(E1353)),1)="F",UPPER(TRIM(E1353))="A"),"A",IF(OR(LEFT(UPPER(TRIM(E1353)),1)="M",UPPER(TRIM(E1353))="B"),"B",IF(OR(LEFT(UPPER(TRIM(E1353)),2)="SL",UPPER(TRIM(E1353))="C"),"C",IF(OR(LEFT(UPPER(TRIM(E1353)),1)="D",UPPER(TRIM(E1353))="D"),"D","")))))))</f>
        <v/>
      </c>
      <c r="J1353" s="27" t="str">
        <f aca="false">IF(I1353="","",IF(AND(I1353="D",Settings!$B$6&lt;&gt;"Yes"),"",IFERROR(INDEX(Settings!$C$9:$C$12,MATCH(I1353,Settings!$A$9:$A$12,0)),"")))</f>
        <v/>
      </c>
      <c r="K1353" s="27" t="str">
        <f aca="false">IF(J1353="","",COUNTIF($I$2:I1353,I1353))</f>
        <v/>
      </c>
      <c r="L1353" s="27" t="str">
        <f aca="false">IF(J1353="","",CHOOSE(Q1353+1,"Tue","Wed","Thu","Fri"))</f>
        <v/>
      </c>
      <c r="M1353" s="27" t="str">
        <f aca="false">IF(J1353="","",IF(J1353=1,"Every week",R1353+1&amp;" of "&amp;J1353))</f>
        <v/>
      </c>
      <c r="N1353" s="28" t="str">
        <f aca="false">IF(J1353="","",Settings!$B$4+R1353*7+Q1353)</f>
        <v/>
      </c>
      <c r="O1353" s="28" t="str">
        <f aca="true">IF(J1353="","",N1353+MAX(0,ROUNDUP((TODAY()-N1353)/(J1353*7),0))*J1353*7)</f>
        <v/>
      </c>
      <c r="P1353" s="27" t="str">
        <f aca="false">IF(J1353="","",MOD(K1353-1,J1353*4))</f>
        <v/>
      </c>
      <c r="Q1353" s="27" t="str">
        <f aca="false">IF(J1353="","",MOD(P1353,4))</f>
        <v/>
      </c>
      <c r="R1353" s="27" t="str">
        <f aca="false">IF(J1353="","",INT(P1353/4))</f>
        <v/>
      </c>
      <c r="S1353" s="27" t="str">
        <f aca="false">IF(J1353="","",IF(AND('Daily Count Sheet'!$H$3=Q1353,MOD('Daily Count Sheet'!$I$3,J1353)=R1353),1,""))</f>
        <v/>
      </c>
      <c r="T1353" s="27" t="str">
        <f aca="false">IF(S1353=1,COUNTIF($S$2:S1353,1),"")</f>
        <v/>
      </c>
    </row>
    <row r="1354" customFormat="false" ht="15" hidden="false" customHeight="false" outlineLevel="0" collapsed="false">
      <c r="H1354" s="26"/>
      <c r="I1354" s="27" t="str">
        <f aca="false">IF(A1354="","",IF(H1354&lt;&gt;"",UPPER(TRIM(H1354)),IFERROR(CHOOSE(VALUE(E1354)+1,"A","B","C","D"),IF(OR(LEFT(UPPER(TRIM(E1354)),1)="F",UPPER(TRIM(E1354))="A"),"A",IF(OR(LEFT(UPPER(TRIM(E1354)),1)="M",UPPER(TRIM(E1354))="B"),"B",IF(OR(LEFT(UPPER(TRIM(E1354)),2)="SL",UPPER(TRIM(E1354))="C"),"C",IF(OR(LEFT(UPPER(TRIM(E1354)),1)="D",UPPER(TRIM(E1354))="D"),"D","")))))))</f>
        <v/>
      </c>
      <c r="J1354" s="27" t="str">
        <f aca="false">IF(I1354="","",IF(AND(I1354="D",Settings!$B$6&lt;&gt;"Yes"),"",IFERROR(INDEX(Settings!$C$9:$C$12,MATCH(I1354,Settings!$A$9:$A$12,0)),"")))</f>
        <v/>
      </c>
      <c r="K1354" s="27" t="str">
        <f aca="false">IF(J1354="","",COUNTIF($I$2:I1354,I1354))</f>
        <v/>
      </c>
      <c r="L1354" s="27" t="str">
        <f aca="false">IF(J1354="","",CHOOSE(Q1354+1,"Tue","Wed","Thu","Fri"))</f>
        <v/>
      </c>
      <c r="M1354" s="27" t="str">
        <f aca="false">IF(J1354="","",IF(J1354=1,"Every week",R1354+1&amp;" of "&amp;J1354))</f>
        <v/>
      </c>
      <c r="N1354" s="28" t="str">
        <f aca="false">IF(J1354="","",Settings!$B$4+R1354*7+Q1354)</f>
        <v/>
      </c>
      <c r="O1354" s="28" t="str">
        <f aca="true">IF(J1354="","",N1354+MAX(0,ROUNDUP((TODAY()-N1354)/(J1354*7),0))*J1354*7)</f>
        <v/>
      </c>
      <c r="P1354" s="27" t="str">
        <f aca="false">IF(J1354="","",MOD(K1354-1,J1354*4))</f>
        <v/>
      </c>
      <c r="Q1354" s="27" t="str">
        <f aca="false">IF(J1354="","",MOD(P1354,4))</f>
        <v/>
      </c>
      <c r="R1354" s="27" t="str">
        <f aca="false">IF(J1354="","",INT(P1354/4))</f>
        <v/>
      </c>
      <c r="S1354" s="27" t="str">
        <f aca="false">IF(J1354="","",IF(AND('Daily Count Sheet'!$H$3=Q1354,MOD('Daily Count Sheet'!$I$3,J1354)=R1354),1,""))</f>
        <v/>
      </c>
      <c r="T1354" s="27" t="str">
        <f aca="false">IF(S1354=1,COUNTIF($S$2:S1354,1),"")</f>
        <v/>
      </c>
    </row>
    <row r="1355" customFormat="false" ht="15" hidden="false" customHeight="false" outlineLevel="0" collapsed="false">
      <c r="H1355" s="26"/>
      <c r="I1355" s="27" t="str">
        <f aca="false">IF(A1355="","",IF(H1355&lt;&gt;"",UPPER(TRIM(H1355)),IFERROR(CHOOSE(VALUE(E1355)+1,"A","B","C","D"),IF(OR(LEFT(UPPER(TRIM(E1355)),1)="F",UPPER(TRIM(E1355))="A"),"A",IF(OR(LEFT(UPPER(TRIM(E1355)),1)="M",UPPER(TRIM(E1355))="B"),"B",IF(OR(LEFT(UPPER(TRIM(E1355)),2)="SL",UPPER(TRIM(E1355))="C"),"C",IF(OR(LEFT(UPPER(TRIM(E1355)),1)="D",UPPER(TRIM(E1355))="D"),"D","")))))))</f>
        <v/>
      </c>
      <c r="J1355" s="27" t="str">
        <f aca="false">IF(I1355="","",IF(AND(I1355="D",Settings!$B$6&lt;&gt;"Yes"),"",IFERROR(INDEX(Settings!$C$9:$C$12,MATCH(I1355,Settings!$A$9:$A$12,0)),"")))</f>
        <v/>
      </c>
      <c r="K1355" s="27" t="str">
        <f aca="false">IF(J1355="","",COUNTIF($I$2:I1355,I1355))</f>
        <v/>
      </c>
      <c r="L1355" s="27" t="str">
        <f aca="false">IF(J1355="","",CHOOSE(Q1355+1,"Tue","Wed","Thu","Fri"))</f>
        <v/>
      </c>
      <c r="M1355" s="27" t="str">
        <f aca="false">IF(J1355="","",IF(J1355=1,"Every week",R1355+1&amp;" of "&amp;J1355))</f>
        <v/>
      </c>
      <c r="N1355" s="28" t="str">
        <f aca="false">IF(J1355="","",Settings!$B$4+R1355*7+Q1355)</f>
        <v/>
      </c>
      <c r="O1355" s="28" t="str">
        <f aca="true">IF(J1355="","",N1355+MAX(0,ROUNDUP((TODAY()-N1355)/(J1355*7),0))*J1355*7)</f>
        <v/>
      </c>
      <c r="P1355" s="27" t="str">
        <f aca="false">IF(J1355="","",MOD(K1355-1,J1355*4))</f>
        <v/>
      </c>
      <c r="Q1355" s="27" t="str">
        <f aca="false">IF(J1355="","",MOD(P1355,4))</f>
        <v/>
      </c>
      <c r="R1355" s="27" t="str">
        <f aca="false">IF(J1355="","",INT(P1355/4))</f>
        <v/>
      </c>
      <c r="S1355" s="27" t="str">
        <f aca="false">IF(J1355="","",IF(AND('Daily Count Sheet'!$H$3=Q1355,MOD('Daily Count Sheet'!$I$3,J1355)=R1355),1,""))</f>
        <v/>
      </c>
      <c r="T1355" s="27" t="str">
        <f aca="false">IF(S1355=1,COUNTIF($S$2:S1355,1),"")</f>
        <v/>
      </c>
    </row>
    <row r="1356" customFormat="false" ht="15" hidden="false" customHeight="false" outlineLevel="0" collapsed="false">
      <c r="H1356" s="26"/>
      <c r="I1356" s="27" t="str">
        <f aca="false">IF(A1356="","",IF(H1356&lt;&gt;"",UPPER(TRIM(H1356)),IFERROR(CHOOSE(VALUE(E1356)+1,"A","B","C","D"),IF(OR(LEFT(UPPER(TRIM(E1356)),1)="F",UPPER(TRIM(E1356))="A"),"A",IF(OR(LEFT(UPPER(TRIM(E1356)),1)="M",UPPER(TRIM(E1356))="B"),"B",IF(OR(LEFT(UPPER(TRIM(E1356)),2)="SL",UPPER(TRIM(E1356))="C"),"C",IF(OR(LEFT(UPPER(TRIM(E1356)),1)="D",UPPER(TRIM(E1356))="D"),"D","")))))))</f>
        <v/>
      </c>
      <c r="J1356" s="27" t="str">
        <f aca="false">IF(I1356="","",IF(AND(I1356="D",Settings!$B$6&lt;&gt;"Yes"),"",IFERROR(INDEX(Settings!$C$9:$C$12,MATCH(I1356,Settings!$A$9:$A$12,0)),"")))</f>
        <v/>
      </c>
      <c r="K1356" s="27" t="str">
        <f aca="false">IF(J1356="","",COUNTIF($I$2:I1356,I1356))</f>
        <v/>
      </c>
      <c r="L1356" s="27" t="str">
        <f aca="false">IF(J1356="","",CHOOSE(Q1356+1,"Tue","Wed","Thu","Fri"))</f>
        <v/>
      </c>
      <c r="M1356" s="27" t="str">
        <f aca="false">IF(J1356="","",IF(J1356=1,"Every week",R1356+1&amp;" of "&amp;J1356))</f>
        <v/>
      </c>
      <c r="N1356" s="28" t="str">
        <f aca="false">IF(J1356="","",Settings!$B$4+R1356*7+Q1356)</f>
        <v/>
      </c>
      <c r="O1356" s="28" t="str">
        <f aca="true">IF(J1356="","",N1356+MAX(0,ROUNDUP((TODAY()-N1356)/(J1356*7),0))*J1356*7)</f>
        <v/>
      </c>
      <c r="P1356" s="27" t="str">
        <f aca="false">IF(J1356="","",MOD(K1356-1,J1356*4))</f>
        <v/>
      </c>
      <c r="Q1356" s="27" t="str">
        <f aca="false">IF(J1356="","",MOD(P1356,4))</f>
        <v/>
      </c>
      <c r="R1356" s="27" t="str">
        <f aca="false">IF(J1356="","",INT(P1356/4))</f>
        <v/>
      </c>
      <c r="S1356" s="27" t="str">
        <f aca="false">IF(J1356="","",IF(AND('Daily Count Sheet'!$H$3=Q1356,MOD('Daily Count Sheet'!$I$3,J1356)=R1356),1,""))</f>
        <v/>
      </c>
      <c r="T1356" s="27" t="str">
        <f aca="false">IF(S1356=1,COUNTIF($S$2:S1356,1),"")</f>
        <v/>
      </c>
    </row>
    <row r="1357" customFormat="false" ht="15" hidden="false" customHeight="false" outlineLevel="0" collapsed="false">
      <c r="H1357" s="26"/>
      <c r="I1357" s="27" t="str">
        <f aca="false">IF(A1357="","",IF(H1357&lt;&gt;"",UPPER(TRIM(H1357)),IFERROR(CHOOSE(VALUE(E1357)+1,"A","B","C","D"),IF(OR(LEFT(UPPER(TRIM(E1357)),1)="F",UPPER(TRIM(E1357))="A"),"A",IF(OR(LEFT(UPPER(TRIM(E1357)),1)="M",UPPER(TRIM(E1357))="B"),"B",IF(OR(LEFT(UPPER(TRIM(E1357)),2)="SL",UPPER(TRIM(E1357))="C"),"C",IF(OR(LEFT(UPPER(TRIM(E1357)),1)="D",UPPER(TRIM(E1357))="D"),"D","")))))))</f>
        <v/>
      </c>
      <c r="J1357" s="27" t="str">
        <f aca="false">IF(I1357="","",IF(AND(I1357="D",Settings!$B$6&lt;&gt;"Yes"),"",IFERROR(INDEX(Settings!$C$9:$C$12,MATCH(I1357,Settings!$A$9:$A$12,0)),"")))</f>
        <v/>
      </c>
      <c r="K1357" s="27" t="str">
        <f aca="false">IF(J1357="","",COUNTIF($I$2:I1357,I1357))</f>
        <v/>
      </c>
      <c r="L1357" s="27" t="str">
        <f aca="false">IF(J1357="","",CHOOSE(Q1357+1,"Tue","Wed","Thu","Fri"))</f>
        <v/>
      </c>
      <c r="M1357" s="27" t="str">
        <f aca="false">IF(J1357="","",IF(J1357=1,"Every week",R1357+1&amp;" of "&amp;J1357))</f>
        <v/>
      </c>
      <c r="N1357" s="28" t="str">
        <f aca="false">IF(J1357="","",Settings!$B$4+R1357*7+Q1357)</f>
        <v/>
      </c>
      <c r="O1357" s="28" t="str">
        <f aca="true">IF(J1357="","",N1357+MAX(0,ROUNDUP((TODAY()-N1357)/(J1357*7),0))*J1357*7)</f>
        <v/>
      </c>
      <c r="P1357" s="27" t="str">
        <f aca="false">IF(J1357="","",MOD(K1357-1,J1357*4))</f>
        <v/>
      </c>
      <c r="Q1357" s="27" t="str">
        <f aca="false">IF(J1357="","",MOD(P1357,4))</f>
        <v/>
      </c>
      <c r="R1357" s="27" t="str">
        <f aca="false">IF(J1357="","",INT(P1357/4))</f>
        <v/>
      </c>
      <c r="S1357" s="27" t="str">
        <f aca="false">IF(J1357="","",IF(AND('Daily Count Sheet'!$H$3=Q1357,MOD('Daily Count Sheet'!$I$3,J1357)=R1357),1,""))</f>
        <v/>
      </c>
      <c r="T1357" s="27" t="str">
        <f aca="false">IF(S1357=1,COUNTIF($S$2:S1357,1),"")</f>
        <v/>
      </c>
    </row>
    <row r="1358" customFormat="false" ht="15" hidden="false" customHeight="false" outlineLevel="0" collapsed="false">
      <c r="H1358" s="26"/>
      <c r="I1358" s="27" t="str">
        <f aca="false">IF(A1358="","",IF(H1358&lt;&gt;"",UPPER(TRIM(H1358)),IFERROR(CHOOSE(VALUE(E1358)+1,"A","B","C","D"),IF(OR(LEFT(UPPER(TRIM(E1358)),1)="F",UPPER(TRIM(E1358))="A"),"A",IF(OR(LEFT(UPPER(TRIM(E1358)),1)="M",UPPER(TRIM(E1358))="B"),"B",IF(OR(LEFT(UPPER(TRIM(E1358)),2)="SL",UPPER(TRIM(E1358))="C"),"C",IF(OR(LEFT(UPPER(TRIM(E1358)),1)="D",UPPER(TRIM(E1358))="D"),"D","")))))))</f>
        <v/>
      </c>
      <c r="J1358" s="27" t="str">
        <f aca="false">IF(I1358="","",IF(AND(I1358="D",Settings!$B$6&lt;&gt;"Yes"),"",IFERROR(INDEX(Settings!$C$9:$C$12,MATCH(I1358,Settings!$A$9:$A$12,0)),"")))</f>
        <v/>
      </c>
      <c r="K1358" s="27" t="str">
        <f aca="false">IF(J1358="","",COUNTIF($I$2:I1358,I1358))</f>
        <v/>
      </c>
      <c r="L1358" s="27" t="str">
        <f aca="false">IF(J1358="","",CHOOSE(Q1358+1,"Tue","Wed","Thu","Fri"))</f>
        <v/>
      </c>
      <c r="M1358" s="27" t="str">
        <f aca="false">IF(J1358="","",IF(J1358=1,"Every week",R1358+1&amp;" of "&amp;J1358))</f>
        <v/>
      </c>
      <c r="N1358" s="28" t="str">
        <f aca="false">IF(J1358="","",Settings!$B$4+R1358*7+Q1358)</f>
        <v/>
      </c>
      <c r="O1358" s="28" t="str">
        <f aca="true">IF(J1358="","",N1358+MAX(0,ROUNDUP((TODAY()-N1358)/(J1358*7),0))*J1358*7)</f>
        <v/>
      </c>
      <c r="P1358" s="27" t="str">
        <f aca="false">IF(J1358="","",MOD(K1358-1,J1358*4))</f>
        <v/>
      </c>
      <c r="Q1358" s="27" t="str">
        <f aca="false">IF(J1358="","",MOD(P1358,4))</f>
        <v/>
      </c>
      <c r="R1358" s="27" t="str">
        <f aca="false">IF(J1358="","",INT(P1358/4))</f>
        <v/>
      </c>
      <c r="S1358" s="27" t="str">
        <f aca="false">IF(J1358="","",IF(AND('Daily Count Sheet'!$H$3=Q1358,MOD('Daily Count Sheet'!$I$3,J1358)=R1358),1,""))</f>
        <v/>
      </c>
      <c r="T1358" s="27" t="str">
        <f aca="false">IF(S1358=1,COUNTIF($S$2:S1358,1),"")</f>
        <v/>
      </c>
    </row>
    <row r="1359" customFormat="false" ht="15" hidden="false" customHeight="false" outlineLevel="0" collapsed="false">
      <c r="H1359" s="26"/>
      <c r="I1359" s="27" t="str">
        <f aca="false">IF(A1359="","",IF(H1359&lt;&gt;"",UPPER(TRIM(H1359)),IFERROR(CHOOSE(VALUE(E1359)+1,"A","B","C","D"),IF(OR(LEFT(UPPER(TRIM(E1359)),1)="F",UPPER(TRIM(E1359))="A"),"A",IF(OR(LEFT(UPPER(TRIM(E1359)),1)="M",UPPER(TRIM(E1359))="B"),"B",IF(OR(LEFT(UPPER(TRIM(E1359)),2)="SL",UPPER(TRIM(E1359))="C"),"C",IF(OR(LEFT(UPPER(TRIM(E1359)),1)="D",UPPER(TRIM(E1359))="D"),"D","")))))))</f>
        <v/>
      </c>
      <c r="J1359" s="27" t="str">
        <f aca="false">IF(I1359="","",IF(AND(I1359="D",Settings!$B$6&lt;&gt;"Yes"),"",IFERROR(INDEX(Settings!$C$9:$C$12,MATCH(I1359,Settings!$A$9:$A$12,0)),"")))</f>
        <v/>
      </c>
      <c r="K1359" s="27" t="str">
        <f aca="false">IF(J1359="","",COUNTIF($I$2:I1359,I1359))</f>
        <v/>
      </c>
      <c r="L1359" s="27" t="str">
        <f aca="false">IF(J1359="","",CHOOSE(Q1359+1,"Tue","Wed","Thu","Fri"))</f>
        <v/>
      </c>
      <c r="M1359" s="27" t="str">
        <f aca="false">IF(J1359="","",IF(J1359=1,"Every week",R1359+1&amp;" of "&amp;J1359))</f>
        <v/>
      </c>
      <c r="N1359" s="28" t="str">
        <f aca="false">IF(J1359="","",Settings!$B$4+R1359*7+Q1359)</f>
        <v/>
      </c>
      <c r="O1359" s="28" t="str">
        <f aca="true">IF(J1359="","",N1359+MAX(0,ROUNDUP((TODAY()-N1359)/(J1359*7),0))*J1359*7)</f>
        <v/>
      </c>
      <c r="P1359" s="27" t="str">
        <f aca="false">IF(J1359="","",MOD(K1359-1,J1359*4))</f>
        <v/>
      </c>
      <c r="Q1359" s="27" t="str">
        <f aca="false">IF(J1359="","",MOD(P1359,4))</f>
        <v/>
      </c>
      <c r="R1359" s="27" t="str">
        <f aca="false">IF(J1359="","",INT(P1359/4))</f>
        <v/>
      </c>
      <c r="S1359" s="27" t="str">
        <f aca="false">IF(J1359="","",IF(AND('Daily Count Sheet'!$H$3=Q1359,MOD('Daily Count Sheet'!$I$3,J1359)=R1359),1,""))</f>
        <v/>
      </c>
      <c r="T1359" s="27" t="str">
        <f aca="false">IF(S1359=1,COUNTIF($S$2:S1359,1),"")</f>
        <v/>
      </c>
    </row>
    <row r="1360" customFormat="false" ht="15" hidden="false" customHeight="false" outlineLevel="0" collapsed="false">
      <c r="H1360" s="26"/>
      <c r="I1360" s="27" t="str">
        <f aca="false">IF(A1360="","",IF(H1360&lt;&gt;"",UPPER(TRIM(H1360)),IFERROR(CHOOSE(VALUE(E1360)+1,"A","B","C","D"),IF(OR(LEFT(UPPER(TRIM(E1360)),1)="F",UPPER(TRIM(E1360))="A"),"A",IF(OR(LEFT(UPPER(TRIM(E1360)),1)="M",UPPER(TRIM(E1360))="B"),"B",IF(OR(LEFT(UPPER(TRIM(E1360)),2)="SL",UPPER(TRIM(E1360))="C"),"C",IF(OR(LEFT(UPPER(TRIM(E1360)),1)="D",UPPER(TRIM(E1360))="D"),"D","")))))))</f>
        <v/>
      </c>
      <c r="J1360" s="27" t="str">
        <f aca="false">IF(I1360="","",IF(AND(I1360="D",Settings!$B$6&lt;&gt;"Yes"),"",IFERROR(INDEX(Settings!$C$9:$C$12,MATCH(I1360,Settings!$A$9:$A$12,0)),"")))</f>
        <v/>
      </c>
      <c r="K1360" s="27" t="str">
        <f aca="false">IF(J1360="","",COUNTIF($I$2:I1360,I1360))</f>
        <v/>
      </c>
      <c r="L1360" s="27" t="str">
        <f aca="false">IF(J1360="","",CHOOSE(Q1360+1,"Tue","Wed","Thu","Fri"))</f>
        <v/>
      </c>
      <c r="M1360" s="27" t="str">
        <f aca="false">IF(J1360="","",IF(J1360=1,"Every week",R1360+1&amp;" of "&amp;J1360))</f>
        <v/>
      </c>
      <c r="N1360" s="28" t="str">
        <f aca="false">IF(J1360="","",Settings!$B$4+R1360*7+Q1360)</f>
        <v/>
      </c>
      <c r="O1360" s="28" t="str">
        <f aca="true">IF(J1360="","",N1360+MAX(0,ROUNDUP((TODAY()-N1360)/(J1360*7),0))*J1360*7)</f>
        <v/>
      </c>
      <c r="P1360" s="27" t="str">
        <f aca="false">IF(J1360="","",MOD(K1360-1,J1360*4))</f>
        <v/>
      </c>
      <c r="Q1360" s="27" t="str">
        <f aca="false">IF(J1360="","",MOD(P1360,4))</f>
        <v/>
      </c>
      <c r="R1360" s="27" t="str">
        <f aca="false">IF(J1360="","",INT(P1360/4))</f>
        <v/>
      </c>
      <c r="S1360" s="27" t="str">
        <f aca="false">IF(J1360="","",IF(AND('Daily Count Sheet'!$H$3=Q1360,MOD('Daily Count Sheet'!$I$3,J1360)=R1360),1,""))</f>
        <v/>
      </c>
      <c r="T1360" s="27" t="str">
        <f aca="false">IF(S1360=1,COUNTIF($S$2:S1360,1),"")</f>
        <v/>
      </c>
    </row>
    <row r="1361" customFormat="false" ht="15" hidden="false" customHeight="false" outlineLevel="0" collapsed="false">
      <c r="H1361" s="26"/>
      <c r="I1361" s="27" t="str">
        <f aca="false">IF(A1361="","",IF(H1361&lt;&gt;"",UPPER(TRIM(H1361)),IFERROR(CHOOSE(VALUE(E1361)+1,"A","B","C","D"),IF(OR(LEFT(UPPER(TRIM(E1361)),1)="F",UPPER(TRIM(E1361))="A"),"A",IF(OR(LEFT(UPPER(TRIM(E1361)),1)="M",UPPER(TRIM(E1361))="B"),"B",IF(OR(LEFT(UPPER(TRIM(E1361)),2)="SL",UPPER(TRIM(E1361))="C"),"C",IF(OR(LEFT(UPPER(TRIM(E1361)),1)="D",UPPER(TRIM(E1361))="D"),"D","")))))))</f>
        <v/>
      </c>
      <c r="J1361" s="27" t="str">
        <f aca="false">IF(I1361="","",IF(AND(I1361="D",Settings!$B$6&lt;&gt;"Yes"),"",IFERROR(INDEX(Settings!$C$9:$C$12,MATCH(I1361,Settings!$A$9:$A$12,0)),"")))</f>
        <v/>
      </c>
      <c r="K1361" s="27" t="str">
        <f aca="false">IF(J1361="","",COUNTIF($I$2:I1361,I1361))</f>
        <v/>
      </c>
      <c r="L1361" s="27" t="str">
        <f aca="false">IF(J1361="","",CHOOSE(Q1361+1,"Tue","Wed","Thu","Fri"))</f>
        <v/>
      </c>
      <c r="M1361" s="27" t="str">
        <f aca="false">IF(J1361="","",IF(J1361=1,"Every week",R1361+1&amp;" of "&amp;J1361))</f>
        <v/>
      </c>
      <c r="N1361" s="28" t="str">
        <f aca="false">IF(J1361="","",Settings!$B$4+R1361*7+Q1361)</f>
        <v/>
      </c>
      <c r="O1361" s="28" t="str">
        <f aca="true">IF(J1361="","",N1361+MAX(0,ROUNDUP((TODAY()-N1361)/(J1361*7),0))*J1361*7)</f>
        <v/>
      </c>
      <c r="P1361" s="27" t="str">
        <f aca="false">IF(J1361="","",MOD(K1361-1,J1361*4))</f>
        <v/>
      </c>
      <c r="Q1361" s="27" t="str">
        <f aca="false">IF(J1361="","",MOD(P1361,4))</f>
        <v/>
      </c>
      <c r="R1361" s="27" t="str">
        <f aca="false">IF(J1361="","",INT(P1361/4))</f>
        <v/>
      </c>
      <c r="S1361" s="27" t="str">
        <f aca="false">IF(J1361="","",IF(AND('Daily Count Sheet'!$H$3=Q1361,MOD('Daily Count Sheet'!$I$3,J1361)=R1361),1,""))</f>
        <v/>
      </c>
      <c r="T1361" s="27" t="str">
        <f aca="false">IF(S1361=1,COUNTIF($S$2:S1361,1),"")</f>
        <v/>
      </c>
    </row>
    <row r="1362" customFormat="false" ht="15" hidden="false" customHeight="false" outlineLevel="0" collapsed="false">
      <c r="H1362" s="26"/>
      <c r="I1362" s="27" t="str">
        <f aca="false">IF(A1362="","",IF(H1362&lt;&gt;"",UPPER(TRIM(H1362)),IFERROR(CHOOSE(VALUE(E1362)+1,"A","B","C","D"),IF(OR(LEFT(UPPER(TRIM(E1362)),1)="F",UPPER(TRIM(E1362))="A"),"A",IF(OR(LEFT(UPPER(TRIM(E1362)),1)="M",UPPER(TRIM(E1362))="B"),"B",IF(OR(LEFT(UPPER(TRIM(E1362)),2)="SL",UPPER(TRIM(E1362))="C"),"C",IF(OR(LEFT(UPPER(TRIM(E1362)),1)="D",UPPER(TRIM(E1362))="D"),"D","")))))))</f>
        <v/>
      </c>
      <c r="J1362" s="27" t="str">
        <f aca="false">IF(I1362="","",IF(AND(I1362="D",Settings!$B$6&lt;&gt;"Yes"),"",IFERROR(INDEX(Settings!$C$9:$C$12,MATCH(I1362,Settings!$A$9:$A$12,0)),"")))</f>
        <v/>
      </c>
      <c r="K1362" s="27" t="str">
        <f aca="false">IF(J1362="","",COUNTIF($I$2:I1362,I1362))</f>
        <v/>
      </c>
      <c r="L1362" s="27" t="str">
        <f aca="false">IF(J1362="","",CHOOSE(Q1362+1,"Tue","Wed","Thu","Fri"))</f>
        <v/>
      </c>
      <c r="M1362" s="27" t="str">
        <f aca="false">IF(J1362="","",IF(J1362=1,"Every week",R1362+1&amp;" of "&amp;J1362))</f>
        <v/>
      </c>
      <c r="N1362" s="28" t="str">
        <f aca="false">IF(J1362="","",Settings!$B$4+R1362*7+Q1362)</f>
        <v/>
      </c>
      <c r="O1362" s="28" t="str">
        <f aca="true">IF(J1362="","",N1362+MAX(0,ROUNDUP((TODAY()-N1362)/(J1362*7),0))*J1362*7)</f>
        <v/>
      </c>
      <c r="P1362" s="27" t="str">
        <f aca="false">IF(J1362="","",MOD(K1362-1,J1362*4))</f>
        <v/>
      </c>
      <c r="Q1362" s="27" t="str">
        <f aca="false">IF(J1362="","",MOD(P1362,4))</f>
        <v/>
      </c>
      <c r="R1362" s="27" t="str">
        <f aca="false">IF(J1362="","",INT(P1362/4))</f>
        <v/>
      </c>
      <c r="S1362" s="27" t="str">
        <f aca="false">IF(J1362="","",IF(AND('Daily Count Sheet'!$H$3=Q1362,MOD('Daily Count Sheet'!$I$3,J1362)=R1362),1,""))</f>
        <v/>
      </c>
      <c r="T1362" s="27" t="str">
        <f aca="false">IF(S1362=1,COUNTIF($S$2:S1362,1),"")</f>
        <v/>
      </c>
    </row>
    <row r="1363" customFormat="false" ht="15" hidden="false" customHeight="false" outlineLevel="0" collapsed="false">
      <c r="H1363" s="26"/>
      <c r="I1363" s="27" t="str">
        <f aca="false">IF(A1363="","",IF(H1363&lt;&gt;"",UPPER(TRIM(H1363)),IFERROR(CHOOSE(VALUE(E1363)+1,"A","B","C","D"),IF(OR(LEFT(UPPER(TRIM(E1363)),1)="F",UPPER(TRIM(E1363))="A"),"A",IF(OR(LEFT(UPPER(TRIM(E1363)),1)="M",UPPER(TRIM(E1363))="B"),"B",IF(OR(LEFT(UPPER(TRIM(E1363)),2)="SL",UPPER(TRIM(E1363))="C"),"C",IF(OR(LEFT(UPPER(TRIM(E1363)),1)="D",UPPER(TRIM(E1363))="D"),"D","")))))))</f>
        <v/>
      </c>
      <c r="J1363" s="27" t="str">
        <f aca="false">IF(I1363="","",IF(AND(I1363="D",Settings!$B$6&lt;&gt;"Yes"),"",IFERROR(INDEX(Settings!$C$9:$C$12,MATCH(I1363,Settings!$A$9:$A$12,0)),"")))</f>
        <v/>
      </c>
      <c r="K1363" s="27" t="str">
        <f aca="false">IF(J1363="","",COUNTIF($I$2:I1363,I1363))</f>
        <v/>
      </c>
      <c r="L1363" s="27" t="str">
        <f aca="false">IF(J1363="","",CHOOSE(Q1363+1,"Tue","Wed","Thu","Fri"))</f>
        <v/>
      </c>
      <c r="M1363" s="27" t="str">
        <f aca="false">IF(J1363="","",IF(J1363=1,"Every week",R1363+1&amp;" of "&amp;J1363))</f>
        <v/>
      </c>
      <c r="N1363" s="28" t="str">
        <f aca="false">IF(J1363="","",Settings!$B$4+R1363*7+Q1363)</f>
        <v/>
      </c>
      <c r="O1363" s="28" t="str">
        <f aca="true">IF(J1363="","",N1363+MAX(0,ROUNDUP((TODAY()-N1363)/(J1363*7),0))*J1363*7)</f>
        <v/>
      </c>
      <c r="P1363" s="27" t="str">
        <f aca="false">IF(J1363="","",MOD(K1363-1,J1363*4))</f>
        <v/>
      </c>
      <c r="Q1363" s="27" t="str">
        <f aca="false">IF(J1363="","",MOD(P1363,4))</f>
        <v/>
      </c>
      <c r="R1363" s="27" t="str">
        <f aca="false">IF(J1363="","",INT(P1363/4))</f>
        <v/>
      </c>
      <c r="S1363" s="27" t="str">
        <f aca="false">IF(J1363="","",IF(AND('Daily Count Sheet'!$H$3=Q1363,MOD('Daily Count Sheet'!$I$3,J1363)=R1363),1,""))</f>
        <v/>
      </c>
      <c r="T1363" s="27" t="str">
        <f aca="false">IF(S1363=1,COUNTIF($S$2:S1363,1),"")</f>
        <v/>
      </c>
    </row>
    <row r="1364" customFormat="false" ht="15" hidden="false" customHeight="false" outlineLevel="0" collapsed="false">
      <c r="H1364" s="26"/>
      <c r="I1364" s="27" t="str">
        <f aca="false">IF(A1364="","",IF(H1364&lt;&gt;"",UPPER(TRIM(H1364)),IFERROR(CHOOSE(VALUE(E1364)+1,"A","B","C","D"),IF(OR(LEFT(UPPER(TRIM(E1364)),1)="F",UPPER(TRIM(E1364))="A"),"A",IF(OR(LEFT(UPPER(TRIM(E1364)),1)="M",UPPER(TRIM(E1364))="B"),"B",IF(OR(LEFT(UPPER(TRIM(E1364)),2)="SL",UPPER(TRIM(E1364))="C"),"C",IF(OR(LEFT(UPPER(TRIM(E1364)),1)="D",UPPER(TRIM(E1364))="D"),"D","")))))))</f>
        <v/>
      </c>
      <c r="J1364" s="27" t="str">
        <f aca="false">IF(I1364="","",IF(AND(I1364="D",Settings!$B$6&lt;&gt;"Yes"),"",IFERROR(INDEX(Settings!$C$9:$C$12,MATCH(I1364,Settings!$A$9:$A$12,0)),"")))</f>
        <v/>
      </c>
      <c r="K1364" s="27" t="str">
        <f aca="false">IF(J1364="","",COUNTIF($I$2:I1364,I1364))</f>
        <v/>
      </c>
      <c r="L1364" s="27" t="str">
        <f aca="false">IF(J1364="","",CHOOSE(Q1364+1,"Tue","Wed","Thu","Fri"))</f>
        <v/>
      </c>
      <c r="M1364" s="27" t="str">
        <f aca="false">IF(J1364="","",IF(J1364=1,"Every week",R1364+1&amp;" of "&amp;J1364))</f>
        <v/>
      </c>
      <c r="N1364" s="28" t="str">
        <f aca="false">IF(J1364="","",Settings!$B$4+R1364*7+Q1364)</f>
        <v/>
      </c>
      <c r="O1364" s="28" t="str">
        <f aca="true">IF(J1364="","",N1364+MAX(0,ROUNDUP((TODAY()-N1364)/(J1364*7),0))*J1364*7)</f>
        <v/>
      </c>
      <c r="P1364" s="27" t="str">
        <f aca="false">IF(J1364="","",MOD(K1364-1,J1364*4))</f>
        <v/>
      </c>
      <c r="Q1364" s="27" t="str">
        <f aca="false">IF(J1364="","",MOD(P1364,4))</f>
        <v/>
      </c>
      <c r="R1364" s="27" t="str">
        <f aca="false">IF(J1364="","",INT(P1364/4))</f>
        <v/>
      </c>
      <c r="S1364" s="27" t="str">
        <f aca="false">IF(J1364="","",IF(AND('Daily Count Sheet'!$H$3=Q1364,MOD('Daily Count Sheet'!$I$3,J1364)=R1364),1,""))</f>
        <v/>
      </c>
      <c r="T1364" s="27" t="str">
        <f aca="false">IF(S1364=1,COUNTIF($S$2:S1364,1),"")</f>
        <v/>
      </c>
    </row>
    <row r="1365" customFormat="false" ht="15" hidden="false" customHeight="false" outlineLevel="0" collapsed="false">
      <c r="H1365" s="26"/>
      <c r="I1365" s="27" t="str">
        <f aca="false">IF(A1365="","",IF(H1365&lt;&gt;"",UPPER(TRIM(H1365)),IFERROR(CHOOSE(VALUE(E1365)+1,"A","B","C","D"),IF(OR(LEFT(UPPER(TRIM(E1365)),1)="F",UPPER(TRIM(E1365))="A"),"A",IF(OR(LEFT(UPPER(TRIM(E1365)),1)="M",UPPER(TRIM(E1365))="B"),"B",IF(OR(LEFT(UPPER(TRIM(E1365)),2)="SL",UPPER(TRIM(E1365))="C"),"C",IF(OR(LEFT(UPPER(TRIM(E1365)),1)="D",UPPER(TRIM(E1365))="D"),"D","")))))))</f>
        <v/>
      </c>
      <c r="J1365" s="27" t="str">
        <f aca="false">IF(I1365="","",IF(AND(I1365="D",Settings!$B$6&lt;&gt;"Yes"),"",IFERROR(INDEX(Settings!$C$9:$C$12,MATCH(I1365,Settings!$A$9:$A$12,0)),"")))</f>
        <v/>
      </c>
      <c r="K1365" s="27" t="str">
        <f aca="false">IF(J1365="","",COUNTIF($I$2:I1365,I1365))</f>
        <v/>
      </c>
      <c r="L1365" s="27" t="str">
        <f aca="false">IF(J1365="","",CHOOSE(Q1365+1,"Tue","Wed","Thu","Fri"))</f>
        <v/>
      </c>
      <c r="M1365" s="27" t="str">
        <f aca="false">IF(J1365="","",IF(J1365=1,"Every week",R1365+1&amp;" of "&amp;J1365))</f>
        <v/>
      </c>
      <c r="N1365" s="28" t="str">
        <f aca="false">IF(J1365="","",Settings!$B$4+R1365*7+Q1365)</f>
        <v/>
      </c>
      <c r="O1365" s="28" t="str">
        <f aca="true">IF(J1365="","",N1365+MAX(0,ROUNDUP((TODAY()-N1365)/(J1365*7),0))*J1365*7)</f>
        <v/>
      </c>
      <c r="P1365" s="27" t="str">
        <f aca="false">IF(J1365="","",MOD(K1365-1,J1365*4))</f>
        <v/>
      </c>
      <c r="Q1365" s="27" t="str">
        <f aca="false">IF(J1365="","",MOD(P1365,4))</f>
        <v/>
      </c>
      <c r="R1365" s="27" t="str">
        <f aca="false">IF(J1365="","",INT(P1365/4))</f>
        <v/>
      </c>
      <c r="S1365" s="27" t="str">
        <f aca="false">IF(J1365="","",IF(AND('Daily Count Sheet'!$H$3=Q1365,MOD('Daily Count Sheet'!$I$3,J1365)=R1365),1,""))</f>
        <v/>
      </c>
      <c r="T1365" s="27" t="str">
        <f aca="false">IF(S1365=1,COUNTIF($S$2:S1365,1),"")</f>
        <v/>
      </c>
    </row>
    <row r="1366" customFormat="false" ht="15" hidden="false" customHeight="false" outlineLevel="0" collapsed="false">
      <c r="H1366" s="26"/>
      <c r="I1366" s="27" t="str">
        <f aca="false">IF(A1366="","",IF(H1366&lt;&gt;"",UPPER(TRIM(H1366)),IFERROR(CHOOSE(VALUE(E1366)+1,"A","B","C","D"),IF(OR(LEFT(UPPER(TRIM(E1366)),1)="F",UPPER(TRIM(E1366))="A"),"A",IF(OR(LEFT(UPPER(TRIM(E1366)),1)="M",UPPER(TRIM(E1366))="B"),"B",IF(OR(LEFT(UPPER(TRIM(E1366)),2)="SL",UPPER(TRIM(E1366))="C"),"C",IF(OR(LEFT(UPPER(TRIM(E1366)),1)="D",UPPER(TRIM(E1366))="D"),"D","")))))))</f>
        <v/>
      </c>
      <c r="J1366" s="27" t="str">
        <f aca="false">IF(I1366="","",IF(AND(I1366="D",Settings!$B$6&lt;&gt;"Yes"),"",IFERROR(INDEX(Settings!$C$9:$C$12,MATCH(I1366,Settings!$A$9:$A$12,0)),"")))</f>
        <v/>
      </c>
      <c r="K1366" s="27" t="str">
        <f aca="false">IF(J1366="","",COUNTIF($I$2:I1366,I1366))</f>
        <v/>
      </c>
      <c r="L1366" s="27" t="str">
        <f aca="false">IF(J1366="","",CHOOSE(Q1366+1,"Tue","Wed","Thu","Fri"))</f>
        <v/>
      </c>
      <c r="M1366" s="27" t="str">
        <f aca="false">IF(J1366="","",IF(J1366=1,"Every week",R1366+1&amp;" of "&amp;J1366))</f>
        <v/>
      </c>
      <c r="N1366" s="28" t="str">
        <f aca="false">IF(J1366="","",Settings!$B$4+R1366*7+Q1366)</f>
        <v/>
      </c>
      <c r="O1366" s="28" t="str">
        <f aca="true">IF(J1366="","",N1366+MAX(0,ROUNDUP((TODAY()-N1366)/(J1366*7),0))*J1366*7)</f>
        <v/>
      </c>
      <c r="P1366" s="27" t="str">
        <f aca="false">IF(J1366="","",MOD(K1366-1,J1366*4))</f>
        <v/>
      </c>
      <c r="Q1366" s="27" t="str">
        <f aca="false">IF(J1366="","",MOD(P1366,4))</f>
        <v/>
      </c>
      <c r="R1366" s="27" t="str">
        <f aca="false">IF(J1366="","",INT(P1366/4))</f>
        <v/>
      </c>
      <c r="S1366" s="27" t="str">
        <f aca="false">IF(J1366="","",IF(AND('Daily Count Sheet'!$H$3=Q1366,MOD('Daily Count Sheet'!$I$3,J1366)=R1366),1,""))</f>
        <v/>
      </c>
      <c r="T1366" s="27" t="str">
        <f aca="false">IF(S1366=1,COUNTIF($S$2:S1366,1),"")</f>
        <v/>
      </c>
    </row>
    <row r="1367" customFormat="false" ht="15" hidden="false" customHeight="false" outlineLevel="0" collapsed="false">
      <c r="H1367" s="26"/>
      <c r="I1367" s="27" t="str">
        <f aca="false">IF(A1367="","",IF(H1367&lt;&gt;"",UPPER(TRIM(H1367)),IFERROR(CHOOSE(VALUE(E1367)+1,"A","B","C","D"),IF(OR(LEFT(UPPER(TRIM(E1367)),1)="F",UPPER(TRIM(E1367))="A"),"A",IF(OR(LEFT(UPPER(TRIM(E1367)),1)="M",UPPER(TRIM(E1367))="B"),"B",IF(OR(LEFT(UPPER(TRIM(E1367)),2)="SL",UPPER(TRIM(E1367))="C"),"C",IF(OR(LEFT(UPPER(TRIM(E1367)),1)="D",UPPER(TRIM(E1367))="D"),"D","")))))))</f>
        <v/>
      </c>
      <c r="J1367" s="27" t="str">
        <f aca="false">IF(I1367="","",IF(AND(I1367="D",Settings!$B$6&lt;&gt;"Yes"),"",IFERROR(INDEX(Settings!$C$9:$C$12,MATCH(I1367,Settings!$A$9:$A$12,0)),"")))</f>
        <v/>
      </c>
      <c r="K1367" s="27" t="str">
        <f aca="false">IF(J1367="","",COUNTIF($I$2:I1367,I1367))</f>
        <v/>
      </c>
      <c r="L1367" s="27" t="str">
        <f aca="false">IF(J1367="","",CHOOSE(Q1367+1,"Tue","Wed","Thu","Fri"))</f>
        <v/>
      </c>
      <c r="M1367" s="27" t="str">
        <f aca="false">IF(J1367="","",IF(J1367=1,"Every week",R1367+1&amp;" of "&amp;J1367))</f>
        <v/>
      </c>
      <c r="N1367" s="28" t="str">
        <f aca="false">IF(J1367="","",Settings!$B$4+R1367*7+Q1367)</f>
        <v/>
      </c>
      <c r="O1367" s="28" t="str">
        <f aca="true">IF(J1367="","",N1367+MAX(0,ROUNDUP((TODAY()-N1367)/(J1367*7),0))*J1367*7)</f>
        <v/>
      </c>
      <c r="P1367" s="27" t="str">
        <f aca="false">IF(J1367="","",MOD(K1367-1,J1367*4))</f>
        <v/>
      </c>
      <c r="Q1367" s="27" t="str">
        <f aca="false">IF(J1367="","",MOD(P1367,4))</f>
        <v/>
      </c>
      <c r="R1367" s="27" t="str">
        <f aca="false">IF(J1367="","",INT(P1367/4))</f>
        <v/>
      </c>
      <c r="S1367" s="27" t="str">
        <f aca="false">IF(J1367="","",IF(AND('Daily Count Sheet'!$H$3=Q1367,MOD('Daily Count Sheet'!$I$3,J1367)=R1367),1,""))</f>
        <v/>
      </c>
      <c r="T1367" s="27" t="str">
        <f aca="false">IF(S1367=1,COUNTIF($S$2:S1367,1),"")</f>
        <v/>
      </c>
    </row>
    <row r="1368" customFormat="false" ht="15" hidden="false" customHeight="false" outlineLevel="0" collapsed="false">
      <c r="H1368" s="26"/>
      <c r="I1368" s="27" t="str">
        <f aca="false">IF(A1368="","",IF(H1368&lt;&gt;"",UPPER(TRIM(H1368)),IFERROR(CHOOSE(VALUE(E1368)+1,"A","B","C","D"),IF(OR(LEFT(UPPER(TRIM(E1368)),1)="F",UPPER(TRIM(E1368))="A"),"A",IF(OR(LEFT(UPPER(TRIM(E1368)),1)="M",UPPER(TRIM(E1368))="B"),"B",IF(OR(LEFT(UPPER(TRIM(E1368)),2)="SL",UPPER(TRIM(E1368))="C"),"C",IF(OR(LEFT(UPPER(TRIM(E1368)),1)="D",UPPER(TRIM(E1368))="D"),"D","")))))))</f>
        <v/>
      </c>
      <c r="J1368" s="27" t="str">
        <f aca="false">IF(I1368="","",IF(AND(I1368="D",Settings!$B$6&lt;&gt;"Yes"),"",IFERROR(INDEX(Settings!$C$9:$C$12,MATCH(I1368,Settings!$A$9:$A$12,0)),"")))</f>
        <v/>
      </c>
      <c r="K1368" s="27" t="str">
        <f aca="false">IF(J1368="","",COUNTIF($I$2:I1368,I1368))</f>
        <v/>
      </c>
      <c r="L1368" s="27" t="str">
        <f aca="false">IF(J1368="","",CHOOSE(Q1368+1,"Tue","Wed","Thu","Fri"))</f>
        <v/>
      </c>
      <c r="M1368" s="27" t="str">
        <f aca="false">IF(J1368="","",IF(J1368=1,"Every week",R1368+1&amp;" of "&amp;J1368))</f>
        <v/>
      </c>
      <c r="N1368" s="28" t="str">
        <f aca="false">IF(J1368="","",Settings!$B$4+R1368*7+Q1368)</f>
        <v/>
      </c>
      <c r="O1368" s="28" t="str">
        <f aca="true">IF(J1368="","",N1368+MAX(0,ROUNDUP((TODAY()-N1368)/(J1368*7),0))*J1368*7)</f>
        <v/>
      </c>
      <c r="P1368" s="27" t="str">
        <f aca="false">IF(J1368="","",MOD(K1368-1,J1368*4))</f>
        <v/>
      </c>
      <c r="Q1368" s="27" t="str">
        <f aca="false">IF(J1368="","",MOD(P1368,4))</f>
        <v/>
      </c>
      <c r="R1368" s="27" t="str">
        <f aca="false">IF(J1368="","",INT(P1368/4))</f>
        <v/>
      </c>
      <c r="S1368" s="27" t="str">
        <f aca="false">IF(J1368="","",IF(AND('Daily Count Sheet'!$H$3=Q1368,MOD('Daily Count Sheet'!$I$3,J1368)=R1368),1,""))</f>
        <v/>
      </c>
      <c r="T1368" s="27" t="str">
        <f aca="false">IF(S1368=1,COUNTIF($S$2:S1368,1),"")</f>
        <v/>
      </c>
    </row>
    <row r="1369" customFormat="false" ht="15" hidden="false" customHeight="false" outlineLevel="0" collapsed="false">
      <c r="H1369" s="26"/>
      <c r="I1369" s="27" t="str">
        <f aca="false">IF(A1369="","",IF(H1369&lt;&gt;"",UPPER(TRIM(H1369)),IFERROR(CHOOSE(VALUE(E1369)+1,"A","B","C","D"),IF(OR(LEFT(UPPER(TRIM(E1369)),1)="F",UPPER(TRIM(E1369))="A"),"A",IF(OR(LEFT(UPPER(TRIM(E1369)),1)="M",UPPER(TRIM(E1369))="B"),"B",IF(OR(LEFT(UPPER(TRIM(E1369)),2)="SL",UPPER(TRIM(E1369))="C"),"C",IF(OR(LEFT(UPPER(TRIM(E1369)),1)="D",UPPER(TRIM(E1369))="D"),"D","")))))))</f>
        <v/>
      </c>
      <c r="J1369" s="27" t="str">
        <f aca="false">IF(I1369="","",IF(AND(I1369="D",Settings!$B$6&lt;&gt;"Yes"),"",IFERROR(INDEX(Settings!$C$9:$C$12,MATCH(I1369,Settings!$A$9:$A$12,0)),"")))</f>
        <v/>
      </c>
      <c r="K1369" s="27" t="str">
        <f aca="false">IF(J1369="","",COUNTIF($I$2:I1369,I1369))</f>
        <v/>
      </c>
      <c r="L1369" s="27" t="str">
        <f aca="false">IF(J1369="","",CHOOSE(Q1369+1,"Tue","Wed","Thu","Fri"))</f>
        <v/>
      </c>
      <c r="M1369" s="27" t="str">
        <f aca="false">IF(J1369="","",IF(J1369=1,"Every week",R1369+1&amp;" of "&amp;J1369))</f>
        <v/>
      </c>
      <c r="N1369" s="28" t="str">
        <f aca="false">IF(J1369="","",Settings!$B$4+R1369*7+Q1369)</f>
        <v/>
      </c>
      <c r="O1369" s="28" t="str">
        <f aca="true">IF(J1369="","",N1369+MAX(0,ROUNDUP((TODAY()-N1369)/(J1369*7),0))*J1369*7)</f>
        <v/>
      </c>
      <c r="P1369" s="27" t="str">
        <f aca="false">IF(J1369="","",MOD(K1369-1,J1369*4))</f>
        <v/>
      </c>
      <c r="Q1369" s="27" t="str">
        <f aca="false">IF(J1369="","",MOD(P1369,4))</f>
        <v/>
      </c>
      <c r="R1369" s="27" t="str">
        <f aca="false">IF(J1369="","",INT(P1369/4))</f>
        <v/>
      </c>
      <c r="S1369" s="27" t="str">
        <f aca="false">IF(J1369="","",IF(AND('Daily Count Sheet'!$H$3=Q1369,MOD('Daily Count Sheet'!$I$3,J1369)=R1369),1,""))</f>
        <v/>
      </c>
      <c r="T1369" s="27" t="str">
        <f aca="false">IF(S1369=1,COUNTIF($S$2:S1369,1),"")</f>
        <v/>
      </c>
    </row>
    <row r="1370" customFormat="false" ht="15" hidden="false" customHeight="false" outlineLevel="0" collapsed="false">
      <c r="H1370" s="26"/>
      <c r="I1370" s="27" t="str">
        <f aca="false">IF(A1370="","",IF(H1370&lt;&gt;"",UPPER(TRIM(H1370)),IFERROR(CHOOSE(VALUE(E1370)+1,"A","B","C","D"),IF(OR(LEFT(UPPER(TRIM(E1370)),1)="F",UPPER(TRIM(E1370))="A"),"A",IF(OR(LEFT(UPPER(TRIM(E1370)),1)="M",UPPER(TRIM(E1370))="B"),"B",IF(OR(LEFT(UPPER(TRIM(E1370)),2)="SL",UPPER(TRIM(E1370))="C"),"C",IF(OR(LEFT(UPPER(TRIM(E1370)),1)="D",UPPER(TRIM(E1370))="D"),"D","")))))))</f>
        <v/>
      </c>
      <c r="J1370" s="27" t="str">
        <f aca="false">IF(I1370="","",IF(AND(I1370="D",Settings!$B$6&lt;&gt;"Yes"),"",IFERROR(INDEX(Settings!$C$9:$C$12,MATCH(I1370,Settings!$A$9:$A$12,0)),"")))</f>
        <v/>
      </c>
      <c r="K1370" s="27" t="str">
        <f aca="false">IF(J1370="","",COUNTIF($I$2:I1370,I1370))</f>
        <v/>
      </c>
      <c r="L1370" s="27" t="str">
        <f aca="false">IF(J1370="","",CHOOSE(Q1370+1,"Tue","Wed","Thu","Fri"))</f>
        <v/>
      </c>
      <c r="M1370" s="27" t="str">
        <f aca="false">IF(J1370="","",IF(J1370=1,"Every week",R1370+1&amp;" of "&amp;J1370))</f>
        <v/>
      </c>
      <c r="N1370" s="28" t="str">
        <f aca="false">IF(J1370="","",Settings!$B$4+R1370*7+Q1370)</f>
        <v/>
      </c>
      <c r="O1370" s="28" t="str">
        <f aca="true">IF(J1370="","",N1370+MAX(0,ROUNDUP((TODAY()-N1370)/(J1370*7),0))*J1370*7)</f>
        <v/>
      </c>
      <c r="P1370" s="27" t="str">
        <f aca="false">IF(J1370="","",MOD(K1370-1,J1370*4))</f>
        <v/>
      </c>
      <c r="Q1370" s="27" t="str">
        <f aca="false">IF(J1370="","",MOD(P1370,4))</f>
        <v/>
      </c>
      <c r="R1370" s="27" t="str">
        <f aca="false">IF(J1370="","",INT(P1370/4))</f>
        <v/>
      </c>
      <c r="S1370" s="27" t="str">
        <f aca="false">IF(J1370="","",IF(AND('Daily Count Sheet'!$H$3=Q1370,MOD('Daily Count Sheet'!$I$3,J1370)=R1370),1,""))</f>
        <v/>
      </c>
      <c r="T1370" s="27" t="str">
        <f aca="false">IF(S1370=1,COUNTIF($S$2:S1370,1),"")</f>
        <v/>
      </c>
    </row>
    <row r="1371" customFormat="false" ht="15" hidden="false" customHeight="false" outlineLevel="0" collapsed="false">
      <c r="H1371" s="26"/>
      <c r="I1371" s="27" t="str">
        <f aca="false">IF(A1371="","",IF(H1371&lt;&gt;"",UPPER(TRIM(H1371)),IFERROR(CHOOSE(VALUE(E1371)+1,"A","B","C","D"),IF(OR(LEFT(UPPER(TRIM(E1371)),1)="F",UPPER(TRIM(E1371))="A"),"A",IF(OR(LEFT(UPPER(TRIM(E1371)),1)="M",UPPER(TRIM(E1371))="B"),"B",IF(OR(LEFT(UPPER(TRIM(E1371)),2)="SL",UPPER(TRIM(E1371))="C"),"C",IF(OR(LEFT(UPPER(TRIM(E1371)),1)="D",UPPER(TRIM(E1371))="D"),"D","")))))))</f>
        <v/>
      </c>
      <c r="J1371" s="27" t="str">
        <f aca="false">IF(I1371="","",IF(AND(I1371="D",Settings!$B$6&lt;&gt;"Yes"),"",IFERROR(INDEX(Settings!$C$9:$C$12,MATCH(I1371,Settings!$A$9:$A$12,0)),"")))</f>
        <v/>
      </c>
      <c r="K1371" s="27" t="str">
        <f aca="false">IF(J1371="","",COUNTIF($I$2:I1371,I1371))</f>
        <v/>
      </c>
      <c r="L1371" s="27" t="str">
        <f aca="false">IF(J1371="","",CHOOSE(Q1371+1,"Tue","Wed","Thu","Fri"))</f>
        <v/>
      </c>
      <c r="M1371" s="27" t="str">
        <f aca="false">IF(J1371="","",IF(J1371=1,"Every week",R1371+1&amp;" of "&amp;J1371))</f>
        <v/>
      </c>
      <c r="N1371" s="28" t="str">
        <f aca="false">IF(J1371="","",Settings!$B$4+R1371*7+Q1371)</f>
        <v/>
      </c>
      <c r="O1371" s="28" t="str">
        <f aca="true">IF(J1371="","",N1371+MAX(0,ROUNDUP((TODAY()-N1371)/(J1371*7),0))*J1371*7)</f>
        <v/>
      </c>
      <c r="P1371" s="27" t="str">
        <f aca="false">IF(J1371="","",MOD(K1371-1,J1371*4))</f>
        <v/>
      </c>
      <c r="Q1371" s="27" t="str">
        <f aca="false">IF(J1371="","",MOD(P1371,4))</f>
        <v/>
      </c>
      <c r="R1371" s="27" t="str">
        <f aca="false">IF(J1371="","",INT(P1371/4))</f>
        <v/>
      </c>
      <c r="S1371" s="27" t="str">
        <f aca="false">IF(J1371="","",IF(AND('Daily Count Sheet'!$H$3=Q1371,MOD('Daily Count Sheet'!$I$3,J1371)=R1371),1,""))</f>
        <v/>
      </c>
      <c r="T1371" s="27" t="str">
        <f aca="false">IF(S1371=1,COUNTIF($S$2:S1371,1),"")</f>
        <v/>
      </c>
    </row>
    <row r="1372" customFormat="false" ht="15" hidden="false" customHeight="false" outlineLevel="0" collapsed="false">
      <c r="H1372" s="26"/>
      <c r="I1372" s="27" t="str">
        <f aca="false">IF(A1372="","",IF(H1372&lt;&gt;"",UPPER(TRIM(H1372)),IFERROR(CHOOSE(VALUE(E1372)+1,"A","B","C","D"),IF(OR(LEFT(UPPER(TRIM(E1372)),1)="F",UPPER(TRIM(E1372))="A"),"A",IF(OR(LEFT(UPPER(TRIM(E1372)),1)="M",UPPER(TRIM(E1372))="B"),"B",IF(OR(LEFT(UPPER(TRIM(E1372)),2)="SL",UPPER(TRIM(E1372))="C"),"C",IF(OR(LEFT(UPPER(TRIM(E1372)),1)="D",UPPER(TRIM(E1372))="D"),"D","")))))))</f>
        <v/>
      </c>
      <c r="J1372" s="27" t="str">
        <f aca="false">IF(I1372="","",IF(AND(I1372="D",Settings!$B$6&lt;&gt;"Yes"),"",IFERROR(INDEX(Settings!$C$9:$C$12,MATCH(I1372,Settings!$A$9:$A$12,0)),"")))</f>
        <v/>
      </c>
      <c r="K1372" s="27" t="str">
        <f aca="false">IF(J1372="","",COUNTIF($I$2:I1372,I1372))</f>
        <v/>
      </c>
      <c r="L1372" s="27" t="str">
        <f aca="false">IF(J1372="","",CHOOSE(Q1372+1,"Tue","Wed","Thu","Fri"))</f>
        <v/>
      </c>
      <c r="M1372" s="27" t="str">
        <f aca="false">IF(J1372="","",IF(J1372=1,"Every week",R1372+1&amp;" of "&amp;J1372))</f>
        <v/>
      </c>
      <c r="N1372" s="28" t="str">
        <f aca="false">IF(J1372="","",Settings!$B$4+R1372*7+Q1372)</f>
        <v/>
      </c>
      <c r="O1372" s="28" t="str">
        <f aca="true">IF(J1372="","",N1372+MAX(0,ROUNDUP((TODAY()-N1372)/(J1372*7),0))*J1372*7)</f>
        <v/>
      </c>
      <c r="P1372" s="27" t="str">
        <f aca="false">IF(J1372="","",MOD(K1372-1,J1372*4))</f>
        <v/>
      </c>
      <c r="Q1372" s="27" t="str">
        <f aca="false">IF(J1372="","",MOD(P1372,4))</f>
        <v/>
      </c>
      <c r="R1372" s="27" t="str">
        <f aca="false">IF(J1372="","",INT(P1372/4))</f>
        <v/>
      </c>
      <c r="S1372" s="27" t="str">
        <f aca="false">IF(J1372="","",IF(AND('Daily Count Sheet'!$H$3=Q1372,MOD('Daily Count Sheet'!$I$3,J1372)=R1372),1,""))</f>
        <v/>
      </c>
      <c r="T1372" s="27" t="str">
        <f aca="false">IF(S1372=1,COUNTIF($S$2:S1372,1),"")</f>
        <v/>
      </c>
    </row>
    <row r="1373" customFormat="false" ht="15" hidden="false" customHeight="false" outlineLevel="0" collapsed="false">
      <c r="H1373" s="26"/>
      <c r="I1373" s="27" t="str">
        <f aca="false">IF(A1373="","",IF(H1373&lt;&gt;"",UPPER(TRIM(H1373)),IFERROR(CHOOSE(VALUE(E1373)+1,"A","B","C","D"),IF(OR(LEFT(UPPER(TRIM(E1373)),1)="F",UPPER(TRIM(E1373))="A"),"A",IF(OR(LEFT(UPPER(TRIM(E1373)),1)="M",UPPER(TRIM(E1373))="B"),"B",IF(OR(LEFT(UPPER(TRIM(E1373)),2)="SL",UPPER(TRIM(E1373))="C"),"C",IF(OR(LEFT(UPPER(TRIM(E1373)),1)="D",UPPER(TRIM(E1373))="D"),"D","")))))))</f>
        <v/>
      </c>
      <c r="J1373" s="27" t="str">
        <f aca="false">IF(I1373="","",IF(AND(I1373="D",Settings!$B$6&lt;&gt;"Yes"),"",IFERROR(INDEX(Settings!$C$9:$C$12,MATCH(I1373,Settings!$A$9:$A$12,0)),"")))</f>
        <v/>
      </c>
      <c r="K1373" s="27" t="str">
        <f aca="false">IF(J1373="","",COUNTIF($I$2:I1373,I1373))</f>
        <v/>
      </c>
      <c r="L1373" s="27" t="str">
        <f aca="false">IF(J1373="","",CHOOSE(Q1373+1,"Tue","Wed","Thu","Fri"))</f>
        <v/>
      </c>
      <c r="M1373" s="27" t="str">
        <f aca="false">IF(J1373="","",IF(J1373=1,"Every week",R1373+1&amp;" of "&amp;J1373))</f>
        <v/>
      </c>
      <c r="N1373" s="28" t="str">
        <f aca="false">IF(J1373="","",Settings!$B$4+R1373*7+Q1373)</f>
        <v/>
      </c>
      <c r="O1373" s="28" t="str">
        <f aca="true">IF(J1373="","",N1373+MAX(0,ROUNDUP((TODAY()-N1373)/(J1373*7),0))*J1373*7)</f>
        <v/>
      </c>
      <c r="P1373" s="27" t="str">
        <f aca="false">IF(J1373="","",MOD(K1373-1,J1373*4))</f>
        <v/>
      </c>
      <c r="Q1373" s="27" t="str">
        <f aca="false">IF(J1373="","",MOD(P1373,4))</f>
        <v/>
      </c>
      <c r="R1373" s="27" t="str">
        <f aca="false">IF(J1373="","",INT(P1373/4))</f>
        <v/>
      </c>
      <c r="S1373" s="27" t="str">
        <f aca="false">IF(J1373="","",IF(AND('Daily Count Sheet'!$H$3=Q1373,MOD('Daily Count Sheet'!$I$3,J1373)=R1373),1,""))</f>
        <v/>
      </c>
      <c r="T1373" s="27" t="str">
        <f aca="false">IF(S1373=1,COUNTIF($S$2:S1373,1),"")</f>
        <v/>
      </c>
    </row>
    <row r="1374" customFormat="false" ht="15" hidden="false" customHeight="false" outlineLevel="0" collapsed="false">
      <c r="H1374" s="26"/>
      <c r="I1374" s="27" t="str">
        <f aca="false">IF(A1374="","",IF(H1374&lt;&gt;"",UPPER(TRIM(H1374)),IFERROR(CHOOSE(VALUE(E1374)+1,"A","B","C","D"),IF(OR(LEFT(UPPER(TRIM(E1374)),1)="F",UPPER(TRIM(E1374))="A"),"A",IF(OR(LEFT(UPPER(TRIM(E1374)),1)="M",UPPER(TRIM(E1374))="B"),"B",IF(OR(LEFT(UPPER(TRIM(E1374)),2)="SL",UPPER(TRIM(E1374))="C"),"C",IF(OR(LEFT(UPPER(TRIM(E1374)),1)="D",UPPER(TRIM(E1374))="D"),"D","")))))))</f>
        <v/>
      </c>
      <c r="J1374" s="27" t="str">
        <f aca="false">IF(I1374="","",IF(AND(I1374="D",Settings!$B$6&lt;&gt;"Yes"),"",IFERROR(INDEX(Settings!$C$9:$C$12,MATCH(I1374,Settings!$A$9:$A$12,0)),"")))</f>
        <v/>
      </c>
      <c r="K1374" s="27" t="str">
        <f aca="false">IF(J1374="","",COUNTIF($I$2:I1374,I1374))</f>
        <v/>
      </c>
      <c r="L1374" s="27" t="str">
        <f aca="false">IF(J1374="","",CHOOSE(Q1374+1,"Tue","Wed","Thu","Fri"))</f>
        <v/>
      </c>
      <c r="M1374" s="27" t="str">
        <f aca="false">IF(J1374="","",IF(J1374=1,"Every week",R1374+1&amp;" of "&amp;J1374))</f>
        <v/>
      </c>
      <c r="N1374" s="28" t="str">
        <f aca="false">IF(J1374="","",Settings!$B$4+R1374*7+Q1374)</f>
        <v/>
      </c>
      <c r="O1374" s="28" t="str">
        <f aca="true">IF(J1374="","",N1374+MAX(0,ROUNDUP((TODAY()-N1374)/(J1374*7),0))*J1374*7)</f>
        <v/>
      </c>
      <c r="P1374" s="27" t="str">
        <f aca="false">IF(J1374="","",MOD(K1374-1,J1374*4))</f>
        <v/>
      </c>
      <c r="Q1374" s="27" t="str">
        <f aca="false">IF(J1374="","",MOD(P1374,4))</f>
        <v/>
      </c>
      <c r="R1374" s="27" t="str">
        <f aca="false">IF(J1374="","",INT(P1374/4))</f>
        <v/>
      </c>
      <c r="S1374" s="27" t="str">
        <f aca="false">IF(J1374="","",IF(AND('Daily Count Sheet'!$H$3=Q1374,MOD('Daily Count Sheet'!$I$3,J1374)=R1374),1,""))</f>
        <v/>
      </c>
      <c r="T1374" s="27" t="str">
        <f aca="false">IF(S1374=1,COUNTIF($S$2:S1374,1),"")</f>
        <v/>
      </c>
    </row>
    <row r="1375" customFormat="false" ht="15" hidden="false" customHeight="false" outlineLevel="0" collapsed="false">
      <c r="H1375" s="26"/>
      <c r="I1375" s="27" t="str">
        <f aca="false">IF(A1375="","",IF(H1375&lt;&gt;"",UPPER(TRIM(H1375)),IFERROR(CHOOSE(VALUE(E1375)+1,"A","B","C","D"),IF(OR(LEFT(UPPER(TRIM(E1375)),1)="F",UPPER(TRIM(E1375))="A"),"A",IF(OR(LEFT(UPPER(TRIM(E1375)),1)="M",UPPER(TRIM(E1375))="B"),"B",IF(OR(LEFT(UPPER(TRIM(E1375)),2)="SL",UPPER(TRIM(E1375))="C"),"C",IF(OR(LEFT(UPPER(TRIM(E1375)),1)="D",UPPER(TRIM(E1375))="D"),"D","")))))))</f>
        <v/>
      </c>
      <c r="J1375" s="27" t="str">
        <f aca="false">IF(I1375="","",IF(AND(I1375="D",Settings!$B$6&lt;&gt;"Yes"),"",IFERROR(INDEX(Settings!$C$9:$C$12,MATCH(I1375,Settings!$A$9:$A$12,0)),"")))</f>
        <v/>
      </c>
      <c r="K1375" s="27" t="str">
        <f aca="false">IF(J1375="","",COUNTIF($I$2:I1375,I1375))</f>
        <v/>
      </c>
      <c r="L1375" s="27" t="str">
        <f aca="false">IF(J1375="","",CHOOSE(Q1375+1,"Tue","Wed","Thu","Fri"))</f>
        <v/>
      </c>
      <c r="M1375" s="27" t="str">
        <f aca="false">IF(J1375="","",IF(J1375=1,"Every week",R1375+1&amp;" of "&amp;J1375))</f>
        <v/>
      </c>
      <c r="N1375" s="28" t="str">
        <f aca="false">IF(J1375="","",Settings!$B$4+R1375*7+Q1375)</f>
        <v/>
      </c>
      <c r="O1375" s="28" t="str">
        <f aca="true">IF(J1375="","",N1375+MAX(0,ROUNDUP((TODAY()-N1375)/(J1375*7),0))*J1375*7)</f>
        <v/>
      </c>
      <c r="P1375" s="27" t="str">
        <f aca="false">IF(J1375="","",MOD(K1375-1,J1375*4))</f>
        <v/>
      </c>
      <c r="Q1375" s="27" t="str">
        <f aca="false">IF(J1375="","",MOD(P1375,4))</f>
        <v/>
      </c>
      <c r="R1375" s="27" t="str">
        <f aca="false">IF(J1375="","",INT(P1375/4))</f>
        <v/>
      </c>
      <c r="S1375" s="27" t="str">
        <f aca="false">IF(J1375="","",IF(AND('Daily Count Sheet'!$H$3=Q1375,MOD('Daily Count Sheet'!$I$3,J1375)=R1375),1,""))</f>
        <v/>
      </c>
      <c r="T1375" s="27" t="str">
        <f aca="false">IF(S1375=1,COUNTIF($S$2:S1375,1),"")</f>
        <v/>
      </c>
    </row>
    <row r="1376" customFormat="false" ht="15" hidden="false" customHeight="false" outlineLevel="0" collapsed="false">
      <c r="H1376" s="26"/>
      <c r="I1376" s="27" t="str">
        <f aca="false">IF(A1376="","",IF(H1376&lt;&gt;"",UPPER(TRIM(H1376)),IFERROR(CHOOSE(VALUE(E1376)+1,"A","B","C","D"),IF(OR(LEFT(UPPER(TRIM(E1376)),1)="F",UPPER(TRIM(E1376))="A"),"A",IF(OR(LEFT(UPPER(TRIM(E1376)),1)="M",UPPER(TRIM(E1376))="B"),"B",IF(OR(LEFT(UPPER(TRIM(E1376)),2)="SL",UPPER(TRIM(E1376))="C"),"C",IF(OR(LEFT(UPPER(TRIM(E1376)),1)="D",UPPER(TRIM(E1376))="D"),"D","")))))))</f>
        <v/>
      </c>
      <c r="J1376" s="27" t="str">
        <f aca="false">IF(I1376="","",IF(AND(I1376="D",Settings!$B$6&lt;&gt;"Yes"),"",IFERROR(INDEX(Settings!$C$9:$C$12,MATCH(I1376,Settings!$A$9:$A$12,0)),"")))</f>
        <v/>
      </c>
      <c r="K1376" s="27" t="str">
        <f aca="false">IF(J1376="","",COUNTIF($I$2:I1376,I1376))</f>
        <v/>
      </c>
      <c r="L1376" s="27" t="str">
        <f aca="false">IF(J1376="","",CHOOSE(Q1376+1,"Tue","Wed","Thu","Fri"))</f>
        <v/>
      </c>
      <c r="M1376" s="27" t="str">
        <f aca="false">IF(J1376="","",IF(J1376=1,"Every week",R1376+1&amp;" of "&amp;J1376))</f>
        <v/>
      </c>
      <c r="N1376" s="28" t="str">
        <f aca="false">IF(J1376="","",Settings!$B$4+R1376*7+Q1376)</f>
        <v/>
      </c>
      <c r="O1376" s="28" t="str">
        <f aca="true">IF(J1376="","",N1376+MAX(0,ROUNDUP((TODAY()-N1376)/(J1376*7),0))*J1376*7)</f>
        <v/>
      </c>
      <c r="P1376" s="27" t="str">
        <f aca="false">IF(J1376="","",MOD(K1376-1,J1376*4))</f>
        <v/>
      </c>
      <c r="Q1376" s="27" t="str">
        <f aca="false">IF(J1376="","",MOD(P1376,4))</f>
        <v/>
      </c>
      <c r="R1376" s="27" t="str">
        <f aca="false">IF(J1376="","",INT(P1376/4))</f>
        <v/>
      </c>
      <c r="S1376" s="27" t="str">
        <f aca="false">IF(J1376="","",IF(AND('Daily Count Sheet'!$H$3=Q1376,MOD('Daily Count Sheet'!$I$3,J1376)=R1376),1,""))</f>
        <v/>
      </c>
      <c r="T1376" s="27" t="str">
        <f aca="false">IF(S1376=1,COUNTIF($S$2:S1376,1),"")</f>
        <v/>
      </c>
    </row>
    <row r="1377" customFormat="false" ht="15" hidden="false" customHeight="false" outlineLevel="0" collapsed="false">
      <c r="H1377" s="26"/>
      <c r="I1377" s="27" t="str">
        <f aca="false">IF(A1377="","",IF(H1377&lt;&gt;"",UPPER(TRIM(H1377)),IFERROR(CHOOSE(VALUE(E1377)+1,"A","B","C","D"),IF(OR(LEFT(UPPER(TRIM(E1377)),1)="F",UPPER(TRIM(E1377))="A"),"A",IF(OR(LEFT(UPPER(TRIM(E1377)),1)="M",UPPER(TRIM(E1377))="B"),"B",IF(OR(LEFT(UPPER(TRIM(E1377)),2)="SL",UPPER(TRIM(E1377))="C"),"C",IF(OR(LEFT(UPPER(TRIM(E1377)),1)="D",UPPER(TRIM(E1377))="D"),"D","")))))))</f>
        <v/>
      </c>
      <c r="J1377" s="27" t="str">
        <f aca="false">IF(I1377="","",IF(AND(I1377="D",Settings!$B$6&lt;&gt;"Yes"),"",IFERROR(INDEX(Settings!$C$9:$C$12,MATCH(I1377,Settings!$A$9:$A$12,0)),"")))</f>
        <v/>
      </c>
      <c r="K1377" s="27" t="str">
        <f aca="false">IF(J1377="","",COUNTIF($I$2:I1377,I1377))</f>
        <v/>
      </c>
      <c r="L1377" s="27" t="str">
        <f aca="false">IF(J1377="","",CHOOSE(Q1377+1,"Tue","Wed","Thu","Fri"))</f>
        <v/>
      </c>
      <c r="M1377" s="27" t="str">
        <f aca="false">IF(J1377="","",IF(J1377=1,"Every week",R1377+1&amp;" of "&amp;J1377))</f>
        <v/>
      </c>
      <c r="N1377" s="28" t="str">
        <f aca="false">IF(J1377="","",Settings!$B$4+R1377*7+Q1377)</f>
        <v/>
      </c>
      <c r="O1377" s="28" t="str">
        <f aca="true">IF(J1377="","",N1377+MAX(0,ROUNDUP((TODAY()-N1377)/(J1377*7),0))*J1377*7)</f>
        <v/>
      </c>
      <c r="P1377" s="27" t="str">
        <f aca="false">IF(J1377="","",MOD(K1377-1,J1377*4))</f>
        <v/>
      </c>
      <c r="Q1377" s="27" t="str">
        <f aca="false">IF(J1377="","",MOD(P1377,4))</f>
        <v/>
      </c>
      <c r="R1377" s="27" t="str">
        <f aca="false">IF(J1377="","",INT(P1377/4))</f>
        <v/>
      </c>
      <c r="S1377" s="27" t="str">
        <f aca="false">IF(J1377="","",IF(AND('Daily Count Sheet'!$H$3=Q1377,MOD('Daily Count Sheet'!$I$3,J1377)=R1377),1,""))</f>
        <v/>
      </c>
      <c r="T1377" s="27" t="str">
        <f aca="false">IF(S1377=1,COUNTIF($S$2:S1377,1),"")</f>
        <v/>
      </c>
    </row>
    <row r="1378" customFormat="false" ht="15" hidden="false" customHeight="false" outlineLevel="0" collapsed="false">
      <c r="H1378" s="26"/>
      <c r="I1378" s="27" t="str">
        <f aca="false">IF(A1378="","",IF(H1378&lt;&gt;"",UPPER(TRIM(H1378)),IFERROR(CHOOSE(VALUE(E1378)+1,"A","B","C","D"),IF(OR(LEFT(UPPER(TRIM(E1378)),1)="F",UPPER(TRIM(E1378))="A"),"A",IF(OR(LEFT(UPPER(TRIM(E1378)),1)="M",UPPER(TRIM(E1378))="B"),"B",IF(OR(LEFT(UPPER(TRIM(E1378)),2)="SL",UPPER(TRIM(E1378))="C"),"C",IF(OR(LEFT(UPPER(TRIM(E1378)),1)="D",UPPER(TRIM(E1378))="D"),"D","")))))))</f>
        <v/>
      </c>
      <c r="J1378" s="27" t="str">
        <f aca="false">IF(I1378="","",IF(AND(I1378="D",Settings!$B$6&lt;&gt;"Yes"),"",IFERROR(INDEX(Settings!$C$9:$C$12,MATCH(I1378,Settings!$A$9:$A$12,0)),"")))</f>
        <v/>
      </c>
      <c r="K1378" s="27" t="str">
        <f aca="false">IF(J1378="","",COUNTIF($I$2:I1378,I1378))</f>
        <v/>
      </c>
      <c r="L1378" s="27" t="str">
        <f aca="false">IF(J1378="","",CHOOSE(Q1378+1,"Tue","Wed","Thu","Fri"))</f>
        <v/>
      </c>
      <c r="M1378" s="27" t="str">
        <f aca="false">IF(J1378="","",IF(J1378=1,"Every week",R1378+1&amp;" of "&amp;J1378))</f>
        <v/>
      </c>
      <c r="N1378" s="28" t="str">
        <f aca="false">IF(J1378="","",Settings!$B$4+R1378*7+Q1378)</f>
        <v/>
      </c>
      <c r="O1378" s="28" t="str">
        <f aca="true">IF(J1378="","",N1378+MAX(0,ROUNDUP((TODAY()-N1378)/(J1378*7),0))*J1378*7)</f>
        <v/>
      </c>
      <c r="P1378" s="27" t="str">
        <f aca="false">IF(J1378="","",MOD(K1378-1,J1378*4))</f>
        <v/>
      </c>
      <c r="Q1378" s="27" t="str">
        <f aca="false">IF(J1378="","",MOD(P1378,4))</f>
        <v/>
      </c>
      <c r="R1378" s="27" t="str">
        <f aca="false">IF(J1378="","",INT(P1378/4))</f>
        <v/>
      </c>
      <c r="S1378" s="27" t="str">
        <f aca="false">IF(J1378="","",IF(AND('Daily Count Sheet'!$H$3=Q1378,MOD('Daily Count Sheet'!$I$3,J1378)=R1378),1,""))</f>
        <v/>
      </c>
      <c r="T1378" s="27" t="str">
        <f aca="false">IF(S1378=1,COUNTIF($S$2:S1378,1),"")</f>
        <v/>
      </c>
    </row>
    <row r="1379" customFormat="false" ht="15" hidden="false" customHeight="false" outlineLevel="0" collapsed="false">
      <c r="H1379" s="26"/>
      <c r="I1379" s="27" t="str">
        <f aca="false">IF(A1379="","",IF(H1379&lt;&gt;"",UPPER(TRIM(H1379)),IFERROR(CHOOSE(VALUE(E1379)+1,"A","B","C","D"),IF(OR(LEFT(UPPER(TRIM(E1379)),1)="F",UPPER(TRIM(E1379))="A"),"A",IF(OR(LEFT(UPPER(TRIM(E1379)),1)="M",UPPER(TRIM(E1379))="B"),"B",IF(OR(LEFT(UPPER(TRIM(E1379)),2)="SL",UPPER(TRIM(E1379))="C"),"C",IF(OR(LEFT(UPPER(TRIM(E1379)),1)="D",UPPER(TRIM(E1379))="D"),"D","")))))))</f>
        <v/>
      </c>
      <c r="J1379" s="27" t="str">
        <f aca="false">IF(I1379="","",IF(AND(I1379="D",Settings!$B$6&lt;&gt;"Yes"),"",IFERROR(INDEX(Settings!$C$9:$C$12,MATCH(I1379,Settings!$A$9:$A$12,0)),"")))</f>
        <v/>
      </c>
      <c r="K1379" s="27" t="str">
        <f aca="false">IF(J1379="","",COUNTIF($I$2:I1379,I1379))</f>
        <v/>
      </c>
      <c r="L1379" s="27" t="str">
        <f aca="false">IF(J1379="","",CHOOSE(Q1379+1,"Tue","Wed","Thu","Fri"))</f>
        <v/>
      </c>
      <c r="M1379" s="27" t="str">
        <f aca="false">IF(J1379="","",IF(J1379=1,"Every week",R1379+1&amp;" of "&amp;J1379))</f>
        <v/>
      </c>
      <c r="N1379" s="28" t="str">
        <f aca="false">IF(J1379="","",Settings!$B$4+R1379*7+Q1379)</f>
        <v/>
      </c>
      <c r="O1379" s="28" t="str">
        <f aca="true">IF(J1379="","",N1379+MAX(0,ROUNDUP((TODAY()-N1379)/(J1379*7),0))*J1379*7)</f>
        <v/>
      </c>
      <c r="P1379" s="27" t="str">
        <f aca="false">IF(J1379="","",MOD(K1379-1,J1379*4))</f>
        <v/>
      </c>
      <c r="Q1379" s="27" t="str">
        <f aca="false">IF(J1379="","",MOD(P1379,4))</f>
        <v/>
      </c>
      <c r="R1379" s="27" t="str">
        <f aca="false">IF(J1379="","",INT(P1379/4))</f>
        <v/>
      </c>
      <c r="S1379" s="27" t="str">
        <f aca="false">IF(J1379="","",IF(AND('Daily Count Sheet'!$H$3=Q1379,MOD('Daily Count Sheet'!$I$3,J1379)=R1379),1,""))</f>
        <v/>
      </c>
      <c r="T1379" s="27" t="str">
        <f aca="false">IF(S1379=1,COUNTIF($S$2:S1379,1),"")</f>
        <v/>
      </c>
    </row>
    <row r="1380" customFormat="false" ht="15" hidden="false" customHeight="false" outlineLevel="0" collapsed="false">
      <c r="H1380" s="26"/>
      <c r="I1380" s="27" t="str">
        <f aca="false">IF(A1380="","",IF(H1380&lt;&gt;"",UPPER(TRIM(H1380)),IFERROR(CHOOSE(VALUE(E1380)+1,"A","B","C","D"),IF(OR(LEFT(UPPER(TRIM(E1380)),1)="F",UPPER(TRIM(E1380))="A"),"A",IF(OR(LEFT(UPPER(TRIM(E1380)),1)="M",UPPER(TRIM(E1380))="B"),"B",IF(OR(LEFT(UPPER(TRIM(E1380)),2)="SL",UPPER(TRIM(E1380))="C"),"C",IF(OR(LEFT(UPPER(TRIM(E1380)),1)="D",UPPER(TRIM(E1380))="D"),"D","")))))))</f>
        <v/>
      </c>
      <c r="J1380" s="27" t="str">
        <f aca="false">IF(I1380="","",IF(AND(I1380="D",Settings!$B$6&lt;&gt;"Yes"),"",IFERROR(INDEX(Settings!$C$9:$C$12,MATCH(I1380,Settings!$A$9:$A$12,0)),"")))</f>
        <v/>
      </c>
      <c r="K1380" s="27" t="str">
        <f aca="false">IF(J1380="","",COUNTIF($I$2:I1380,I1380))</f>
        <v/>
      </c>
      <c r="L1380" s="27" t="str">
        <f aca="false">IF(J1380="","",CHOOSE(Q1380+1,"Tue","Wed","Thu","Fri"))</f>
        <v/>
      </c>
      <c r="M1380" s="27" t="str">
        <f aca="false">IF(J1380="","",IF(J1380=1,"Every week",R1380+1&amp;" of "&amp;J1380))</f>
        <v/>
      </c>
      <c r="N1380" s="28" t="str">
        <f aca="false">IF(J1380="","",Settings!$B$4+R1380*7+Q1380)</f>
        <v/>
      </c>
      <c r="O1380" s="28" t="str">
        <f aca="true">IF(J1380="","",N1380+MAX(0,ROUNDUP((TODAY()-N1380)/(J1380*7),0))*J1380*7)</f>
        <v/>
      </c>
      <c r="P1380" s="27" t="str">
        <f aca="false">IF(J1380="","",MOD(K1380-1,J1380*4))</f>
        <v/>
      </c>
      <c r="Q1380" s="27" t="str">
        <f aca="false">IF(J1380="","",MOD(P1380,4))</f>
        <v/>
      </c>
      <c r="R1380" s="27" t="str">
        <f aca="false">IF(J1380="","",INT(P1380/4))</f>
        <v/>
      </c>
      <c r="S1380" s="27" t="str">
        <f aca="false">IF(J1380="","",IF(AND('Daily Count Sheet'!$H$3=Q1380,MOD('Daily Count Sheet'!$I$3,J1380)=R1380),1,""))</f>
        <v/>
      </c>
      <c r="T1380" s="27" t="str">
        <f aca="false">IF(S1380=1,COUNTIF($S$2:S1380,1),"")</f>
        <v/>
      </c>
    </row>
    <row r="1381" customFormat="false" ht="15" hidden="false" customHeight="false" outlineLevel="0" collapsed="false">
      <c r="H1381" s="26"/>
      <c r="I1381" s="27" t="str">
        <f aca="false">IF(A1381="","",IF(H1381&lt;&gt;"",UPPER(TRIM(H1381)),IFERROR(CHOOSE(VALUE(E1381)+1,"A","B","C","D"),IF(OR(LEFT(UPPER(TRIM(E1381)),1)="F",UPPER(TRIM(E1381))="A"),"A",IF(OR(LEFT(UPPER(TRIM(E1381)),1)="M",UPPER(TRIM(E1381))="B"),"B",IF(OR(LEFT(UPPER(TRIM(E1381)),2)="SL",UPPER(TRIM(E1381))="C"),"C",IF(OR(LEFT(UPPER(TRIM(E1381)),1)="D",UPPER(TRIM(E1381))="D"),"D","")))))))</f>
        <v/>
      </c>
      <c r="J1381" s="27" t="str">
        <f aca="false">IF(I1381="","",IF(AND(I1381="D",Settings!$B$6&lt;&gt;"Yes"),"",IFERROR(INDEX(Settings!$C$9:$C$12,MATCH(I1381,Settings!$A$9:$A$12,0)),"")))</f>
        <v/>
      </c>
      <c r="K1381" s="27" t="str">
        <f aca="false">IF(J1381="","",COUNTIF($I$2:I1381,I1381))</f>
        <v/>
      </c>
      <c r="L1381" s="27" t="str">
        <f aca="false">IF(J1381="","",CHOOSE(Q1381+1,"Tue","Wed","Thu","Fri"))</f>
        <v/>
      </c>
      <c r="M1381" s="27" t="str">
        <f aca="false">IF(J1381="","",IF(J1381=1,"Every week",R1381+1&amp;" of "&amp;J1381))</f>
        <v/>
      </c>
      <c r="N1381" s="28" t="str">
        <f aca="false">IF(J1381="","",Settings!$B$4+R1381*7+Q1381)</f>
        <v/>
      </c>
      <c r="O1381" s="28" t="str">
        <f aca="true">IF(J1381="","",N1381+MAX(0,ROUNDUP((TODAY()-N1381)/(J1381*7),0))*J1381*7)</f>
        <v/>
      </c>
      <c r="P1381" s="27" t="str">
        <f aca="false">IF(J1381="","",MOD(K1381-1,J1381*4))</f>
        <v/>
      </c>
      <c r="Q1381" s="27" t="str">
        <f aca="false">IF(J1381="","",MOD(P1381,4))</f>
        <v/>
      </c>
      <c r="R1381" s="27" t="str">
        <f aca="false">IF(J1381="","",INT(P1381/4))</f>
        <v/>
      </c>
      <c r="S1381" s="27" t="str">
        <f aca="false">IF(J1381="","",IF(AND('Daily Count Sheet'!$H$3=Q1381,MOD('Daily Count Sheet'!$I$3,J1381)=R1381),1,""))</f>
        <v/>
      </c>
      <c r="T1381" s="27" t="str">
        <f aca="false">IF(S1381=1,COUNTIF($S$2:S1381,1),"")</f>
        <v/>
      </c>
    </row>
    <row r="1382" customFormat="false" ht="15" hidden="false" customHeight="false" outlineLevel="0" collapsed="false">
      <c r="H1382" s="26"/>
      <c r="I1382" s="27" t="str">
        <f aca="false">IF(A1382="","",IF(H1382&lt;&gt;"",UPPER(TRIM(H1382)),IFERROR(CHOOSE(VALUE(E1382)+1,"A","B","C","D"),IF(OR(LEFT(UPPER(TRIM(E1382)),1)="F",UPPER(TRIM(E1382))="A"),"A",IF(OR(LEFT(UPPER(TRIM(E1382)),1)="M",UPPER(TRIM(E1382))="B"),"B",IF(OR(LEFT(UPPER(TRIM(E1382)),2)="SL",UPPER(TRIM(E1382))="C"),"C",IF(OR(LEFT(UPPER(TRIM(E1382)),1)="D",UPPER(TRIM(E1382))="D"),"D","")))))))</f>
        <v/>
      </c>
      <c r="J1382" s="27" t="str">
        <f aca="false">IF(I1382="","",IF(AND(I1382="D",Settings!$B$6&lt;&gt;"Yes"),"",IFERROR(INDEX(Settings!$C$9:$C$12,MATCH(I1382,Settings!$A$9:$A$12,0)),"")))</f>
        <v/>
      </c>
      <c r="K1382" s="27" t="str">
        <f aca="false">IF(J1382="","",COUNTIF($I$2:I1382,I1382))</f>
        <v/>
      </c>
      <c r="L1382" s="27" t="str">
        <f aca="false">IF(J1382="","",CHOOSE(Q1382+1,"Tue","Wed","Thu","Fri"))</f>
        <v/>
      </c>
      <c r="M1382" s="27" t="str">
        <f aca="false">IF(J1382="","",IF(J1382=1,"Every week",R1382+1&amp;" of "&amp;J1382))</f>
        <v/>
      </c>
      <c r="N1382" s="28" t="str">
        <f aca="false">IF(J1382="","",Settings!$B$4+R1382*7+Q1382)</f>
        <v/>
      </c>
      <c r="O1382" s="28" t="str">
        <f aca="true">IF(J1382="","",N1382+MAX(0,ROUNDUP((TODAY()-N1382)/(J1382*7),0))*J1382*7)</f>
        <v/>
      </c>
      <c r="P1382" s="27" t="str">
        <f aca="false">IF(J1382="","",MOD(K1382-1,J1382*4))</f>
        <v/>
      </c>
      <c r="Q1382" s="27" t="str">
        <f aca="false">IF(J1382="","",MOD(P1382,4))</f>
        <v/>
      </c>
      <c r="R1382" s="27" t="str">
        <f aca="false">IF(J1382="","",INT(P1382/4))</f>
        <v/>
      </c>
      <c r="S1382" s="27" t="str">
        <f aca="false">IF(J1382="","",IF(AND('Daily Count Sheet'!$H$3=Q1382,MOD('Daily Count Sheet'!$I$3,J1382)=R1382),1,""))</f>
        <v/>
      </c>
      <c r="T1382" s="27" t="str">
        <f aca="false">IF(S1382=1,COUNTIF($S$2:S1382,1),"")</f>
        <v/>
      </c>
    </row>
    <row r="1383" customFormat="false" ht="15" hidden="false" customHeight="false" outlineLevel="0" collapsed="false">
      <c r="H1383" s="26"/>
      <c r="I1383" s="27" t="str">
        <f aca="false">IF(A1383="","",IF(H1383&lt;&gt;"",UPPER(TRIM(H1383)),IFERROR(CHOOSE(VALUE(E1383)+1,"A","B","C","D"),IF(OR(LEFT(UPPER(TRIM(E1383)),1)="F",UPPER(TRIM(E1383))="A"),"A",IF(OR(LEFT(UPPER(TRIM(E1383)),1)="M",UPPER(TRIM(E1383))="B"),"B",IF(OR(LEFT(UPPER(TRIM(E1383)),2)="SL",UPPER(TRIM(E1383))="C"),"C",IF(OR(LEFT(UPPER(TRIM(E1383)),1)="D",UPPER(TRIM(E1383))="D"),"D","")))))))</f>
        <v/>
      </c>
      <c r="J1383" s="27" t="str">
        <f aca="false">IF(I1383="","",IF(AND(I1383="D",Settings!$B$6&lt;&gt;"Yes"),"",IFERROR(INDEX(Settings!$C$9:$C$12,MATCH(I1383,Settings!$A$9:$A$12,0)),"")))</f>
        <v/>
      </c>
      <c r="K1383" s="27" t="str">
        <f aca="false">IF(J1383="","",COUNTIF($I$2:I1383,I1383))</f>
        <v/>
      </c>
      <c r="L1383" s="27" t="str">
        <f aca="false">IF(J1383="","",CHOOSE(Q1383+1,"Tue","Wed","Thu","Fri"))</f>
        <v/>
      </c>
      <c r="M1383" s="27" t="str">
        <f aca="false">IF(J1383="","",IF(J1383=1,"Every week",R1383+1&amp;" of "&amp;J1383))</f>
        <v/>
      </c>
      <c r="N1383" s="28" t="str">
        <f aca="false">IF(J1383="","",Settings!$B$4+R1383*7+Q1383)</f>
        <v/>
      </c>
      <c r="O1383" s="28" t="str">
        <f aca="true">IF(J1383="","",N1383+MAX(0,ROUNDUP((TODAY()-N1383)/(J1383*7),0))*J1383*7)</f>
        <v/>
      </c>
      <c r="P1383" s="27" t="str">
        <f aca="false">IF(J1383="","",MOD(K1383-1,J1383*4))</f>
        <v/>
      </c>
      <c r="Q1383" s="27" t="str">
        <f aca="false">IF(J1383="","",MOD(P1383,4))</f>
        <v/>
      </c>
      <c r="R1383" s="27" t="str">
        <f aca="false">IF(J1383="","",INT(P1383/4))</f>
        <v/>
      </c>
      <c r="S1383" s="27" t="str">
        <f aca="false">IF(J1383="","",IF(AND('Daily Count Sheet'!$H$3=Q1383,MOD('Daily Count Sheet'!$I$3,J1383)=R1383),1,""))</f>
        <v/>
      </c>
      <c r="T1383" s="27" t="str">
        <f aca="false">IF(S1383=1,COUNTIF($S$2:S1383,1),"")</f>
        <v/>
      </c>
    </row>
    <row r="1384" customFormat="false" ht="15" hidden="false" customHeight="false" outlineLevel="0" collapsed="false">
      <c r="H1384" s="26"/>
      <c r="I1384" s="27" t="str">
        <f aca="false">IF(A1384="","",IF(H1384&lt;&gt;"",UPPER(TRIM(H1384)),IFERROR(CHOOSE(VALUE(E1384)+1,"A","B","C","D"),IF(OR(LEFT(UPPER(TRIM(E1384)),1)="F",UPPER(TRIM(E1384))="A"),"A",IF(OR(LEFT(UPPER(TRIM(E1384)),1)="M",UPPER(TRIM(E1384))="B"),"B",IF(OR(LEFT(UPPER(TRIM(E1384)),2)="SL",UPPER(TRIM(E1384))="C"),"C",IF(OR(LEFT(UPPER(TRIM(E1384)),1)="D",UPPER(TRIM(E1384))="D"),"D","")))))))</f>
        <v/>
      </c>
      <c r="J1384" s="27" t="str">
        <f aca="false">IF(I1384="","",IF(AND(I1384="D",Settings!$B$6&lt;&gt;"Yes"),"",IFERROR(INDEX(Settings!$C$9:$C$12,MATCH(I1384,Settings!$A$9:$A$12,0)),"")))</f>
        <v/>
      </c>
      <c r="K1384" s="27" t="str">
        <f aca="false">IF(J1384="","",COUNTIF($I$2:I1384,I1384))</f>
        <v/>
      </c>
      <c r="L1384" s="27" t="str">
        <f aca="false">IF(J1384="","",CHOOSE(Q1384+1,"Tue","Wed","Thu","Fri"))</f>
        <v/>
      </c>
      <c r="M1384" s="27" t="str">
        <f aca="false">IF(J1384="","",IF(J1384=1,"Every week",R1384+1&amp;" of "&amp;J1384))</f>
        <v/>
      </c>
      <c r="N1384" s="28" t="str">
        <f aca="false">IF(J1384="","",Settings!$B$4+R1384*7+Q1384)</f>
        <v/>
      </c>
      <c r="O1384" s="28" t="str">
        <f aca="true">IF(J1384="","",N1384+MAX(0,ROUNDUP((TODAY()-N1384)/(J1384*7),0))*J1384*7)</f>
        <v/>
      </c>
      <c r="P1384" s="27" t="str">
        <f aca="false">IF(J1384="","",MOD(K1384-1,J1384*4))</f>
        <v/>
      </c>
      <c r="Q1384" s="27" t="str">
        <f aca="false">IF(J1384="","",MOD(P1384,4))</f>
        <v/>
      </c>
      <c r="R1384" s="27" t="str">
        <f aca="false">IF(J1384="","",INT(P1384/4))</f>
        <v/>
      </c>
      <c r="S1384" s="27" t="str">
        <f aca="false">IF(J1384="","",IF(AND('Daily Count Sheet'!$H$3=Q1384,MOD('Daily Count Sheet'!$I$3,J1384)=R1384),1,""))</f>
        <v/>
      </c>
      <c r="T1384" s="27" t="str">
        <f aca="false">IF(S1384=1,COUNTIF($S$2:S1384,1),"")</f>
        <v/>
      </c>
    </row>
    <row r="1385" customFormat="false" ht="15" hidden="false" customHeight="false" outlineLevel="0" collapsed="false">
      <c r="H1385" s="26"/>
      <c r="I1385" s="27" t="str">
        <f aca="false">IF(A1385="","",IF(H1385&lt;&gt;"",UPPER(TRIM(H1385)),IFERROR(CHOOSE(VALUE(E1385)+1,"A","B","C","D"),IF(OR(LEFT(UPPER(TRIM(E1385)),1)="F",UPPER(TRIM(E1385))="A"),"A",IF(OR(LEFT(UPPER(TRIM(E1385)),1)="M",UPPER(TRIM(E1385))="B"),"B",IF(OR(LEFT(UPPER(TRIM(E1385)),2)="SL",UPPER(TRIM(E1385))="C"),"C",IF(OR(LEFT(UPPER(TRIM(E1385)),1)="D",UPPER(TRIM(E1385))="D"),"D","")))))))</f>
        <v/>
      </c>
      <c r="J1385" s="27" t="str">
        <f aca="false">IF(I1385="","",IF(AND(I1385="D",Settings!$B$6&lt;&gt;"Yes"),"",IFERROR(INDEX(Settings!$C$9:$C$12,MATCH(I1385,Settings!$A$9:$A$12,0)),"")))</f>
        <v/>
      </c>
      <c r="K1385" s="27" t="str">
        <f aca="false">IF(J1385="","",COUNTIF($I$2:I1385,I1385))</f>
        <v/>
      </c>
      <c r="L1385" s="27" t="str">
        <f aca="false">IF(J1385="","",CHOOSE(Q1385+1,"Tue","Wed","Thu","Fri"))</f>
        <v/>
      </c>
      <c r="M1385" s="27" t="str">
        <f aca="false">IF(J1385="","",IF(J1385=1,"Every week",R1385+1&amp;" of "&amp;J1385))</f>
        <v/>
      </c>
      <c r="N1385" s="28" t="str">
        <f aca="false">IF(J1385="","",Settings!$B$4+R1385*7+Q1385)</f>
        <v/>
      </c>
      <c r="O1385" s="28" t="str">
        <f aca="true">IF(J1385="","",N1385+MAX(0,ROUNDUP((TODAY()-N1385)/(J1385*7),0))*J1385*7)</f>
        <v/>
      </c>
      <c r="P1385" s="27" t="str">
        <f aca="false">IF(J1385="","",MOD(K1385-1,J1385*4))</f>
        <v/>
      </c>
      <c r="Q1385" s="27" t="str">
        <f aca="false">IF(J1385="","",MOD(P1385,4))</f>
        <v/>
      </c>
      <c r="R1385" s="27" t="str">
        <f aca="false">IF(J1385="","",INT(P1385/4))</f>
        <v/>
      </c>
      <c r="S1385" s="27" t="str">
        <f aca="false">IF(J1385="","",IF(AND('Daily Count Sheet'!$H$3=Q1385,MOD('Daily Count Sheet'!$I$3,J1385)=R1385),1,""))</f>
        <v/>
      </c>
      <c r="T1385" s="27" t="str">
        <f aca="false">IF(S1385=1,COUNTIF($S$2:S1385,1),"")</f>
        <v/>
      </c>
    </row>
    <row r="1386" customFormat="false" ht="15" hidden="false" customHeight="false" outlineLevel="0" collapsed="false">
      <c r="H1386" s="26"/>
      <c r="I1386" s="27" t="str">
        <f aca="false">IF(A1386="","",IF(H1386&lt;&gt;"",UPPER(TRIM(H1386)),IFERROR(CHOOSE(VALUE(E1386)+1,"A","B","C","D"),IF(OR(LEFT(UPPER(TRIM(E1386)),1)="F",UPPER(TRIM(E1386))="A"),"A",IF(OR(LEFT(UPPER(TRIM(E1386)),1)="M",UPPER(TRIM(E1386))="B"),"B",IF(OR(LEFT(UPPER(TRIM(E1386)),2)="SL",UPPER(TRIM(E1386))="C"),"C",IF(OR(LEFT(UPPER(TRIM(E1386)),1)="D",UPPER(TRIM(E1386))="D"),"D","")))))))</f>
        <v/>
      </c>
      <c r="J1386" s="27" t="str">
        <f aca="false">IF(I1386="","",IF(AND(I1386="D",Settings!$B$6&lt;&gt;"Yes"),"",IFERROR(INDEX(Settings!$C$9:$C$12,MATCH(I1386,Settings!$A$9:$A$12,0)),"")))</f>
        <v/>
      </c>
      <c r="K1386" s="27" t="str">
        <f aca="false">IF(J1386="","",COUNTIF($I$2:I1386,I1386))</f>
        <v/>
      </c>
      <c r="L1386" s="27" t="str">
        <f aca="false">IF(J1386="","",CHOOSE(Q1386+1,"Tue","Wed","Thu","Fri"))</f>
        <v/>
      </c>
      <c r="M1386" s="27" t="str">
        <f aca="false">IF(J1386="","",IF(J1386=1,"Every week",R1386+1&amp;" of "&amp;J1386))</f>
        <v/>
      </c>
      <c r="N1386" s="28" t="str">
        <f aca="false">IF(J1386="","",Settings!$B$4+R1386*7+Q1386)</f>
        <v/>
      </c>
      <c r="O1386" s="28" t="str">
        <f aca="true">IF(J1386="","",N1386+MAX(0,ROUNDUP((TODAY()-N1386)/(J1386*7),0))*J1386*7)</f>
        <v/>
      </c>
      <c r="P1386" s="27" t="str">
        <f aca="false">IF(J1386="","",MOD(K1386-1,J1386*4))</f>
        <v/>
      </c>
      <c r="Q1386" s="27" t="str">
        <f aca="false">IF(J1386="","",MOD(P1386,4))</f>
        <v/>
      </c>
      <c r="R1386" s="27" t="str">
        <f aca="false">IF(J1386="","",INT(P1386/4))</f>
        <v/>
      </c>
      <c r="S1386" s="27" t="str">
        <f aca="false">IF(J1386="","",IF(AND('Daily Count Sheet'!$H$3=Q1386,MOD('Daily Count Sheet'!$I$3,J1386)=R1386),1,""))</f>
        <v/>
      </c>
      <c r="T1386" s="27" t="str">
        <f aca="false">IF(S1386=1,COUNTIF($S$2:S1386,1),"")</f>
        <v/>
      </c>
    </row>
    <row r="1387" customFormat="false" ht="15" hidden="false" customHeight="false" outlineLevel="0" collapsed="false">
      <c r="H1387" s="26"/>
      <c r="I1387" s="27" t="str">
        <f aca="false">IF(A1387="","",IF(H1387&lt;&gt;"",UPPER(TRIM(H1387)),IFERROR(CHOOSE(VALUE(E1387)+1,"A","B","C","D"),IF(OR(LEFT(UPPER(TRIM(E1387)),1)="F",UPPER(TRIM(E1387))="A"),"A",IF(OR(LEFT(UPPER(TRIM(E1387)),1)="M",UPPER(TRIM(E1387))="B"),"B",IF(OR(LEFT(UPPER(TRIM(E1387)),2)="SL",UPPER(TRIM(E1387))="C"),"C",IF(OR(LEFT(UPPER(TRIM(E1387)),1)="D",UPPER(TRIM(E1387))="D"),"D","")))))))</f>
        <v/>
      </c>
      <c r="J1387" s="27" t="str">
        <f aca="false">IF(I1387="","",IF(AND(I1387="D",Settings!$B$6&lt;&gt;"Yes"),"",IFERROR(INDEX(Settings!$C$9:$C$12,MATCH(I1387,Settings!$A$9:$A$12,0)),"")))</f>
        <v/>
      </c>
      <c r="K1387" s="27" t="str">
        <f aca="false">IF(J1387="","",COUNTIF($I$2:I1387,I1387))</f>
        <v/>
      </c>
      <c r="L1387" s="27" t="str">
        <f aca="false">IF(J1387="","",CHOOSE(Q1387+1,"Tue","Wed","Thu","Fri"))</f>
        <v/>
      </c>
      <c r="M1387" s="27" t="str">
        <f aca="false">IF(J1387="","",IF(J1387=1,"Every week",R1387+1&amp;" of "&amp;J1387))</f>
        <v/>
      </c>
      <c r="N1387" s="28" t="str">
        <f aca="false">IF(J1387="","",Settings!$B$4+R1387*7+Q1387)</f>
        <v/>
      </c>
      <c r="O1387" s="28" t="str">
        <f aca="true">IF(J1387="","",N1387+MAX(0,ROUNDUP((TODAY()-N1387)/(J1387*7),0))*J1387*7)</f>
        <v/>
      </c>
      <c r="P1387" s="27" t="str">
        <f aca="false">IF(J1387="","",MOD(K1387-1,J1387*4))</f>
        <v/>
      </c>
      <c r="Q1387" s="27" t="str">
        <f aca="false">IF(J1387="","",MOD(P1387,4))</f>
        <v/>
      </c>
      <c r="R1387" s="27" t="str">
        <f aca="false">IF(J1387="","",INT(P1387/4))</f>
        <v/>
      </c>
      <c r="S1387" s="27" t="str">
        <f aca="false">IF(J1387="","",IF(AND('Daily Count Sheet'!$H$3=Q1387,MOD('Daily Count Sheet'!$I$3,J1387)=R1387),1,""))</f>
        <v/>
      </c>
      <c r="T1387" s="27" t="str">
        <f aca="false">IF(S1387=1,COUNTIF($S$2:S1387,1),"")</f>
        <v/>
      </c>
    </row>
    <row r="1388" customFormat="false" ht="15" hidden="false" customHeight="false" outlineLevel="0" collapsed="false">
      <c r="H1388" s="26"/>
      <c r="I1388" s="27" t="str">
        <f aca="false">IF(A1388="","",IF(H1388&lt;&gt;"",UPPER(TRIM(H1388)),IFERROR(CHOOSE(VALUE(E1388)+1,"A","B","C","D"),IF(OR(LEFT(UPPER(TRIM(E1388)),1)="F",UPPER(TRIM(E1388))="A"),"A",IF(OR(LEFT(UPPER(TRIM(E1388)),1)="M",UPPER(TRIM(E1388))="B"),"B",IF(OR(LEFT(UPPER(TRIM(E1388)),2)="SL",UPPER(TRIM(E1388))="C"),"C",IF(OR(LEFT(UPPER(TRIM(E1388)),1)="D",UPPER(TRIM(E1388))="D"),"D","")))))))</f>
        <v/>
      </c>
      <c r="J1388" s="27" t="str">
        <f aca="false">IF(I1388="","",IF(AND(I1388="D",Settings!$B$6&lt;&gt;"Yes"),"",IFERROR(INDEX(Settings!$C$9:$C$12,MATCH(I1388,Settings!$A$9:$A$12,0)),"")))</f>
        <v/>
      </c>
      <c r="K1388" s="27" t="str">
        <f aca="false">IF(J1388="","",COUNTIF($I$2:I1388,I1388))</f>
        <v/>
      </c>
      <c r="L1388" s="27" t="str">
        <f aca="false">IF(J1388="","",CHOOSE(Q1388+1,"Tue","Wed","Thu","Fri"))</f>
        <v/>
      </c>
      <c r="M1388" s="27" t="str">
        <f aca="false">IF(J1388="","",IF(J1388=1,"Every week",R1388+1&amp;" of "&amp;J1388))</f>
        <v/>
      </c>
      <c r="N1388" s="28" t="str">
        <f aca="false">IF(J1388="","",Settings!$B$4+R1388*7+Q1388)</f>
        <v/>
      </c>
      <c r="O1388" s="28" t="str">
        <f aca="true">IF(J1388="","",N1388+MAX(0,ROUNDUP((TODAY()-N1388)/(J1388*7),0))*J1388*7)</f>
        <v/>
      </c>
      <c r="P1388" s="27" t="str">
        <f aca="false">IF(J1388="","",MOD(K1388-1,J1388*4))</f>
        <v/>
      </c>
      <c r="Q1388" s="27" t="str">
        <f aca="false">IF(J1388="","",MOD(P1388,4))</f>
        <v/>
      </c>
      <c r="R1388" s="27" t="str">
        <f aca="false">IF(J1388="","",INT(P1388/4))</f>
        <v/>
      </c>
      <c r="S1388" s="27" t="str">
        <f aca="false">IF(J1388="","",IF(AND('Daily Count Sheet'!$H$3=Q1388,MOD('Daily Count Sheet'!$I$3,J1388)=R1388),1,""))</f>
        <v/>
      </c>
      <c r="T1388" s="27" t="str">
        <f aca="false">IF(S1388=1,COUNTIF($S$2:S1388,1),"")</f>
        <v/>
      </c>
    </row>
    <row r="1389" customFormat="false" ht="15" hidden="false" customHeight="false" outlineLevel="0" collapsed="false">
      <c r="H1389" s="26"/>
      <c r="I1389" s="27" t="str">
        <f aca="false">IF(A1389="","",IF(H1389&lt;&gt;"",UPPER(TRIM(H1389)),IFERROR(CHOOSE(VALUE(E1389)+1,"A","B","C","D"),IF(OR(LEFT(UPPER(TRIM(E1389)),1)="F",UPPER(TRIM(E1389))="A"),"A",IF(OR(LEFT(UPPER(TRIM(E1389)),1)="M",UPPER(TRIM(E1389))="B"),"B",IF(OR(LEFT(UPPER(TRIM(E1389)),2)="SL",UPPER(TRIM(E1389))="C"),"C",IF(OR(LEFT(UPPER(TRIM(E1389)),1)="D",UPPER(TRIM(E1389))="D"),"D","")))))))</f>
        <v/>
      </c>
      <c r="J1389" s="27" t="str">
        <f aca="false">IF(I1389="","",IF(AND(I1389="D",Settings!$B$6&lt;&gt;"Yes"),"",IFERROR(INDEX(Settings!$C$9:$C$12,MATCH(I1389,Settings!$A$9:$A$12,0)),"")))</f>
        <v/>
      </c>
      <c r="K1389" s="27" t="str">
        <f aca="false">IF(J1389="","",COUNTIF($I$2:I1389,I1389))</f>
        <v/>
      </c>
      <c r="L1389" s="27" t="str">
        <f aca="false">IF(J1389="","",CHOOSE(Q1389+1,"Tue","Wed","Thu","Fri"))</f>
        <v/>
      </c>
      <c r="M1389" s="27" t="str">
        <f aca="false">IF(J1389="","",IF(J1389=1,"Every week",R1389+1&amp;" of "&amp;J1389))</f>
        <v/>
      </c>
      <c r="N1389" s="28" t="str">
        <f aca="false">IF(J1389="","",Settings!$B$4+R1389*7+Q1389)</f>
        <v/>
      </c>
      <c r="O1389" s="28" t="str">
        <f aca="true">IF(J1389="","",N1389+MAX(0,ROUNDUP((TODAY()-N1389)/(J1389*7),0))*J1389*7)</f>
        <v/>
      </c>
      <c r="P1389" s="27" t="str">
        <f aca="false">IF(J1389="","",MOD(K1389-1,J1389*4))</f>
        <v/>
      </c>
      <c r="Q1389" s="27" t="str">
        <f aca="false">IF(J1389="","",MOD(P1389,4))</f>
        <v/>
      </c>
      <c r="R1389" s="27" t="str">
        <f aca="false">IF(J1389="","",INT(P1389/4))</f>
        <v/>
      </c>
      <c r="S1389" s="27" t="str">
        <f aca="false">IF(J1389="","",IF(AND('Daily Count Sheet'!$H$3=Q1389,MOD('Daily Count Sheet'!$I$3,J1389)=R1389),1,""))</f>
        <v/>
      </c>
      <c r="T1389" s="27" t="str">
        <f aca="false">IF(S1389=1,COUNTIF($S$2:S1389,1),"")</f>
        <v/>
      </c>
    </row>
    <row r="1390" customFormat="false" ht="15" hidden="false" customHeight="false" outlineLevel="0" collapsed="false">
      <c r="H1390" s="26"/>
      <c r="I1390" s="27" t="str">
        <f aca="false">IF(A1390="","",IF(H1390&lt;&gt;"",UPPER(TRIM(H1390)),IFERROR(CHOOSE(VALUE(E1390)+1,"A","B","C","D"),IF(OR(LEFT(UPPER(TRIM(E1390)),1)="F",UPPER(TRIM(E1390))="A"),"A",IF(OR(LEFT(UPPER(TRIM(E1390)),1)="M",UPPER(TRIM(E1390))="B"),"B",IF(OR(LEFT(UPPER(TRIM(E1390)),2)="SL",UPPER(TRIM(E1390))="C"),"C",IF(OR(LEFT(UPPER(TRIM(E1390)),1)="D",UPPER(TRIM(E1390))="D"),"D","")))))))</f>
        <v/>
      </c>
      <c r="J1390" s="27" t="str">
        <f aca="false">IF(I1390="","",IF(AND(I1390="D",Settings!$B$6&lt;&gt;"Yes"),"",IFERROR(INDEX(Settings!$C$9:$C$12,MATCH(I1390,Settings!$A$9:$A$12,0)),"")))</f>
        <v/>
      </c>
      <c r="K1390" s="27" t="str">
        <f aca="false">IF(J1390="","",COUNTIF($I$2:I1390,I1390))</f>
        <v/>
      </c>
      <c r="L1390" s="27" t="str">
        <f aca="false">IF(J1390="","",CHOOSE(Q1390+1,"Tue","Wed","Thu","Fri"))</f>
        <v/>
      </c>
      <c r="M1390" s="27" t="str">
        <f aca="false">IF(J1390="","",IF(J1390=1,"Every week",R1390+1&amp;" of "&amp;J1390))</f>
        <v/>
      </c>
      <c r="N1390" s="28" t="str">
        <f aca="false">IF(J1390="","",Settings!$B$4+R1390*7+Q1390)</f>
        <v/>
      </c>
      <c r="O1390" s="28" t="str">
        <f aca="true">IF(J1390="","",N1390+MAX(0,ROUNDUP((TODAY()-N1390)/(J1390*7),0))*J1390*7)</f>
        <v/>
      </c>
      <c r="P1390" s="27" t="str">
        <f aca="false">IF(J1390="","",MOD(K1390-1,J1390*4))</f>
        <v/>
      </c>
      <c r="Q1390" s="27" t="str">
        <f aca="false">IF(J1390="","",MOD(P1390,4))</f>
        <v/>
      </c>
      <c r="R1390" s="27" t="str">
        <f aca="false">IF(J1390="","",INT(P1390/4))</f>
        <v/>
      </c>
      <c r="S1390" s="27" t="str">
        <f aca="false">IF(J1390="","",IF(AND('Daily Count Sheet'!$H$3=Q1390,MOD('Daily Count Sheet'!$I$3,J1390)=R1390),1,""))</f>
        <v/>
      </c>
      <c r="T1390" s="27" t="str">
        <f aca="false">IF(S1390=1,COUNTIF($S$2:S1390,1),"")</f>
        <v/>
      </c>
    </row>
    <row r="1391" customFormat="false" ht="15" hidden="false" customHeight="false" outlineLevel="0" collapsed="false">
      <c r="H1391" s="26"/>
      <c r="I1391" s="27" t="str">
        <f aca="false">IF(A1391="","",IF(H1391&lt;&gt;"",UPPER(TRIM(H1391)),IFERROR(CHOOSE(VALUE(E1391)+1,"A","B","C","D"),IF(OR(LEFT(UPPER(TRIM(E1391)),1)="F",UPPER(TRIM(E1391))="A"),"A",IF(OR(LEFT(UPPER(TRIM(E1391)),1)="M",UPPER(TRIM(E1391))="B"),"B",IF(OR(LEFT(UPPER(TRIM(E1391)),2)="SL",UPPER(TRIM(E1391))="C"),"C",IF(OR(LEFT(UPPER(TRIM(E1391)),1)="D",UPPER(TRIM(E1391))="D"),"D","")))))))</f>
        <v/>
      </c>
      <c r="J1391" s="27" t="str">
        <f aca="false">IF(I1391="","",IF(AND(I1391="D",Settings!$B$6&lt;&gt;"Yes"),"",IFERROR(INDEX(Settings!$C$9:$C$12,MATCH(I1391,Settings!$A$9:$A$12,0)),"")))</f>
        <v/>
      </c>
      <c r="K1391" s="27" t="str">
        <f aca="false">IF(J1391="","",COUNTIF($I$2:I1391,I1391))</f>
        <v/>
      </c>
      <c r="L1391" s="27" t="str">
        <f aca="false">IF(J1391="","",CHOOSE(Q1391+1,"Tue","Wed","Thu","Fri"))</f>
        <v/>
      </c>
      <c r="M1391" s="27" t="str">
        <f aca="false">IF(J1391="","",IF(J1391=1,"Every week",R1391+1&amp;" of "&amp;J1391))</f>
        <v/>
      </c>
      <c r="N1391" s="28" t="str">
        <f aca="false">IF(J1391="","",Settings!$B$4+R1391*7+Q1391)</f>
        <v/>
      </c>
      <c r="O1391" s="28" t="str">
        <f aca="true">IF(J1391="","",N1391+MAX(0,ROUNDUP((TODAY()-N1391)/(J1391*7),0))*J1391*7)</f>
        <v/>
      </c>
      <c r="P1391" s="27" t="str">
        <f aca="false">IF(J1391="","",MOD(K1391-1,J1391*4))</f>
        <v/>
      </c>
      <c r="Q1391" s="27" t="str">
        <f aca="false">IF(J1391="","",MOD(P1391,4))</f>
        <v/>
      </c>
      <c r="R1391" s="27" t="str">
        <f aca="false">IF(J1391="","",INT(P1391/4))</f>
        <v/>
      </c>
      <c r="S1391" s="27" t="str">
        <f aca="false">IF(J1391="","",IF(AND('Daily Count Sheet'!$H$3=Q1391,MOD('Daily Count Sheet'!$I$3,J1391)=R1391),1,""))</f>
        <v/>
      </c>
      <c r="T1391" s="27" t="str">
        <f aca="false">IF(S1391=1,COUNTIF($S$2:S1391,1),"")</f>
        <v/>
      </c>
    </row>
    <row r="1392" customFormat="false" ht="15" hidden="false" customHeight="false" outlineLevel="0" collapsed="false">
      <c r="H1392" s="26"/>
      <c r="I1392" s="27" t="str">
        <f aca="false">IF(A1392="","",IF(H1392&lt;&gt;"",UPPER(TRIM(H1392)),IFERROR(CHOOSE(VALUE(E1392)+1,"A","B","C","D"),IF(OR(LEFT(UPPER(TRIM(E1392)),1)="F",UPPER(TRIM(E1392))="A"),"A",IF(OR(LEFT(UPPER(TRIM(E1392)),1)="M",UPPER(TRIM(E1392))="B"),"B",IF(OR(LEFT(UPPER(TRIM(E1392)),2)="SL",UPPER(TRIM(E1392))="C"),"C",IF(OR(LEFT(UPPER(TRIM(E1392)),1)="D",UPPER(TRIM(E1392))="D"),"D","")))))))</f>
        <v/>
      </c>
      <c r="J1392" s="27" t="str">
        <f aca="false">IF(I1392="","",IF(AND(I1392="D",Settings!$B$6&lt;&gt;"Yes"),"",IFERROR(INDEX(Settings!$C$9:$C$12,MATCH(I1392,Settings!$A$9:$A$12,0)),"")))</f>
        <v/>
      </c>
      <c r="K1392" s="27" t="str">
        <f aca="false">IF(J1392="","",COUNTIF($I$2:I1392,I1392))</f>
        <v/>
      </c>
      <c r="L1392" s="27" t="str">
        <f aca="false">IF(J1392="","",CHOOSE(Q1392+1,"Tue","Wed","Thu","Fri"))</f>
        <v/>
      </c>
      <c r="M1392" s="27" t="str">
        <f aca="false">IF(J1392="","",IF(J1392=1,"Every week",R1392+1&amp;" of "&amp;J1392))</f>
        <v/>
      </c>
      <c r="N1392" s="28" t="str">
        <f aca="false">IF(J1392="","",Settings!$B$4+R1392*7+Q1392)</f>
        <v/>
      </c>
      <c r="O1392" s="28" t="str">
        <f aca="true">IF(J1392="","",N1392+MAX(0,ROUNDUP((TODAY()-N1392)/(J1392*7),0))*J1392*7)</f>
        <v/>
      </c>
      <c r="P1392" s="27" t="str">
        <f aca="false">IF(J1392="","",MOD(K1392-1,J1392*4))</f>
        <v/>
      </c>
      <c r="Q1392" s="27" t="str">
        <f aca="false">IF(J1392="","",MOD(P1392,4))</f>
        <v/>
      </c>
      <c r="R1392" s="27" t="str">
        <f aca="false">IF(J1392="","",INT(P1392/4))</f>
        <v/>
      </c>
      <c r="S1392" s="27" t="str">
        <f aca="false">IF(J1392="","",IF(AND('Daily Count Sheet'!$H$3=Q1392,MOD('Daily Count Sheet'!$I$3,J1392)=R1392),1,""))</f>
        <v/>
      </c>
      <c r="T1392" s="27" t="str">
        <f aca="false">IF(S1392=1,COUNTIF($S$2:S1392,1),"")</f>
        <v/>
      </c>
    </row>
    <row r="1393" customFormat="false" ht="15" hidden="false" customHeight="false" outlineLevel="0" collapsed="false">
      <c r="H1393" s="26"/>
      <c r="I1393" s="27" t="str">
        <f aca="false">IF(A1393="","",IF(H1393&lt;&gt;"",UPPER(TRIM(H1393)),IFERROR(CHOOSE(VALUE(E1393)+1,"A","B","C","D"),IF(OR(LEFT(UPPER(TRIM(E1393)),1)="F",UPPER(TRIM(E1393))="A"),"A",IF(OR(LEFT(UPPER(TRIM(E1393)),1)="M",UPPER(TRIM(E1393))="B"),"B",IF(OR(LEFT(UPPER(TRIM(E1393)),2)="SL",UPPER(TRIM(E1393))="C"),"C",IF(OR(LEFT(UPPER(TRIM(E1393)),1)="D",UPPER(TRIM(E1393))="D"),"D","")))))))</f>
        <v/>
      </c>
      <c r="J1393" s="27" t="str">
        <f aca="false">IF(I1393="","",IF(AND(I1393="D",Settings!$B$6&lt;&gt;"Yes"),"",IFERROR(INDEX(Settings!$C$9:$C$12,MATCH(I1393,Settings!$A$9:$A$12,0)),"")))</f>
        <v/>
      </c>
      <c r="K1393" s="27" t="str">
        <f aca="false">IF(J1393="","",COUNTIF($I$2:I1393,I1393))</f>
        <v/>
      </c>
      <c r="L1393" s="27" t="str">
        <f aca="false">IF(J1393="","",CHOOSE(Q1393+1,"Tue","Wed","Thu","Fri"))</f>
        <v/>
      </c>
      <c r="M1393" s="27" t="str">
        <f aca="false">IF(J1393="","",IF(J1393=1,"Every week",R1393+1&amp;" of "&amp;J1393))</f>
        <v/>
      </c>
      <c r="N1393" s="28" t="str">
        <f aca="false">IF(J1393="","",Settings!$B$4+R1393*7+Q1393)</f>
        <v/>
      </c>
      <c r="O1393" s="28" t="str">
        <f aca="true">IF(J1393="","",N1393+MAX(0,ROUNDUP((TODAY()-N1393)/(J1393*7),0))*J1393*7)</f>
        <v/>
      </c>
      <c r="P1393" s="27" t="str">
        <f aca="false">IF(J1393="","",MOD(K1393-1,J1393*4))</f>
        <v/>
      </c>
      <c r="Q1393" s="27" t="str">
        <f aca="false">IF(J1393="","",MOD(P1393,4))</f>
        <v/>
      </c>
      <c r="R1393" s="27" t="str">
        <f aca="false">IF(J1393="","",INT(P1393/4))</f>
        <v/>
      </c>
      <c r="S1393" s="27" t="str">
        <f aca="false">IF(J1393="","",IF(AND('Daily Count Sheet'!$H$3=Q1393,MOD('Daily Count Sheet'!$I$3,J1393)=R1393),1,""))</f>
        <v/>
      </c>
      <c r="T1393" s="27" t="str">
        <f aca="false">IF(S1393=1,COUNTIF($S$2:S1393,1),"")</f>
        <v/>
      </c>
    </row>
    <row r="1394" customFormat="false" ht="15" hidden="false" customHeight="false" outlineLevel="0" collapsed="false">
      <c r="H1394" s="26"/>
      <c r="I1394" s="27" t="str">
        <f aca="false">IF(A1394="","",IF(H1394&lt;&gt;"",UPPER(TRIM(H1394)),IFERROR(CHOOSE(VALUE(E1394)+1,"A","B","C","D"),IF(OR(LEFT(UPPER(TRIM(E1394)),1)="F",UPPER(TRIM(E1394))="A"),"A",IF(OR(LEFT(UPPER(TRIM(E1394)),1)="M",UPPER(TRIM(E1394))="B"),"B",IF(OR(LEFT(UPPER(TRIM(E1394)),2)="SL",UPPER(TRIM(E1394))="C"),"C",IF(OR(LEFT(UPPER(TRIM(E1394)),1)="D",UPPER(TRIM(E1394))="D"),"D","")))))))</f>
        <v/>
      </c>
      <c r="J1394" s="27" t="str">
        <f aca="false">IF(I1394="","",IF(AND(I1394="D",Settings!$B$6&lt;&gt;"Yes"),"",IFERROR(INDEX(Settings!$C$9:$C$12,MATCH(I1394,Settings!$A$9:$A$12,0)),"")))</f>
        <v/>
      </c>
      <c r="K1394" s="27" t="str">
        <f aca="false">IF(J1394="","",COUNTIF($I$2:I1394,I1394))</f>
        <v/>
      </c>
      <c r="L1394" s="27" t="str">
        <f aca="false">IF(J1394="","",CHOOSE(Q1394+1,"Tue","Wed","Thu","Fri"))</f>
        <v/>
      </c>
      <c r="M1394" s="27" t="str">
        <f aca="false">IF(J1394="","",IF(J1394=1,"Every week",R1394+1&amp;" of "&amp;J1394))</f>
        <v/>
      </c>
      <c r="N1394" s="28" t="str">
        <f aca="false">IF(J1394="","",Settings!$B$4+R1394*7+Q1394)</f>
        <v/>
      </c>
      <c r="O1394" s="28" t="str">
        <f aca="true">IF(J1394="","",N1394+MAX(0,ROUNDUP((TODAY()-N1394)/(J1394*7),0))*J1394*7)</f>
        <v/>
      </c>
      <c r="P1394" s="27" t="str">
        <f aca="false">IF(J1394="","",MOD(K1394-1,J1394*4))</f>
        <v/>
      </c>
      <c r="Q1394" s="27" t="str">
        <f aca="false">IF(J1394="","",MOD(P1394,4))</f>
        <v/>
      </c>
      <c r="R1394" s="27" t="str">
        <f aca="false">IF(J1394="","",INT(P1394/4))</f>
        <v/>
      </c>
      <c r="S1394" s="27" t="str">
        <f aca="false">IF(J1394="","",IF(AND('Daily Count Sheet'!$H$3=Q1394,MOD('Daily Count Sheet'!$I$3,J1394)=R1394),1,""))</f>
        <v/>
      </c>
      <c r="T1394" s="27" t="str">
        <f aca="false">IF(S1394=1,COUNTIF($S$2:S1394,1),"")</f>
        <v/>
      </c>
    </row>
    <row r="1395" customFormat="false" ht="15" hidden="false" customHeight="false" outlineLevel="0" collapsed="false">
      <c r="H1395" s="26"/>
      <c r="I1395" s="27" t="str">
        <f aca="false">IF(A1395="","",IF(H1395&lt;&gt;"",UPPER(TRIM(H1395)),IFERROR(CHOOSE(VALUE(E1395)+1,"A","B","C","D"),IF(OR(LEFT(UPPER(TRIM(E1395)),1)="F",UPPER(TRIM(E1395))="A"),"A",IF(OR(LEFT(UPPER(TRIM(E1395)),1)="M",UPPER(TRIM(E1395))="B"),"B",IF(OR(LEFT(UPPER(TRIM(E1395)),2)="SL",UPPER(TRIM(E1395))="C"),"C",IF(OR(LEFT(UPPER(TRIM(E1395)),1)="D",UPPER(TRIM(E1395))="D"),"D","")))))))</f>
        <v/>
      </c>
      <c r="J1395" s="27" t="str">
        <f aca="false">IF(I1395="","",IF(AND(I1395="D",Settings!$B$6&lt;&gt;"Yes"),"",IFERROR(INDEX(Settings!$C$9:$C$12,MATCH(I1395,Settings!$A$9:$A$12,0)),"")))</f>
        <v/>
      </c>
      <c r="K1395" s="27" t="str">
        <f aca="false">IF(J1395="","",COUNTIF($I$2:I1395,I1395))</f>
        <v/>
      </c>
      <c r="L1395" s="27" t="str">
        <f aca="false">IF(J1395="","",CHOOSE(Q1395+1,"Tue","Wed","Thu","Fri"))</f>
        <v/>
      </c>
      <c r="M1395" s="27" t="str">
        <f aca="false">IF(J1395="","",IF(J1395=1,"Every week",R1395+1&amp;" of "&amp;J1395))</f>
        <v/>
      </c>
      <c r="N1395" s="28" t="str">
        <f aca="false">IF(J1395="","",Settings!$B$4+R1395*7+Q1395)</f>
        <v/>
      </c>
      <c r="O1395" s="28" t="str">
        <f aca="true">IF(J1395="","",N1395+MAX(0,ROUNDUP((TODAY()-N1395)/(J1395*7),0))*J1395*7)</f>
        <v/>
      </c>
      <c r="P1395" s="27" t="str">
        <f aca="false">IF(J1395="","",MOD(K1395-1,J1395*4))</f>
        <v/>
      </c>
      <c r="Q1395" s="27" t="str">
        <f aca="false">IF(J1395="","",MOD(P1395,4))</f>
        <v/>
      </c>
      <c r="R1395" s="27" t="str">
        <f aca="false">IF(J1395="","",INT(P1395/4))</f>
        <v/>
      </c>
      <c r="S1395" s="27" t="str">
        <f aca="false">IF(J1395="","",IF(AND('Daily Count Sheet'!$H$3=Q1395,MOD('Daily Count Sheet'!$I$3,J1395)=R1395),1,""))</f>
        <v/>
      </c>
      <c r="T1395" s="27" t="str">
        <f aca="false">IF(S1395=1,COUNTIF($S$2:S1395,1),"")</f>
        <v/>
      </c>
    </row>
    <row r="1396" customFormat="false" ht="15" hidden="false" customHeight="false" outlineLevel="0" collapsed="false">
      <c r="H1396" s="26"/>
      <c r="I1396" s="27" t="str">
        <f aca="false">IF(A1396="","",IF(H1396&lt;&gt;"",UPPER(TRIM(H1396)),IFERROR(CHOOSE(VALUE(E1396)+1,"A","B","C","D"),IF(OR(LEFT(UPPER(TRIM(E1396)),1)="F",UPPER(TRIM(E1396))="A"),"A",IF(OR(LEFT(UPPER(TRIM(E1396)),1)="M",UPPER(TRIM(E1396))="B"),"B",IF(OR(LEFT(UPPER(TRIM(E1396)),2)="SL",UPPER(TRIM(E1396))="C"),"C",IF(OR(LEFT(UPPER(TRIM(E1396)),1)="D",UPPER(TRIM(E1396))="D"),"D","")))))))</f>
        <v/>
      </c>
      <c r="J1396" s="27" t="str">
        <f aca="false">IF(I1396="","",IF(AND(I1396="D",Settings!$B$6&lt;&gt;"Yes"),"",IFERROR(INDEX(Settings!$C$9:$C$12,MATCH(I1396,Settings!$A$9:$A$12,0)),"")))</f>
        <v/>
      </c>
      <c r="K1396" s="27" t="str">
        <f aca="false">IF(J1396="","",COUNTIF($I$2:I1396,I1396))</f>
        <v/>
      </c>
      <c r="L1396" s="27" t="str">
        <f aca="false">IF(J1396="","",CHOOSE(Q1396+1,"Tue","Wed","Thu","Fri"))</f>
        <v/>
      </c>
      <c r="M1396" s="27" t="str">
        <f aca="false">IF(J1396="","",IF(J1396=1,"Every week",R1396+1&amp;" of "&amp;J1396))</f>
        <v/>
      </c>
      <c r="N1396" s="28" t="str">
        <f aca="false">IF(J1396="","",Settings!$B$4+R1396*7+Q1396)</f>
        <v/>
      </c>
      <c r="O1396" s="28" t="str">
        <f aca="true">IF(J1396="","",N1396+MAX(0,ROUNDUP((TODAY()-N1396)/(J1396*7),0))*J1396*7)</f>
        <v/>
      </c>
      <c r="P1396" s="27" t="str">
        <f aca="false">IF(J1396="","",MOD(K1396-1,J1396*4))</f>
        <v/>
      </c>
      <c r="Q1396" s="27" t="str">
        <f aca="false">IF(J1396="","",MOD(P1396,4))</f>
        <v/>
      </c>
      <c r="R1396" s="27" t="str">
        <f aca="false">IF(J1396="","",INT(P1396/4))</f>
        <v/>
      </c>
      <c r="S1396" s="27" t="str">
        <f aca="false">IF(J1396="","",IF(AND('Daily Count Sheet'!$H$3=Q1396,MOD('Daily Count Sheet'!$I$3,J1396)=R1396),1,""))</f>
        <v/>
      </c>
      <c r="T1396" s="27" t="str">
        <f aca="false">IF(S1396=1,COUNTIF($S$2:S1396,1),"")</f>
        <v/>
      </c>
    </row>
    <row r="1397" customFormat="false" ht="15" hidden="false" customHeight="false" outlineLevel="0" collapsed="false">
      <c r="H1397" s="26"/>
      <c r="I1397" s="27" t="str">
        <f aca="false">IF(A1397="","",IF(H1397&lt;&gt;"",UPPER(TRIM(H1397)),IFERROR(CHOOSE(VALUE(E1397)+1,"A","B","C","D"),IF(OR(LEFT(UPPER(TRIM(E1397)),1)="F",UPPER(TRIM(E1397))="A"),"A",IF(OR(LEFT(UPPER(TRIM(E1397)),1)="M",UPPER(TRIM(E1397))="B"),"B",IF(OR(LEFT(UPPER(TRIM(E1397)),2)="SL",UPPER(TRIM(E1397))="C"),"C",IF(OR(LEFT(UPPER(TRIM(E1397)),1)="D",UPPER(TRIM(E1397))="D"),"D","")))))))</f>
        <v/>
      </c>
      <c r="J1397" s="27" t="str">
        <f aca="false">IF(I1397="","",IF(AND(I1397="D",Settings!$B$6&lt;&gt;"Yes"),"",IFERROR(INDEX(Settings!$C$9:$C$12,MATCH(I1397,Settings!$A$9:$A$12,0)),"")))</f>
        <v/>
      </c>
      <c r="K1397" s="27" t="str">
        <f aca="false">IF(J1397="","",COUNTIF($I$2:I1397,I1397))</f>
        <v/>
      </c>
      <c r="L1397" s="27" t="str">
        <f aca="false">IF(J1397="","",CHOOSE(Q1397+1,"Tue","Wed","Thu","Fri"))</f>
        <v/>
      </c>
      <c r="M1397" s="27" t="str">
        <f aca="false">IF(J1397="","",IF(J1397=1,"Every week",R1397+1&amp;" of "&amp;J1397))</f>
        <v/>
      </c>
      <c r="N1397" s="28" t="str">
        <f aca="false">IF(J1397="","",Settings!$B$4+R1397*7+Q1397)</f>
        <v/>
      </c>
      <c r="O1397" s="28" t="str">
        <f aca="true">IF(J1397="","",N1397+MAX(0,ROUNDUP((TODAY()-N1397)/(J1397*7),0))*J1397*7)</f>
        <v/>
      </c>
      <c r="P1397" s="27" t="str">
        <f aca="false">IF(J1397="","",MOD(K1397-1,J1397*4))</f>
        <v/>
      </c>
      <c r="Q1397" s="27" t="str">
        <f aca="false">IF(J1397="","",MOD(P1397,4))</f>
        <v/>
      </c>
      <c r="R1397" s="27" t="str">
        <f aca="false">IF(J1397="","",INT(P1397/4))</f>
        <v/>
      </c>
      <c r="S1397" s="27" t="str">
        <f aca="false">IF(J1397="","",IF(AND('Daily Count Sheet'!$H$3=Q1397,MOD('Daily Count Sheet'!$I$3,J1397)=R1397),1,""))</f>
        <v/>
      </c>
      <c r="T1397" s="27" t="str">
        <f aca="false">IF(S1397=1,COUNTIF($S$2:S1397,1),"")</f>
        <v/>
      </c>
    </row>
    <row r="1398" customFormat="false" ht="15" hidden="false" customHeight="false" outlineLevel="0" collapsed="false">
      <c r="H1398" s="26"/>
      <c r="I1398" s="27" t="str">
        <f aca="false">IF(A1398="","",IF(H1398&lt;&gt;"",UPPER(TRIM(H1398)),IFERROR(CHOOSE(VALUE(E1398)+1,"A","B","C","D"),IF(OR(LEFT(UPPER(TRIM(E1398)),1)="F",UPPER(TRIM(E1398))="A"),"A",IF(OR(LEFT(UPPER(TRIM(E1398)),1)="M",UPPER(TRIM(E1398))="B"),"B",IF(OR(LEFT(UPPER(TRIM(E1398)),2)="SL",UPPER(TRIM(E1398))="C"),"C",IF(OR(LEFT(UPPER(TRIM(E1398)),1)="D",UPPER(TRIM(E1398))="D"),"D","")))))))</f>
        <v/>
      </c>
      <c r="J1398" s="27" t="str">
        <f aca="false">IF(I1398="","",IF(AND(I1398="D",Settings!$B$6&lt;&gt;"Yes"),"",IFERROR(INDEX(Settings!$C$9:$C$12,MATCH(I1398,Settings!$A$9:$A$12,0)),"")))</f>
        <v/>
      </c>
      <c r="K1398" s="27" t="str">
        <f aca="false">IF(J1398="","",COUNTIF($I$2:I1398,I1398))</f>
        <v/>
      </c>
      <c r="L1398" s="27" t="str">
        <f aca="false">IF(J1398="","",CHOOSE(Q1398+1,"Tue","Wed","Thu","Fri"))</f>
        <v/>
      </c>
      <c r="M1398" s="27" t="str">
        <f aca="false">IF(J1398="","",IF(J1398=1,"Every week",R1398+1&amp;" of "&amp;J1398))</f>
        <v/>
      </c>
      <c r="N1398" s="28" t="str">
        <f aca="false">IF(J1398="","",Settings!$B$4+R1398*7+Q1398)</f>
        <v/>
      </c>
      <c r="O1398" s="28" t="str">
        <f aca="true">IF(J1398="","",N1398+MAX(0,ROUNDUP((TODAY()-N1398)/(J1398*7),0))*J1398*7)</f>
        <v/>
      </c>
      <c r="P1398" s="27" t="str">
        <f aca="false">IF(J1398="","",MOD(K1398-1,J1398*4))</f>
        <v/>
      </c>
      <c r="Q1398" s="27" t="str">
        <f aca="false">IF(J1398="","",MOD(P1398,4))</f>
        <v/>
      </c>
      <c r="R1398" s="27" t="str">
        <f aca="false">IF(J1398="","",INT(P1398/4))</f>
        <v/>
      </c>
      <c r="S1398" s="27" t="str">
        <f aca="false">IF(J1398="","",IF(AND('Daily Count Sheet'!$H$3=Q1398,MOD('Daily Count Sheet'!$I$3,J1398)=R1398),1,""))</f>
        <v/>
      </c>
      <c r="T1398" s="27" t="str">
        <f aca="false">IF(S1398=1,COUNTIF($S$2:S1398,1),"")</f>
        <v/>
      </c>
    </row>
    <row r="1399" customFormat="false" ht="15" hidden="false" customHeight="false" outlineLevel="0" collapsed="false">
      <c r="H1399" s="26"/>
      <c r="I1399" s="27" t="str">
        <f aca="false">IF(A1399="","",IF(H1399&lt;&gt;"",UPPER(TRIM(H1399)),IFERROR(CHOOSE(VALUE(E1399)+1,"A","B","C","D"),IF(OR(LEFT(UPPER(TRIM(E1399)),1)="F",UPPER(TRIM(E1399))="A"),"A",IF(OR(LEFT(UPPER(TRIM(E1399)),1)="M",UPPER(TRIM(E1399))="B"),"B",IF(OR(LEFT(UPPER(TRIM(E1399)),2)="SL",UPPER(TRIM(E1399))="C"),"C",IF(OR(LEFT(UPPER(TRIM(E1399)),1)="D",UPPER(TRIM(E1399))="D"),"D","")))))))</f>
        <v/>
      </c>
      <c r="J1399" s="27" t="str">
        <f aca="false">IF(I1399="","",IF(AND(I1399="D",Settings!$B$6&lt;&gt;"Yes"),"",IFERROR(INDEX(Settings!$C$9:$C$12,MATCH(I1399,Settings!$A$9:$A$12,0)),"")))</f>
        <v/>
      </c>
      <c r="K1399" s="27" t="str">
        <f aca="false">IF(J1399="","",COUNTIF($I$2:I1399,I1399))</f>
        <v/>
      </c>
      <c r="L1399" s="27" t="str">
        <f aca="false">IF(J1399="","",CHOOSE(Q1399+1,"Tue","Wed","Thu","Fri"))</f>
        <v/>
      </c>
      <c r="M1399" s="27" t="str">
        <f aca="false">IF(J1399="","",IF(J1399=1,"Every week",R1399+1&amp;" of "&amp;J1399))</f>
        <v/>
      </c>
      <c r="N1399" s="28" t="str">
        <f aca="false">IF(J1399="","",Settings!$B$4+R1399*7+Q1399)</f>
        <v/>
      </c>
      <c r="O1399" s="28" t="str">
        <f aca="true">IF(J1399="","",N1399+MAX(0,ROUNDUP((TODAY()-N1399)/(J1399*7),0))*J1399*7)</f>
        <v/>
      </c>
      <c r="P1399" s="27" t="str">
        <f aca="false">IF(J1399="","",MOD(K1399-1,J1399*4))</f>
        <v/>
      </c>
      <c r="Q1399" s="27" t="str">
        <f aca="false">IF(J1399="","",MOD(P1399,4))</f>
        <v/>
      </c>
      <c r="R1399" s="27" t="str">
        <f aca="false">IF(J1399="","",INT(P1399/4))</f>
        <v/>
      </c>
      <c r="S1399" s="27" t="str">
        <f aca="false">IF(J1399="","",IF(AND('Daily Count Sheet'!$H$3=Q1399,MOD('Daily Count Sheet'!$I$3,J1399)=R1399),1,""))</f>
        <v/>
      </c>
      <c r="T1399" s="27" t="str">
        <f aca="false">IF(S1399=1,COUNTIF($S$2:S1399,1),"")</f>
        <v/>
      </c>
    </row>
    <row r="1400" customFormat="false" ht="15" hidden="false" customHeight="false" outlineLevel="0" collapsed="false">
      <c r="H1400" s="26"/>
      <c r="I1400" s="27" t="str">
        <f aca="false">IF(A1400="","",IF(H1400&lt;&gt;"",UPPER(TRIM(H1400)),IFERROR(CHOOSE(VALUE(E1400)+1,"A","B","C","D"),IF(OR(LEFT(UPPER(TRIM(E1400)),1)="F",UPPER(TRIM(E1400))="A"),"A",IF(OR(LEFT(UPPER(TRIM(E1400)),1)="M",UPPER(TRIM(E1400))="B"),"B",IF(OR(LEFT(UPPER(TRIM(E1400)),2)="SL",UPPER(TRIM(E1400))="C"),"C",IF(OR(LEFT(UPPER(TRIM(E1400)),1)="D",UPPER(TRIM(E1400))="D"),"D","")))))))</f>
        <v/>
      </c>
      <c r="J1400" s="27" t="str">
        <f aca="false">IF(I1400="","",IF(AND(I1400="D",Settings!$B$6&lt;&gt;"Yes"),"",IFERROR(INDEX(Settings!$C$9:$C$12,MATCH(I1400,Settings!$A$9:$A$12,0)),"")))</f>
        <v/>
      </c>
      <c r="K1400" s="27" t="str">
        <f aca="false">IF(J1400="","",COUNTIF($I$2:I1400,I1400))</f>
        <v/>
      </c>
      <c r="L1400" s="27" t="str">
        <f aca="false">IF(J1400="","",CHOOSE(Q1400+1,"Tue","Wed","Thu","Fri"))</f>
        <v/>
      </c>
      <c r="M1400" s="27" t="str">
        <f aca="false">IF(J1400="","",IF(J1400=1,"Every week",R1400+1&amp;" of "&amp;J1400))</f>
        <v/>
      </c>
      <c r="N1400" s="28" t="str">
        <f aca="false">IF(J1400="","",Settings!$B$4+R1400*7+Q1400)</f>
        <v/>
      </c>
      <c r="O1400" s="28" t="str">
        <f aca="true">IF(J1400="","",N1400+MAX(0,ROUNDUP((TODAY()-N1400)/(J1400*7),0))*J1400*7)</f>
        <v/>
      </c>
      <c r="P1400" s="27" t="str">
        <f aca="false">IF(J1400="","",MOD(K1400-1,J1400*4))</f>
        <v/>
      </c>
      <c r="Q1400" s="27" t="str">
        <f aca="false">IF(J1400="","",MOD(P1400,4))</f>
        <v/>
      </c>
      <c r="R1400" s="27" t="str">
        <f aca="false">IF(J1400="","",INT(P1400/4))</f>
        <v/>
      </c>
      <c r="S1400" s="27" t="str">
        <f aca="false">IF(J1400="","",IF(AND('Daily Count Sheet'!$H$3=Q1400,MOD('Daily Count Sheet'!$I$3,J1400)=R1400),1,""))</f>
        <v/>
      </c>
      <c r="T1400" s="27" t="str">
        <f aca="false">IF(S1400=1,COUNTIF($S$2:S1400,1),"")</f>
        <v/>
      </c>
    </row>
    <row r="1401" customFormat="false" ht="15" hidden="false" customHeight="false" outlineLevel="0" collapsed="false">
      <c r="H1401" s="26"/>
      <c r="I1401" s="27" t="str">
        <f aca="false">IF(A1401="","",IF(H1401&lt;&gt;"",UPPER(TRIM(H1401)),IFERROR(CHOOSE(VALUE(E1401)+1,"A","B","C","D"),IF(OR(LEFT(UPPER(TRIM(E1401)),1)="F",UPPER(TRIM(E1401))="A"),"A",IF(OR(LEFT(UPPER(TRIM(E1401)),1)="M",UPPER(TRIM(E1401))="B"),"B",IF(OR(LEFT(UPPER(TRIM(E1401)),2)="SL",UPPER(TRIM(E1401))="C"),"C",IF(OR(LEFT(UPPER(TRIM(E1401)),1)="D",UPPER(TRIM(E1401))="D"),"D","")))))))</f>
        <v/>
      </c>
      <c r="J1401" s="27" t="str">
        <f aca="false">IF(I1401="","",IF(AND(I1401="D",Settings!$B$6&lt;&gt;"Yes"),"",IFERROR(INDEX(Settings!$C$9:$C$12,MATCH(I1401,Settings!$A$9:$A$12,0)),"")))</f>
        <v/>
      </c>
      <c r="K1401" s="27" t="str">
        <f aca="false">IF(J1401="","",COUNTIF($I$2:I1401,I1401))</f>
        <v/>
      </c>
      <c r="L1401" s="27" t="str">
        <f aca="false">IF(J1401="","",CHOOSE(Q1401+1,"Tue","Wed","Thu","Fri"))</f>
        <v/>
      </c>
      <c r="M1401" s="27" t="str">
        <f aca="false">IF(J1401="","",IF(J1401=1,"Every week",R1401+1&amp;" of "&amp;J1401))</f>
        <v/>
      </c>
      <c r="N1401" s="28" t="str">
        <f aca="false">IF(J1401="","",Settings!$B$4+R1401*7+Q1401)</f>
        <v/>
      </c>
      <c r="O1401" s="28" t="str">
        <f aca="true">IF(J1401="","",N1401+MAX(0,ROUNDUP((TODAY()-N1401)/(J1401*7),0))*J1401*7)</f>
        <v/>
      </c>
      <c r="P1401" s="27" t="str">
        <f aca="false">IF(J1401="","",MOD(K1401-1,J1401*4))</f>
        <v/>
      </c>
      <c r="Q1401" s="27" t="str">
        <f aca="false">IF(J1401="","",MOD(P1401,4))</f>
        <v/>
      </c>
      <c r="R1401" s="27" t="str">
        <f aca="false">IF(J1401="","",INT(P1401/4))</f>
        <v/>
      </c>
      <c r="S1401" s="27" t="str">
        <f aca="false">IF(J1401="","",IF(AND('Daily Count Sheet'!$H$3=Q1401,MOD('Daily Count Sheet'!$I$3,J1401)=R1401),1,""))</f>
        <v/>
      </c>
      <c r="T1401" s="27" t="str">
        <f aca="false">IF(S1401=1,COUNTIF($S$2:S1401,1),"")</f>
        <v/>
      </c>
    </row>
    <row r="1402" customFormat="false" ht="15" hidden="false" customHeight="false" outlineLevel="0" collapsed="false">
      <c r="H1402" s="26"/>
      <c r="I1402" s="27" t="str">
        <f aca="false">IF(A1402="","",IF(H1402&lt;&gt;"",UPPER(TRIM(H1402)),IFERROR(CHOOSE(VALUE(E1402)+1,"A","B","C","D"),IF(OR(LEFT(UPPER(TRIM(E1402)),1)="F",UPPER(TRIM(E1402))="A"),"A",IF(OR(LEFT(UPPER(TRIM(E1402)),1)="M",UPPER(TRIM(E1402))="B"),"B",IF(OR(LEFT(UPPER(TRIM(E1402)),2)="SL",UPPER(TRIM(E1402))="C"),"C",IF(OR(LEFT(UPPER(TRIM(E1402)),1)="D",UPPER(TRIM(E1402))="D"),"D","")))))))</f>
        <v/>
      </c>
      <c r="J1402" s="27" t="str">
        <f aca="false">IF(I1402="","",IF(AND(I1402="D",Settings!$B$6&lt;&gt;"Yes"),"",IFERROR(INDEX(Settings!$C$9:$C$12,MATCH(I1402,Settings!$A$9:$A$12,0)),"")))</f>
        <v/>
      </c>
      <c r="K1402" s="27" t="str">
        <f aca="false">IF(J1402="","",COUNTIF($I$2:I1402,I1402))</f>
        <v/>
      </c>
      <c r="L1402" s="27" t="str">
        <f aca="false">IF(J1402="","",CHOOSE(Q1402+1,"Tue","Wed","Thu","Fri"))</f>
        <v/>
      </c>
      <c r="M1402" s="27" t="str">
        <f aca="false">IF(J1402="","",IF(J1402=1,"Every week",R1402+1&amp;" of "&amp;J1402))</f>
        <v/>
      </c>
      <c r="N1402" s="28" t="str">
        <f aca="false">IF(J1402="","",Settings!$B$4+R1402*7+Q1402)</f>
        <v/>
      </c>
      <c r="O1402" s="28" t="str">
        <f aca="true">IF(J1402="","",N1402+MAX(0,ROUNDUP((TODAY()-N1402)/(J1402*7),0))*J1402*7)</f>
        <v/>
      </c>
      <c r="P1402" s="27" t="str">
        <f aca="false">IF(J1402="","",MOD(K1402-1,J1402*4))</f>
        <v/>
      </c>
      <c r="Q1402" s="27" t="str">
        <f aca="false">IF(J1402="","",MOD(P1402,4))</f>
        <v/>
      </c>
      <c r="R1402" s="27" t="str">
        <f aca="false">IF(J1402="","",INT(P1402/4))</f>
        <v/>
      </c>
      <c r="S1402" s="27" t="str">
        <f aca="false">IF(J1402="","",IF(AND('Daily Count Sheet'!$H$3=Q1402,MOD('Daily Count Sheet'!$I$3,J1402)=R1402),1,""))</f>
        <v/>
      </c>
      <c r="T1402" s="27" t="str">
        <f aca="false">IF(S1402=1,COUNTIF($S$2:S1402,1),"")</f>
        <v/>
      </c>
    </row>
    <row r="1403" customFormat="false" ht="15" hidden="false" customHeight="false" outlineLevel="0" collapsed="false">
      <c r="H1403" s="26"/>
      <c r="I1403" s="27" t="str">
        <f aca="false">IF(A1403="","",IF(H1403&lt;&gt;"",UPPER(TRIM(H1403)),IFERROR(CHOOSE(VALUE(E1403)+1,"A","B","C","D"),IF(OR(LEFT(UPPER(TRIM(E1403)),1)="F",UPPER(TRIM(E1403))="A"),"A",IF(OR(LEFT(UPPER(TRIM(E1403)),1)="M",UPPER(TRIM(E1403))="B"),"B",IF(OR(LEFT(UPPER(TRIM(E1403)),2)="SL",UPPER(TRIM(E1403))="C"),"C",IF(OR(LEFT(UPPER(TRIM(E1403)),1)="D",UPPER(TRIM(E1403))="D"),"D","")))))))</f>
        <v/>
      </c>
      <c r="J1403" s="27" t="str">
        <f aca="false">IF(I1403="","",IF(AND(I1403="D",Settings!$B$6&lt;&gt;"Yes"),"",IFERROR(INDEX(Settings!$C$9:$C$12,MATCH(I1403,Settings!$A$9:$A$12,0)),"")))</f>
        <v/>
      </c>
      <c r="K1403" s="27" t="str">
        <f aca="false">IF(J1403="","",COUNTIF($I$2:I1403,I1403))</f>
        <v/>
      </c>
      <c r="L1403" s="27" t="str">
        <f aca="false">IF(J1403="","",CHOOSE(Q1403+1,"Tue","Wed","Thu","Fri"))</f>
        <v/>
      </c>
      <c r="M1403" s="27" t="str">
        <f aca="false">IF(J1403="","",IF(J1403=1,"Every week",R1403+1&amp;" of "&amp;J1403))</f>
        <v/>
      </c>
      <c r="N1403" s="28" t="str">
        <f aca="false">IF(J1403="","",Settings!$B$4+R1403*7+Q1403)</f>
        <v/>
      </c>
      <c r="O1403" s="28" t="str">
        <f aca="true">IF(J1403="","",N1403+MAX(0,ROUNDUP((TODAY()-N1403)/(J1403*7),0))*J1403*7)</f>
        <v/>
      </c>
      <c r="P1403" s="27" t="str">
        <f aca="false">IF(J1403="","",MOD(K1403-1,J1403*4))</f>
        <v/>
      </c>
      <c r="Q1403" s="27" t="str">
        <f aca="false">IF(J1403="","",MOD(P1403,4))</f>
        <v/>
      </c>
      <c r="R1403" s="27" t="str">
        <f aca="false">IF(J1403="","",INT(P1403/4))</f>
        <v/>
      </c>
      <c r="S1403" s="27" t="str">
        <f aca="false">IF(J1403="","",IF(AND('Daily Count Sheet'!$H$3=Q1403,MOD('Daily Count Sheet'!$I$3,J1403)=R1403),1,""))</f>
        <v/>
      </c>
      <c r="T1403" s="27" t="str">
        <f aca="false">IF(S1403=1,COUNTIF($S$2:S1403,1),"")</f>
        <v/>
      </c>
    </row>
    <row r="1404" customFormat="false" ht="15" hidden="false" customHeight="false" outlineLevel="0" collapsed="false">
      <c r="H1404" s="26"/>
      <c r="I1404" s="27" t="str">
        <f aca="false">IF(A1404="","",IF(H1404&lt;&gt;"",UPPER(TRIM(H1404)),IFERROR(CHOOSE(VALUE(E1404)+1,"A","B","C","D"),IF(OR(LEFT(UPPER(TRIM(E1404)),1)="F",UPPER(TRIM(E1404))="A"),"A",IF(OR(LEFT(UPPER(TRIM(E1404)),1)="M",UPPER(TRIM(E1404))="B"),"B",IF(OR(LEFT(UPPER(TRIM(E1404)),2)="SL",UPPER(TRIM(E1404))="C"),"C",IF(OR(LEFT(UPPER(TRIM(E1404)),1)="D",UPPER(TRIM(E1404))="D"),"D","")))))))</f>
        <v/>
      </c>
      <c r="J1404" s="27" t="str">
        <f aca="false">IF(I1404="","",IF(AND(I1404="D",Settings!$B$6&lt;&gt;"Yes"),"",IFERROR(INDEX(Settings!$C$9:$C$12,MATCH(I1404,Settings!$A$9:$A$12,0)),"")))</f>
        <v/>
      </c>
      <c r="K1404" s="27" t="str">
        <f aca="false">IF(J1404="","",COUNTIF($I$2:I1404,I1404))</f>
        <v/>
      </c>
      <c r="L1404" s="27" t="str">
        <f aca="false">IF(J1404="","",CHOOSE(Q1404+1,"Tue","Wed","Thu","Fri"))</f>
        <v/>
      </c>
      <c r="M1404" s="27" t="str">
        <f aca="false">IF(J1404="","",IF(J1404=1,"Every week",R1404+1&amp;" of "&amp;J1404))</f>
        <v/>
      </c>
      <c r="N1404" s="28" t="str">
        <f aca="false">IF(J1404="","",Settings!$B$4+R1404*7+Q1404)</f>
        <v/>
      </c>
      <c r="O1404" s="28" t="str">
        <f aca="true">IF(J1404="","",N1404+MAX(0,ROUNDUP((TODAY()-N1404)/(J1404*7),0))*J1404*7)</f>
        <v/>
      </c>
      <c r="P1404" s="27" t="str">
        <f aca="false">IF(J1404="","",MOD(K1404-1,J1404*4))</f>
        <v/>
      </c>
      <c r="Q1404" s="27" t="str">
        <f aca="false">IF(J1404="","",MOD(P1404,4))</f>
        <v/>
      </c>
      <c r="R1404" s="27" t="str">
        <f aca="false">IF(J1404="","",INT(P1404/4))</f>
        <v/>
      </c>
      <c r="S1404" s="27" t="str">
        <f aca="false">IF(J1404="","",IF(AND('Daily Count Sheet'!$H$3=Q1404,MOD('Daily Count Sheet'!$I$3,J1404)=R1404),1,""))</f>
        <v/>
      </c>
      <c r="T1404" s="27" t="str">
        <f aca="false">IF(S1404=1,COUNTIF($S$2:S1404,1),"")</f>
        <v/>
      </c>
    </row>
    <row r="1405" customFormat="false" ht="15" hidden="false" customHeight="false" outlineLevel="0" collapsed="false">
      <c r="H1405" s="26"/>
      <c r="I1405" s="27" t="str">
        <f aca="false">IF(A1405="","",IF(H1405&lt;&gt;"",UPPER(TRIM(H1405)),IFERROR(CHOOSE(VALUE(E1405)+1,"A","B","C","D"),IF(OR(LEFT(UPPER(TRIM(E1405)),1)="F",UPPER(TRIM(E1405))="A"),"A",IF(OR(LEFT(UPPER(TRIM(E1405)),1)="M",UPPER(TRIM(E1405))="B"),"B",IF(OR(LEFT(UPPER(TRIM(E1405)),2)="SL",UPPER(TRIM(E1405))="C"),"C",IF(OR(LEFT(UPPER(TRIM(E1405)),1)="D",UPPER(TRIM(E1405))="D"),"D","")))))))</f>
        <v/>
      </c>
      <c r="J1405" s="27" t="str">
        <f aca="false">IF(I1405="","",IF(AND(I1405="D",Settings!$B$6&lt;&gt;"Yes"),"",IFERROR(INDEX(Settings!$C$9:$C$12,MATCH(I1405,Settings!$A$9:$A$12,0)),"")))</f>
        <v/>
      </c>
      <c r="K1405" s="27" t="str">
        <f aca="false">IF(J1405="","",COUNTIF($I$2:I1405,I1405))</f>
        <v/>
      </c>
      <c r="L1405" s="27" t="str">
        <f aca="false">IF(J1405="","",CHOOSE(Q1405+1,"Tue","Wed","Thu","Fri"))</f>
        <v/>
      </c>
      <c r="M1405" s="27" t="str">
        <f aca="false">IF(J1405="","",IF(J1405=1,"Every week",R1405+1&amp;" of "&amp;J1405))</f>
        <v/>
      </c>
      <c r="N1405" s="28" t="str">
        <f aca="false">IF(J1405="","",Settings!$B$4+R1405*7+Q1405)</f>
        <v/>
      </c>
      <c r="O1405" s="28" t="str">
        <f aca="true">IF(J1405="","",N1405+MAX(0,ROUNDUP((TODAY()-N1405)/(J1405*7),0))*J1405*7)</f>
        <v/>
      </c>
      <c r="P1405" s="27" t="str">
        <f aca="false">IF(J1405="","",MOD(K1405-1,J1405*4))</f>
        <v/>
      </c>
      <c r="Q1405" s="27" t="str">
        <f aca="false">IF(J1405="","",MOD(P1405,4))</f>
        <v/>
      </c>
      <c r="R1405" s="27" t="str">
        <f aca="false">IF(J1405="","",INT(P1405/4))</f>
        <v/>
      </c>
      <c r="S1405" s="27" t="str">
        <f aca="false">IF(J1405="","",IF(AND('Daily Count Sheet'!$H$3=Q1405,MOD('Daily Count Sheet'!$I$3,J1405)=R1405),1,""))</f>
        <v/>
      </c>
      <c r="T1405" s="27" t="str">
        <f aca="false">IF(S1405=1,COUNTIF($S$2:S1405,1),"")</f>
        <v/>
      </c>
    </row>
    <row r="1406" customFormat="false" ht="15" hidden="false" customHeight="false" outlineLevel="0" collapsed="false">
      <c r="H1406" s="26"/>
      <c r="I1406" s="27" t="str">
        <f aca="false">IF(A1406="","",IF(H1406&lt;&gt;"",UPPER(TRIM(H1406)),IFERROR(CHOOSE(VALUE(E1406)+1,"A","B","C","D"),IF(OR(LEFT(UPPER(TRIM(E1406)),1)="F",UPPER(TRIM(E1406))="A"),"A",IF(OR(LEFT(UPPER(TRIM(E1406)),1)="M",UPPER(TRIM(E1406))="B"),"B",IF(OR(LEFT(UPPER(TRIM(E1406)),2)="SL",UPPER(TRIM(E1406))="C"),"C",IF(OR(LEFT(UPPER(TRIM(E1406)),1)="D",UPPER(TRIM(E1406))="D"),"D","")))))))</f>
        <v/>
      </c>
      <c r="J1406" s="27" t="str">
        <f aca="false">IF(I1406="","",IF(AND(I1406="D",Settings!$B$6&lt;&gt;"Yes"),"",IFERROR(INDEX(Settings!$C$9:$C$12,MATCH(I1406,Settings!$A$9:$A$12,0)),"")))</f>
        <v/>
      </c>
      <c r="K1406" s="27" t="str">
        <f aca="false">IF(J1406="","",COUNTIF($I$2:I1406,I1406))</f>
        <v/>
      </c>
      <c r="L1406" s="27" t="str">
        <f aca="false">IF(J1406="","",CHOOSE(Q1406+1,"Tue","Wed","Thu","Fri"))</f>
        <v/>
      </c>
      <c r="M1406" s="27" t="str">
        <f aca="false">IF(J1406="","",IF(J1406=1,"Every week",R1406+1&amp;" of "&amp;J1406))</f>
        <v/>
      </c>
      <c r="N1406" s="28" t="str">
        <f aca="false">IF(J1406="","",Settings!$B$4+R1406*7+Q1406)</f>
        <v/>
      </c>
      <c r="O1406" s="28" t="str">
        <f aca="true">IF(J1406="","",N1406+MAX(0,ROUNDUP((TODAY()-N1406)/(J1406*7),0))*J1406*7)</f>
        <v/>
      </c>
      <c r="P1406" s="27" t="str">
        <f aca="false">IF(J1406="","",MOD(K1406-1,J1406*4))</f>
        <v/>
      </c>
      <c r="Q1406" s="27" t="str">
        <f aca="false">IF(J1406="","",MOD(P1406,4))</f>
        <v/>
      </c>
      <c r="R1406" s="27" t="str">
        <f aca="false">IF(J1406="","",INT(P1406/4))</f>
        <v/>
      </c>
      <c r="S1406" s="27" t="str">
        <f aca="false">IF(J1406="","",IF(AND('Daily Count Sheet'!$H$3=Q1406,MOD('Daily Count Sheet'!$I$3,J1406)=R1406),1,""))</f>
        <v/>
      </c>
      <c r="T1406" s="27" t="str">
        <f aca="false">IF(S1406=1,COUNTIF($S$2:S1406,1),"")</f>
        <v/>
      </c>
    </row>
    <row r="1407" customFormat="false" ht="15" hidden="false" customHeight="false" outlineLevel="0" collapsed="false">
      <c r="H1407" s="26"/>
      <c r="I1407" s="27" t="str">
        <f aca="false">IF(A1407="","",IF(H1407&lt;&gt;"",UPPER(TRIM(H1407)),IFERROR(CHOOSE(VALUE(E1407)+1,"A","B","C","D"),IF(OR(LEFT(UPPER(TRIM(E1407)),1)="F",UPPER(TRIM(E1407))="A"),"A",IF(OR(LEFT(UPPER(TRIM(E1407)),1)="M",UPPER(TRIM(E1407))="B"),"B",IF(OR(LEFT(UPPER(TRIM(E1407)),2)="SL",UPPER(TRIM(E1407))="C"),"C",IF(OR(LEFT(UPPER(TRIM(E1407)),1)="D",UPPER(TRIM(E1407))="D"),"D","")))))))</f>
        <v/>
      </c>
      <c r="J1407" s="27" t="str">
        <f aca="false">IF(I1407="","",IF(AND(I1407="D",Settings!$B$6&lt;&gt;"Yes"),"",IFERROR(INDEX(Settings!$C$9:$C$12,MATCH(I1407,Settings!$A$9:$A$12,0)),"")))</f>
        <v/>
      </c>
      <c r="K1407" s="27" t="str">
        <f aca="false">IF(J1407="","",COUNTIF($I$2:I1407,I1407))</f>
        <v/>
      </c>
      <c r="L1407" s="27" t="str">
        <f aca="false">IF(J1407="","",CHOOSE(Q1407+1,"Tue","Wed","Thu","Fri"))</f>
        <v/>
      </c>
      <c r="M1407" s="27" t="str">
        <f aca="false">IF(J1407="","",IF(J1407=1,"Every week",R1407+1&amp;" of "&amp;J1407))</f>
        <v/>
      </c>
      <c r="N1407" s="28" t="str">
        <f aca="false">IF(J1407="","",Settings!$B$4+R1407*7+Q1407)</f>
        <v/>
      </c>
      <c r="O1407" s="28" t="str">
        <f aca="true">IF(J1407="","",N1407+MAX(0,ROUNDUP((TODAY()-N1407)/(J1407*7),0))*J1407*7)</f>
        <v/>
      </c>
      <c r="P1407" s="27" t="str">
        <f aca="false">IF(J1407="","",MOD(K1407-1,J1407*4))</f>
        <v/>
      </c>
      <c r="Q1407" s="27" t="str">
        <f aca="false">IF(J1407="","",MOD(P1407,4))</f>
        <v/>
      </c>
      <c r="R1407" s="27" t="str">
        <f aca="false">IF(J1407="","",INT(P1407/4))</f>
        <v/>
      </c>
      <c r="S1407" s="27" t="str">
        <f aca="false">IF(J1407="","",IF(AND('Daily Count Sheet'!$H$3=Q1407,MOD('Daily Count Sheet'!$I$3,J1407)=R1407),1,""))</f>
        <v/>
      </c>
      <c r="T1407" s="27" t="str">
        <f aca="false">IF(S1407=1,COUNTIF($S$2:S1407,1),"")</f>
        <v/>
      </c>
    </row>
    <row r="1408" customFormat="false" ht="15" hidden="false" customHeight="false" outlineLevel="0" collapsed="false">
      <c r="H1408" s="26"/>
      <c r="I1408" s="27" t="str">
        <f aca="false">IF(A1408="","",IF(H1408&lt;&gt;"",UPPER(TRIM(H1408)),IFERROR(CHOOSE(VALUE(E1408)+1,"A","B","C","D"),IF(OR(LEFT(UPPER(TRIM(E1408)),1)="F",UPPER(TRIM(E1408))="A"),"A",IF(OR(LEFT(UPPER(TRIM(E1408)),1)="M",UPPER(TRIM(E1408))="B"),"B",IF(OR(LEFT(UPPER(TRIM(E1408)),2)="SL",UPPER(TRIM(E1408))="C"),"C",IF(OR(LEFT(UPPER(TRIM(E1408)),1)="D",UPPER(TRIM(E1408))="D"),"D","")))))))</f>
        <v/>
      </c>
      <c r="J1408" s="27" t="str">
        <f aca="false">IF(I1408="","",IF(AND(I1408="D",Settings!$B$6&lt;&gt;"Yes"),"",IFERROR(INDEX(Settings!$C$9:$C$12,MATCH(I1408,Settings!$A$9:$A$12,0)),"")))</f>
        <v/>
      </c>
      <c r="K1408" s="27" t="str">
        <f aca="false">IF(J1408="","",COUNTIF($I$2:I1408,I1408))</f>
        <v/>
      </c>
      <c r="L1408" s="27" t="str">
        <f aca="false">IF(J1408="","",CHOOSE(Q1408+1,"Tue","Wed","Thu","Fri"))</f>
        <v/>
      </c>
      <c r="M1408" s="27" t="str">
        <f aca="false">IF(J1408="","",IF(J1408=1,"Every week",R1408+1&amp;" of "&amp;J1408))</f>
        <v/>
      </c>
      <c r="N1408" s="28" t="str">
        <f aca="false">IF(J1408="","",Settings!$B$4+R1408*7+Q1408)</f>
        <v/>
      </c>
      <c r="O1408" s="28" t="str">
        <f aca="true">IF(J1408="","",N1408+MAX(0,ROUNDUP((TODAY()-N1408)/(J1408*7),0))*J1408*7)</f>
        <v/>
      </c>
      <c r="P1408" s="27" t="str">
        <f aca="false">IF(J1408="","",MOD(K1408-1,J1408*4))</f>
        <v/>
      </c>
      <c r="Q1408" s="27" t="str">
        <f aca="false">IF(J1408="","",MOD(P1408,4))</f>
        <v/>
      </c>
      <c r="R1408" s="27" t="str">
        <f aca="false">IF(J1408="","",INT(P1408/4))</f>
        <v/>
      </c>
      <c r="S1408" s="27" t="str">
        <f aca="false">IF(J1408="","",IF(AND('Daily Count Sheet'!$H$3=Q1408,MOD('Daily Count Sheet'!$I$3,J1408)=R1408),1,""))</f>
        <v/>
      </c>
      <c r="T1408" s="27" t="str">
        <f aca="false">IF(S1408=1,COUNTIF($S$2:S1408,1),"")</f>
        <v/>
      </c>
    </row>
    <row r="1409" customFormat="false" ht="15" hidden="false" customHeight="false" outlineLevel="0" collapsed="false">
      <c r="H1409" s="26"/>
      <c r="I1409" s="27" t="str">
        <f aca="false">IF(A1409="","",IF(H1409&lt;&gt;"",UPPER(TRIM(H1409)),IFERROR(CHOOSE(VALUE(E1409)+1,"A","B","C","D"),IF(OR(LEFT(UPPER(TRIM(E1409)),1)="F",UPPER(TRIM(E1409))="A"),"A",IF(OR(LEFT(UPPER(TRIM(E1409)),1)="M",UPPER(TRIM(E1409))="B"),"B",IF(OR(LEFT(UPPER(TRIM(E1409)),2)="SL",UPPER(TRIM(E1409))="C"),"C",IF(OR(LEFT(UPPER(TRIM(E1409)),1)="D",UPPER(TRIM(E1409))="D"),"D","")))))))</f>
        <v/>
      </c>
      <c r="J1409" s="27" t="str">
        <f aca="false">IF(I1409="","",IF(AND(I1409="D",Settings!$B$6&lt;&gt;"Yes"),"",IFERROR(INDEX(Settings!$C$9:$C$12,MATCH(I1409,Settings!$A$9:$A$12,0)),"")))</f>
        <v/>
      </c>
      <c r="K1409" s="27" t="str">
        <f aca="false">IF(J1409="","",COUNTIF($I$2:I1409,I1409))</f>
        <v/>
      </c>
      <c r="L1409" s="27" t="str">
        <f aca="false">IF(J1409="","",CHOOSE(Q1409+1,"Tue","Wed","Thu","Fri"))</f>
        <v/>
      </c>
      <c r="M1409" s="27" t="str">
        <f aca="false">IF(J1409="","",IF(J1409=1,"Every week",R1409+1&amp;" of "&amp;J1409))</f>
        <v/>
      </c>
      <c r="N1409" s="28" t="str">
        <f aca="false">IF(J1409="","",Settings!$B$4+R1409*7+Q1409)</f>
        <v/>
      </c>
      <c r="O1409" s="28" t="str">
        <f aca="true">IF(J1409="","",N1409+MAX(0,ROUNDUP((TODAY()-N1409)/(J1409*7),0))*J1409*7)</f>
        <v/>
      </c>
      <c r="P1409" s="27" t="str">
        <f aca="false">IF(J1409="","",MOD(K1409-1,J1409*4))</f>
        <v/>
      </c>
      <c r="Q1409" s="27" t="str">
        <f aca="false">IF(J1409="","",MOD(P1409,4))</f>
        <v/>
      </c>
      <c r="R1409" s="27" t="str">
        <f aca="false">IF(J1409="","",INT(P1409/4))</f>
        <v/>
      </c>
      <c r="S1409" s="27" t="str">
        <f aca="false">IF(J1409="","",IF(AND('Daily Count Sheet'!$H$3=Q1409,MOD('Daily Count Sheet'!$I$3,J1409)=R1409),1,""))</f>
        <v/>
      </c>
      <c r="T1409" s="27" t="str">
        <f aca="false">IF(S1409=1,COUNTIF($S$2:S1409,1),"")</f>
        <v/>
      </c>
    </row>
    <row r="1410" customFormat="false" ht="15" hidden="false" customHeight="false" outlineLevel="0" collapsed="false">
      <c r="H1410" s="26"/>
      <c r="I1410" s="27" t="str">
        <f aca="false">IF(A1410="","",IF(H1410&lt;&gt;"",UPPER(TRIM(H1410)),IFERROR(CHOOSE(VALUE(E1410)+1,"A","B","C","D"),IF(OR(LEFT(UPPER(TRIM(E1410)),1)="F",UPPER(TRIM(E1410))="A"),"A",IF(OR(LEFT(UPPER(TRIM(E1410)),1)="M",UPPER(TRIM(E1410))="B"),"B",IF(OR(LEFT(UPPER(TRIM(E1410)),2)="SL",UPPER(TRIM(E1410))="C"),"C",IF(OR(LEFT(UPPER(TRIM(E1410)),1)="D",UPPER(TRIM(E1410))="D"),"D","")))))))</f>
        <v/>
      </c>
      <c r="J1410" s="27" t="str">
        <f aca="false">IF(I1410="","",IF(AND(I1410="D",Settings!$B$6&lt;&gt;"Yes"),"",IFERROR(INDEX(Settings!$C$9:$C$12,MATCH(I1410,Settings!$A$9:$A$12,0)),"")))</f>
        <v/>
      </c>
      <c r="K1410" s="27" t="str">
        <f aca="false">IF(J1410="","",COUNTIF($I$2:I1410,I1410))</f>
        <v/>
      </c>
      <c r="L1410" s="27" t="str">
        <f aca="false">IF(J1410="","",CHOOSE(Q1410+1,"Tue","Wed","Thu","Fri"))</f>
        <v/>
      </c>
      <c r="M1410" s="27" t="str">
        <f aca="false">IF(J1410="","",IF(J1410=1,"Every week",R1410+1&amp;" of "&amp;J1410))</f>
        <v/>
      </c>
      <c r="N1410" s="28" t="str">
        <f aca="false">IF(J1410="","",Settings!$B$4+R1410*7+Q1410)</f>
        <v/>
      </c>
      <c r="O1410" s="28" t="str">
        <f aca="true">IF(J1410="","",N1410+MAX(0,ROUNDUP((TODAY()-N1410)/(J1410*7),0))*J1410*7)</f>
        <v/>
      </c>
      <c r="P1410" s="27" t="str">
        <f aca="false">IF(J1410="","",MOD(K1410-1,J1410*4))</f>
        <v/>
      </c>
      <c r="Q1410" s="27" t="str">
        <f aca="false">IF(J1410="","",MOD(P1410,4))</f>
        <v/>
      </c>
      <c r="R1410" s="27" t="str">
        <f aca="false">IF(J1410="","",INT(P1410/4))</f>
        <v/>
      </c>
      <c r="S1410" s="27" t="str">
        <f aca="false">IF(J1410="","",IF(AND('Daily Count Sheet'!$H$3=Q1410,MOD('Daily Count Sheet'!$I$3,J1410)=R1410),1,""))</f>
        <v/>
      </c>
      <c r="T1410" s="27" t="str">
        <f aca="false">IF(S1410=1,COUNTIF($S$2:S1410,1),"")</f>
        <v/>
      </c>
    </row>
    <row r="1411" customFormat="false" ht="15" hidden="false" customHeight="false" outlineLevel="0" collapsed="false">
      <c r="H1411" s="26"/>
      <c r="I1411" s="27" t="str">
        <f aca="false">IF(A1411="","",IF(H1411&lt;&gt;"",UPPER(TRIM(H1411)),IFERROR(CHOOSE(VALUE(E1411)+1,"A","B","C","D"),IF(OR(LEFT(UPPER(TRIM(E1411)),1)="F",UPPER(TRIM(E1411))="A"),"A",IF(OR(LEFT(UPPER(TRIM(E1411)),1)="M",UPPER(TRIM(E1411))="B"),"B",IF(OR(LEFT(UPPER(TRIM(E1411)),2)="SL",UPPER(TRIM(E1411))="C"),"C",IF(OR(LEFT(UPPER(TRIM(E1411)),1)="D",UPPER(TRIM(E1411))="D"),"D","")))))))</f>
        <v/>
      </c>
      <c r="J1411" s="27" t="str">
        <f aca="false">IF(I1411="","",IF(AND(I1411="D",Settings!$B$6&lt;&gt;"Yes"),"",IFERROR(INDEX(Settings!$C$9:$C$12,MATCH(I1411,Settings!$A$9:$A$12,0)),"")))</f>
        <v/>
      </c>
      <c r="K1411" s="27" t="str">
        <f aca="false">IF(J1411="","",COUNTIF($I$2:I1411,I1411))</f>
        <v/>
      </c>
      <c r="L1411" s="27" t="str">
        <f aca="false">IF(J1411="","",CHOOSE(Q1411+1,"Tue","Wed","Thu","Fri"))</f>
        <v/>
      </c>
      <c r="M1411" s="27" t="str">
        <f aca="false">IF(J1411="","",IF(J1411=1,"Every week",R1411+1&amp;" of "&amp;J1411))</f>
        <v/>
      </c>
      <c r="N1411" s="28" t="str">
        <f aca="false">IF(J1411="","",Settings!$B$4+R1411*7+Q1411)</f>
        <v/>
      </c>
      <c r="O1411" s="28" t="str">
        <f aca="true">IF(J1411="","",N1411+MAX(0,ROUNDUP((TODAY()-N1411)/(J1411*7),0))*J1411*7)</f>
        <v/>
      </c>
      <c r="P1411" s="27" t="str">
        <f aca="false">IF(J1411="","",MOD(K1411-1,J1411*4))</f>
        <v/>
      </c>
      <c r="Q1411" s="27" t="str">
        <f aca="false">IF(J1411="","",MOD(P1411,4))</f>
        <v/>
      </c>
      <c r="R1411" s="27" t="str">
        <f aca="false">IF(J1411="","",INT(P1411/4))</f>
        <v/>
      </c>
      <c r="S1411" s="27" t="str">
        <f aca="false">IF(J1411="","",IF(AND('Daily Count Sheet'!$H$3=Q1411,MOD('Daily Count Sheet'!$I$3,J1411)=R1411),1,""))</f>
        <v/>
      </c>
      <c r="T1411" s="27" t="str">
        <f aca="false">IF(S1411=1,COUNTIF($S$2:S1411,1),"")</f>
        <v/>
      </c>
    </row>
    <row r="1412" customFormat="false" ht="15" hidden="false" customHeight="false" outlineLevel="0" collapsed="false">
      <c r="H1412" s="26"/>
      <c r="I1412" s="27" t="str">
        <f aca="false">IF(A1412="","",IF(H1412&lt;&gt;"",UPPER(TRIM(H1412)),IFERROR(CHOOSE(VALUE(E1412)+1,"A","B","C","D"),IF(OR(LEFT(UPPER(TRIM(E1412)),1)="F",UPPER(TRIM(E1412))="A"),"A",IF(OR(LEFT(UPPER(TRIM(E1412)),1)="M",UPPER(TRIM(E1412))="B"),"B",IF(OR(LEFT(UPPER(TRIM(E1412)),2)="SL",UPPER(TRIM(E1412))="C"),"C",IF(OR(LEFT(UPPER(TRIM(E1412)),1)="D",UPPER(TRIM(E1412))="D"),"D","")))))))</f>
        <v/>
      </c>
      <c r="J1412" s="27" t="str">
        <f aca="false">IF(I1412="","",IF(AND(I1412="D",Settings!$B$6&lt;&gt;"Yes"),"",IFERROR(INDEX(Settings!$C$9:$C$12,MATCH(I1412,Settings!$A$9:$A$12,0)),"")))</f>
        <v/>
      </c>
      <c r="K1412" s="27" t="str">
        <f aca="false">IF(J1412="","",COUNTIF($I$2:I1412,I1412))</f>
        <v/>
      </c>
      <c r="L1412" s="27" t="str">
        <f aca="false">IF(J1412="","",CHOOSE(Q1412+1,"Tue","Wed","Thu","Fri"))</f>
        <v/>
      </c>
      <c r="M1412" s="27" t="str">
        <f aca="false">IF(J1412="","",IF(J1412=1,"Every week",R1412+1&amp;" of "&amp;J1412))</f>
        <v/>
      </c>
      <c r="N1412" s="28" t="str">
        <f aca="false">IF(J1412="","",Settings!$B$4+R1412*7+Q1412)</f>
        <v/>
      </c>
      <c r="O1412" s="28" t="str">
        <f aca="true">IF(J1412="","",N1412+MAX(0,ROUNDUP((TODAY()-N1412)/(J1412*7),0))*J1412*7)</f>
        <v/>
      </c>
      <c r="P1412" s="27" t="str">
        <f aca="false">IF(J1412="","",MOD(K1412-1,J1412*4))</f>
        <v/>
      </c>
      <c r="Q1412" s="27" t="str">
        <f aca="false">IF(J1412="","",MOD(P1412,4))</f>
        <v/>
      </c>
      <c r="R1412" s="27" t="str">
        <f aca="false">IF(J1412="","",INT(P1412/4))</f>
        <v/>
      </c>
      <c r="S1412" s="27" t="str">
        <f aca="false">IF(J1412="","",IF(AND('Daily Count Sheet'!$H$3=Q1412,MOD('Daily Count Sheet'!$I$3,J1412)=R1412),1,""))</f>
        <v/>
      </c>
      <c r="T1412" s="27" t="str">
        <f aca="false">IF(S1412=1,COUNTIF($S$2:S1412,1),"")</f>
        <v/>
      </c>
    </row>
    <row r="1413" customFormat="false" ht="15" hidden="false" customHeight="false" outlineLevel="0" collapsed="false">
      <c r="H1413" s="26"/>
      <c r="I1413" s="27" t="str">
        <f aca="false">IF(A1413="","",IF(H1413&lt;&gt;"",UPPER(TRIM(H1413)),IFERROR(CHOOSE(VALUE(E1413)+1,"A","B","C","D"),IF(OR(LEFT(UPPER(TRIM(E1413)),1)="F",UPPER(TRIM(E1413))="A"),"A",IF(OR(LEFT(UPPER(TRIM(E1413)),1)="M",UPPER(TRIM(E1413))="B"),"B",IF(OR(LEFT(UPPER(TRIM(E1413)),2)="SL",UPPER(TRIM(E1413))="C"),"C",IF(OR(LEFT(UPPER(TRIM(E1413)),1)="D",UPPER(TRIM(E1413))="D"),"D","")))))))</f>
        <v/>
      </c>
      <c r="J1413" s="27" t="str">
        <f aca="false">IF(I1413="","",IF(AND(I1413="D",Settings!$B$6&lt;&gt;"Yes"),"",IFERROR(INDEX(Settings!$C$9:$C$12,MATCH(I1413,Settings!$A$9:$A$12,0)),"")))</f>
        <v/>
      </c>
      <c r="K1413" s="27" t="str">
        <f aca="false">IF(J1413="","",COUNTIF($I$2:I1413,I1413))</f>
        <v/>
      </c>
      <c r="L1413" s="27" t="str">
        <f aca="false">IF(J1413="","",CHOOSE(Q1413+1,"Tue","Wed","Thu","Fri"))</f>
        <v/>
      </c>
      <c r="M1413" s="27" t="str">
        <f aca="false">IF(J1413="","",IF(J1413=1,"Every week",R1413+1&amp;" of "&amp;J1413))</f>
        <v/>
      </c>
      <c r="N1413" s="28" t="str">
        <f aca="false">IF(J1413="","",Settings!$B$4+R1413*7+Q1413)</f>
        <v/>
      </c>
      <c r="O1413" s="28" t="str">
        <f aca="true">IF(J1413="","",N1413+MAX(0,ROUNDUP((TODAY()-N1413)/(J1413*7),0))*J1413*7)</f>
        <v/>
      </c>
      <c r="P1413" s="27" t="str">
        <f aca="false">IF(J1413="","",MOD(K1413-1,J1413*4))</f>
        <v/>
      </c>
      <c r="Q1413" s="27" t="str">
        <f aca="false">IF(J1413="","",MOD(P1413,4))</f>
        <v/>
      </c>
      <c r="R1413" s="27" t="str">
        <f aca="false">IF(J1413="","",INT(P1413/4))</f>
        <v/>
      </c>
      <c r="S1413" s="27" t="str">
        <f aca="false">IF(J1413="","",IF(AND('Daily Count Sheet'!$H$3=Q1413,MOD('Daily Count Sheet'!$I$3,J1413)=R1413),1,""))</f>
        <v/>
      </c>
      <c r="T1413" s="27" t="str">
        <f aca="false">IF(S1413=1,COUNTIF($S$2:S1413,1),"")</f>
        <v/>
      </c>
    </row>
    <row r="1414" customFormat="false" ht="15" hidden="false" customHeight="false" outlineLevel="0" collapsed="false">
      <c r="H1414" s="26"/>
      <c r="I1414" s="27" t="str">
        <f aca="false">IF(A1414="","",IF(H1414&lt;&gt;"",UPPER(TRIM(H1414)),IFERROR(CHOOSE(VALUE(E1414)+1,"A","B","C","D"),IF(OR(LEFT(UPPER(TRIM(E1414)),1)="F",UPPER(TRIM(E1414))="A"),"A",IF(OR(LEFT(UPPER(TRIM(E1414)),1)="M",UPPER(TRIM(E1414))="B"),"B",IF(OR(LEFT(UPPER(TRIM(E1414)),2)="SL",UPPER(TRIM(E1414))="C"),"C",IF(OR(LEFT(UPPER(TRIM(E1414)),1)="D",UPPER(TRIM(E1414))="D"),"D","")))))))</f>
        <v/>
      </c>
      <c r="J1414" s="27" t="str">
        <f aca="false">IF(I1414="","",IF(AND(I1414="D",Settings!$B$6&lt;&gt;"Yes"),"",IFERROR(INDEX(Settings!$C$9:$C$12,MATCH(I1414,Settings!$A$9:$A$12,0)),"")))</f>
        <v/>
      </c>
      <c r="K1414" s="27" t="str">
        <f aca="false">IF(J1414="","",COUNTIF($I$2:I1414,I1414))</f>
        <v/>
      </c>
      <c r="L1414" s="27" t="str">
        <f aca="false">IF(J1414="","",CHOOSE(Q1414+1,"Tue","Wed","Thu","Fri"))</f>
        <v/>
      </c>
      <c r="M1414" s="27" t="str">
        <f aca="false">IF(J1414="","",IF(J1414=1,"Every week",R1414+1&amp;" of "&amp;J1414))</f>
        <v/>
      </c>
      <c r="N1414" s="28" t="str">
        <f aca="false">IF(J1414="","",Settings!$B$4+R1414*7+Q1414)</f>
        <v/>
      </c>
      <c r="O1414" s="28" t="str">
        <f aca="true">IF(J1414="","",N1414+MAX(0,ROUNDUP((TODAY()-N1414)/(J1414*7),0))*J1414*7)</f>
        <v/>
      </c>
      <c r="P1414" s="27" t="str">
        <f aca="false">IF(J1414="","",MOD(K1414-1,J1414*4))</f>
        <v/>
      </c>
      <c r="Q1414" s="27" t="str">
        <f aca="false">IF(J1414="","",MOD(P1414,4))</f>
        <v/>
      </c>
      <c r="R1414" s="27" t="str">
        <f aca="false">IF(J1414="","",INT(P1414/4))</f>
        <v/>
      </c>
      <c r="S1414" s="27" t="str">
        <f aca="false">IF(J1414="","",IF(AND('Daily Count Sheet'!$H$3=Q1414,MOD('Daily Count Sheet'!$I$3,J1414)=R1414),1,""))</f>
        <v/>
      </c>
      <c r="T1414" s="27" t="str">
        <f aca="false">IF(S1414=1,COUNTIF($S$2:S1414,1),"")</f>
        <v/>
      </c>
    </row>
    <row r="1415" customFormat="false" ht="15" hidden="false" customHeight="false" outlineLevel="0" collapsed="false">
      <c r="H1415" s="26"/>
      <c r="I1415" s="27" t="str">
        <f aca="false">IF(A1415="","",IF(H1415&lt;&gt;"",UPPER(TRIM(H1415)),IFERROR(CHOOSE(VALUE(E1415)+1,"A","B","C","D"),IF(OR(LEFT(UPPER(TRIM(E1415)),1)="F",UPPER(TRIM(E1415))="A"),"A",IF(OR(LEFT(UPPER(TRIM(E1415)),1)="M",UPPER(TRIM(E1415))="B"),"B",IF(OR(LEFT(UPPER(TRIM(E1415)),2)="SL",UPPER(TRIM(E1415))="C"),"C",IF(OR(LEFT(UPPER(TRIM(E1415)),1)="D",UPPER(TRIM(E1415))="D"),"D","")))))))</f>
        <v/>
      </c>
      <c r="J1415" s="27" t="str">
        <f aca="false">IF(I1415="","",IF(AND(I1415="D",Settings!$B$6&lt;&gt;"Yes"),"",IFERROR(INDEX(Settings!$C$9:$C$12,MATCH(I1415,Settings!$A$9:$A$12,0)),"")))</f>
        <v/>
      </c>
      <c r="K1415" s="27" t="str">
        <f aca="false">IF(J1415="","",COUNTIF($I$2:I1415,I1415))</f>
        <v/>
      </c>
      <c r="L1415" s="27" t="str">
        <f aca="false">IF(J1415="","",CHOOSE(Q1415+1,"Tue","Wed","Thu","Fri"))</f>
        <v/>
      </c>
      <c r="M1415" s="27" t="str">
        <f aca="false">IF(J1415="","",IF(J1415=1,"Every week",R1415+1&amp;" of "&amp;J1415))</f>
        <v/>
      </c>
      <c r="N1415" s="28" t="str">
        <f aca="false">IF(J1415="","",Settings!$B$4+R1415*7+Q1415)</f>
        <v/>
      </c>
      <c r="O1415" s="28" t="str">
        <f aca="true">IF(J1415="","",N1415+MAX(0,ROUNDUP((TODAY()-N1415)/(J1415*7),0))*J1415*7)</f>
        <v/>
      </c>
      <c r="P1415" s="27" t="str">
        <f aca="false">IF(J1415="","",MOD(K1415-1,J1415*4))</f>
        <v/>
      </c>
      <c r="Q1415" s="27" t="str">
        <f aca="false">IF(J1415="","",MOD(P1415,4))</f>
        <v/>
      </c>
      <c r="R1415" s="27" t="str">
        <f aca="false">IF(J1415="","",INT(P1415/4))</f>
        <v/>
      </c>
      <c r="S1415" s="27" t="str">
        <f aca="false">IF(J1415="","",IF(AND('Daily Count Sheet'!$H$3=Q1415,MOD('Daily Count Sheet'!$I$3,J1415)=R1415),1,""))</f>
        <v/>
      </c>
      <c r="T1415" s="27" t="str">
        <f aca="false">IF(S1415=1,COUNTIF($S$2:S1415,1),"")</f>
        <v/>
      </c>
    </row>
    <row r="1416" customFormat="false" ht="15" hidden="false" customHeight="false" outlineLevel="0" collapsed="false">
      <c r="H1416" s="26"/>
      <c r="I1416" s="27" t="str">
        <f aca="false">IF(A1416="","",IF(H1416&lt;&gt;"",UPPER(TRIM(H1416)),IFERROR(CHOOSE(VALUE(E1416)+1,"A","B","C","D"),IF(OR(LEFT(UPPER(TRIM(E1416)),1)="F",UPPER(TRIM(E1416))="A"),"A",IF(OR(LEFT(UPPER(TRIM(E1416)),1)="M",UPPER(TRIM(E1416))="B"),"B",IF(OR(LEFT(UPPER(TRIM(E1416)),2)="SL",UPPER(TRIM(E1416))="C"),"C",IF(OR(LEFT(UPPER(TRIM(E1416)),1)="D",UPPER(TRIM(E1416))="D"),"D","")))))))</f>
        <v/>
      </c>
      <c r="J1416" s="27" t="str">
        <f aca="false">IF(I1416="","",IF(AND(I1416="D",Settings!$B$6&lt;&gt;"Yes"),"",IFERROR(INDEX(Settings!$C$9:$C$12,MATCH(I1416,Settings!$A$9:$A$12,0)),"")))</f>
        <v/>
      </c>
      <c r="K1416" s="27" t="str">
        <f aca="false">IF(J1416="","",COUNTIF($I$2:I1416,I1416))</f>
        <v/>
      </c>
      <c r="L1416" s="27" t="str">
        <f aca="false">IF(J1416="","",CHOOSE(Q1416+1,"Tue","Wed","Thu","Fri"))</f>
        <v/>
      </c>
      <c r="M1416" s="27" t="str">
        <f aca="false">IF(J1416="","",IF(J1416=1,"Every week",R1416+1&amp;" of "&amp;J1416))</f>
        <v/>
      </c>
      <c r="N1416" s="28" t="str">
        <f aca="false">IF(J1416="","",Settings!$B$4+R1416*7+Q1416)</f>
        <v/>
      </c>
      <c r="O1416" s="28" t="str">
        <f aca="true">IF(J1416="","",N1416+MAX(0,ROUNDUP((TODAY()-N1416)/(J1416*7),0))*J1416*7)</f>
        <v/>
      </c>
      <c r="P1416" s="27" t="str">
        <f aca="false">IF(J1416="","",MOD(K1416-1,J1416*4))</f>
        <v/>
      </c>
      <c r="Q1416" s="27" t="str">
        <f aca="false">IF(J1416="","",MOD(P1416,4))</f>
        <v/>
      </c>
      <c r="R1416" s="27" t="str">
        <f aca="false">IF(J1416="","",INT(P1416/4))</f>
        <v/>
      </c>
      <c r="S1416" s="27" t="str">
        <f aca="false">IF(J1416="","",IF(AND('Daily Count Sheet'!$H$3=Q1416,MOD('Daily Count Sheet'!$I$3,J1416)=R1416),1,""))</f>
        <v/>
      </c>
      <c r="T1416" s="27" t="str">
        <f aca="false">IF(S1416=1,COUNTIF($S$2:S1416,1),"")</f>
        <v/>
      </c>
    </row>
    <row r="1417" customFormat="false" ht="15" hidden="false" customHeight="false" outlineLevel="0" collapsed="false">
      <c r="H1417" s="26"/>
      <c r="I1417" s="27" t="str">
        <f aca="false">IF(A1417="","",IF(H1417&lt;&gt;"",UPPER(TRIM(H1417)),IFERROR(CHOOSE(VALUE(E1417)+1,"A","B","C","D"),IF(OR(LEFT(UPPER(TRIM(E1417)),1)="F",UPPER(TRIM(E1417))="A"),"A",IF(OR(LEFT(UPPER(TRIM(E1417)),1)="M",UPPER(TRIM(E1417))="B"),"B",IF(OR(LEFT(UPPER(TRIM(E1417)),2)="SL",UPPER(TRIM(E1417))="C"),"C",IF(OR(LEFT(UPPER(TRIM(E1417)),1)="D",UPPER(TRIM(E1417))="D"),"D","")))))))</f>
        <v/>
      </c>
      <c r="J1417" s="27" t="str">
        <f aca="false">IF(I1417="","",IF(AND(I1417="D",Settings!$B$6&lt;&gt;"Yes"),"",IFERROR(INDEX(Settings!$C$9:$C$12,MATCH(I1417,Settings!$A$9:$A$12,0)),"")))</f>
        <v/>
      </c>
      <c r="K1417" s="27" t="str">
        <f aca="false">IF(J1417="","",COUNTIF($I$2:I1417,I1417))</f>
        <v/>
      </c>
      <c r="L1417" s="27" t="str">
        <f aca="false">IF(J1417="","",CHOOSE(Q1417+1,"Tue","Wed","Thu","Fri"))</f>
        <v/>
      </c>
      <c r="M1417" s="27" t="str">
        <f aca="false">IF(J1417="","",IF(J1417=1,"Every week",R1417+1&amp;" of "&amp;J1417))</f>
        <v/>
      </c>
      <c r="N1417" s="28" t="str">
        <f aca="false">IF(J1417="","",Settings!$B$4+R1417*7+Q1417)</f>
        <v/>
      </c>
      <c r="O1417" s="28" t="str">
        <f aca="true">IF(J1417="","",N1417+MAX(0,ROUNDUP((TODAY()-N1417)/(J1417*7),0))*J1417*7)</f>
        <v/>
      </c>
      <c r="P1417" s="27" t="str">
        <f aca="false">IF(J1417="","",MOD(K1417-1,J1417*4))</f>
        <v/>
      </c>
      <c r="Q1417" s="27" t="str">
        <f aca="false">IF(J1417="","",MOD(P1417,4))</f>
        <v/>
      </c>
      <c r="R1417" s="27" t="str">
        <f aca="false">IF(J1417="","",INT(P1417/4))</f>
        <v/>
      </c>
      <c r="S1417" s="27" t="str">
        <f aca="false">IF(J1417="","",IF(AND('Daily Count Sheet'!$H$3=Q1417,MOD('Daily Count Sheet'!$I$3,J1417)=R1417),1,""))</f>
        <v/>
      </c>
      <c r="T1417" s="27" t="str">
        <f aca="false">IF(S1417=1,COUNTIF($S$2:S1417,1),"")</f>
        <v/>
      </c>
    </row>
    <row r="1418" customFormat="false" ht="15" hidden="false" customHeight="false" outlineLevel="0" collapsed="false">
      <c r="H1418" s="26"/>
      <c r="I1418" s="27" t="str">
        <f aca="false">IF(A1418="","",IF(H1418&lt;&gt;"",UPPER(TRIM(H1418)),IFERROR(CHOOSE(VALUE(E1418)+1,"A","B","C","D"),IF(OR(LEFT(UPPER(TRIM(E1418)),1)="F",UPPER(TRIM(E1418))="A"),"A",IF(OR(LEFT(UPPER(TRIM(E1418)),1)="M",UPPER(TRIM(E1418))="B"),"B",IF(OR(LEFT(UPPER(TRIM(E1418)),2)="SL",UPPER(TRIM(E1418))="C"),"C",IF(OR(LEFT(UPPER(TRIM(E1418)),1)="D",UPPER(TRIM(E1418))="D"),"D","")))))))</f>
        <v/>
      </c>
      <c r="J1418" s="27" t="str">
        <f aca="false">IF(I1418="","",IF(AND(I1418="D",Settings!$B$6&lt;&gt;"Yes"),"",IFERROR(INDEX(Settings!$C$9:$C$12,MATCH(I1418,Settings!$A$9:$A$12,0)),"")))</f>
        <v/>
      </c>
      <c r="K1418" s="27" t="str">
        <f aca="false">IF(J1418="","",COUNTIF($I$2:I1418,I1418))</f>
        <v/>
      </c>
      <c r="L1418" s="27" t="str">
        <f aca="false">IF(J1418="","",CHOOSE(Q1418+1,"Tue","Wed","Thu","Fri"))</f>
        <v/>
      </c>
      <c r="M1418" s="27" t="str">
        <f aca="false">IF(J1418="","",IF(J1418=1,"Every week",R1418+1&amp;" of "&amp;J1418))</f>
        <v/>
      </c>
      <c r="N1418" s="28" t="str">
        <f aca="false">IF(J1418="","",Settings!$B$4+R1418*7+Q1418)</f>
        <v/>
      </c>
      <c r="O1418" s="28" t="str">
        <f aca="true">IF(J1418="","",N1418+MAX(0,ROUNDUP((TODAY()-N1418)/(J1418*7),0))*J1418*7)</f>
        <v/>
      </c>
      <c r="P1418" s="27" t="str">
        <f aca="false">IF(J1418="","",MOD(K1418-1,J1418*4))</f>
        <v/>
      </c>
      <c r="Q1418" s="27" t="str">
        <f aca="false">IF(J1418="","",MOD(P1418,4))</f>
        <v/>
      </c>
      <c r="R1418" s="27" t="str">
        <f aca="false">IF(J1418="","",INT(P1418/4))</f>
        <v/>
      </c>
      <c r="S1418" s="27" t="str">
        <f aca="false">IF(J1418="","",IF(AND('Daily Count Sheet'!$H$3=Q1418,MOD('Daily Count Sheet'!$I$3,J1418)=R1418),1,""))</f>
        <v/>
      </c>
      <c r="T1418" s="27" t="str">
        <f aca="false">IF(S1418=1,COUNTIF($S$2:S1418,1),"")</f>
        <v/>
      </c>
    </row>
    <row r="1419" customFormat="false" ht="15" hidden="false" customHeight="false" outlineLevel="0" collapsed="false">
      <c r="H1419" s="26"/>
      <c r="I1419" s="27" t="str">
        <f aca="false">IF(A1419="","",IF(H1419&lt;&gt;"",UPPER(TRIM(H1419)),IFERROR(CHOOSE(VALUE(E1419)+1,"A","B","C","D"),IF(OR(LEFT(UPPER(TRIM(E1419)),1)="F",UPPER(TRIM(E1419))="A"),"A",IF(OR(LEFT(UPPER(TRIM(E1419)),1)="M",UPPER(TRIM(E1419))="B"),"B",IF(OR(LEFT(UPPER(TRIM(E1419)),2)="SL",UPPER(TRIM(E1419))="C"),"C",IF(OR(LEFT(UPPER(TRIM(E1419)),1)="D",UPPER(TRIM(E1419))="D"),"D","")))))))</f>
        <v/>
      </c>
      <c r="J1419" s="27" t="str">
        <f aca="false">IF(I1419="","",IF(AND(I1419="D",Settings!$B$6&lt;&gt;"Yes"),"",IFERROR(INDEX(Settings!$C$9:$C$12,MATCH(I1419,Settings!$A$9:$A$12,0)),"")))</f>
        <v/>
      </c>
      <c r="K1419" s="27" t="str">
        <f aca="false">IF(J1419="","",COUNTIF($I$2:I1419,I1419))</f>
        <v/>
      </c>
      <c r="L1419" s="27" t="str">
        <f aca="false">IF(J1419="","",CHOOSE(Q1419+1,"Tue","Wed","Thu","Fri"))</f>
        <v/>
      </c>
      <c r="M1419" s="27" t="str">
        <f aca="false">IF(J1419="","",IF(J1419=1,"Every week",R1419+1&amp;" of "&amp;J1419))</f>
        <v/>
      </c>
      <c r="N1419" s="28" t="str">
        <f aca="false">IF(J1419="","",Settings!$B$4+R1419*7+Q1419)</f>
        <v/>
      </c>
      <c r="O1419" s="28" t="str">
        <f aca="true">IF(J1419="","",N1419+MAX(0,ROUNDUP((TODAY()-N1419)/(J1419*7),0))*J1419*7)</f>
        <v/>
      </c>
      <c r="P1419" s="27" t="str">
        <f aca="false">IF(J1419="","",MOD(K1419-1,J1419*4))</f>
        <v/>
      </c>
      <c r="Q1419" s="27" t="str">
        <f aca="false">IF(J1419="","",MOD(P1419,4))</f>
        <v/>
      </c>
      <c r="R1419" s="27" t="str">
        <f aca="false">IF(J1419="","",INT(P1419/4))</f>
        <v/>
      </c>
      <c r="S1419" s="27" t="str">
        <f aca="false">IF(J1419="","",IF(AND('Daily Count Sheet'!$H$3=Q1419,MOD('Daily Count Sheet'!$I$3,J1419)=R1419),1,""))</f>
        <v/>
      </c>
      <c r="T1419" s="27" t="str">
        <f aca="false">IF(S1419=1,COUNTIF($S$2:S1419,1),"")</f>
        <v/>
      </c>
    </row>
    <row r="1420" customFormat="false" ht="15" hidden="false" customHeight="false" outlineLevel="0" collapsed="false">
      <c r="H1420" s="26"/>
      <c r="I1420" s="27" t="str">
        <f aca="false">IF(A1420="","",IF(H1420&lt;&gt;"",UPPER(TRIM(H1420)),IFERROR(CHOOSE(VALUE(E1420)+1,"A","B","C","D"),IF(OR(LEFT(UPPER(TRIM(E1420)),1)="F",UPPER(TRIM(E1420))="A"),"A",IF(OR(LEFT(UPPER(TRIM(E1420)),1)="M",UPPER(TRIM(E1420))="B"),"B",IF(OR(LEFT(UPPER(TRIM(E1420)),2)="SL",UPPER(TRIM(E1420))="C"),"C",IF(OR(LEFT(UPPER(TRIM(E1420)),1)="D",UPPER(TRIM(E1420))="D"),"D","")))))))</f>
        <v/>
      </c>
      <c r="J1420" s="27" t="str">
        <f aca="false">IF(I1420="","",IF(AND(I1420="D",Settings!$B$6&lt;&gt;"Yes"),"",IFERROR(INDEX(Settings!$C$9:$C$12,MATCH(I1420,Settings!$A$9:$A$12,0)),"")))</f>
        <v/>
      </c>
      <c r="K1420" s="27" t="str">
        <f aca="false">IF(J1420="","",COUNTIF($I$2:I1420,I1420))</f>
        <v/>
      </c>
      <c r="L1420" s="27" t="str">
        <f aca="false">IF(J1420="","",CHOOSE(Q1420+1,"Tue","Wed","Thu","Fri"))</f>
        <v/>
      </c>
      <c r="M1420" s="27" t="str">
        <f aca="false">IF(J1420="","",IF(J1420=1,"Every week",R1420+1&amp;" of "&amp;J1420))</f>
        <v/>
      </c>
      <c r="N1420" s="28" t="str">
        <f aca="false">IF(J1420="","",Settings!$B$4+R1420*7+Q1420)</f>
        <v/>
      </c>
      <c r="O1420" s="28" t="str">
        <f aca="true">IF(J1420="","",N1420+MAX(0,ROUNDUP((TODAY()-N1420)/(J1420*7),0))*J1420*7)</f>
        <v/>
      </c>
      <c r="P1420" s="27" t="str">
        <f aca="false">IF(J1420="","",MOD(K1420-1,J1420*4))</f>
        <v/>
      </c>
      <c r="Q1420" s="27" t="str">
        <f aca="false">IF(J1420="","",MOD(P1420,4))</f>
        <v/>
      </c>
      <c r="R1420" s="27" t="str">
        <f aca="false">IF(J1420="","",INT(P1420/4))</f>
        <v/>
      </c>
      <c r="S1420" s="27" t="str">
        <f aca="false">IF(J1420="","",IF(AND('Daily Count Sheet'!$H$3=Q1420,MOD('Daily Count Sheet'!$I$3,J1420)=R1420),1,""))</f>
        <v/>
      </c>
      <c r="T1420" s="27" t="str">
        <f aca="false">IF(S1420=1,COUNTIF($S$2:S1420,1),"")</f>
        <v/>
      </c>
    </row>
    <row r="1421" customFormat="false" ht="15" hidden="false" customHeight="false" outlineLevel="0" collapsed="false">
      <c r="H1421" s="26"/>
      <c r="I1421" s="27" t="str">
        <f aca="false">IF(A1421="","",IF(H1421&lt;&gt;"",UPPER(TRIM(H1421)),IFERROR(CHOOSE(VALUE(E1421)+1,"A","B","C","D"),IF(OR(LEFT(UPPER(TRIM(E1421)),1)="F",UPPER(TRIM(E1421))="A"),"A",IF(OR(LEFT(UPPER(TRIM(E1421)),1)="M",UPPER(TRIM(E1421))="B"),"B",IF(OR(LEFT(UPPER(TRIM(E1421)),2)="SL",UPPER(TRIM(E1421))="C"),"C",IF(OR(LEFT(UPPER(TRIM(E1421)),1)="D",UPPER(TRIM(E1421))="D"),"D","")))))))</f>
        <v/>
      </c>
      <c r="J1421" s="27" t="str">
        <f aca="false">IF(I1421="","",IF(AND(I1421="D",Settings!$B$6&lt;&gt;"Yes"),"",IFERROR(INDEX(Settings!$C$9:$C$12,MATCH(I1421,Settings!$A$9:$A$12,0)),"")))</f>
        <v/>
      </c>
      <c r="K1421" s="27" t="str">
        <f aca="false">IF(J1421="","",COUNTIF($I$2:I1421,I1421))</f>
        <v/>
      </c>
      <c r="L1421" s="27" t="str">
        <f aca="false">IF(J1421="","",CHOOSE(Q1421+1,"Tue","Wed","Thu","Fri"))</f>
        <v/>
      </c>
      <c r="M1421" s="27" t="str">
        <f aca="false">IF(J1421="","",IF(J1421=1,"Every week",R1421+1&amp;" of "&amp;J1421))</f>
        <v/>
      </c>
      <c r="N1421" s="28" t="str">
        <f aca="false">IF(J1421="","",Settings!$B$4+R1421*7+Q1421)</f>
        <v/>
      </c>
      <c r="O1421" s="28" t="str">
        <f aca="true">IF(J1421="","",N1421+MAX(0,ROUNDUP((TODAY()-N1421)/(J1421*7),0))*J1421*7)</f>
        <v/>
      </c>
      <c r="P1421" s="27" t="str">
        <f aca="false">IF(J1421="","",MOD(K1421-1,J1421*4))</f>
        <v/>
      </c>
      <c r="Q1421" s="27" t="str">
        <f aca="false">IF(J1421="","",MOD(P1421,4))</f>
        <v/>
      </c>
      <c r="R1421" s="27" t="str">
        <f aca="false">IF(J1421="","",INT(P1421/4))</f>
        <v/>
      </c>
      <c r="S1421" s="27" t="str">
        <f aca="false">IF(J1421="","",IF(AND('Daily Count Sheet'!$H$3=Q1421,MOD('Daily Count Sheet'!$I$3,J1421)=R1421),1,""))</f>
        <v/>
      </c>
      <c r="T1421" s="27" t="str">
        <f aca="false">IF(S1421=1,COUNTIF($S$2:S1421,1),"")</f>
        <v/>
      </c>
    </row>
    <row r="1422" customFormat="false" ht="15" hidden="false" customHeight="false" outlineLevel="0" collapsed="false">
      <c r="H1422" s="26"/>
      <c r="I1422" s="27" t="str">
        <f aca="false">IF(A1422="","",IF(H1422&lt;&gt;"",UPPER(TRIM(H1422)),IFERROR(CHOOSE(VALUE(E1422)+1,"A","B","C","D"),IF(OR(LEFT(UPPER(TRIM(E1422)),1)="F",UPPER(TRIM(E1422))="A"),"A",IF(OR(LEFT(UPPER(TRIM(E1422)),1)="M",UPPER(TRIM(E1422))="B"),"B",IF(OR(LEFT(UPPER(TRIM(E1422)),2)="SL",UPPER(TRIM(E1422))="C"),"C",IF(OR(LEFT(UPPER(TRIM(E1422)),1)="D",UPPER(TRIM(E1422))="D"),"D","")))))))</f>
        <v/>
      </c>
      <c r="J1422" s="27" t="str">
        <f aca="false">IF(I1422="","",IF(AND(I1422="D",Settings!$B$6&lt;&gt;"Yes"),"",IFERROR(INDEX(Settings!$C$9:$C$12,MATCH(I1422,Settings!$A$9:$A$12,0)),"")))</f>
        <v/>
      </c>
      <c r="K1422" s="27" t="str">
        <f aca="false">IF(J1422="","",COUNTIF($I$2:I1422,I1422))</f>
        <v/>
      </c>
      <c r="L1422" s="27" t="str">
        <f aca="false">IF(J1422="","",CHOOSE(Q1422+1,"Tue","Wed","Thu","Fri"))</f>
        <v/>
      </c>
      <c r="M1422" s="27" t="str">
        <f aca="false">IF(J1422="","",IF(J1422=1,"Every week",R1422+1&amp;" of "&amp;J1422))</f>
        <v/>
      </c>
      <c r="N1422" s="28" t="str">
        <f aca="false">IF(J1422="","",Settings!$B$4+R1422*7+Q1422)</f>
        <v/>
      </c>
      <c r="O1422" s="28" t="str">
        <f aca="true">IF(J1422="","",N1422+MAX(0,ROUNDUP((TODAY()-N1422)/(J1422*7),0))*J1422*7)</f>
        <v/>
      </c>
      <c r="P1422" s="27" t="str">
        <f aca="false">IF(J1422="","",MOD(K1422-1,J1422*4))</f>
        <v/>
      </c>
      <c r="Q1422" s="27" t="str">
        <f aca="false">IF(J1422="","",MOD(P1422,4))</f>
        <v/>
      </c>
      <c r="R1422" s="27" t="str">
        <f aca="false">IF(J1422="","",INT(P1422/4))</f>
        <v/>
      </c>
      <c r="S1422" s="27" t="str">
        <f aca="false">IF(J1422="","",IF(AND('Daily Count Sheet'!$H$3=Q1422,MOD('Daily Count Sheet'!$I$3,J1422)=R1422),1,""))</f>
        <v/>
      </c>
      <c r="T1422" s="27" t="str">
        <f aca="false">IF(S1422=1,COUNTIF($S$2:S1422,1),"")</f>
        <v/>
      </c>
    </row>
    <row r="1423" customFormat="false" ht="15" hidden="false" customHeight="false" outlineLevel="0" collapsed="false">
      <c r="H1423" s="26"/>
      <c r="I1423" s="27" t="str">
        <f aca="false">IF(A1423="","",IF(H1423&lt;&gt;"",UPPER(TRIM(H1423)),IFERROR(CHOOSE(VALUE(E1423)+1,"A","B","C","D"),IF(OR(LEFT(UPPER(TRIM(E1423)),1)="F",UPPER(TRIM(E1423))="A"),"A",IF(OR(LEFT(UPPER(TRIM(E1423)),1)="M",UPPER(TRIM(E1423))="B"),"B",IF(OR(LEFT(UPPER(TRIM(E1423)),2)="SL",UPPER(TRIM(E1423))="C"),"C",IF(OR(LEFT(UPPER(TRIM(E1423)),1)="D",UPPER(TRIM(E1423))="D"),"D","")))))))</f>
        <v/>
      </c>
      <c r="J1423" s="27" t="str">
        <f aca="false">IF(I1423="","",IF(AND(I1423="D",Settings!$B$6&lt;&gt;"Yes"),"",IFERROR(INDEX(Settings!$C$9:$C$12,MATCH(I1423,Settings!$A$9:$A$12,0)),"")))</f>
        <v/>
      </c>
      <c r="K1423" s="27" t="str">
        <f aca="false">IF(J1423="","",COUNTIF($I$2:I1423,I1423))</f>
        <v/>
      </c>
      <c r="L1423" s="27" t="str">
        <f aca="false">IF(J1423="","",CHOOSE(Q1423+1,"Tue","Wed","Thu","Fri"))</f>
        <v/>
      </c>
      <c r="M1423" s="27" t="str">
        <f aca="false">IF(J1423="","",IF(J1423=1,"Every week",R1423+1&amp;" of "&amp;J1423))</f>
        <v/>
      </c>
      <c r="N1423" s="28" t="str">
        <f aca="false">IF(J1423="","",Settings!$B$4+R1423*7+Q1423)</f>
        <v/>
      </c>
      <c r="O1423" s="28" t="str">
        <f aca="true">IF(J1423="","",N1423+MAX(0,ROUNDUP((TODAY()-N1423)/(J1423*7),0))*J1423*7)</f>
        <v/>
      </c>
      <c r="P1423" s="27" t="str">
        <f aca="false">IF(J1423="","",MOD(K1423-1,J1423*4))</f>
        <v/>
      </c>
      <c r="Q1423" s="27" t="str">
        <f aca="false">IF(J1423="","",MOD(P1423,4))</f>
        <v/>
      </c>
      <c r="R1423" s="27" t="str">
        <f aca="false">IF(J1423="","",INT(P1423/4))</f>
        <v/>
      </c>
      <c r="S1423" s="27" t="str">
        <f aca="false">IF(J1423="","",IF(AND('Daily Count Sheet'!$H$3=Q1423,MOD('Daily Count Sheet'!$I$3,J1423)=R1423),1,""))</f>
        <v/>
      </c>
      <c r="T1423" s="27" t="str">
        <f aca="false">IF(S1423=1,COUNTIF($S$2:S1423,1),"")</f>
        <v/>
      </c>
    </row>
    <row r="1424" customFormat="false" ht="15" hidden="false" customHeight="false" outlineLevel="0" collapsed="false">
      <c r="H1424" s="26"/>
      <c r="I1424" s="27" t="str">
        <f aca="false">IF(A1424="","",IF(H1424&lt;&gt;"",UPPER(TRIM(H1424)),IFERROR(CHOOSE(VALUE(E1424)+1,"A","B","C","D"),IF(OR(LEFT(UPPER(TRIM(E1424)),1)="F",UPPER(TRIM(E1424))="A"),"A",IF(OR(LEFT(UPPER(TRIM(E1424)),1)="M",UPPER(TRIM(E1424))="B"),"B",IF(OR(LEFT(UPPER(TRIM(E1424)),2)="SL",UPPER(TRIM(E1424))="C"),"C",IF(OR(LEFT(UPPER(TRIM(E1424)),1)="D",UPPER(TRIM(E1424))="D"),"D","")))))))</f>
        <v/>
      </c>
      <c r="J1424" s="27" t="str">
        <f aca="false">IF(I1424="","",IF(AND(I1424="D",Settings!$B$6&lt;&gt;"Yes"),"",IFERROR(INDEX(Settings!$C$9:$C$12,MATCH(I1424,Settings!$A$9:$A$12,0)),"")))</f>
        <v/>
      </c>
      <c r="K1424" s="27" t="str">
        <f aca="false">IF(J1424="","",COUNTIF($I$2:I1424,I1424))</f>
        <v/>
      </c>
      <c r="L1424" s="27" t="str">
        <f aca="false">IF(J1424="","",CHOOSE(Q1424+1,"Tue","Wed","Thu","Fri"))</f>
        <v/>
      </c>
      <c r="M1424" s="27" t="str">
        <f aca="false">IF(J1424="","",IF(J1424=1,"Every week",R1424+1&amp;" of "&amp;J1424))</f>
        <v/>
      </c>
      <c r="N1424" s="28" t="str">
        <f aca="false">IF(J1424="","",Settings!$B$4+R1424*7+Q1424)</f>
        <v/>
      </c>
      <c r="O1424" s="28" t="str">
        <f aca="true">IF(J1424="","",N1424+MAX(0,ROUNDUP((TODAY()-N1424)/(J1424*7),0))*J1424*7)</f>
        <v/>
      </c>
      <c r="P1424" s="27" t="str">
        <f aca="false">IF(J1424="","",MOD(K1424-1,J1424*4))</f>
        <v/>
      </c>
      <c r="Q1424" s="27" t="str">
        <f aca="false">IF(J1424="","",MOD(P1424,4))</f>
        <v/>
      </c>
      <c r="R1424" s="27" t="str">
        <f aca="false">IF(J1424="","",INT(P1424/4))</f>
        <v/>
      </c>
      <c r="S1424" s="27" t="str">
        <f aca="false">IF(J1424="","",IF(AND('Daily Count Sheet'!$H$3=Q1424,MOD('Daily Count Sheet'!$I$3,J1424)=R1424),1,""))</f>
        <v/>
      </c>
      <c r="T1424" s="27" t="str">
        <f aca="false">IF(S1424=1,COUNTIF($S$2:S1424,1),"")</f>
        <v/>
      </c>
    </row>
    <row r="1425" customFormat="false" ht="15" hidden="false" customHeight="false" outlineLevel="0" collapsed="false">
      <c r="H1425" s="26"/>
      <c r="I1425" s="27" t="str">
        <f aca="false">IF(A1425="","",IF(H1425&lt;&gt;"",UPPER(TRIM(H1425)),IFERROR(CHOOSE(VALUE(E1425)+1,"A","B","C","D"),IF(OR(LEFT(UPPER(TRIM(E1425)),1)="F",UPPER(TRIM(E1425))="A"),"A",IF(OR(LEFT(UPPER(TRIM(E1425)),1)="M",UPPER(TRIM(E1425))="B"),"B",IF(OR(LEFT(UPPER(TRIM(E1425)),2)="SL",UPPER(TRIM(E1425))="C"),"C",IF(OR(LEFT(UPPER(TRIM(E1425)),1)="D",UPPER(TRIM(E1425))="D"),"D","")))))))</f>
        <v/>
      </c>
      <c r="J1425" s="27" t="str">
        <f aca="false">IF(I1425="","",IF(AND(I1425="D",Settings!$B$6&lt;&gt;"Yes"),"",IFERROR(INDEX(Settings!$C$9:$C$12,MATCH(I1425,Settings!$A$9:$A$12,0)),"")))</f>
        <v/>
      </c>
      <c r="K1425" s="27" t="str">
        <f aca="false">IF(J1425="","",COUNTIF($I$2:I1425,I1425))</f>
        <v/>
      </c>
      <c r="L1425" s="27" t="str">
        <f aca="false">IF(J1425="","",CHOOSE(Q1425+1,"Tue","Wed","Thu","Fri"))</f>
        <v/>
      </c>
      <c r="M1425" s="27" t="str">
        <f aca="false">IF(J1425="","",IF(J1425=1,"Every week",R1425+1&amp;" of "&amp;J1425))</f>
        <v/>
      </c>
      <c r="N1425" s="28" t="str">
        <f aca="false">IF(J1425="","",Settings!$B$4+R1425*7+Q1425)</f>
        <v/>
      </c>
      <c r="O1425" s="28" t="str">
        <f aca="true">IF(J1425="","",N1425+MAX(0,ROUNDUP((TODAY()-N1425)/(J1425*7),0))*J1425*7)</f>
        <v/>
      </c>
      <c r="P1425" s="27" t="str">
        <f aca="false">IF(J1425="","",MOD(K1425-1,J1425*4))</f>
        <v/>
      </c>
      <c r="Q1425" s="27" t="str">
        <f aca="false">IF(J1425="","",MOD(P1425,4))</f>
        <v/>
      </c>
      <c r="R1425" s="27" t="str">
        <f aca="false">IF(J1425="","",INT(P1425/4))</f>
        <v/>
      </c>
      <c r="S1425" s="27" t="str">
        <f aca="false">IF(J1425="","",IF(AND('Daily Count Sheet'!$H$3=Q1425,MOD('Daily Count Sheet'!$I$3,J1425)=R1425),1,""))</f>
        <v/>
      </c>
      <c r="T1425" s="27" t="str">
        <f aca="false">IF(S1425=1,COUNTIF($S$2:S1425,1),"")</f>
        <v/>
      </c>
    </row>
    <row r="1426" customFormat="false" ht="15" hidden="false" customHeight="false" outlineLevel="0" collapsed="false">
      <c r="H1426" s="26"/>
      <c r="I1426" s="27" t="str">
        <f aca="false">IF(A1426="","",IF(H1426&lt;&gt;"",UPPER(TRIM(H1426)),IFERROR(CHOOSE(VALUE(E1426)+1,"A","B","C","D"),IF(OR(LEFT(UPPER(TRIM(E1426)),1)="F",UPPER(TRIM(E1426))="A"),"A",IF(OR(LEFT(UPPER(TRIM(E1426)),1)="M",UPPER(TRIM(E1426))="B"),"B",IF(OR(LEFT(UPPER(TRIM(E1426)),2)="SL",UPPER(TRIM(E1426))="C"),"C",IF(OR(LEFT(UPPER(TRIM(E1426)),1)="D",UPPER(TRIM(E1426))="D"),"D","")))))))</f>
        <v/>
      </c>
      <c r="J1426" s="27" t="str">
        <f aca="false">IF(I1426="","",IF(AND(I1426="D",Settings!$B$6&lt;&gt;"Yes"),"",IFERROR(INDEX(Settings!$C$9:$C$12,MATCH(I1426,Settings!$A$9:$A$12,0)),"")))</f>
        <v/>
      </c>
      <c r="K1426" s="27" t="str">
        <f aca="false">IF(J1426="","",COUNTIF($I$2:I1426,I1426))</f>
        <v/>
      </c>
      <c r="L1426" s="27" t="str">
        <f aca="false">IF(J1426="","",CHOOSE(Q1426+1,"Tue","Wed","Thu","Fri"))</f>
        <v/>
      </c>
      <c r="M1426" s="27" t="str">
        <f aca="false">IF(J1426="","",IF(J1426=1,"Every week",R1426+1&amp;" of "&amp;J1426))</f>
        <v/>
      </c>
      <c r="N1426" s="28" t="str">
        <f aca="false">IF(J1426="","",Settings!$B$4+R1426*7+Q1426)</f>
        <v/>
      </c>
      <c r="O1426" s="28" t="str">
        <f aca="true">IF(J1426="","",N1426+MAX(0,ROUNDUP((TODAY()-N1426)/(J1426*7),0))*J1426*7)</f>
        <v/>
      </c>
      <c r="P1426" s="27" t="str">
        <f aca="false">IF(J1426="","",MOD(K1426-1,J1426*4))</f>
        <v/>
      </c>
      <c r="Q1426" s="27" t="str">
        <f aca="false">IF(J1426="","",MOD(P1426,4))</f>
        <v/>
      </c>
      <c r="R1426" s="27" t="str">
        <f aca="false">IF(J1426="","",INT(P1426/4))</f>
        <v/>
      </c>
      <c r="S1426" s="27" t="str">
        <f aca="false">IF(J1426="","",IF(AND('Daily Count Sheet'!$H$3=Q1426,MOD('Daily Count Sheet'!$I$3,J1426)=R1426),1,""))</f>
        <v/>
      </c>
      <c r="T1426" s="27" t="str">
        <f aca="false">IF(S1426=1,COUNTIF($S$2:S1426,1),"")</f>
        <v/>
      </c>
    </row>
    <row r="1427" customFormat="false" ht="15" hidden="false" customHeight="false" outlineLevel="0" collapsed="false">
      <c r="H1427" s="26"/>
      <c r="I1427" s="27" t="str">
        <f aca="false">IF(A1427="","",IF(H1427&lt;&gt;"",UPPER(TRIM(H1427)),IFERROR(CHOOSE(VALUE(E1427)+1,"A","B","C","D"),IF(OR(LEFT(UPPER(TRIM(E1427)),1)="F",UPPER(TRIM(E1427))="A"),"A",IF(OR(LEFT(UPPER(TRIM(E1427)),1)="M",UPPER(TRIM(E1427))="B"),"B",IF(OR(LEFT(UPPER(TRIM(E1427)),2)="SL",UPPER(TRIM(E1427))="C"),"C",IF(OR(LEFT(UPPER(TRIM(E1427)),1)="D",UPPER(TRIM(E1427))="D"),"D","")))))))</f>
        <v/>
      </c>
      <c r="J1427" s="27" t="str">
        <f aca="false">IF(I1427="","",IF(AND(I1427="D",Settings!$B$6&lt;&gt;"Yes"),"",IFERROR(INDEX(Settings!$C$9:$C$12,MATCH(I1427,Settings!$A$9:$A$12,0)),"")))</f>
        <v/>
      </c>
      <c r="K1427" s="27" t="str">
        <f aca="false">IF(J1427="","",COUNTIF($I$2:I1427,I1427))</f>
        <v/>
      </c>
      <c r="L1427" s="27" t="str">
        <f aca="false">IF(J1427="","",CHOOSE(Q1427+1,"Tue","Wed","Thu","Fri"))</f>
        <v/>
      </c>
      <c r="M1427" s="27" t="str">
        <f aca="false">IF(J1427="","",IF(J1427=1,"Every week",R1427+1&amp;" of "&amp;J1427))</f>
        <v/>
      </c>
      <c r="N1427" s="28" t="str">
        <f aca="false">IF(J1427="","",Settings!$B$4+R1427*7+Q1427)</f>
        <v/>
      </c>
      <c r="O1427" s="28" t="str">
        <f aca="true">IF(J1427="","",N1427+MAX(0,ROUNDUP((TODAY()-N1427)/(J1427*7),0))*J1427*7)</f>
        <v/>
      </c>
      <c r="P1427" s="27" t="str">
        <f aca="false">IF(J1427="","",MOD(K1427-1,J1427*4))</f>
        <v/>
      </c>
      <c r="Q1427" s="27" t="str">
        <f aca="false">IF(J1427="","",MOD(P1427,4))</f>
        <v/>
      </c>
      <c r="R1427" s="27" t="str">
        <f aca="false">IF(J1427="","",INT(P1427/4))</f>
        <v/>
      </c>
      <c r="S1427" s="27" t="str">
        <f aca="false">IF(J1427="","",IF(AND('Daily Count Sheet'!$H$3=Q1427,MOD('Daily Count Sheet'!$I$3,J1427)=R1427),1,""))</f>
        <v/>
      </c>
      <c r="T1427" s="27" t="str">
        <f aca="false">IF(S1427=1,COUNTIF($S$2:S1427,1),"")</f>
        <v/>
      </c>
    </row>
    <row r="1428" customFormat="false" ht="15" hidden="false" customHeight="false" outlineLevel="0" collapsed="false">
      <c r="H1428" s="26"/>
      <c r="I1428" s="27" t="str">
        <f aca="false">IF(A1428="","",IF(H1428&lt;&gt;"",UPPER(TRIM(H1428)),IFERROR(CHOOSE(VALUE(E1428)+1,"A","B","C","D"),IF(OR(LEFT(UPPER(TRIM(E1428)),1)="F",UPPER(TRIM(E1428))="A"),"A",IF(OR(LEFT(UPPER(TRIM(E1428)),1)="M",UPPER(TRIM(E1428))="B"),"B",IF(OR(LEFT(UPPER(TRIM(E1428)),2)="SL",UPPER(TRIM(E1428))="C"),"C",IF(OR(LEFT(UPPER(TRIM(E1428)),1)="D",UPPER(TRIM(E1428))="D"),"D","")))))))</f>
        <v/>
      </c>
      <c r="J1428" s="27" t="str">
        <f aca="false">IF(I1428="","",IF(AND(I1428="D",Settings!$B$6&lt;&gt;"Yes"),"",IFERROR(INDEX(Settings!$C$9:$C$12,MATCH(I1428,Settings!$A$9:$A$12,0)),"")))</f>
        <v/>
      </c>
      <c r="K1428" s="27" t="str">
        <f aca="false">IF(J1428="","",COUNTIF($I$2:I1428,I1428))</f>
        <v/>
      </c>
      <c r="L1428" s="27" t="str">
        <f aca="false">IF(J1428="","",CHOOSE(Q1428+1,"Tue","Wed","Thu","Fri"))</f>
        <v/>
      </c>
      <c r="M1428" s="27" t="str">
        <f aca="false">IF(J1428="","",IF(J1428=1,"Every week",R1428+1&amp;" of "&amp;J1428))</f>
        <v/>
      </c>
      <c r="N1428" s="28" t="str">
        <f aca="false">IF(J1428="","",Settings!$B$4+R1428*7+Q1428)</f>
        <v/>
      </c>
      <c r="O1428" s="28" t="str">
        <f aca="true">IF(J1428="","",N1428+MAX(0,ROUNDUP((TODAY()-N1428)/(J1428*7),0))*J1428*7)</f>
        <v/>
      </c>
      <c r="P1428" s="27" t="str">
        <f aca="false">IF(J1428="","",MOD(K1428-1,J1428*4))</f>
        <v/>
      </c>
      <c r="Q1428" s="27" t="str">
        <f aca="false">IF(J1428="","",MOD(P1428,4))</f>
        <v/>
      </c>
      <c r="R1428" s="27" t="str">
        <f aca="false">IF(J1428="","",INT(P1428/4))</f>
        <v/>
      </c>
      <c r="S1428" s="27" t="str">
        <f aca="false">IF(J1428="","",IF(AND('Daily Count Sheet'!$H$3=Q1428,MOD('Daily Count Sheet'!$I$3,J1428)=R1428),1,""))</f>
        <v/>
      </c>
      <c r="T1428" s="27" t="str">
        <f aca="false">IF(S1428=1,COUNTIF($S$2:S1428,1),"")</f>
        <v/>
      </c>
    </row>
    <row r="1429" customFormat="false" ht="15" hidden="false" customHeight="false" outlineLevel="0" collapsed="false">
      <c r="H1429" s="26"/>
      <c r="I1429" s="27" t="str">
        <f aca="false">IF(A1429="","",IF(H1429&lt;&gt;"",UPPER(TRIM(H1429)),IFERROR(CHOOSE(VALUE(E1429)+1,"A","B","C","D"),IF(OR(LEFT(UPPER(TRIM(E1429)),1)="F",UPPER(TRIM(E1429))="A"),"A",IF(OR(LEFT(UPPER(TRIM(E1429)),1)="M",UPPER(TRIM(E1429))="B"),"B",IF(OR(LEFT(UPPER(TRIM(E1429)),2)="SL",UPPER(TRIM(E1429))="C"),"C",IF(OR(LEFT(UPPER(TRIM(E1429)),1)="D",UPPER(TRIM(E1429))="D"),"D","")))))))</f>
        <v/>
      </c>
      <c r="J1429" s="27" t="str">
        <f aca="false">IF(I1429="","",IF(AND(I1429="D",Settings!$B$6&lt;&gt;"Yes"),"",IFERROR(INDEX(Settings!$C$9:$C$12,MATCH(I1429,Settings!$A$9:$A$12,0)),"")))</f>
        <v/>
      </c>
      <c r="K1429" s="27" t="str">
        <f aca="false">IF(J1429="","",COUNTIF($I$2:I1429,I1429))</f>
        <v/>
      </c>
      <c r="L1429" s="27" t="str">
        <f aca="false">IF(J1429="","",CHOOSE(Q1429+1,"Tue","Wed","Thu","Fri"))</f>
        <v/>
      </c>
      <c r="M1429" s="27" t="str">
        <f aca="false">IF(J1429="","",IF(J1429=1,"Every week",R1429+1&amp;" of "&amp;J1429))</f>
        <v/>
      </c>
      <c r="N1429" s="28" t="str">
        <f aca="false">IF(J1429="","",Settings!$B$4+R1429*7+Q1429)</f>
        <v/>
      </c>
      <c r="O1429" s="28" t="str">
        <f aca="true">IF(J1429="","",N1429+MAX(0,ROUNDUP((TODAY()-N1429)/(J1429*7),0))*J1429*7)</f>
        <v/>
      </c>
      <c r="P1429" s="27" t="str">
        <f aca="false">IF(J1429="","",MOD(K1429-1,J1429*4))</f>
        <v/>
      </c>
      <c r="Q1429" s="27" t="str">
        <f aca="false">IF(J1429="","",MOD(P1429,4))</f>
        <v/>
      </c>
      <c r="R1429" s="27" t="str">
        <f aca="false">IF(J1429="","",INT(P1429/4))</f>
        <v/>
      </c>
      <c r="S1429" s="27" t="str">
        <f aca="false">IF(J1429="","",IF(AND('Daily Count Sheet'!$H$3=Q1429,MOD('Daily Count Sheet'!$I$3,J1429)=R1429),1,""))</f>
        <v/>
      </c>
      <c r="T1429" s="27" t="str">
        <f aca="false">IF(S1429=1,COUNTIF($S$2:S1429,1),"")</f>
        <v/>
      </c>
    </row>
    <row r="1430" customFormat="false" ht="15" hidden="false" customHeight="false" outlineLevel="0" collapsed="false">
      <c r="H1430" s="26"/>
      <c r="I1430" s="27" t="str">
        <f aca="false">IF(A1430="","",IF(H1430&lt;&gt;"",UPPER(TRIM(H1430)),IFERROR(CHOOSE(VALUE(E1430)+1,"A","B","C","D"),IF(OR(LEFT(UPPER(TRIM(E1430)),1)="F",UPPER(TRIM(E1430))="A"),"A",IF(OR(LEFT(UPPER(TRIM(E1430)),1)="M",UPPER(TRIM(E1430))="B"),"B",IF(OR(LEFT(UPPER(TRIM(E1430)),2)="SL",UPPER(TRIM(E1430))="C"),"C",IF(OR(LEFT(UPPER(TRIM(E1430)),1)="D",UPPER(TRIM(E1430))="D"),"D","")))))))</f>
        <v/>
      </c>
      <c r="J1430" s="27" t="str">
        <f aca="false">IF(I1430="","",IF(AND(I1430="D",Settings!$B$6&lt;&gt;"Yes"),"",IFERROR(INDEX(Settings!$C$9:$C$12,MATCH(I1430,Settings!$A$9:$A$12,0)),"")))</f>
        <v/>
      </c>
      <c r="K1430" s="27" t="str">
        <f aca="false">IF(J1430="","",COUNTIF($I$2:I1430,I1430))</f>
        <v/>
      </c>
      <c r="L1430" s="27" t="str">
        <f aca="false">IF(J1430="","",CHOOSE(Q1430+1,"Tue","Wed","Thu","Fri"))</f>
        <v/>
      </c>
      <c r="M1430" s="27" t="str">
        <f aca="false">IF(J1430="","",IF(J1430=1,"Every week",R1430+1&amp;" of "&amp;J1430))</f>
        <v/>
      </c>
      <c r="N1430" s="28" t="str">
        <f aca="false">IF(J1430="","",Settings!$B$4+R1430*7+Q1430)</f>
        <v/>
      </c>
      <c r="O1430" s="28" t="str">
        <f aca="true">IF(J1430="","",N1430+MAX(0,ROUNDUP((TODAY()-N1430)/(J1430*7),0))*J1430*7)</f>
        <v/>
      </c>
      <c r="P1430" s="27" t="str">
        <f aca="false">IF(J1430="","",MOD(K1430-1,J1430*4))</f>
        <v/>
      </c>
      <c r="Q1430" s="27" t="str">
        <f aca="false">IF(J1430="","",MOD(P1430,4))</f>
        <v/>
      </c>
      <c r="R1430" s="27" t="str">
        <f aca="false">IF(J1430="","",INT(P1430/4))</f>
        <v/>
      </c>
      <c r="S1430" s="27" t="str">
        <f aca="false">IF(J1430="","",IF(AND('Daily Count Sheet'!$H$3=Q1430,MOD('Daily Count Sheet'!$I$3,J1430)=R1430),1,""))</f>
        <v/>
      </c>
      <c r="T1430" s="27" t="str">
        <f aca="false">IF(S1430=1,COUNTIF($S$2:S1430,1),"")</f>
        <v/>
      </c>
    </row>
    <row r="1431" customFormat="false" ht="15" hidden="false" customHeight="false" outlineLevel="0" collapsed="false">
      <c r="H1431" s="26"/>
      <c r="I1431" s="27" t="str">
        <f aca="false">IF(A1431="","",IF(H1431&lt;&gt;"",UPPER(TRIM(H1431)),IFERROR(CHOOSE(VALUE(E1431)+1,"A","B","C","D"),IF(OR(LEFT(UPPER(TRIM(E1431)),1)="F",UPPER(TRIM(E1431))="A"),"A",IF(OR(LEFT(UPPER(TRIM(E1431)),1)="M",UPPER(TRIM(E1431))="B"),"B",IF(OR(LEFT(UPPER(TRIM(E1431)),2)="SL",UPPER(TRIM(E1431))="C"),"C",IF(OR(LEFT(UPPER(TRIM(E1431)),1)="D",UPPER(TRIM(E1431))="D"),"D","")))))))</f>
        <v/>
      </c>
      <c r="J1431" s="27" t="str">
        <f aca="false">IF(I1431="","",IF(AND(I1431="D",Settings!$B$6&lt;&gt;"Yes"),"",IFERROR(INDEX(Settings!$C$9:$C$12,MATCH(I1431,Settings!$A$9:$A$12,0)),"")))</f>
        <v/>
      </c>
      <c r="K1431" s="27" t="str">
        <f aca="false">IF(J1431="","",COUNTIF($I$2:I1431,I1431))</f>
        <v/>
      </c>
      <c r="L1431" s="27" t="str">
        <f aca="false">IF(J1431="","",CHOOSE(Q1431+1,"Tue","Wed","Thu","Fri"))</f>
        <v/>
      </c>
      <c r="M1431" s="27" t="str">
        <f aca="false">IF(J1431="","",IF(J1431=1,"Every week",R1431+1&amp;" of "&amp;J1431))</f>
        <v/>
      </c>
      <c r="N1431" s="28" t="str">
        <f aca="false">IF(J1431="","",Settings!$B$4+R1431*7+Q1431)</f>
        <v/>
      </c>
      <c r="O1431" s="28" t="str">
        <f aca="true">IF(J1431="","",N1431+MAX(0,ROUNDUP((TODAY()-N1431)/(J1431*7),0))*J1431*7)</f>
        <v/>
      </c>
      <c r="P1431" s="27" t="str">
        <f aca="false">IF(J1431="","",MOD(K1431-1,J1431*4))</f>
        <v/>
      </c>
      <c r="Q1431" s="27" t="str">
        <f aca="false">IF(J1431="","",MOD(P1431,4))</f>
        <v/>
      </c>
      <c r="R1431" s="27" t="str">
        <f aca="false">IF(J1431="","",INT(P1431/4))</f>
        <v/>
      </c>
      <c r="S1431" s="27" t="str">
        <f aca="false">IF(J1431="","",IF(AND('Daily Count Sheet'!$H$3=Q1431,MOD('Daily Count Sheet'!$I$3,J1431)=R1431),1,""))</f>
        <v/>
      </c>
      <c r="T1431" s="27" t="str">
        <f aca="false">IF(S1431=1,COUNTIF($S$2:S1431,1),"")</f>
        <v/>
      </c>
    </row>
    <row r="1432" customFormat="false" ht="15" hidden="false" customHeight="false" outlineLevel="0" collapsed="false">
      <c r="H1432" s="26"/>
      <c r="I1432" s="27" t="str">
        <f aca="false">IF(A1432="","",IF(H1432&lt;&gt;"",UPPER(TRIM(H1432)),IFERROR(CHOOSE(VALUE(E1432)+1,"A","B","C","D"),IF(OR(LEFT(UPPER(TRIM(E1432)),1)="F",UPPER(TRIM(E1432))="A"),"A",IF(OR(LEFT(UPPER(TRIM(E1432)),1)="M",UPPER(TRIM(E1432))="B"),"B",IF(OR(LEFT(UPPER(TRIM(E1432)),2)="SL",UPPER(TRIM(E1432))="C"),"C",IF(OR(LEFT(UPPER(TRIM(E1432)),1)="D",UPPER(TRIM(E1432))="D"),"D","")))))))</f>
        <v/>
      </c>
      <c r="J1432" s="27" t="str">
        <f aca="false">IF(I1432="","",IF(AND(I1432="D",Settings!$B$6&lt;&gt;"Yes"),"",IFERROR(INDEX(Settings!$C$9:$C$12,MATCH(I1432,Settings!$A$9:$A$12,0)),"")))</f>
        <v/>
      </c>
      <c r="K1432" s="27" t="str">
        <f aca="false">IF(J1432="","",COUNTIF($I$2:I1432,I1432))</f>
        <v/>
      </c>
      <c r="L1432" s="27" t="str">
        <f aca="false">IF(J1432="","",CHOOSE(Q1432+1,"Tue","Wed","Thu","Fri"))</f>
        <v/>
      </c>
      <c r="M1432" s="27" t="str">
        <f aca="false">IF(J1432="","",IF(J1432=1,"Every week",R1432+1&amp;" of "&amp;J1432))</f>
        <v/>
      </c>
      <c r="N1432" s="28" t="str">
        <f aca="false">IF(J1432="","",Settings!$B$4+R1432*7+Q1432)</f>
        <v/>
      </c>
      <c r="O1432" s="28" t="str">
        <f aca="true">IF(J1432="","",N1432+MAX(0,ROUNDUP((TODAY()-N1432)/(J1432*7),0))*J1432*7)</f>
        <v/>
      </c>
      <c r="P1432" s="27" t="str">
        <f aca="false">IF(J1432="","",MOD(K1432-1,J1432*4))</f>
        <v/>
      </c>
      <c r="Q1432" s="27" t="str">
        <f aca="false">IF(J1432="","",MOD(P1432,4))</f>
        <v/>
      </c>
      <c r="R1432" s="27" t="str">
        <f aca="false">IF(J1432="","",INT(P1432/4))</f>
        <v/>
      </c>
      <c r="S1432" s="27" t="str">
        <f aca="false">IF(J1432="","",IF(AND('Daily Count Sheet'!$H$3=Q1432,MOD('Daily Count Sheet'!$I$3,J1432)=R1432),1,""))</f>
        <v/>
      </c>
      <c r="T1432" s="27" t="str">
        <f aca="false">IF(S1432=1,COUNTIF($S$2:S1432,1),"")</f>
        <v/>
      </c>
    </row>
    <row r="1433" customFormat="false" ht="15" hidden="false" customHeight="false" outlineLevel="0" collapsed="false">
      <c r="H1433" s="26"/>
      <c r="I1433" s="27" t="str">
        <f aca="false">IF(A1433="","",IF(H1433&lt;&gt;"",UPPER(TRIM(H1433)),IFERROR(CHOOSE(VALUE(E1433)+1,"A","B","C","D"),IF(OR(LEFT(UPPER(TRIM(E1433)),1)="F",UPPER(TRIM(E1433))="A"),"A",IF(OR(LEFT(UPPER(TRIM(E1433)),1)="M",UPPER(TRIM(E1433))="B"),"B",IF(OR(LEFT(UPPER(TRIM(E1433)),2)="SL",UPPER(TRIM(E1433))="C"),"C",IF(OR(LEFT(UPPER(TRIM(E1433)),1)="D",UPPER(TRIM(E1433))="D"),"D","")))))))</f>
        <v/>
      </c>
      <c r="J1433" s="27" t="str">
        <f aca="false">IF(I1433="","",IF(AND(I1433="D",Settings!$B$6&lt;&gt;"Yes"),"",IFERROR(INDEX(Settings!$C$9:$C$12,MATCH(I1433,Settings!$A$9:$A$12,0)),"")))</f>
        <v/>
      </c>
      <c r="K1433" s="27" t="str">
        <f aca="false">IF(J1433="","",COUNTIF($I$2:I1433,I1433))</f>
        <v/>
      </c>
      <c r="L1433" s="27" t="str">
        <f aca="false">IF(J1433="","",CHOOSE(Q1433+1,"Tue","Wed","Thu","Fri"))</f>
        <v/>
      </c>
      <c r="M1433" s="27" t="str">
        <f aca="false">IF(J1433="","",IF(J1433=1,"Every week",R1433+1&amp;" of "&amp;J1433))</f>
        <v/>
      </c>
      <c r="N1433" s="28" t="str">
        <f aca="false">IF(J1433="","",Settings!$B$4+R1433*7+Q1433)</f>
        <v/>
      </c>
      <c r="O1433" s="28" t="str">
        <f aca="true">IF(J1433="","",N1433+MAX(0,ROUNDUP((TODAY()-N1433)/(J1433*7),0))*J1433*7)</f>
        <v/>
      </c>
      <c r="P1433" s="27" t="str">
        <f aca="false">IF(J1433="","",MOD(K1433-1,J1433*4))</f>
        <v/>
      </c>
      <c r="Q1433" s="27" t="str">
        <f aca="false">IF(J1433="","",MOD(P1433,4))</f>
        <v/>
      </c>
      <c r="R1433" s="27" t="str">
        <f aca="false">IF(J1433="","",INT(P1433/4))</f>
        <v/>
      </c>
      <c r="S1433" s="27" t="str">
        <f aca="false">IF(J1433="","",IF(AND('Daily Count Sheet'!$H$3=Q1433,MOD('Daily Count Sheet'!$I$3,J1433)=R1433),1,""))</f>
        <v/>
      </c>
      <c r="T1433" s="27" t="str">
        <f aca="false">IF(S1433=1,COUNTIF($S$2:S1433,1),"")</f>
        <v/>
      </c>
    </row>
    <row r="1434" customFormat="false" ht="15" hidden="false" customHeight="false" outlineLevel="0" collapsed="false">
      <c r="H1434" s="26"/>
      <c r="I1434" s="27" t="str">
        <f aca="false">IF(A1434="","",IF(H1434&lt;&gt;"",UPPER(TRIM(H1434)),IFERROR(CHOOSE(VALUE(E1434)+1,"A","B","C","D"),IF(OR(LEFT(UPPER(TRIM(E1434)),1)="F",UPPER(TRIM(E1434))="A"),"A",IF(OR(LEFT(UPPER(TRIM(E1434)),1)="M",UPPER(TRIM(E1434))="B"),"B",IF(OR(LEFT(UPPER(TRIM(E1434)),2)="SL",UPPER(TRIM(E1434))="C"),"C",IF(OR(LEFT(UPPER(TRIM(E1434)),1)="D",UPPER(TRIM(E1434))="D"),"D","")))))))</f>
        <v/>
      </c>
      <c r="J1434" s="27" t="str">
        <f aca="false">IF(I1434="","",IF(AND(I1434="D",Settings!$B$6&lt;&gt;"Yes"),"",IFERROR(INDEX(Settings!$C$9:$C$12,MATCH(I1434,Settings!$A$9:$A$12,0)),"")))</f>
        <v/>
      </c>
      <c r="K1434" s="27" t="str">
        <f aca="false">IF(J1434="","",COUNTIF($I$2:I1434,I1434))</f>
        <v/>
      </c>
      <c r="L1434" s="27" t="str">
        <f aca="false">IF(J1434="","",CHOOSE(Q1434+1,"Tue","Wed","Thu","Fri"))</f>
        <v/>
      </c>
      <c r="M1434" s="27" t="str">
        <f aca="false">IF(J1434="","",IF(J1434=1,"Every week",R1434+1&amp;" of "&amp;J1434))</f>
        <v/>
      </c>
      <c r="N1434" s="28" t="str">
        <f aca="false">IF(J1434="","",Settings!$B$4+R1434*7+Q1434)</f>
        <v/>
      </c>
      <c r="O1434" s="28" t="str">
        <f aca="true">IF(J1434="","",N1434+MAX(0,ROUNDUP((TODAY()-N1434)/(J1434*7),0))*J1434*7)</f>
        <v/>
      </c>
      <c r="P1434" s="27" t="str">
        <f aca="false">IF(J1434="","",MOD(K1434-1,J1434*4))</f>
        <v/>
      </c>
      <c r="Q1434" s="27" t="str">
        <f aca="false">IF(J1434="","",MOD(P1434,4))</f>
        <v/>
      </c>
      <c r="R1434" s="27" t="str">
        <f aca="false">IF(J1434="","",INT(P1434/4))</f>
        <v/>
      </c>
      <c r="S1434" s="27" t="str">
        <f aca="false">IF(J1434="","",IF(AND('Daily Count Sheet'!$H$3=Q1434,MOD('Daily Count Sheet'!$I$3,J1434)=R1434),1,""))</f>
        <v/>
      </c>
      <c r="T1434" s="27" t="str">
        <f aca="false">IF(S1434=1,COUNTIF($S$2:S1434,1),"")</f>
        <v/>
      </c>
    </row>
    <row r="1435" customFormat="false" ht="15" hidden="false" customHeight="false" outlineLevel="0" collapsed="false">
      <c r="H1435" s="26"/>
      <c r="I1435" s="27" t="str">
        <f aca="false">IF(A1435="","",IF(H1435&lt;&gt;"",UPPER(TRIM(H1435)),IFERROR(CHOOSE(VALUE(E1435)+1,"A","B","C","D"),IF(OR(LEFT(UPPER(TRIM(E1435)),1)="F",UPPER(TRIM(E1435))="A"),"A",IF(OR(LEFT(UPPER(TRIM(E1435)),1)="M",UPPER(TRIM(E1435))="B"),"B",IF(OR(LEFT(UPPER(TRIM(E1435)),2)="SL",UPPER(TRIM(E1435))="C"),"C",IF(OR(LEFT(UPPER(TRIM(E1435)),1)="D",UPPER(TRIM(E1435))="D"),"D","")))))))</f>
        <v/>
      </c>
      <c r="J1435" s="27" t="str">
        <f aca="false">IF(I1435="","",IF(AND(I1435="D",Settings!$B$6&lt;&gt;"Yes"),"",IFERROR(INDEX(Settings!$C$9:$C$12,MATCH(I1435,Settings!$A$9:$A$12,0)),"")))</f>
        <v/>
      </c>
      <c r="K1435" s="27" t="str">
        <f aca="false">IF(J1435="","",COUNTIF($I$2:I1435,I1435))</f>
        <v/>
      </c>
      <c r="L1435" s="27" t="str">
        <f aca="false">IF(J1435="","",CHOOSE(Q1435+1,"Tue","Wed","Thu","Fri"))</f>
        <v/>
      </c>
      <c r="M1435" s="27" t="str">
        <f aca="false">IF(J1435="","",IF(J1435=1,"Every week",R1435+1&amp;" of "&amp;J1435))</f>
        <v/>
      </c>
      <c r="N1435" s="28" t="str">
        <f aca="false">IF(J1435="","",Settings!$B$4+R1435*7+Q1435)</f>
        <v/>
      </c>
      <c r="O1435" s="28" t="str">
        <f aca="true">IF(J1435="","",N1435+MAX(0,ROUNDUP((TODAY()-N1435)/(J1435*7),0))*J1435*7)</f>
        <v/>
      </c>
      <c r="P1435" s="27" t="str">
        <f aca="false">IF(J1435="","",MOD(K1435-1,J1435*4))</f>
        <v/>
      </c>
      <c r="Q1435" s="27" t="str">
        <f aca="false">IF(J1435="","",MOD(P1435,4))</f>
        <v/>
      </c>
      <c r="R1435" s="27" t="str">
        <f aca="false">IF(J1435="","",INT(P1435/4))</f>
        <v/>
      </c>
      <c r="S1435" s="27" t="str">
        <f aca="false">IF(J1435="","",IF(AND('Daily Count Sheet'!$H$3=Q1435,MOD('Daily Count Sheet'!$I$3,J1435)=R1435),1,""))</f>
        <v/>
      </c>
      <c r="T1435" s="27" t="str">
        <f aca="false">IF(S1435=1,COUNTIF($S$2:S1435,1),"")</f>
        <v/>
      </c>
    </row>
    <row r="1436" customFormat="false" ht="15" hidden="false" customHeight="false" outlineLevel="0" collapsed="false">
      <c r="H1436" s="26"/>
      <c r="I1436" s="27" t="str">
        <f aca="false">IF(A1436="","",IF(H1436&lt;&gt;"",UPPER(TRIM(H1436)),IFERROR(CHOOSE(VALUE(E1436)+1,"A","B","C","D"),IF(OR(LEFT(UPPER(TRIM(E1436)),1)="F",UPPER(TRIM(E1436))="A"),"A",IF(OR(LEFT(UPPER(TRIM(E1436)),1)="M",UPPER(TRIM(E1436))="B"),"B",IF(OR(LEFT(UPPER(TRIM(E1436)),2)="SL",UPPER(TRIM(E1436))="C"),"C",IF(OR(LEFT(UPPER(TRIM(E1436)),1)="D",UPPER(TRIM(E1436))="D"),"D","")))))))</f>
        <v/>
      </c>
      <c r="J1436" s="27" t="str">
        <f aca="false">IF(I1436="","",IF(AND(I1436="D",Settings!$B$6&lt;&gt;"Yes"),"",IFERROR(INDEX(Settings!$C$9:$C$12,MATCH(I1436,Settings!$A$9:$A$12,0)),"")))</f>
        <v/>
      </c>
      <c r="K1436" s="27" t="str">
        <f aca="false">IF(J1436="","",COUNTIF($I$2:I1436,I1436))</f>
        <v/>
      </c>
      <c r="L1436" s="27" t="str">
        <f aca="false">IF(J1436="","",CHOOSE(Q1436+1,"Tue","Wed","Thu","Fri"))</f>
        <v/>
      </c>
      <c r="M1436" s="27" t="str">
        <f aca="false">IF(J1436="","",IF(J1436=1,"Every week",R1436+1&amp;" of "&amp;J1436))</f>
        <v/>
      </c>
      <c r="N1436" s="28" t="str">
        <f aca="false">IF(J1436="","",Settings!$B$4+R1436*7+Q1436)</f>
        <v/>
      </c>
      <c r="O1436" s="28" t="str">
        <f aca="true">IF(J1436="","",N1436+MAX(0,ROUNDUP((TODAY()-N1436)/(J1436*7),0))*J1436*7)</f>
        <v/>
      </c>
      <c r="P1436" s="27" t="str">
        <f aca="false">IF(J1436="","",MOD(K1436-1,J1436*4))</f>
        <v/>
      </c>
      <c r="Q1436" s="27" t="str">
        <f aca="false">IF(J1436="","",MOD(P1436,4))</f>
        <v/>
      </c>
      <c r="R1436" s="27" t="str">
        <f aca="false">IF(J1436="","",INT(P1436/4))</f>
        <v/>
      </c>
      <c r="S1436" s="27" t="str">
        <f aca="false">IF(J1436="","",IF(AND('Daily Count Sheet'!$H$3=Q1436,MOD('Daily Count Sheet'!$I$3,J1436)=R1436),1,""))</f>
        <v/>
      </c>
      <c r="T1436" s="27" t="str">
        <f aca="false">IF(S1436=1,COUNTIF($S$2:S1436,1),"")</f>
        <v/>
      </c>
    </row>
    <row r="1437" customFormat="false" ht="15" hidden="false" customHeight="false" outlineLevel="0" collapsed="false">
      <c r="H1437" s="26"/>
      <c r="I1437" s="27" t="str">
        <f aca="false">IF(A1437="","",IF(H1437&lt;&gt;"",UPPER(TRIM(H1437)),IFERROR(CHOOSE(VALUE(E1437)+1,"A","B","C","D"),IF(OR(LEFT(UPPER(TRIM(E1437)),1)="F",UPPER(TRIM(E1437))="A"),"A",IF(OR(LEFT(UPPER(TRIM(E1437)),1)="M",UPPER(TRIM(E1437))="B"),"B",IF(OR(LEFT(UPPER(TRIM(E1437)),2)="SL",UPPER(TRIM(E1437))="C"),"C",IF(OR(LEFT(UPPER(TRIM(E1437)),1)="D",UPPER(TRIM(E1437))="D"),"D","")))))))</f>
        <v/>
      </c>
      <c r="J1437" s="27" t="str">
        <f aca="false">IF(I1437="","",IF(AND(I1437="D",Settings!$B$6&lt;&gt;"Yes"),"",IFERROR(INDEX(Settings!$C$9:$C$12,MATCH(I1437,Settings!$A$9:$A$12,0)),"")))</f>
        <v/>
      </c>
      <c r="K1437" s="27" t="str">
        <f aca="false">IF(J1437="","",COUNTIF($I$2:I1437,I1437))</f>
        <v/>
      </c>
      <c r="L1437" s="27" t="str">
        <f aca="false">IF(J1437="","",CHOOSE(Q1437+1,"Tue","Wed","Thu","Fri"))</f>
        <v/>
      </c>
      <c r="M1437" s="27" t="str">
        <f aca="false">IF(J1437="","",IF(J1437=1,"Every week",R1437+1&amp;" of "&amp;J1437))</f>
        <v/>
      </c>
      <c r="N1437" s="28" t="str">
        <f aca="false">IF(J1437="","",Settings!$B$4+R1437*7+Q1437)</f>
        <v/>
      </c>
      <c r="O1437" s="28" t="str">
        <f aca="true">IF(J1437="","",N1437+MAX(0,ROUNDUP((TODAY()-N1437)/(J1437*7),0))*J1437*7)</f>
        <v/>
      </c>
      <c r="P1437" s="27" t="str">
        <f aca="false">IF(J1437="","",MOD(K1437-1,J1437*4))</f>
        <v/>
      </c>
      <c r="Q1437" s="27" t="str">
        <f aca="false">IF(J1437="","",MOD(P1437,4))</f>
        <v/>
      </c>
      <c r="R1437" s="27" t="str">
        <f aca="false">IF(J1437="","",INT(P1437/4))</f>
        <v/>
      </c>
      <c r="S1437" s="27" t="str">
        <f aca="false">IF(J1437="","",IF(AND('Daily Count Sheet'!$H$3=Q1437,MOD('Daily Count Sheet'!$I$3,J1437)=R1437),1,""))</f>
        <v/>
      </c>
      <c r="T1437" s="27" t="str">
        <f aca="false">IF(S1437=1,COUNTIF($S$2:S1437,1),"")</f>
        <v/>
      </c>
    </row>
    <row r="1438" customFormat="false" ht="15" hidden="false" customHeight="false" outlineLevel="0" collapsed="false">
      <c r="H1438" s="26"/>
      <c r="I1438" s="27" t="str">
        <f aca="false">IF(A1438="","",IF(H1438&lt;&gt;"",UPPER(TRIM(H1438)),IFERROR(CHOOSE(VALUE(E1438)+1,"A","B","C","D"),IF(OR(LEFT(UPPER(TRIM(E1438)),1)="F",UPPER(TRIM(E1438))="A"),"A",IF(OR(LEFT(UPPER(TRIM(E1438)),1)="M",UPPER(TRIM(E1438))="B"),"B",IF(OR(LEFT(UPPER(TRIM(E1438)),2)="SL",UPPER(TRIM(E1438))="C"),"C",IF(OR(LEFT(UPPER(TRIM(E1438)),1)="D",UPPER(TRIM(E1438))="D"),"D","")))))))</f>
        <v/>
      </c>
      <c r="J1438" s="27" t="str">
        <f aca="false">IF(I1438="","",IF(AND(I1438="D",Settings!$B$6&lt;&gt;"Yes"),"",IFERROR(INDEX(Settings!$C$9:$C$12,MATCH(I1438,Settings!$A$9:$A$12,0)),"")))</f>
        <v/>
      </c>
      <c r="K1438" s="27" t="str">
        <f aca="false">IF(J1438="","",COUNTIF($I$2:I1438,I1438))</f>
        <v/>
      </c>
      <c r="L1438" s="27" t="str">
        <f aca="false">IF(J1438="","",CHOOSE(Q1438+1,"Tue","Wed","Thu","Fri"))</f>
        <v/>
      </c>
      <c r="M1438" s="27" t="str">
        <f aca="false">IF(J1438="","",IF(J1438=1,"Every week",R1438+1&amp;" of "&amp;J1438))</f>
        <v/>
      </c>
      <c r="N1438" s="28" t="str">
        <f aca="false">IF(J1438="","",Settings!$B$4+R1438*7+Q1438)</f>
        <v/>
      </c>
      <c r="O1438" s="28" t="str">
        <f aca="true">IF(J1438="","",N1438+MAX(0,ROUNDUP((TODAY()-N1438)/(J1438*7),0))*J1438*7)</f>
        <v/>
      </c>
      <c r="P1438" s="27" t="str">
        <f aca="false">IF(J1438="","",MOD(K1438-1,J1438*4))</f>
        <v/>
      </c>
      <c r="Q1438" s="27" t="str">
        <f aca="false">IF(J1438="","",MOD(P1438,4))</f>
        <v/>
      </c>
      <c r="R1438" s="27" t="str">
        <f aca="false">IF(J1438="","",INT(P1438/4))</f>
        <v/>
      </c>
      <c r="S1438" s="27" t="str">
        <f aca="false">IF(J1438="","",IF(AND('Daily Count Sheet'!$H$3=Q1438,MOD('Daily Count Sheet'!$I$3,J1438)=R1438),1,""))</f>
        <v/>
      </c>
      <c r="T1438" s="27" t="str">
        <f aca="false">IF(S1438=1,COUNTIF($S$2:S1438,1),"")</f>
        <v/>
      </c>
    </row>
    <row r="1439" customFormat="false" ht="15" hidden="false" customHeight="false" outlineLevel="0" collapsed="false">
      <c r="H1439" s="26"/>
      <c r="I1439" s="27" t="str">
        <f aca="false">IF(A1439="","",IF(H1439&lt;&gt;"",UPPER(TRIM(H1439)),IFERROR(CHOOSE(VALUE(E1439)+1,"A","B","C","D"),IF(OR(LEFT(UPPER(TRIM(E1439)),1)="F",UPPER(TRIM(E1439))="A"),"A",IF(OR(LEFT(UPPER(TRIM(E1439)),1)="M",UPPER(TRIM(E1439))="B"),"B",IF(OR(LEFT(UPPER(TRIM(E1439)),2)="SL",UPPER(TRIM(E1439))="C"),"C",IF(OR(LEFT(UPPER(TRIM(E1439)),1)="D",UPPER(TRIM(E1439))="D"),"D","")))))))</f>
        <v/>
      </c>
      <c r="J1439" s="27" t="str">
        <f aca="false">IF(I1439="","",IF(AND(I1439="D",Settings!$B$6&lt;&gt;"Yes"),"",IFERROR(INDEX(Settings!$C$9:$C$12,MATCH(I1439,Settings!$A$9:$A$12,0)),"")))</f>
        <v/>
      </c>
      <c r="K1439" s="27" t="str">
        <f aca="false">IF(J1439="","",COUNTIF($I$2:I1439,I1439))</f>
        <v/>
      </c>
      <c r="L1439" s="27" t="str">
        <f aca="false">IF(J1439="","",CHOOSE(Q1439+1,"Tue","Wed","Thu","Fri"))</f>
        <v/>
      </c>
      <c r="M1439" s="27" t="str">
        <f aca="false">IF(J1439="","",IF(J1439=1,"Every week",R1439+1&amp;" of "&amp;J1439))</f>
        <v/>
      </c>
      <c r="N1439" s="28" t="str">
        <f aca="false">IF(J1439="","",Settings!$B$4+R1439*7+Q1439)</f>
        <v/>
      </c>
      <c r="O1439" s="28" t="str">
        <f aca="true">IF(J1439="","",N1439+MAX(0,ROUNDUP((TODAY()-N1439)/(J1439*7),0))*J1439*7)</f>
        <v/>
      </c>
      <c r="P1439" s="27" t="str">
        <f aca="false">IF(J1439="","",MOD(K1439-1,J1439*4))</f>
        <v/>
      </c>
      <c r="Q1439" s="27" t="str">
        <f aca="false">IF(J1439="","",MOD(P1439,4))</f>
        <v/>
      </c>
      <c r="R1439" s="27" t="str">
        <f aca="false">IF(J1439="","",INT(P1439/4))</f>
        <v/>
      </c>
      <c r="S1439" s="27" t="str">
        <f aca="false">IF(J1439="","",IF(AND('Daily Count Sheet'!$H$3=Q1439,MOD('Daily Count Sheet'!$I$3,J1439)=R1439),1,""))</f>
        <v/>
      </c>
      <c r="T1439" s="27" t="str">
        <f aca="false">IF(S1439=1,COUNTIF($S$2:S1439,1),"")</f>
        <v/>
      </c>
    </row>
    <row r="1440" customFormat="false" ht="15" hidden="false" customHeight="false" outlineLevel="0" collapsed="false">
      <c r="H1440" s="26"/>
      <c r="I1440" s="27" t="str">
        <f aca="false">IF(A1440="","",IF(H1440&lt;&gt;"",UPPER(TRIM(H1440)),IFERROR(CHOOSE(VALUE(E1440)+1,"A","B","C","D"),IF(OR(LEFT(UPPER(TRIM(E1440)),1)="F",UPPER(TRIM(E1440))="A"),"A",IF(OR(LEFT(UPPER(TRIM(E1440)),1)="M",UPPER(TRIM(E1440))="B"),"B",IF(OR(LEFT(UPPER(TRIM(E1440)),2)="SL",UPPER(TRIM(E1440))="C"),"C",IF(OR(LEFT(UPPER(TRIM(E1440)),1)="D",UPPER(TRIM(E1440))="D"),"D","")))))))</f>
        <v/>
      </c>
      <c r="J1440" s="27" t="str">
        <f aca="false">IF(I1440="","",IF(AND(I1440="D",Settings!$B$6&lt;&gt;"Yes"),"",IFERROR(INDEX(Settings!$C$9:$C$12,MATCH(I1440,Settings!$A$9:$A$12,0)),"")))</f>
        <v/>
      </c>
      <c r="K1440" s="27" t="str">
        <f aca="false">IF(J1440="","",COUNTIF($I$2:I1440,I1440))</f>
        <v/>
      </c>
      <c r="L1440" s="27" t="str">
        <f aca="false">IF(J1440="","",CHOOSE(Q1440+1,"Tue","Wed","Thu","Fri"))</f>
        <v/>
      </c>
      <c r="M1440" s="27" t="str">
        <f aca="false">IF(J1440="","",IF(J1440=1,"Every week",R1440+1&amp;" of "&amp;J1440))</f>
        <v/>
      </c>
      <c r="N1440" s="28" t="str">
        <f aca="false">IF(J1440="","",Settings!$B$4+R1440*7+Q1440)</f>
        <v/>
      </c>
      <c r="O1440" s="28" t="str">
        <f aca="true">IF(J1440="","",N1440+MAX(0,ROUNDUP((TODAY()-N1440)/(J1440*7),0))*J1440*7)</f>
        <v/>
      </c>
      <c r="P1440" s="27" t="str">
        <f aca="false">IF(J1440="","",MOD(K1440-1,J1440*4))</f>
        <v/>
      </c>
      <c r="Q1440" s="27" t="str">
        <f aca="false">IF(J1440="","",MOD(P1440,4))</f>
        <v/>
      </c>
      <c r="R1440" s="27" t="str">
        <f aca="false">IF(J1440="","",INT(P1440/4))</f>
        <v/>
      </c>
      <c r="S1440" s="27" t="str">
        <f aca="false">IF(J1440="","",IF(AND('Daily Count Sheet'!$H$3=Q1440,MOD('Daily Count Sheet'!$I$3,J1440)=R1440),1,""))</f>
        <v/>
      </c>
      <c r="T1440" s="27" t="str">
        <f aca="false">IF(S1440=1,COUNTIF($S$2:S1440,1),"")</f>
        <v/>
      </c>
    </row>
    <row r="1441" customFormat="false" ht="15" hidden="false" customHeight="false" outlineLevel="0" collapsed="false">
      <c r="H1441" s="26"/>
      <c r="I1441" s="27" t="str">
        <f aca="false">IF(A1441="","",IF(H1441&lt;&gt;"",UPPER(TRIM(H1441)),IFERROR(CHOOSE(VALUE(E1441)+1,"A","B","C","D"),IF(OR(LEFT(UPPER(TRIM(E1441)),1)="F",UPPER(TRIM(E1441))="A"),"A",IF(OR(LEFT(UPPER(TRIM(E1441)),1)="M",UPPER(TRIM(E1441))="B"),"B",IF(OR(LEFT(UPPER(TRIM(E1441)),2)="SL",UPPER(TRIM(E1441))="C"),"C",IF(OR(LEFT(UPPER(TRIM(E1441)),1)="D",UPPER(TRIM(E1441))="D"),"D","")))))))</f>
        <v/>
      </c>
      <c r="J1441" s="27" t="str">
        <f aca="false">IF(I1441="","",IF(AND(I1441="D",Settings!$B$6&lt;&gt;"Yes"),"",IFERROR(INDEX(Settings!$C$9:$C$12,MATCH(I1441,Settings!$A$9:$A$12,0)),"")))</f>
        <v/>
      </c>
      <c r="K1441" s="27" t="str">
        <f aca="false">IF(J1441="","",COUNTIF($I$2:I1441,I1441))</f>
        <v/>
      </c>
      <c r="L1441" s="27" t="str">
        <f aca="false">IF(J1441="","",CHOOSE(Q1441+1,"Tue","Wed","Thu","Fri"))</f>
        <v/>
      </c>
      <c r="M1441" s="27" t="str">
        <f aca="false">IF(J1441="","",IF(J1441=1,"Every week",R1441+1&amp;" of "&amp;J1441))</f>
        <v/>
      </c>
      <c r="N1441" s="28" t="str">
        <f aca="false">IF(J1441="","",Settings!$B$4+R1441*7+Q1441)</f>
        <v/>
      </c>
      <c r="O1441" s="28" t="str">
        <f aca="true">IF(J1441="","",N1441+MAX(0,ROUNDUP((TODAY()-N1441)/(J1441*7),0))*J1441*7)</f>
        <v/>
      </c>
      <c r="P1441" s="27" t="str">
        <f aca="false">IF(J1441="","",MOD(K1441-1,J1441*4))</f>
        <v/>
      </c>
      <c r="Q1441" s="27" t="str">
        <f aca="false">IF(J1441="","",MOD(P1441,4))</f>
        <v/>
      </c>
      <c r="R1441" s="27" t="str">
        <f aca="false">IF(J1441="","",INT(P1441/4))</f>
        <v/>
      </c>
      <c r="S1441" s="27" t="str">
        <f aca="false">IF(J1441="","",IF(AND('Daily Count Sheet'!$H$3=Q1441,MOD('Daily Count Sheet'!$I$3,J1441)=R1441),1,""))</f>
        <v/>
      </c>
      <c r="T1441" s="27" t="str">
        <f aca="false">IF(S1441=1,COUNTIF($S$2:S1441,1),"")</f>
        <v/>
      </c>
    </row>
    <row r="1442" customFormat="false" ht="15" hidden="false" customHeight="false" outlineLevel="0" collapsed="false">
      <c r="H1442" s="26"/>
      <c r="I1442" s="27" t="str">
        <f aca="false">IF(A1442="","",IF(H1442&lt;&gt;"",UPPER(TRIM(H1442)),IFERROR(CHOOSE(VALUE(E1442)+1,"A","B","C","D"),IF(OR(LEFT(UPPER(TRIM(E1442)),1)="F",UPPER(TRIM(E1442))="A"),"A",IF(OR(LEFT(UPPER(TRIM(E1442)),1)="M",UPPER(TRIM(E1442))="B"),"B",IF(OR(LEFT(UPPER(TRIM(E1442)),2)="SL",UPPER(TRIM(E1442))="C"),"C",IF(OR(LEFT(UPPER(TRIM(E1442)),1)="D",UPPER(TRIM(E1442))="D"),"D","")))))))</f>
        <v/>
      </c>
      <c r="J1442" s="27" t="str">
        <f aca="false">IF(I1442="","",IF(AND(I1442="D",Settings!$B$6&lt;&gt;"Yes"),"",IFERROR(INDEX(Settings!$C$9:$C$12,MATCH(I1442,Settings!$A$9:$A$12,0)),"")))</f>
        <v/>
      </c>
      <c r="K1442" s="27" t="str">
        <f aca="false">IF(J1442="","",COUNTIF($I$2:I1442,I1442))</f>
        <v/>
      </c>
      <c r="L1442" s="27" t="str">
        <f aca="false">IF(J1442="","",CHOOSE(Q1442+1,"Tue","Wed","Thu","Fri"))</f>
        <v/>
      </c>
      <c r="M1442" s="27" t="str">
        <f aca="false">IF(J1442="","",IF(J1442=1,"Every week",R1442+1&amp;" of "&amp;J1442))</f>
        <v/>
      </c>
      <c r="N1442" s="28" t="str">
        <f aca="false">IF(J1442="","",Settings!$B$4+R1442*7+Q1442)</f>
        <v/>
      </c>
      <c r="O1442" s="28" t="str">
        <f aca="true">IF(J1442="","",N1442+MAX(0,ROUNDUP((TODAY()-N1442)/(J1442*7),0))*J1442*7)</f>
        <v/>
      </c>
      <c r="P1442" s="27" t="str">
        <f aca="false">IF(J1442="","",MOD(K1442-1,J1442*4))</f>
        <v/>
      </c>
      <c r="Q1442" s="27" t="str">
        <f aca="false">IF(J1442="","",MOD(P1442,4))</f>
        <v/>
      </c>
      <c r="R1442" s="27" t="str">
        <f aca="false">IF(J1442="","",INT(P1442/4))</f>
        <v/>
      </c>
      <c r="S1442" s="27" t="str">
        <f aca="false">IF(J1442="","",IF(AND('Daily Count Sheet'!$H$3=Q1442,MOD('Daily Count Sheet'!$I$3,J1442)=R1442),1,""))</f>
        <v/>
      </c>
      <c r="T1442" s="27" t="str">
        <f aca="false">IF(S1442=1,COUNTIF($S$2:S1442,1),"")</f>
        <v/>
      </c>
    </row>
    <row r="1443" customFormat="false" ht="15" hidden="false" customHeight="false" outlineLevel="0" collapsed="false">
      <c r="H1443" s="26"/>
      <c r="I1443" s="27" t="str">
        <f aca="false">IF(A1443="","",IF(H1443&lt;&gt;"",UPPER(TRIM(H1443)),IFERROR(CHOOSE(VALUE(E1443)+1,"A","B","C","D"),IF(OR(LEFT(UPPER(TRIM(E1443)),1)="F",UPPER(TRIM(E1443))="A"),"A",IF(OR(LEFT(UPPER(TRIM(E1443)),1)="M",UPPER(TRIM(E1443))="B"),"B",IF(OR(LEFT(UPPER(TRIM(E1443)),2)="SL",UPPER(TRIM(E1443))="C"),"C",IF(OR(LEFT(UPPER(TRIM(E1443)),1)="D",UPPER(TRIM(E1443))="D"),"D","")))))))</f>
        <v/>
      </c>
      <c r="J1443" s="27" t="str">
        <f aca="false">IF(I1443="","",IF(AND(I1443="D",Settings!$B$6&lt;&gt;"Yes"),"",IFERROR(INDEX(Settings!$C$9:$C$12,MATCH(I1443,Settings!$A$9:$A$12,0)),"")))</f>
        <v/>
      </c>
      <c r="K1443" s="27" t="str">
        <f aca="false">IF(J1443="","",COUNTIF($I$2:I1443,I1443))</f>
        <v/>
      </c>
      <c r="L1443" s="27" t="str">
        <f aca="false">IF(J1443="","",CHOOSE(Q1443+1,"Tue","Wed","Thu","Fri"))</f>
        <v/>
      </c>
      <c r="M1443" s="27" t="str">
        <f aca="false">IF(J1443="","",IF(J1443=1,"Every week",R1443+1&amp;" of "&amp;J1443))</f>
        <v/>
      </c>
      <c r="N1443" s="28" t="str">
        <f aca="false">IF(J1443="","",Settings!$B$4+R1443*7+Q1443)</f>
        <v/>
      </c>
      <c r="O1443" s="28" t="str">
        <f aca="true">IF(J1443="","",N1443+MAX(0,ROUNDUP((TODAY()-N1443)/(J1443*7),0))*J1443*7)</f>
        <v/>
      </c>
      <c r="P1443" s="27" t="str">
        <f aca="false">IF(J1443="","",MOD(K1443-1,J1443*4))</f>
        <v/>
      </c>
      <c r="Q1443" s="27" t="str">
        <f aca="false">IF(J1443="","",MOD(P1443,4))</f>
        <v/>
      </c>
      <c r="R1443" s="27" t="str">
        <f aca="false">IF(J1443="","",INT(P1443/4))</f>
        <v/>
      </c>
      <c r="S1443" s="27" t="str">
        <f aca="false">IF(J1443="","",IF(AND('Daily Count Sheet'!$H$3=Q1443,MOD('Daily Count Sheet'!$I$3,J1443)=R1443),1,""))</f>
        <v/>
      </c>
      <c r="T1443" s="27" t="str">
        <f aca="false">IF(S1443=1,COUNTIF($S$2:S1443,1),"")</f>
        <v/>
      </c>
    </row>
    <row r="1444" customFormat="false" ht="15" hidden="false" customHeight="false" outlineLevel="0" collapsed="false">
      <c r="H1444" s="26"/>
      <c r="I1444" s="27" t="str">
        <f aca="false">IF(A1444="","",IF(H1444&lt;&gt;"",UPPER(TRIM(H1444)),IFERROR(CHOOSE(VALUE(E1444)+1,"A","B","C","D"),IF(OR(LEFT(UPPER(TRIM(E1444)),1)="F",UPPER(TRIM(E1444))="A"),"A",IF(OR(LEFT(UPPER(TRIM(E1444)),1)="M",UPPER(TRIM(E1444))="B"),"B",IF(OR(LEFT(UPPER(TRIM(E1444)),2)="SL",UPPER(TRIM(E1444))="C"),"C",IF(OR(LEFT(UPPER(TRIM(E1444)),1)="D",UPPER(TRIM(E1444))="D"),"D","")))))))</f>
        <v/>
      </c>
      <c r="J1444" s="27" t="str">
        <f aca="false">IF(I1444="","",IF(AND(I1444="D",Settings!$B$6&lt;&gt;"Yes"),"",IFERROR(INDEX(Settings!$C$9:$C$12,MATCH(I1444,Settings!$A$9:$A$12,0)),"")))</f>
        <v/>
      </c>
      <c r="K1444" s="27" t="str">
        <f aca="false">IF(J1444="","",COUNTIF($I$2:I1444,I1444))</f>
        <v/>
      </c>
      <c r="L1444" s="27" t="str">
        <f aca="false">IF(J1444="","",CHOOSE(Q1444+1,"Tue","Wed","Thu","Fri"))</f>
        <v/>
      </c>
      <c r="M1444" s="27" t="str">
        <f aca="false">IF(J1444="","",IF(J1444=1,"Every week",R1444+1&amp;" of "&amp;J1444))</f>
        <v/>
      </c>
      <c r="N1444" s="28" t="str">
        <f aca="false">IF(J1444="","",Settings!$B$4+R1444*7+Q1444)</f>
        <v/>
      </c>
      <c r="O1444" s="28" t="str">
        <f aca="true">IF(J1444="","",N1444+MAX(0,ROUNDUP((TODAY()-N1444)/(J1444*7),0))*J1444*7)</f>
        <v/>
      </c>
      <c r="P1444" s="27" t="str">
        <f aca="false">IF(J1444="","",MOD(K1444-1,J1444*4))</f>
        <v/>
      </c>
      <c r="Q1444" s="27" t="str">
        <f aca="false">IF(J1444="","",MOD(P1444,4))</f>
        <v/>
      </c>
      <c r="R1444" s="27" t="str">
        <f aca="false">IF(J1444="","",INT(P1444/4))</f>
        <v/>
      </c>
      <c r="S1444" s="27" t="str">
        <f aca="false">IF(J1444="","",IF(AND('Daily Count Sheet'!$H$3=Q1444,MOD('Daily Count Sheet'!$I$3,J1444)=R1444),1,""))</f>
        <v/>
      </c>
      <c r="T1444" s="27" t="str">
        <f aca="false">IF(S1444=1,COUNTIF($S$2:S1444,1),"")</f>
        <v/>
      </c>
    </row>
    <row r="1445" customFormat="false" ht="15" hidden="false" customHeight="false" outlineLevel="0" collapsed="false">
      <c r="H1445" s="26"/>
      <c r="I1445" s="27" t="str">
        <f aca="false">IF(A1445="","",IF(H1445&lt;&gt;"",UPPER(TRIM(H1445)),IFERROR(CHOOSE(VALUE(E1445)+1,"A","B","C","D"),IF(OR(LEFT(UPPER(TRIM(E1445)),1)="F",UPPER(TRIM(E1445))="A"),"A",IF(OR(LEFT(UPPER(TRIM(E1445)),1)="M",UPPER(TRIM(E1445))="B"),"B",IF(OR(LEFT(UPPER(TRIM(E1445)),2)="SL",UPPER(TRIM(E1445))="C"),"C",IF(OR(LEFT(UPPER(TRIM(E1445)),1)="D",UPPER(TRIM(E1445))="D"),"D","")))))))</f>
        <v/>
      </c>
      <c r="J1445" s="27" t="str">
        <f aca="false">IF(I1445="","",IF(AND(I1445="D",Settings!$B$6&lt;&gt;"Yes"),"",IFERROR(INDEX(Settings!$C$9:$C$12,MATCH(I1445,Settings!$A$9:$A$12,0)),"")))</f>
        <v/>
      </c>
      <c r="K1445" s="27" t="str">
        <f aca="false">IF(J1445="","",COUNTIF($I$2:I1445,I1445))</f>
        <v/>
      </c>
      <c r="L1445" s="27" t="str">
        <f aca="false">IF(J1445="","",CHOOSE(Q1445+1,"Tue","Wed","Thu","Fri"))</f>
        <v/>
      </c>
      <c r="M1445" s="27" t="str">
        <f aca="false">IF(J1445="","",IF(J1445=1,"Every week",R1445+1&amp;" of "&amp;J1445))</f>
        <v/>
      </c>
      <c r="N1445" s="28" t="str">
        <f aca="false">IF(J1445="","",Settings!$B$4+R1445*7+Q1445)</f>
        <v/>
      </c>
      <c r="O1445" s="28" t="str">
        <f aca="true">IF(J1445="","",N1445+MAX(0,ROUNDUP((TODAY()-N1445)/(J1445*7),0))*J1445*7)</f>
        <v/>
      </c>
      <c r="P1445" s="27" t="str">
        <f aca="false">IF(J1445="","",MOD(K1445-1,J1445*4))</f>
        <v/>
      </c>
      <c r="Q1445" s="27" t="str">
        <f aca="false">IF(J1445="","",MOD(P1445,4))</f>
        <v/>
      </c>
      <c r="R1445" s="27" t="str">
        <f aca="false">IF(J1445="","",INT(P1445/4))</f>
        <v/>
      </c>
      <c r="S1445" s="27" t="str">
        <f aca="false">IF(J1445="","",IF(AND('Daily Count Sheet'!$H$3=Q1445,MOD('Daily Count Sheet'!$I$3,J1445)=R1445),1,""))</f>
        <v/>
      </c>
      <c r="T1445" s="27" t="str">
        <f aca="false">IF(S1445=1,COUNTIF($S$2:S1445,1),"")</f>
        <v/>
      </c>
    </row>
    <row r="1446" customFormat="false" ht="15" hidden="false" customHeight="false" outlineLevel="0" collapsed="false">
      <c r="H1446" s="26"/>
      <c r="I1446" s="27" t="str">
        <f aca="false">IF(A1446="","",IF(H1446&lt;&gt;"",UPPER(TRIM(H1446)),IFERROR(CHOOSE(VALUE(E1446)+1,"A","B","C","D"),IF(OR(LEFT(UPPER(TRIM(E1446)),1)="F",UPPER(TRIM(E1446))="A"),"A",IF(OR(LEFT(UPPER(TRIM(E1446)),1)="M",UPPER(TRIM(E1446))="B"),"B",IF(OR(LEFT(UPPER(TRIM(E1446)),2)="SL",UPPER(TRIM(E1446))="C"),"C",IF(OR(LEFT(UPPER(TRIM(E1446)),1)="D",UPPER(TRIM(E1446))="D"),"D","")))))))</f>
        <v/>
      </c>
      <c r="J1446" s="27" t="str">
        <f aca="false">IF(I1446="","",IF(AND(I1446="D",Settings!$B$6&lt;&gt;"Yes"),"",IFERROR(INDEX(Settings!$C$9:$C$12,MATCH(I1446,Settings!$A$9:$A$12,0)),"")))</f>
        <v/>
      </c>
      <c r="K1446" s="27" t="str">
        <f aca="false">IF(J1446="","",COUNTIF($I$2:I1446,I1446))</f>
        <v/>
      </c>
      <c r="L1446" s="27" t="str">
        <f aca="false">IF(J1446="","",CHOOSE(Q1446+1,"Tue","Wed","Thu","Fri"))</f>
        <v/>
      </c>
      <c r="M1446" s="27" t="str">
        <f aca="false">IF(J1446="","",IF(J1446=1,"Every week",R1446+1&amp;" of "&amp;J1446))</f>
        <v/>
      </c>
      <c r="N1446" s="28" t="str">
        <f aca="false">IF(J1446="","",Settings!$B$4+R1446*7+Q1446)</f>
        <v/>
      </c>
      <c r="O1446" s="28" t="str">
        <f aca="true">IF(J1446="","",N1446+MAX(0,ROUNDUP((TODAY()-N1446)/(J1446*7),0))*J1446*7)</f>
        <v/>
      </c>
      <c r="P1446" s="27" t="str">
        <f aca="false">IF(J1446="","",MOD(K1446-1,J1446*4))</f>
        <v/>
      </c>
      <c r="Q1446" s="27" t="str">
        <f aca="false">IF(J1446="","",MOD(P1446,4))</f>
        <v/>
      </c>
      <c r="R1446" s="27" t="str">
        <f aca="false">IF(J1446="","",INT(P1446/4))</f>
        <v/>
      </c>
      <c r="S1446" s="27" t="str">
        <f aca="false">IF(J1446="","",IF(AND('Daily Count Sheet'!$H$3=Q1446,MOD('Daily Count Sheet'!$I$3,J1446)=R1446),1,""))</f>
        <v/>
      </c>
      <c r="T1446" s="27" t="str">
        <f aca="false">IF(S1446=1,COUNTIF($S$2:S1446,1),"")</f>
        <v/>
      </c>
    </row>
    <row r="1447" customFormat="false" ht="15" hidden="false" customHeight="false" outlineLevel="0" collapsed="false">
      <c r="H1447" s="26"/>
      <c r="I1447" s="27" t="str">
        <f aca="false">IF(A1447="","",IF(H1447&lt;&gt;"",UPPER(TRIM(H1447)),IFERROR(CHOOSE(VALUE(E1447)+1,"A","B","C","D"),IF(OR(LEFT(UPPER(TRIM(E1447)),1)="F",UPPER(TRIM(E1447))="A"),"A",IF(OR(LEFT(UPPER(TRIM(E1447)),1)="M",UPPER(TRIM(E1447))="B"),"B",IF(OR(LEFT(UPPER(TRIM(E1447)),2)="SL",UPPER(TRIM(E1447))="C"),"C",IF(OR(LEFT(UPPER(TRIM(E1447)),1)="D",UPPER(TRIM(E1447))="D"),"D","")))))))</f>
        <v/>
      </c>
      <c r="J1447" s="27" t="str">
        <f aca="false">IF(I1447="","",IF(AND(I1447="D",Settings!$B$6&lt;&gt;"Yes"),"",IFERROR(INDEX(Settings!$C$9:$C$12,MATCH(I1447,Settings!$A$9:$A$12,0)),"")))</f>
        <v/>
      </c>
      <c r="K1447" s="27" t="str">
        <f aca="false">IF(J1447="","",COUNTIF($I$2:I1447,I1447))</f>
        <v/>
      </c>
      <c r="L1447" s="27" t="str">
        <f aca="false">IF(J1447="","",CHOOSE(Q1447+1,"Tue","Wed","Thu","Fri"))</f>
        <v/>
      </c>
      <c r="M1447" s="27" t="str">
        <f aca="false">IF(J1447="","",IF(J1447=1,"Every week",R1447+1&amp;" of "&amp;J1447))</f>
        <v/>
      </c>
      <c r="N1447" s="28" t="str">
        <f aca="false">IF(J1447="","",Settings!$B$4+R1447*7+Q1447)</f>
        <v/>
      </c>
      <c r="O1447" s="28" t="str">
        <f aca="true">IF(J1447="","",N1447+MAX(0,ROUNDUP((TODAY()-N1447)/(J1447*7),0))*J1447*7)</f>
        <v/>
      </c>
      <c r="P1447" s="27" t="str">
        <f aca="false">IF(J1447="","",MOD(K1447-1,J1447*4))</f>
        <v/>
      </c>
      <c r="Q1447" s="27" t="str">
        <f aca="false">IF(J1447="","",MOD(P1447,4))</f>
        <v/>
      </c>
      <c r="R1447" s="27" t="str">
        <f aca="false">IF(J1447="","",INT(P1447/4))</f>
        <v/>
      </c>
      <c r="S1447" s="27" t="str">
        <f aca="false">IF(J1447="","",IF(AND('Daily Count Sheet'!$H$3=Q1447,MOD('Daily Count Sheet'!$I$3,J1447)=R1447),1,""))</f>
        <v/>
      </c>
      <c r="T1447" s="27" t="str">
        <f aca="false">IF(S1447=1,COUNTIF($S$2:S1447,1),"")</f>
        <v/>
      </c>
    </row>
    <row r="1448" customFormat="false" ht="15" hidden="false" customHeight="false" outlineLevel="0" collapsed="false">
      <c r="H1448" s="26"/>
      <c r="I1448" s="27" t="str">
        <f aca="false">IF(A1448="","",IF(H1448&lt;&gt;"",UPPER(TRIM(H1448)),IFERROR(CHOOSE(VALUE(E1448)+1,"A","B","C","D"),IF(OR(LEFT(UPPER(TRIM(E1448)),1)="F",UPPER(TRIM(E1448))="A"),"A",IF(OR(LEFT(UPPER(TRIM(E1448)),1)="M",UPPER(TRIM(E1448))="B"),"B",IF(OR(LEFT(UPPER(TRIM(E1448)),2)="SL",UPPER(TRIM(E1448))="C"),"C",IF(OR(LEFT(UPPER(TRIM(E1448)),1)="D",UPPER(TRIM(E1448))="D"),"D","")))))))</f>
        <v/>
      </c>
      <c r="J1448" s="27" t="str">
        <f aca="false">IF(I1448="","",IF(AND(I1448="D",Settings!$B$6&lt;&gt;"Yes"),"",IFERROR(INDEX(Settings!$C$9:$C$12,MATCH(I1448,Settings!$A$9:$A$12,0)),"")))</f>
        <v/>
      </c>
      <c r="K1448" s="27" t="str">
        <f aca="false">IF(J1448="","",COUNTIF($I$2:I1448,I1448))</f>
        <v/>
      </c>
      <c r="L1448" s="27" t="str">
        <f aca="false">IF(J1448="","",CHOOSE(Q1448+1,"Tue","Wed","Thu","Fri"))</f>
        <v/>
      </c>
      <c r="M1448" s="27" t="str">
        <f aca="false">IF(J1448="","",IF(J1448=1,"Every week",R1448+1&amp;" of "&amp;J1448))</f>
        <v/>
      </c>
      <c r="N1448" s="28" t="str">
        <f aca="false">IF(J1448="","",Settings!$B$4+R1448*7+Q1448)</f>
        <v/>
      </c>
      <c r="O1448" s="28" t="str">
        <f aca="true">IF(J1448="","",N1448+MAX(0,ROUNDUP((TODAY()-N1448)/(J1448*7),0))*J1448*7)</f>
        <v/>
      </c>
      <c r="P1448" s="27" t="str">
        <f aca="false">IF(J1448="","",MOD(K1448-1,J1448*4))</f>
        <v/>
      </c>
      <c r="Q1448" s="27" t="str">
        <f aca="false">IF(J1448="","",MOD(P1448,4))</f>
        <v/>
      </c>
      <c r="R1448" s="27" t="str">
        <f aca="false">IF(J1448="","",INT(P1448/4))</f>
        <v/>
      </c>
      <c r="S1448" s="27" t="str">
        <f aca="false">IF(J1448="","",IF(AND('Daily Count Sheet'!$H$3=Q1448,MOD('Daily Count Sheet'!$I$3,J1448)=R1448),1,""))</f>
        <v/>
      </c>
      <c r="T1448" s="27" t="str">
        <f aca="false">IF(S1448=1,COUNTIF($S$2:S1448,1),"")</f>
        <v/>
      </c>
    </row>
    <row r="1449" customFormat="false" ht="15" hidden="false" customHeight="false" outlineLevel="0" collapsed="false">
      <c r="H1449" s="26"/>
      <c r="I1449" s="27" t="str">
        <f aca="false">IF(A1449="","",IF(H1449&lt;&gt;"",UPPER(TRIM(H1449)),IFERROR(CHOOSE(VALUE(E1449)+1,"A","B","C","D"),IF(OR(LEFT(UPPER(TRIM(E1449)),1)="F",UPPER(TRIM(E1449))="A"),"A",IF(OR(LEFT(UPPER(TRIM(E1449)),1)="M",UPPER(TRIM(E1449))="B"),"B",IF(OR(LEFT(UPPER(TRIM(E1449)),2)="SL",UPPER(TRIM(E1449))="C"),"C",IF(OR(LEFT(UPPER(TRIM(E1449)),1)="D",UPPER(TRIM(E1449))="D"),"D","")))))))</f>
        <v/>
      </c>
      <c r="J1449" s="27" t="str">
        <f aca="false">IF(I1449="","",IF(AND(I1449="D",Settings!$B$6&lt;&gt;"Yes"),"",IFERROR(INDEX(Settings!$C$9:$C$12,MATCH(I1449,Settings!$A$9:$A$12,0)),"")))</f>
        <v/>
      </c>
      <c r="K1449" s="27" t="str">
        <f aca="false">IF(J1449="","",COUNTIF($I$2:I1449,I1449))</f>
        <v/>
      </c>
      <c r="L1449" s="27" t="str">
        <f aca="false">IF(J1449="","",CHOOSE(Q1449+1,"Tue","Wed","Thu","Fri"))</f>
        <v/>
      </c>
      <c r="M1449" s="27" t="str">
        <f aca="false">IF(J1449="","",IF(J1449=1,"Every week",R1449+1&amp;" of "&amp;J1449))</f>
        <v/>
      </c>
      <c r="N1449" s="28" t="str">
        <f aca="false">IF(J1449="","",Settings!$B$4+R1449*7+Q1449)</f>
        <v/>
      </c>
      <c r="O1449" s="28" t="str">
        <f aca="true">IF(J1449="","",N1449+MAX(0,ROUNDUP((TODAY()-N1449)/(J1449*7),0))*J1449*7)</f>
        <v/>
      </c>
      <c r="P1449" s="27" t="str">
        <f aca="false">IF(J1449="","",MOD(K1449-1,J1449*4))</f>
        <v/>
      </c>
      <c r="Q1449" s="27" t="str">
        <f aca="false">IF(J1449="","",MOD(P1449,4))</f>
        <v/>
      </c>
      <c r="R1449" s="27" t="str">
        <f aca="false">IF(J1449="","",INT(P1449/4))</f>
        <v/>
      </c>
      <c r="S1449" s="27" t="str">
        <f aca="false">IF(J1449="","",IF(AND('Daily Count Sheet'!$H$3=Q1449,MOD('Daily Count Sheet'!$I$3,J1449)=R1449),1,""))</f>
        <v/>
      </c>
      <c r="T1449" s="27" t="str">
        <f aca="false">IF(S1449=1,COUNTIF($S$2:S1449,1),"")</f>
        <v/>
      </c>
    </row>
    <row r="1450" customFormat="false" ht="15" hidden="false" customHeight="false" outlineLevel="0" collapsed="false">
      <c r="H1450" s="26"/>
      <c r="I1450" s="27" t="str">
        <f aca="false">IF(A1450="","",IF(H1450&lt;&gt;"",UPPER(TRIM(H1450)),IFERROR(CHOOSE(VALUE(E1450)+1,"A","B","C","D"),IF(OR(LEFT(UPPER(TRIM(E1450)),1)="F",UPPER(TRIM(E1450))="A"),"A",IF(OR(LEFT(UPPER(TRIM(E1450)),1)="M",UPPER(TRIM(E1450))="B"),"B",IF(OR(LEFT(UPPER(TRIM(E1450)),2)="SL",UPPER(TRIM(E1450))="C"),"C",IF(OR(LEFT(UPPER(TRIM(E1450)),1)="D",UPPER(TRIM(E1450))="D"),"D","")))))))</f>
        <v/>
      </c>
      <c r="J1450" s="27" t="str">
        <f aca="false">IF(I1450="","",IF(AND(I1450="D",Settings!$B$6&lt;&gt;"Yes"),"",IFERROR(INDEX(Settings!$C$9:$C$12,MATCH(I1450,Settings!$A$9:$A$12,0)),"")))</f>
        <v/>
      </c>
      <c r="K1450" s="27" t="str">
        <f aca="false">IF(J1450="","",COUNTIF($I$2:I1450,I1450))</f>
        <v/>
      </c>
      <c r="L1450" s="27" t="str">
        <f aca="false">IF(J1450="","",CHOOSE(Q1450+1,"Tue","Wed","Thu","Fri"))</f>
        <v/>
      </c>
      <c r="M1450" s="27" t="str">
        <f aca="false">IF(J1450="","",IF(J1450=1,"Every week",R1450+1&amp;" of "&amp;J1450))</f>
        <v/>
      </c>
      <c r="N1450" s="28" t="str">
        <f aca="false">IF(J1450="","",Settings!$B$4+R1450*7+Q1450)</f>
        <v/>
      </c>
      <c r="O1450" s="28" t="str">
        <f aca="true">IF(J1450="","",N1450+MAX(0,ROUNDUP((TODAY()-N1450)/(J1450*7),0))*J1450*7)</f>
        <v/>
      </c>
      <c r="P1450" s="27" t="str">
        <f aca="false">IF(J1450="","",MOD(K1450-1,J1450*4))</f>
        <v/>
      </c>
      <c r="Q1450" s="27" t="str">
        <f aca="false">IF(J1450="","",MOD(P1450,4))</f>
        <v/>
      </c>
      <c r="R1450" s="27" t="str">
        <f aca="false">IF(J1450="","",INT(P1450/4))</f>
        <v/>
      </c>
      <c r="S1450" s="27" t="str">
        <f aca="false">IF(J1450="","",IF(AND('Daily Count Sheet'!$H$3=Q1450,MOD('Daily Count Sheet'!$I$3,J1450)=R1450),1,""))</f>
        <v/>
      </c>
      <c r="T1450" s="27" t="str">
        <f aca="false">IF(S1450=1,COUNTIF($S$2:S1450,1),"")</f>
        <v/>
      </c>
    </row>
    <row r="1451" customFormat="false" ht="15" hidden="false" customHeight="false" outlineLevel="0" collapsed="false">
      <c r="H1451" s="26"/>
      <c r="I1451" s="27" t="str">
        <f aca="false">IF(A1451="","",IF(H1451&lt;&gt;"",UPPER(TRIM(H1451)),IFERROR(CHOOSE(VALUE(E1451)+1,"A","B","C","D"),IF(OR(LEFT(UPPER(TRIM(E1451)),1)="F",UPPER(TRIM(E1451))="A"),"A",IF(OR(LEFT(UPPER(TRIM(E1451)),1)="M",UPPER(TRIM(E1451))="B"),"B",IF(OR(LEFT(UPPER(TRIM(E1451)),2)="SL",UPPER(TRIM(E1451))="C"),"C",IF(OR(LEFT(UPPER(TRIM(E1451)),1)="D",UPPER(TRIM(E1451))="D"),"D","")))))))</f>
        <v/>
      </c>
      <c r="J1451" s="27" t="str">
        <f aca="false">IF(I1451="","",IF(AND(I1451="D",Settings!$B$6&lt;&gt;"Yes"),"",IFERROR(INDEX(Settings!$C$9:$C$12,MATCH(I1451,Settings!$A$9:$A$12,0)),"")))</f>
        <v/>
      </c>
      <c r="K1451" s="27" t="str">
        <f aca="false">IF(J1451="","",COUNTIF($I$2:I1451,I1451))</f>
        <v/>
      </c>
      <c r="L1451" s="27" t="str">
        <f aca="false">IF(J1451="","",CHOOSE(Q1451+1,"Tue","Wed","Thu","Fri"))</f>
        <v/>
      </c>
      <c r="M1451" s="27" t="str">
        <f aca="false">IF(J1451="","",IF(J1451=1,"Every week",R1451+1&amp;" of "&amp;J1451))</f>
        <v/>
      </c>
      <c r="N1451" s="28" t="str">
        <f aca="false">IF(J1451="","",Settings!$B$4+R1451*7+Q1451)</f>
        <v/>
      </c>
      <c r="O1451" s="28" t="str">
        <f aca="true">IF(J1451="","",N1451+MAX(0,ROUNDUP((TODAY()-N1451)/(J1451*7),0))*J1451*7)</f>
        <v/>
      </c>
      <c r="P1451" s="27" t="str">
        <f aca="false">IF(J1451="","",MOD(K1451-1,J1451*4))</f>
        <v/>
      </c>
      <c r="Q1451" s="27" t="str">
        <f aca="false">IF(J1451="","",MOD(P1451,4))</f>
        <v/>
      </c>
      <c r="R1451" s="27" t="str">
        <f aca="false">IF(J1451="","",INT(P1451/4))</f>
        <v/>
      </c>
      <c r="S1451" s="27" t="str">
        <f aca="false">IF(J1451="","",IF(AND('Daily Count Sheet'!$H$3=Q1451,MOD('Daily Count Sheet'!$I$3,J1451)=R1451),1,""))</f>
        <v/>
      </c>
      <c r="T1451" s="27" t="str">
        <f aca="false">IF(S1451=1,COUNTIF($S$2:S1451,1),"")</f>
        <v/>
      </c>
    </row>
    <row r="1452" customFormat="false" ht="15" hidden="false" customHeight="false" outlineLevel="0" collapsed="false">
      <c r="H1452" s="26"/>
      <c r="I1452" s="27" t="str">
        <f aca="false">IF(A1452="","",IF(H1452&lt;&gt;"",UPPER(TRIM(H1452)),IFERROR(CHOOSE(VALUE(E1452)+1,"A","B","C","D"),IF(OR(LEFT(UPPER(TRIM(E1452)),1)="F",UPPER(TRIM(E1452))="A"),"A",IF(OR(LEFT(UPPER(TRIM(E1452)),1)="M",UPPER(TRIM(E1452))="B"),"B",IF(OR(LEFT(UPPER(TRIM(E1452)),2)="SL",UPPER(TRIM(E1452))="C"),"C",IF(OR(LEFT(UPPER(TRIM(E1452)),1)="D",UPPER(TRIM(E1452))="D"),"D","")))))))</f>
        <v/>
      </c>
      <c r="J1452" s="27" t="str">
        <f aca="false">IF(I1452="","",IF(AND(I1452="D",Settings!$B$6&lt;&gt;"Yes"),"",IFERROR(INDEX(Settings!$C$9:$C$12,MATCH(I1452,Settings!$A$9:$A$12,0)),"")))</f>
        <v/>
      </c>
      <c r="K1452" s="27" t="str">
        <f aca="false">IF(J1452="","",COUNTIF($I$2:I1452,I1452))</f>
        <v/>
      </c>
      <c r="L1452" s="27" t="str">
        <f aca="false">IF(J1452="","",CHOOSE(Q1452+1,"Tue","Wed","Thu","Fri"))</f>
        <v/>
      </c>
      <c r="M1452" s="27" t="str">
        <f aca="false">IF(J1452="","",IF(J1452=1,"Every week",R1452+1&amp;" of "&amp;J1452))</f>
        <v/>
      </c>
      <c r="N1452" s="28" t="str">
        <f aca="false">IF(J1452="","",Settings!$B$4+R1452*7+Q1452)</f>
        <v/>
      </c>
      <c r="O1452" s="28" t="str">
        <f aca="true">IF(J1452="","",N1452+MAX(0,ROUNDUP((TODAY()-N1452)/(J1452*7),0))*J1452*7)</f>
        <v/>
      </c>
      <c r="P1452" s="27" t="str">
        <f aca="false">IF(J1452="","",MOD(K1452-1,J1452*4))</f>
        <v/>
      </c>
      <c r="Q1452" s="27" t="str">
        <f aca="false">IF(J1452="","",MOD(P1452,4))</f>
        <v/>
      </c>
      <c r="R1452" s="27" t="str">
        <f aca="false">IF(J1452="","",INT(P1452/4))</f>
        <v/>
      </c>
      <c r="S1452" s="27" t="str">
        <f aca="false">IF(J1452="","",IF(AND('Daily Count Sheet'!$H$3=Q1452,MOD('Daily Count Sheet'!$I$3,J1452)=R1452),1,""))</f>
        <v/>
      </c>
      <c r="T1452" s="27" t="str">
        <f aca="false">IF(S1452=1,COUNTIF($S$2:S1452,1),"")</f>
        <v/>
      </c>
    </row>
    <row r="1453" customFormat="false" ht="15" hidden="false" customHeight="false" outlineLevel="0" collapsed="false">
      <c r="H1453" s="26"/>
      <c r="I1453" s="27" t="str">
        <f aca="false">IF(A1453="","",IF(H1453&lt;&gt;"",UPPER(TRIM(H1453)),IFERROR(CHOOSE(VALUE(E1453)+1,"A","B","C","D"),IF(OR(LEFT(UPPER(TRIM(E1453)),1)="F",UPPER(TRIM(E1453))="A"),"A",IF(OR(LEFT(UPPER(TRIM(E1453)),1)="M",UPPER(TRIM(E1453))="B"),"B",IF(OR(LEFT(UPPER(TRIM(E1453)),2)="SL",UPPER(TRIM(E1453))="C"),"C",IF(OR(LEFT(UPPER(TRIM(E1453)),1)="D",UPPER(TRIM(E1453))="D"),"D","")))))))</f>
        <v/>
      </c>
      <c r="J1453" s="27" t="str">
        <f aca="false">IF(I1453="","",IF(AND(I1453="D",Settings!$B$6&lt;&gt;"Yes"),"",IFERROR(INDEX(Settings!$C$9:$C$12,MATCH(I1453,Settings!$A$9:$A$12,0)),"")))</f>
        <v/>
      </c>
      <c r="K1453" s="27" t="str">
        <f aca="false">IF(J1453="","",COUNTIF($I$2:I1453,I1453))</f>
        <v/>
      </c>
      <c r="L1453" s="27" t="str">
        <f aca="false">IF(J1453="","",CHOOSE(Q1453+1,"Tue","Wed","Thu","Fri"))</f>
        <v/>
      </c>
      <c r="M1453" s="27" t="str">
        <f aca="false">IF(J1453="","",IF(J1453=1,"Every week",R1453+1&amp;" of "&amp;J1453))</f>
        <v/>
      </c>
      <c r="N1453" s="28" t="str">
        <f aca="false">IF(J1453="","",Settings!$B$4+R1453*7+Q1453)</f>
        <v/>
      </c>
      <c r="O1453" s="28" t="str">
        <f aca="true">IF(J1453="","",N1453+MAX(0,ROUNDUP((TODAY()-N1453)/(J1453*7),0))*J1453*7)</f>
        <v/>
      </c>
      <c r="P1453" s="27" t="str">
        <f aca="false">IF(J1453="","",MOD(K1453-1,J1453*4))</f>
        <v/>
      </c>
      <c r="Q1453" s="27" t="str">
        <f aca="false">IF(J1453="","",MOD(P1453,4))</f>
        <v/>
      </c>
      <c r="R1453" s="27" t="str">
        <f aca="false">IF(J1453="","",INT(P1453/4))</f>
        <v/>
      </c>
      <c r="S1453" s="27" t="str">
        <f aca="false">IF(J1453="","",IF(AND('Daily Count Sheet'!$H$3=Q1453,MOD('Daily Count Sheet'!$I$3,J1453)=R1453),1,""))</f>
        <v/>
      </c>
      <c r="T1453" s="27" t="str">
        <f aca="false">IF(S1453=1,COUNTIF($S$2:S1453,1),"")</f>
        <v/>
      </c>
    </row>
    <row r="1454" customFormat="false" ht="15" hidden="false" customHeight="false" outlineLevel="0" collapsed="false">
      <c r="H1454" s="26"/>
      <c r="I1454" s="27" t="str">
        <f aca="false">IF(A1454="","",IF(H1454&lt;&gt;"",UPPER(TRIM(H1454)),IFERROR(CHOOSE(VALUE(E1454)+1,"A","B","C","D"),IF(OR(LEFT(UPPER(TRIM(E1454)),1)="F",UPPER(TRIM(E1454))="A"),"A",IF(OR(LEFT(UPPER(TRIM(E1454)),1)="M",UPPER(TRIM(E1454))="B"),"B",IF(OR(LEFT(UPPER(TRIM(E1454)),2)="SL",UPPER(TRIM(E1454))="C"),"C",IF(OR(LEFT(UPPER(TRIM(E1454)),1)="D",UPPER(TRIM(E1454))="D"),"D","")))))))</f>
        <v/>
      </c>
      <c r="J1454" s="27" t="str">
        <f aca="false">IF(I1454="","",IF(AND(I1454="D",Settings!$B$6&lt;&gt;"Yes"),"",IFERROR(INDEX(Settings!$C$9:$C$12,MATCH(I1454,Settings!$A$9:$A$12,0)),"")))</f>
        <v/>
      </c>
      <c r="K1454" s="27" t="str">
        <f aca="false">IF(J1454="","",COUNTIF($I$2:I1454,I1454))</f>
        <v/>
      </c>
      <c r="L1454" s="27" t="str">
        <f aca="false">IF(J1454="","",CHOOSE(Q1454+1,"Tue","Wed","Thu","Fri"))</f>
        <v/>
      </c>
      <c r="M1454" s="27" t="str">
        <f aca="false">IF(J1454="","",IF(J1454=1,"Every week",R1454+1&amp;" of "&amp;J1454))</f>
        <v/>
      </c>
      <c r="N1454" s="28" t="str">
        <f aca="false">IF(J1454="","",Settings!$B$4+R1454*7+Q1454)</f>
        <v/>
      </c>
      <c r="O1454" s="28" t="str">
        <f aca="true">IF(J1454="","",N1454+MAX(0,ROUNDUP((TODAY()-N1454)/(J1454*7),0))*J1454*7)</f>
        <v/>
      </c>
      <c r="P1454" s="27" t="str">
        <f aca="false">IF(J1454="","",MOD(K1454-1,J1454*4))</f>
        <v/>
      </c>
      <c r="Q1454" s="27" t="str">
        <f aca="false">IF(J1454="","",MOD(P1454,4))</f>
        <v/>
      </c>
      <c r="R1454" s="27" t="str">
        <f aca="false">IF(J1454="","",INT(P1454/4))</f>
        <v/>
      </c>
      <c r="S1454" s="27" t="str">
        <f aca="false">IF(J1454="","",IF(AND('Daily Count Sheet'!$H$3=Q1454,MOD('Daily Count Sheet'!$I$3,J1454)=R1454),1,""))</f>
        <v/>
      </c>
      <c r="T1454" s="27" t="str">
        <f aca="false">IF(S1454=1,COUNTIF($S$2:S1454,1),"")</f>
        <v/>
      </c>
    </row>
    <row r="1455" customFormat="false" ht="15" hidden="false" customHeight="false" outlineLevel="0" collapsed="false">
      <c r="H1455" s="26"/>
      <c r="I1455" s="27" t="str">
        <f aca="false">IF(A1455="","",IF(H1455&lt;&gt;"",UPPER(TRIM(H1455)),IFERROR(CHOOSE(VALUE(E1455)+1,"A","B","C","D"),IF(OR(LEFT(UPPER(TRIM(E1455)),1)="F",UPPER(TRIM(E1455))="A"),"A",IF(OR(LEFT(UPPER(TRIM(E1455)),1)="M",UPPER(TRIM(E1455))="B"),"B",IF(OR(LEFT(UPPER(TRIM(E1455)),2)="SL",UPPER(TRIM(E1455))="C"),"C",IF(OR(LEFT(UPPER(TRIM(E1455)),1)="D",UPPER(TRIM(E1455))="D"),"D","")))))))</f>
        <v/>
      </c>
      <c r="J1455" s="27" t="str">
        <f aca="false">IF(I1455="","",IF(AND(I1455="D",Settings!$B$6&lt;&gt;"Yes"),"",IFERROR(INDEX(Settings!$C$9:$C$12,MATCH(I1455,Settings!$A$9:$A$12,0)),"")))</f>
        <v/>
      </c>
      <c r="K1455" s="27" t="str">
        <f aca="false">IF(J1455="","",COUNTIF($I$2:I1455,I1455))</f>
        <v/>
      </c>
      <c r="L1455" s="27" t="str">
        <f aca="false">IF(J1455="","",CHOOSE(Q1455+1,"Tue","Wed","Thu","Fri"))</f>
        <v/>
      </c>
      <c r="M1455" s="27" t="str">
        <f aca="false">IF(J1455="","",IF(J1455=1,"Every week",R1455+1&amp;" of "&amp;J1455))</f>
        <v/>
      </c>
      <c r="N1455" s="28" t="str">
        <f aca="false">IF(J1455="","",Settings!$B$4+R1455*7+Q1455)</f>
        <v/>
      </c>
      <c r="O1455" s="28" t="str">
        <f aca="true">IF(J1455="","",N1455+MAX(0,ROUNDUP((TODAY()-N1455)/(J1455*7),0))*J1455*7)</f>
        <v/>
      </c>
      <c r="P1455" s="27" t="str">
        <f aca="false">IF(J1455="","",MOD(K1455-1,J1455*4))</f>
        <v/>
      </c>
      <c r="Q1455" s="27" t="str">
        <f aca="false">IF(J1455="","",MOD(P1455,4))</f>
        <v/>
      </c>
      <c r="R1455" s="27" t="str">
        <f aca="false">IF(J1455="","",INT(P1455/4))</f>
        <v/>
      </c>
      <c r="S1455" s="27" t="str">
        <f aca="false">IF(J1455="","",IF(AND('Daily Count Sheet'!$H$3=Q1455,MOD('Daily Count Sheet'!$I$3,J1455)=R1455),1,""))</f>
        <v/>
      </c>
      <c r="T1455" s="27" t="str">
        <f aca="false">IF(S1455=1,COUNTIF($S$2:S1455,1),"")</f>
        <v/>
      </c>
    </row>
    <row r="1456" customFormat="false" ht="15" hidden="false" customHeight="false" outlineLevel="0" collapsed="false">
      <c r="H1456" s="26"/>
      <c r="I1456" s="27" t="str">
        <f aca="false">IF(A1456="","",IF(H1456&lt;&gt;"",UPPER(TRIM(H1456)),IFERROR(CHOOSE(VALUE(E1456)+1,"A","B","C","D"),IF(OR(LEFT(UPPER(TRIM(E1456)),1)="F",UPPER(TRIM(E1456))="A"),"A",IF(OR(LEFT(UPPER(TRIM(E1456)),1)="M",UPPER(TRIM(E1456))="B"),"B",IF(OR(LEFT(UPPER(TRIM(E1456)),2)="SL",UPPER(TRIM(E1456))="C"),"C",IF(OR(LEFT(UPPER(TRIM(E1456)),1)="D",UPPER(TRIM(E1456))="D"),"D","")))))))</f>
        <v/>
      </c>
      <c r="J1456" s="27" t="str">
        <f aca="false">IF(I1456="","",IF(AND(I1456="D",Settings!$B$6&lt;&gt;"Yes"),"",IFERROR(INDEX(Settings!$C$9:$C$12,MATCH(I1456,Settings!$A$9:$A$12,0)),"")))</f>
        <v/>
      </c>
      <c r="K1456" s="27" t="str">
        <f aca="false">IF(J1456="","",COUNTIF($I$2:I1456,I1456))</f>
        <v/>
      </c>
      <c r="L1456" s="27" t="str">
        <f aca="false">IF(J1456="","",CHOOSE(Q1456+1,"Tue","Wed","Thu","Fri"))</f>
        <v/>
      </c>
      <c r="M1456" s="27" t="str">
        <f aca="false">IF(J1456="","",IF(J1456=1,"Every week",R1456+1&amp;" of "&amp;J1456))</f>
        <v/>
      </c>
      <c r="N1456" s="28" t="str">
        <f aca="false">IF(J1456="","",Settings!$B$4+R1456*7+Q1456)</f>
        <v/>
      </c>
      <c r="O1456" s="28" t="str">
        <f aca="true">IF(J1456="","",N1456+MAX(0,ROUNDUP((TODAY()-N1456)/(J1456*7),0))*J1456*7)</f>
        <v/>
      </c>
      <c r="P1456" s="27" t="str">
        <f aca="false">IF(J1456="","",MOD(K1456-1,J1456*4))</f>
        <v/>
      </c>
      <c r="Q1456" s="27" t="str">
        <f aca="false">IF(J1456="","",MOD(P1456,4))</f>
        <v/>
      </c>
      <c r="R1456" s="27" t="str">
        <f aca="false">IF(J1456="","",INT(P1456/4))</f>
        <v/>
      </c>
      <c r="S1456" s="27" t="str">
        <f aca="false">IF(J1456="","",IF(AND('Daily Count Sheet'!$H$3=Q1456,MOD('Daily Count Sheet'!$I$3,J1456)=R1456),1,""))</f>
        <v/>
      </c>
      <c r="T1456" s="27" t="str">
        <f aca="false">IF(S1456=1,COUNTIF($S$2:S1456,1),"")</f>
        <v/>
      </c>
    </row>
    <row r="1457" customFormat="false" ht="15" hidden="false" customHeight="false" outlineLevel="0" collapsed="false">
      <c r="H1457" s="26"/>
      <c r="I1457" s="27" t="str">
        <f aca="false">IF(A1457="","",IF(H1457&lt;&gt;"",UPPER(TRIM(H1457)),IFERROR(CHOOSE(VALUE(E1457)+1,"A","B","C","D"),IF(OR(LEFT(UPPER(TRIM(E1457)),1)="F",UPPER(TRIM(E1457))="A"),"A",IF(OR(LEFT(UPPER(TRIM(E1457)),1)="M",UPPER(TRIM(E1457))="B"),"B",IF(OR(LEFT(UPPER(TRIM(E1457)),2)="SL",UPPER(TRIM(E1457))="C"),"C",IF(OR(LEFT(UPPER(TRIM(E1457)),1)="D",UPPER(TRIM(E1457))="D"),"D","")))))))</f>
        <v/>
      </c>
      <c r="J1457" s="27" t="str">
        <f aca="false">IF(I1457="","",IF(AND(I1457="D",Settings!$B$6&lt;&gt;"Yes"),"",IFERROR(INDEX(Settings!$C$9:$C$12,MATCH(I1457,Settings!$A$9:$A$12,0)),"")))</f>
        <v/>
      </c>
      <c r="K1457" s="27" t="str">
        <f aca="false">IF(J1457="","",COUNTIF($I$2:I1457,I1457))</f>
        <v/>
      </c>
      <c r="L1457" s="27" t="str">
        <f aca="false">IF(J1457="","",CHOOSE(Q1457+1,"Tue","Wed","Thu","Fri"))</f>
        <v/>
      </c>
      <c r="M1457" s="27" t="str">
        <f aca="false">IF(J1457="","",IF(J1457=1,"Every week",R1457+1&amp;" of "&amp;J1457))</f>
        <v/>
      </c>
      <c r="N1457" s="28" t="str">
        <f aca="false">IF(J1457="","",Settings!$B$4+R1457*7+Q1457)</f>
        <v/>
      </c>
      <c r="O1457" s="28" t="str">
        <f aca="true">IF(J1457="","",N1457+MAX(0,ROUNDUP((TODAY()-N1457)/(J1457*7),0))*J1457*7)</f>
        <v/>
      </c>
      <c r="P1457" s="27" t="str">
        <f aca="false">IF(J1457="","",MOD(K1457-1,J1457*4))</f>
        <v/>
      </c>
      <c r="Q1457" s="27" t="str">
        <f aca="false">IF(J1457="","",MOD(P1457,4))</f>
        <v/>
      </c>
      <c r="R1457" s="27" t="str">
        <f aca="false">IF(J1457="","",INT(P1457/4))</f>
        <v/>
      </c>
      <c r="S1457" s="27" t="str">
        <f aca="false">IF(J1457="","",IF(AND('Daily Count Sheet'!$H$3=Q1457,MOD('Daily Count Sheet'!$I$3,J1457)=R1457),1,""))</f>
        <v/>
      </c>
      <c r="T1457" s="27" t="str">
        <f aca="false">IF(S1457=1,COUNTIF($S$2:S1457,1),"")</f>
        <v/>
      </c>
    </row>
    <row r="1458" customFormat="false" ht="15" hidden="false" customHeight="false" outlineLevel="0" collapsed="false">
      <c r="H1458" s="26"/>
      <c r="I1458" s="27" t="str">
        <f aca="false">IF(A1458="","",IF(H1458&lt;&gt;"",UPPER(TRIM(H1458)),IFERROR(CHOOSE(VALUE(E1458)+1,"A","B","C","D"),IF(OR(LEFT(UPPER(TRIM(E1458)),1)="F",UPPER(TRIM(E1458))="A"),"A",IF(OR(LEFT(UPPER(TRIM(E1458)),1)="M",UPPER(TRIM(E1458))="B"),"B",IF(OR(LEFT(UPPER(TRIM(E1458)),2)="SL",UPPER(TRIM(E1458))="C"),"C",IF(OR(LEFT(UPPER(TRIM(E1458)),1)="D",UPPER(TRIM(E1458))="D"),"D","")))))))</f>
        <v/>
      </c>
      <c r="J1458" s="27" t="str">
        <f aca="false">IF(I1458="","",IF(AND(I1458="D",Settings!$B$6&lt;&gt;"Yes"),"",IFERROR(INDEX(Settings!$C$9:$C$12,MATCH(I1458,Settings!$A$9:$A$12,0)),"")))</f>
        <v/>
      </c>
      <c r="K1458" s="27" t="str">
        <f aca="false">IF(J1458="","",COUNTIF($I$2:I1458,I1458))</f>
        <v/>
      </c>
      <c r="L1458" s="27" t="str">
        <f aca="false">IF(J1458="","",CHOOSE(Q1458+1,"Tue","Wed","Thu","Fri"))</f>
        <v/>
      </c>
      <c r="M1458" s="27" t="str">
        <f aca="false">IF(J1458="","",IF(J1458=1,"Every week",R1458+1&amp;" of "&amp;J1458))</f>
        <v/>
      </c>
      <c r="N1458" s="28" t="str">
        <f aca="false">IF(J1458="","",Settings!$B$4+R1458*7+Q1458)</f>
        <v/>
      </c>
      <c r="O1458" s="28" t="str">
        <f aca="true">IF(J1458="","",N1458+MAX(0,ROUNDUP((TODAY()-N1458)/(J1458*7),0))*J1458*7)</f>
        <v/>
      </c>
      <c r="P1458" s="27" t="str">
        <f aca="false">IF(J1458="","",MOD(K1458-1,J1458*4))</f>
        <v/>
      </c>
      <c r="Q1458" s="27" t="str">
        <f aca="false">IF(J1458="","",MOD(P1458,4))</f>
        <v/>
      </c>
      <c r="R1458" s="27" t="str">
        <f aca="false">IF(J1458="","",INT(P1458/4))</f>
        <v/>
      </c>
      <c r="S1458" s="27" t="str">
        <f aca="false">IF(J1458="","",IF(AND('Daily Count Sheet'!$H$3=Q1458,MOD('Daily Count Sheet'!$I$3,J1458)=R1458),1,""))</f>
        <v/>
      </c>
      <c r="T1458" s="27" t="str">
        <f aca="false">IF(S1458=1,COUNTIF($S$2:S1458,1),"")</f>
        <v/>
      </c>
    </row>
    <row r="1459" customFormat="false" ht="15" hidden="false" customHeight="false" outlineLevel="0" collapsed="false">
      <c r="H1459" s="26"/>
      <c r="I1459" s="27" t="str">
        <f aca="false">IF(A1459="","",IF(H1459&lt;&gt;"",UPPER(TRIM(H1459)),IFERROR(CHOOSE(VALUE(E1459)+1,"A","B","C","D"),IF(OR(LEFT(UPPER(TRIM(E1459)),1)="F",UPPER(TRIM(E1459))="A"),"A",IF(OR(LEFT(UPPER(TRIM(E1459)),1)="M",UPPER(TRIM(E1459))="B"),"B",IF(OR(LEFT(UPPER(TRIM(E1459)),2)="SL",UPPER(TRIM(E1459))="C"),"C",IF(OR(LEFT(UPPER(TRIM(E1459)),1)="D",UPPER(TRIM(E1459))="D"),"D","")))))))</f>
        <v/>
      </c>
      <c r="J1459" s="27" t="str">
        <f aca="false">IF(I1459="","",IF(AND(I1459="D",Settings!$B$6&lt;&gt;"Yes"),"",IFERROR(INDEX(Settings!$C$9:$C$12,MATCH(I1459,Settings!$A$9:$A$12,0)),"")))</f>
        <v/>
      </c>
      <c r="K1459" s="27" t="str">
        <f aca="false">IF(J1459="","",COUNTIF($I$2:I1459,I1459))</f>
        <v/>
      </c>
      <c r="L1459" s="27" t="str">
        <f aca="false">IF(J1459="","",CHOOSE(Q1459+1,"Tue","Wed","Thu","Fri"))</f>
        <v/>
      </c>
      <c r="M1459" s="27" t="str">
        <f aca="false">IF(J1459="","",IF(J1459=1,"Every week",R1459+1&amp;" of "&amp;J1459))</f>
        <v/>
      </c>
      <c r="N1459" s="28" t="str">
        <f aca="false">IF(J1459="","",Settings!$B$4+R1459*7+Q1459)</f>
        <v/>
      </c>
      <c r="O1459" s="28" t="str">
        <f aca="true">IF(J1459="","",N1459+MAX(0,ROUNDUP((TODAY()-N1459)/(J1459*7),0))*J1459*7)</f>
        <v/>
      </c>
      <c r="P1459" s="27" t="str">
        <f aca="false">IF(J1459="","",MOD(K1459-1,J1459*4))</f>
        <v/>
      </c>
      <c r="Q1459" s="27" t="str">
        <f aca="false">IF(J1459="","",MOD(P1459,4))</f>
        <v/>
      </c>
      <c r="R1459" s="27" t="str">
        <f aca="false">IF(J1459="","",INT(P1459/4))</f>
        <v/>
      </c>
      <c r="S1459" s="27" t="str">
        <f aca="false">IF(J1459="","",IF(AND('Daily Count Sheet'!$H$3=Q1459,MOD('Daily Count Sheet'!$I$3,J1459)=R1459),1,""))</f>
        <v/>
      </c>
      <c r="T1459" s="27" t="str">
        <f aca="false">IF(S1459=1,COUNTIF($S$2:S1459,1),"")</f>
        <v/>
      </c>
    </row>
    <row r="1460" customFormat="false" ht="15" hidden="false" customHeight="false" outlineLevel="0" collapsed="false">
      <c r="H1460" s="26"/>
      <c r="I1460" s="27" t="str">
        <f aca="false">IF(A1460="","",IF(H1460&lt;&gt;"",UPPER(TRIM(H1460)),IFERROR(CHOOSE(VALUE(E1460)+1,"A","B","C","D"),IF(OR(LEFT(UPPER(TRIM(E1460)),1)="F",UPPER(TRIM(E1460))="A"),"A",IF(OR(LEFT(UPPER(TRIM(E1460)),1)="M",UPPER(TRIM(E1460))="B"),"B",IF(OR(LEFT(UPPER(TRIM(E1460)),2)="SL",UPPER(TRIM(E1460))="C"),"C",IF(OR(LEFT(UPPER(TRIM(E1460)),1)="D",UPPER(TRIM(E1460))="D"),"D","")))))))</f>
        <v/>
      </c>
      <c r="J1460" s="27" t="str">
        <f aca="false">IF(I1460="","",IF(AND(I1460="D",Settings!$B$6&lt;&gt;"Yes"),"",IFERROR(INDEX(Settings!$C$9:$C$12,MATCH(I1460,Settings!$A$9:$A$12,0)),"")))</f>
        <v/>
      </c>
      <c r="K1460" s="27" t="str">
        <f aca="false">IF(J1460="","",COUNTIF($I$2:I1460,I1460))</f>
        <v/>
      </c>
      <c r="L1460" s="27" t="str">
        <f aca="false">IF(J1460="","",CHOOSE(Q1460+1,"Tue","Wed","Thu","Fri"))</f>
        <v/>
      </c>
      <c r="M1460" s="27" t="str">
        <f aca="false">IF(J1460="","",IF(J1460=1,"Every week",R1460+1&amp;" of "&amp;J1460))</f>
        <v/>
      </c>
      <c r="N1460" s="28" t="str">
        <f aca="false">IF(J1460="","",Settings!$B$4+R1460*7+Q1460)</f>
        <v/>
      </c>
      <c r="O1460" s="28" t="str">
        <f aca="true">IF(J1460="","",N1460+MAX(0,ROUNDUP((TODAY()-N1460)/(J1460*7),0))*J1460*7)</f>
        <v/>
      </c>
      <c r="P1460" s="27" t="str">
        <f aca="false">IF(J1460="","",MOD(K1460-1,J1460*4))</f>
        <v/>
      </c>
      <c r="Q1460" s="27" t="str">
        <f aca="false">IF(J1460="","",MOD(P1460,4))</f>
        <v/>
      </c>
      <c r="R1460" s="27" t="str">
        <f aca="false">IF(J1460="","",INT(P1460/4))</f>
        <v/>
      </c>
      <c r="S1460" s="27" t="str">
        <f aca="false">IF(J1460="","",IF(AND('Daily Count Sheet'!$H$3=Q1460,MOD('Daily Count Sheet'!$I$3,J1460)=R1460),1,""))</f>
        <v/>
      </c>
      <c r="T1460" s="27" t="str">
        <f aca="false">IF(S1460=1,COUNTIF($S$2:S1460,1),"")</f>
        <v/>
      </c>
    </row>
    <row r="1461" customFormat="false" ht="15" hidden="false" customHeight="false" outlineLevel="0" collapsed="false">
      <c r="H1461" s="26"/>
      <c r="I1461" s="27" t="str">
        <f aca="false">IF(A1461="","",IF(H1461&lt;&gt;"",UPPER(TRIM(H1461)),IFERROR(CHOOSE(VALUE(E1461)+1,"A","B","C","D"),IF(OR(LEFT(UPPER(TRIM(E1461)),1)="F",UPPER(TRIM(E1461))="A"),"A",IF(OR(LEFT(UPPER(TRIM(E1461)),1)="M",UPPER(TRIM(E1461))="B"),"B",IF(OR(LEFT(UPPER(TRIM(E1461)),2)="SL",UPPER(TRIM(E1461))="C"),"C",IF(OR(LEFT(UPPER(TRIM(E1461)),1)="D",UPPER(TRIM(E1461))="D"),"D","")))))))</f>
        <v/>
      </c>
      <c r="J1461" s="27" t="str">
        <f aca="false">IF(I1461="","",IF(AND(I1461="D",Settings!$B$6&lt;&gt;"Yes"),"",IFERROR(INDEX(Settings!$C$9:$C$12,MATCH(I1461,Settings!$A$9:$A$12,0)),"")))</f>
        <v/>
      </c>
      <c r="K1461" s="27" t="str">
        <f aca="false">IF(J1461="","",COUNTIF($I$2:I1461,I1461))</f>
        <v/>
      </c>
      <c r="L1461" s="27" t="str">
        <f aca="false">IF(J1461="","",CHOOSE(Q1461+1,"Tue","Wed","Thu","Fri"))</f>
        <v/>
      </c>
      <c r="M1461" s="27" t="str">
        <f aca="false">IF(J1461="","",IF(J1461=1,"Every week",R1461+1&amp;" of "&amp;J1461))</f>
        <v/>
      </c>
      <c r="N1461" s="28" t="str">
        <f aca="false">IF(J1461="","",Settings!$B$4+R1461*7+Q1461)</f>
        <v/>
      </c>
      <c r="O1461" s="28" t="str">
        <f aca="true">IF(J1461="","",N1461+MAX(0,ROUNDUP((TODAY()-N1461)/(J1461*7),0))*J1461*7)</f>
        <v/>
      </c>
      <c r="P1461" s="27" t="str">
        <f aca="false">IF(J1461="","",MOD(K1461-1,J1461*4))</f>
        <v/>
      </c>
      <c r="Q1461" s="27" t="str">
        <f aca="false">IF(J1461="","",MOD(P1461,4))</f>
        <v/>
      </c>
      <c r="R1461" s="27" t="str">
        <f aca="false">IF(J1461="","",INT(P1461/4))</f>
        <v/>
      </c>
      <c r="S1461" s="27" t="str">
        <f aca="false">IF(J1461="","",IF(AND('Daily Count Sheet'!$H$3=Q1461,MOD('Daily Count Sheet'!$I$3,J1461)=R1461),1,""))</f>
        <v/>
      </c>
      <c r="T1461" s="27" t="str">
        <f aca="false">IF(S1461=1,COUNTIF($S$2:S1461,1),"")</f>
        <v/>
      </c>
    </row>
    <row r="1462" customFormat="false" ht="15" hidden="false" customHeight="false" outlineLevel="0" collapsed="false">
      <c r="H1462" s="26"/>
      <c r="I1462" s="27" t="str">
        <f aca="false">IF(A1462="","",IF(H1462&lt;&gt;"",UPPER(TRIM(H1462)),IFERROR(CHOOSE(VALUE(E1462)+1,"A","B","C","D"),IF(OR(LEFT(UPPER(TRIM(E1462)),1)="F",UPPER(TRIM(E1462))="A"),"A",IF(OR(LEFT(UPPER(TRIM(E1462)),1)="M",UPPER(TRIM(E1462))="B"),"B",IF(OR(LEFT(UPPER(TRIM(E1462)),2)="SL",UPPER(TRIM(E1462))="C"),"C",IF(OR(LEFT(UPPER(TRIM(E1462)),1)="D",UPPER(TRIM(E1462))="D"),"D","")))))))</f>
        <v/>
      </c>
      <c r="J1462" s="27" t="str">
        <f aca="false">IF(I1462="","",IF(AND(I1462="D",Settings!$B$6&lt;&gt;"Yes"),"",IFERROR(INDEX(Settings!$C$9:$C$12,MATCH(I1462,Settings!$A$9:$A$12,0)),"")))</f>
        <v/>
      </c>
      <c r="K1462" s="27" t="str">
        <f aca="false">IF(J1462="","",COUNTIF($I$2:I1462,I1462))</f>
        <v/>
      </c>
      <c r="L1462" s="27" t="str">
        <f aca="false">IF(J1462="","",CHOOSE(Q1462+1,"Tue","Wed","Thu","Fri"))</f>
        <v/>
      </c>
      <c r="M1462" s="27" t="str">
        <f aca="false">IF(J1462="","",IF(J1462=1,"Every week",R1462+1&amp;" of "&amp;J1462))</f>
        <v/>
      </c>
      <c r="N1462" s="28" t="str">
        <f aca="false">IF(J1462="","",Settings!$B$4+R1462*7+Q1462)</f>
        <v/>
      </c>
      <c r="O1462" s="28" t="str">
        <f aca="true">IF(J1462="","",N1462+MAX(0,ROUNDUP((TODAY()-N1462)/(J1462*7),0))*J1462*7)</f>
        <v/>
      </c>
      <c r="P1462" s="27" t="str">
        <f aca="false">IF(J1462="","",MOD(K1462-1,J1462*4))</f>
        <v/>
      </c>
      <c r="Q1462" s="27" t="str">
        <f aca="false">IF(J1462="","",MOD(P1462,4))</f>
        <v/>
      </c>
      <c r="R1462" s="27" t="str">
        <f aca="false">IF(J1462="","",INT(P1462/4))</f>
        <v/>
      </c>
      <c r="S1462" s="27" t="str">
        <f aca="false">IF(J1462="","",IF(AND('Daily Count Sheet'!$H$3=Q1462,MOD('Daily Count Sheet'!$I$3,J1462)=R1462),1,""))</f>
        <v/>
      </c>
      <c r="T1462" s="27" t="str">
        <f aca="false">IF(S1462=1,COUNTIF($S$2:S1462,1),"")</f>
        <v/>
      </c>
    </row>
    <row r="1463" customFormat="false" ht="15" hidden="false" customHeight="false" outlineLevel="0" collapsed="false">
      <c r="H1463" s="26"/>
      <c r="I1463" s="27" t="str">
        <f aca="false">IF(A1463="","",IF(H1463&lt;&gt;"",UPPER(TRIM(H1463)),IFERROR(CHOOSE(VALUE(E1463)+1,"A","B","C","D"),IF(OR(LEFT(UPPER(TRIM(E1463)),1)="F",UPPER(TRIM(E1463))="A"),"A",IF(OR(LEFT(UPPER(TRIM(E1463)),1)="M",UPPER(TRIM(E1463))="B"),"B",IF(OR(LEFT(UPPER(TRIM(E1463)),2)="SL",UPPER(TRIM(E1463))="C"),"C",IF(OR(LEFT(UPPER(TRIM(E1463)),1)="D",UPPER(TRIM(E1463))="D"),"D","")))))))</f>
        <v/>
      </c>
      <c r="J1463" s="27" t="str">
        <f aca="false">IF(I1463="","",IF(AND(I1463="D",Settings!$B$6&lt;&gt;"Yes"),"",IFERROR(INDEX(Settings!$C$9:$C$12,MATCH(I1463,Settings!$A$9:$A$12,0)),"")))</f>
        <v/>
      </c>
      <c r="K1463" s="27" t="str">
        <f aca="false">IF(J1463="","",COUNTIF($I$2:I1463,I1463))</f>
        <v/>
      </c>
      <c r="L1463" s="27" t="str">
        <f aca="false">IF(J1463="","",CHOOSE(Q1463+1,"Tue","Wed","Thu","Fri"))</f>
        <v/>
      </c>
      <c r="M1463" s="27" t="str">
        <f aca="false">IF(J1463="","",IF(J1463=1,"Every week",R1463+1&amp;" of "&amp;J1463))</f>
        <v/>
      </c>
      <c r="N1463" s="28" t="str">
        <f aca="false">IF(J1463="","",Settings!$B$4+R1463*7+Q1463)</f>
        <v/>
      </c>
      <c r="O1463" s="28" t="str">
        <f aca="true">IF(J1463="","",N1463+MAX(0,ROUNDUP((TODAY()-N1463)/(J1463*7),0))*J1463*7)</f>
        <v/>
      </c>
      <c r="P1463" s="27" t="str">
        <f aca="false">IF(J1463="","",MOD(K1463-1,J1463*4))</f>
        <v/>
      </c>
      <c r="Q1463" s="27" t="str">
        <f aca="false">IF(J1463="","",MOD(P1463,4))</f>
        <v/>
      </c>
      <c r="R1463" s="27" t="str">
        <f aca="false">IF(J1463="","",INT(P1463/4))</f>
        <v/>
      </c>
      <c r="S1463" s="27" t="str">
        <f aca="false">IF(J1463="","",IF(AND('Daily Count Sheet'!$H$3=Q1463,MOD('Daily Count Sheet'!$I$3,J1463)=R1463),1,""))</f>
        <v/>
      </c>
      <c r="T1463" s="27" t="str">
        <f aca="false">IF(S1463=1,COUNTIF($S$2:S1463,1),"")</f>
        <v/>
      </c>
    </row>
    <row r="1464" customFormat="false" ht="15" hidden="false" customHeight="false" outlineLevel="0" collapsed="false">
      <c r="H1464" s="26"/>
      <c r="I1464" s="27" t="str">
        <f aca="false">IF(A1464="","",IF(H1464&lt;&gt;"",UPPER(TRIM(H1464)),IFERROR(CHOOSE(VALUE(E1464)+1,"A","B","C","D"),IF(OR(LEFT(UPPER(TRIM(E1464)),1)="F",UPPER(TRIM(E1464))="A"),"A",IF(OR(LEFT(UPPER(TRIM(E1464)),1)="M",UPPER(TRIM(E1464))="B"),"B",IF(OR(LEFT(UPPER(TRIM(E1464)),2)="SL",UPPER(TRIM(E1464))="C"),"C",IF(OR(LEFT(UPPER(TRIM(E1464)),1)="D",UPPER(TRIM(E1464))="D"),"D","")))))))</f>
        <v/>
      </c>
      <c r="J1464" s="27" t="str">
        <f aca="false">IF(I1464="","",IF(AND(I1464="D",Settings!$B$6&lt;&gt;"Yes"),"",IFERROR(INDEX(Settings!$C$9:$C$12,MATCH(I1464,Settings!$A$9:$A$12,0)),"")))</f>
        <v/>
      </c>
      <c r="K1464" s="27" t="str">
        <f aca="false">IF(J1464="","",COUNTIF($I$2:I1464,I1464))</f>
        <v/>
      </c>
      <c r="L1464" s="27" t="str">
        <f aca="false">IF(J1464="","",CHOOSE(Q1464+1,"Tue","Wed","Thu","Fri"))</f>
        <v/>
      </c>
      <c r="M1464" s="27" t="str">
        <f aca="false">IF(J1464="","",IF(J1464=1,"Every week",R1464+1&amp;" of "&amp;J1464))</f>
        <v/>
      </c>
      <c r="N1464" s="28" t="str">
        <f aca="false">IF(J1464="","",Settings!$B$4+R1464*7+Q1464)</f>
        <v/>
      </c>
      <c r="O1464" s="28" t="str">
        <f aca="true">IF(J1464="","",N1464+MAX(0,ROUNDUP((TODAY()-N1464)/(J1464*7),0))*J1464*7)</f>
        <v/>
      </c>
      <c r="P1464" s="27" t="str">
        <f aca="false">IF(J1464="","",MOD(K1464-1,J1464*4))</f>
        <v/>
      </c>
      <c r="Q1464" s="27" t="str">
        <f aca="false">IF(J1464="","",MOD(P1464,4))</f>
        <v/>
      </c>
      <c r="R1464" s="27" t="str">
        <f aca="false">IF(J1464="","",INT(P1464/4))</f>
        <v/>
      </c>
      <c r="S1464" s="27" t="str">
        <f aca="false">IF(J1464="","",IF(AND('Daily Count Sheet'!$H$3=Q1464,MOD('Daily Count Sheet'!$I$3,J1464)=R1464),1,""))</f>
        <v/>
      </c>
      <c r="T1464" s="27" t="str">
        <f aca="false">IF(S1464=1,COUNTIF($S$2:S1464,1),"")</f>
        <v/>
      </c>
    </row>
    <row r="1465" customFormat="false" ht="15" hidden="false" customHeight="false" outlineLevel="0" collapsed="false">
      <c r="H1465" s="26"/>
      <c r="I1465" s="27" t="str">
        <f aca="false">IF(A1465="","",IF(H1465&lt;&gt;"",UPPER(TRIM(H1465)),IFERROR(CHOOSE(VALUE(E1465)+1,"A","B","C","D"),IF(OR(LEFT(UPPER(TRIM(E1465)),1)="F",UPPER(TRIM(E1465))="A"),"A",IF(OR(LEFT(UPPER(TRIM(E1465)),1)="M",UPPER(TRIM(E1465))="B"),"B",IF(OR(LEFT(UPPER(TRIM(E1465)),2)="SL",UPPER(TRIM(E1465))="C"),"C",IF(OR(LEFT(UPPER(TRIM(E1465)),1)="D",UPPER(TRIM(E1465))="D"),"D","")))))))</f>
        <v/>
      </c>
      <c r="J1465" s="27" t="str">
        <f aca="false">IF(I1465="","",IF(AND(I1465="D",Settings!$B$6&lt;&gt;"Yes"),"",IFERROR(INDEX(Settings!$C$9:$C$12,MATCH(I1465,Settings!$A$9:$A$12,0)),"")))</f>
        <v/>
      </c>
      <c r="K1465" s="27" t="str">
        <f aca="false">IF(J1465="","",COUNTIF($I$2:I1465,I1465))</f>
        <v/>
      </c>
      <c r="L1465" s="27" t="str">
        <f aca="false">IF(J1465="","",CHOOSE(Q1465+1,"Tue","Wed","Thu","Fri"))</f>
        <v/>
      </c>
      <c r="M1465" s="27" t="str">
        <f aca="false">IF(J1465="","",IF(J1465=1,"Every week",R1465+1&amp;" of "&amp;J1465))</f>
        <v/>
      </c>
      <c r="N1465" s="28" t="str">
        <f aca="false">IF(J1465="","",Settings!$B$4+R1465*7+Q1465)</f>
        <v/>
      </c>
      <c r="O1465" s="28" t="str">
        <f aca="true">IF(J1465="","",N1465+MAX(0,ROUNDUP((TODAY()-N1465)/(J1465*7),0))*J1465*7)</f>
        <v/>
      </c>
      <c r="P1465" s="27" t="str">
        <f aca="false">IF(J1465="","",MOD(K1465-1,J1465*4))</f>
        <v/>
      </c>
      <c r="Q1465" s="27" t="str">
        <f aca="false">IF(J1465="","",MOD(P1465,4))</f>
        <v/>
      </c>
      <c r="R1465" s="27" t="str">
        <f aca="false">IF(J1465="","",INT(P1465/4))</f>
        <v/>
      </c>
      <c r="S1465" s="27" t="str">
        <f aca="false">IF(J1465="","",IF(AND('Daily Count Sheet'!$H$3=Q1465,MOD('Daily Count Sheet'!$I$3,J1465)=R1465),1,""))</f>
        <v/>
      </c>
      <c r="T1465" s="27" t="str">
        <f aca="false">IF(S1465=1,COUNTIF($S$2:S1465,1),"")</f>
        <v/>
      </c>
    </row>
    <row r="1466" customFormat="false" ht="15" hidden="false" customHeight="false" outlineLevel="0" collapsed="false">
      <c r="H1466" s="26"/>
      <c r="I1466" s="27" t="str">
        <f aca="false">IF(A1466="","",IF(H1466&lt;&gt;"",UPPER(TRIM(H1466)),IFERROR(CHOOSE(VALUE(E1466)+1,"A","B","C","D"),IF(OR(LEFT(UPPER(TRIM(E1466)),1)="F",UPPER(TRIM(E1466))="A"),"A",IF(OR(LEFT(UPPER(TRIM(E1466)),1)="M",UPPER(TRIM(E1466))="B"),"B",IF(OR(LEFT(UPPER(TRIM(E1466)),2)="SL",UPPER(TRIM(E1466))="C"),"C",IF(OR(LEFT(UPPER(TRIM(E1466)),1)="D",UPPER(TRIM(E1466))="D"),"D","")))))))</f>
        <v/>
      </c>
      <c r="J1466" s="27" t="str">
        <f aca="false">IF(I1466="","",IF(AND(I1466="D",Settings!$B$6&lt;&gt;"Yes"),"",IFERROR(INDEX(Settings!$C$9:$C$12,MATCH(I1466,Settings!$A$9:$A$12,0)),"")))</f>
        <v/>
      </c>
      <c r="K1466" s="27" t="str">
        <f aca="false">IF(J1466="","",COUNTIF($I$2:I1466,I1466))</f>
        <v/>
      </c>
      <c r="L1466" s="27" t="str">
        <f aca="false">IF(J1466="","",CHOOSE(Q1466+1,"Tue","Wed","Thu","Fri"))</f>
        <v/>
      </c>
      <c r="M1466" s="27" t="str">
        <f aca="false">IF(J1466="","",IF(J1466=1,"Every week",R1466+1&amp;" of "&amp;J1466))</f>
        <v/>
      </c>
      <c r="N1466" s="28" t="str">
        <f aca="false">IF(J1466="","",Settings!$B$4+R1466*7+Q1466)</f>
        <v/>
      </c>
      <c r="O1466" s="28" t="str">
        <f aca="true">IF(J1466="","",N1466+MAX(0,ROUNDUP((TODAY()-N1466)/(J1466*7),0))*J1466*7)</f>
        <v/>
      </c>
      <c r="P1466" s="27" t="str">
        <f aca="false">IF(J1466="","",MOD(K1466-1,J1466*4))</f>
        <v/>
      </c>
      <c r="Q1466" s="27" t="str">
        <f aca="false">IF(J1466="","",MOD(P1466,4))</f>
        <v/>
      </c>
      <c r="R1466" s="27" t="str">
        <f aca="false">IF(J1466="","",INT(P1466/4))</f>
        <v/>
      </c>
      <c r="S1466" s="27" t="str">
        <f aca="false">IF(J1466="","",IF(AND('Daily Count Sheet'!$H$3=Q1466,MOD('Daily Count Sheet'!$I$3,J1466)=R1466),1,""))</f>
        <v/>
      </c>
      <c r="T1466" s="27" t="str">
        <f aca="false">IF(S1466=1,COUNTIF($S$2:S1466,1),"")</f>
        <v/>
      </c>
    </row>
    <row r="1467" customFormat="false" ht="15" hidden="false" customHeight="false" outlineLevel="0" collapsed="false">
      <c r="H1467" s="26"/>
      <c r="I1467" s="27" t="str">
        <f aca="false">IF(A1467="","",IF(H1467&lt;&gt;"",UPPER(TRIM(H1467)),IFERROR(CHOOSE(VALUE(E1467)+1,"A","B","C","D"),IF(OR(LEFT(UPPER(TRIM(E1467)),1)="F",UPPER(TRIM(E1467))="A"),"A",IF(OR(LEFT(UPPER(TRIM(E1467)),1)="M",UPPER(TRIM(E1467))="B"),"B",IF(OR(LEFT(UPPER(TRIM(E1467)),2)="SL",UPPER(TRIM(E1467))="C"),"C",IF(OR(LEFT(UPPER(TRIM(E1467)),1)="D",UPPER(TRIM(E1467))="D"),"D","")))))))</f>
        <v/>
      </c>
      <c r="J1467" s="27" t="str">
        <f aca="false">IF(I1467="","",IF(AND(I1467="D",Settings!$B$6&lt;&gt;"Yes"),"",IFERROR(INDEX(Settings!$C$9:$C$12,MATCH(I1467,Settings!$A$9:$A$12,0)),"")))</f>
        <v/>
      </c>
      <c r="K1467" s="27" t="str">
        <f aca="false">IF(J1467="","",COUNTIF($I$2:I1467,I1467))</f>
        <v/>
      </c>
      <c r="L1467" s="27" t="str">
        <f aca="false">IF(J1467="","",CHOOSE(Q1467+1,"Tue","Wed","Thu","Fri"))</f>
        <v/>
      </c>
      <c r="M1467" s="27" t="str">
        <f aca="false">IF(J1467="","",IF(J1467=1,"Every week",R1467+1&amp;" of "&amp;J1467))</f>
        <v/>
      </c>
      <c r="N1467" s="28" t="str">
        <f aca="false">IF(J1467="","",Settings!$B$4+R1467*7+Q1467)</f>
        <v/>
      </c>
      <c r="O1467" s="28" t="str">
        <f aca="true">IF(J1467="","",N1467+MAX(0,ROUNDUP((TODAY()-N1467)/(J1467*7),0))*J1467*7)</f>
        <v/>
      </c>
      <c r="P1467" s="27" t="str">
        <f aca="false">IF(J1467="","",MOD(K1467-1,J1467*4))</f>
        <v/>
      </c>
      <c r="Q1467" s="27" t="str">
        <f aca="false">IF(J1467="","",MOD(P1467,4))</f>
        <v/>
      </c>
      <c r="R1467" s="27" t="str">
        <f aca="false">IF(J1467="","",INT(P1467/4))</f>
        <v/>
      </c>
      <c r="S1467" s="27" t="str">
        <f aca="false">IF(J1467="","",IF(AND('Daily Count Sheet'!$H$3=Q1467,MOD('Daily Count Sheet'!$I$3,J1467)=R1467),1,""))</f>
        <v/>
      </c>
      <c r="T1467" s="27" t="str">
        <f aca="false">IF(S1467=1,COUNTIF($S$2:S1467,1),"")</f>
        <v/>
      </c>
    </row>
    <row r="1468" customFormat="false" ht="15" hidden="false" customHeight="false" outlineLevel="0" collapsed="false">
      <c r="H1468" s="26"/>
      <c r="I1468" s="27" t="str">
        <f aca="false">IF(A1468="","",IF(H1468&lt;&gt;"",UPPER(TRIM(H1468)),IFERROR(CHOOSE(VALUE(E1468)+1,"A","B","C","D"),IF(OR(LEFT(UPPER(TRIM(E1468)),1)="F",UPPER(TRIM(E1468))="A"),"A",IF(OR(LEFT(UPPER(TRIM(E1468)),1)="M",UPPER(TRIM(E1468))="B"),"B",IF(OR(LEFT(UPPER(TRIM(E1468)),2)="SL",UPPER(TRIM(E1468))="C"),"C",IF(OR(LEFT(UPPER(TRIM(E1468)),1)="D",UPPER(TRIM(E1468))="D"),"D","")))))))</f>
        <v/>
      </c>
      <c r="J1468" s="27" t="str">
        <f aca="false">IF(I1468="","",IF(AND(I1468="D",Settings!$B$6&lt;&gt;"Yes"),"",IFERROR(INDEX(Settings!$C$9:$C$12,MATCH(I1468,Settings!$A$9:$A$12,0)),"")))</f>
        <v/>
      </c>
      <c r="K1468" s="27" t="str">
        <f aca="false">IF(J1468="","",COUNTIF($I$2:I1468,I1468))</f>
        <v/>
      </c>
      <c r="L1468" s="27" t="str">
        <f aca="false">IF(J1468="","",CHOOSE(Q1468+1,"Tue","Wed","Thu","Fri"))</f>
        <v/>
      </c>
      <c r="M1468" s="27" t="str">
        <f aca="false">IF(J1468="","",IF(J1468=1,"Every week",R1468+1&amp;" of "&amp;J1468))</f>
        <v/>
      </c>
      <c r="N1468" s="28" t="str">
        <f aca="false">IF(J1468="","",Settings!$B$4+R1468*7+Q1468)</f>
        <v/>
      </c>
      <c r="O1468" s="28" t="str">
        <f aca="true">IF(J1468="","",N1468+MAX(0,ROUNDUP((TODAY()-N1468)/(J1468*7),0))*J1468*7)</f>
        <v/>
      </c>
      <c r="P1468" s="27" t="str">
        <f aca="false">IF(J1468="","",MOD(K1468-1,J1468*4))</f>
        <v/>
      </c>
      <c r="Q1468" s="27" t="str">
        <f aca="false">IF(J1468="","",MOD(P1468,4))</f>
        <v/>
      </c>
      <c r="R1468" s="27" t="str">
        <f aca="false">IF(J1468="","",INT(P1468/4))</f>
        <v/>
      </c>
      <c r="S1468" s="27" t="str">
        <f aca="false">IF(J1468="","",IF(AND('Daily Count Sheet'!$H$3=Q1468,MOD('Daily Count Sheet'!$I$3,J1468)=R1468),1,""))</f>
        <v/>
      </c>
      <c r="T1468" s="27" t="str">
        <f aca="false">IF(S1468=1,COUNTIF($S$2:S1468,1),"")</f>
        <v/>
      </c>
    </row>
    <row r="1469" customFormat="false" ht="15" hidden="false" customHeight="false" outlineLevel="0" collapsed="false">
      <c r="H1469" s="26"/>
      <c r="I1469" s="27" t="str">
        <f aca="false">IF(A1469="","",IF(H1469&lt;&gt;"",UPPER(TRIM(H1469)),IFERROR(CHOOSE(VALUE(E1469)+1,"A","B","C","D"),IF(OR(LEFT(UPPER(TRIM(E1469)),1)="F",UPPER(TRIM(E1469))="A"),"A",IF(OR(LEFT(UPPER(TRIM(E1469)),1)="M",UPPER(TRIM(E1469))="B"),"B",IF(OR(LEFT(UPPER(TRIM(E1469)),2)="SL",UPPER(TRIM(E1469))="C"),"C",IF(OR(LEFT(UPPER(TRIM(E1469)),1)="D",UPPER(TRIM(E1469))="D"),"D","")))))))</f>
        <v/>
      </c>
      <c r="J1469" s="27" t="str">
        <f aca="false">IF(I1469="","",IF(AND(I1469="D",Settings!$B$6&lt;&gt;"Yes"),"",IFERROR(INDEX(Settings!$C$9:$C$12,MATCH(I1469,Settings!$A$9:$A$12,0)),"")))</f>
        <v/>
      </c>
      <c r="K1469" s="27" t="str">
        <f aca="false">IF(J1469="","",COUNTIF($I$2:I1469,I1469))</f>
        <v/>
      </c>
      <c r="L1469" s="27" t="str">
        <f aca="false">IF(J1469="","",CHOOSE(Q1469+1,"Tue","Wed","Thu","Fri"))</f>
        <v/>
      </c>
      <c r="M1469" s="27" t="str">
        <f aca="false">IF(J1469="","",IF(J1469=1,"Every week",R1469+1&amp;" of "&amp;J1469))</f>
        <v/>
      </c>
      <c r="N1469" s="28" t="str">
        <f aca="false">IF(J1469="","",Settings!$B$4+R1469*7+Q1469)</f>
        <v/>
      </c>
      <c r="O1469" s="28" t="str">
        <f aca="true">IF(J1469="","",N1469+MAX(0,ROUNDUP((TODAY()-N1469)/(J1469*7),0))*J1469*7)</f>
        <v/>
      </c>
      <c r="P1469" s="27" t="str">
        <f aca="false">IF(J1469="","",MOD(K1469-1,J1469*4))</f>
        <v/>
      </c>
      <c r="Q1469" s="27" t="str">
        <f aca="false">IF(J1469="","",MOD(P1469,4))</f>
        <v/>
      </c>
      <c r="R1469" s="27" t="str">
        <f aca="false">IF(J1469="","",INT(P1469/4))</f>
        <v/>
      </c>
      <c r="S1469" s="27" t="str">
        <f aca="false">IF(J1469="","",IF(AND('Daily Count Sheet'!$H$3=Q1469,MOD('Daily Count Sheet'!$I$3,J1469)=R1469),1,""))</f>
        <v/>
      </c>
      <c r="T1469" s="27" t="str">
        <f aca="false">IF(S1469=1,COUNTIF($S$2:S1469,1),"")</f>
        <v/>
      </c>
    </row>
    <row r="1470" customFormat="false" ht="15" hidden="false" customHeight="false" outlineLevel="0" collapsed="false">
      <c r="H1470" s="26"/>
      <c r="I1470" s="27" t="str">
        <f aca="false">IF(A1470="","",IF(H1470&lt;&gt;"",UPPER(TRIM(H1470)),IFERROR(CHOOSE(VALUE(E1470)+1,"A","B","C","D"),IF(OR(LEFT(UPPER(TRIM(E1470)),1)="F",UPPER(TRIM(E1470))="A"),"A",IF(OR(LEFT(UPPER(TRIM(E1470)),1)="M",UPPER(TRIM(E1470))="B"),"B",IF(OR(LEFT(UPPER(TRIM(E1470)),2)="SL",UPPER(TRIM(E1470))="C"),"C",IF(OR(LEFT(UPPER(TRIM(E1470)),1)="D",UPPER(TRIM(E1470))="D"),"D","")))))))</f>
        <v/>
      </c>
      <c r="J1470" s="27" t="str">
        <f aca="false">IF(I1470="","",IF(AND(I1470="D",Settings!$B$6&lt;&gt;"Yes"),"",IFERROR(INDEX(Settings!$C$9:$C$12,MATCH(I1470,Settings!$A$9:$A$12,0)),"")))</f>
        <v/>
      </c>
      <c r="K1470" s="27" t="str">
        <f aca="false">IF(J1470="","",COUNTIF($I$2:I1470,I1470))</f>
        <v/>
      </c>
      <c r="L1470" s="27" t="str">
        <f aca="false">IF(J1470="","",CHOOSE(Q1470+1,"Tue","Wed","Thu","Fri"))</f>
        <v/>
      </c>
      <c r="M1470" s="27" t="str">
        <f aca="false">IF(J1470="","",IF(J1470=1,"Every week",R1470+1&amp;" of "&amp;J1470))</f>
        <v/>
      </c>
      <c r="N1470" s="28" t="str">
        <f aca="false">IF(J1470="","",Settings!$B$4+R1470*7+Q1470)</f>
        <v/>
      </c>
      <c r="O1470" s="28" t="str">
        <f aca="true">IF(J1470="","",N1470+MAX(0,ROUNDUP((TODAY()-N1470)/(J1470*7),0))*J1470*7)</f>
        <v/>
      </c>
      <c r="P1470" s="27" t="str">
        <f aca="false">IF(J1470="","",MOD(K1470-1,J1470*4))</f>
        <v/>
      </c>
      <c r="Q1470" s="27" t="str">
        <f aca="false">IF(J1470="","",MOD(P1470,4))</f>
        <v/>
      </c>
      <c r="R1470" s="27" t="str">
        <f aca="false">IF(J1470="","",INT(P1470/4))</f>
        <v/>
      </c>
      <c r="S1470" s="27" t="str">
        <f aca="false">IF(J1470="","",IF(AND('Daily Count Sheet'!$H$3=Q1470,MOD('Daily Count Sheet'!$I$3,J1470)=R1470),1,""))</f>
        <v/>
      </c>
      <c r="T1470" s="27" t="str">
        <f aca="false">IF(S1470=1,COUNTIF($S$2:S1470,1),"")</f>
        <v/>
      </c>
    </row>
    <row r="1471" customFormat="false" ht="15" hidden="false" customHeight="false" outlineLevel="0" collapsed="false">
      <c r="H1471" s="26"/>
      <c r="I1471" s="27" t="str">
        <f aca="false">IF(A1471="","",IF(H1471&lt;&gt;"",UPPER(TRIM(H1471)),IFERROR(CHOOSE(VALUE(E1471)+1,"A","B","C","D"),IF(OR(LEFT(UPPER(TRIM(E1471)),1)="F",UPPER(TRIM(E1471))="A"),"A",IF(OR(LEFT(UPPER(TRIM(E1471)),1)="M",UPPER(TRIM(E1471))="B"),"B",IF(OR(LEFT(UPPER(TRIM(E1471)),2)="SL",UPPER(TRIM(E1471))="C"),"C",IF(OR(LEFT(UPPER(TRIM(E1471)),1)="D",UPPER(TRIM(E1471))="D"),"D","")))))))</f>
        <v/>
      </c>
      <c r="J1471" s="27" t="str">
        <f aca="false">IF(I1471="","",IF(AND(I1471="D",Settings!$B$6&lt;&gt;"Yes"),"",IFERROR(INDEX(Settings!$C$9:$C$12,MATCH(I1471,Settings!$A$9:$A$12,0)),"")))</f>
        <v/>
      </c>
      <c r="K1471" s="27" t="str">
        <f aca="false">IF(J1471="","",COUNTIF($I$2:I1471,I1471))</f>
        <v/>
      </c>
      <c r="L1471" s="27" t="str">
        <f aca="false">IF(J1471="","",CHOOSE(Q1471+1,"Tue","Wed","Thu","Fri"))</f>
        <v/>
      </c>
      <c r="M1471" s="27" t="str">
        <f aca="false">IF(J1471="","",IF(J1471=1,"Every week",R1471+1&amp;" of "&amp;J1471))</f>
        <v/>
      </c>
      <c r="N1471" s="28" t="str">
        <f aca="false">IF(J1471="","",Settings!$B$4+R1471*7+Q1471)</f>
        <v/>
      </c>
      <c r="O1471" s="28" t="str">
        <f aca="true">IF(J1471="","",N1471+MAX(0,ROUNDUP((TODAY()-N1471)/(J1471*7),0))*J1471*7)</f>
        <v/>
      </c>
      <c r="P1471" s="27" t="str">
        <f aca="false">IF(J1471="","",MOD(K1471-1,J1471*4))</f>
        <v/>
      </c>
      <c r="Q1471" s="27" t="str">
        <f aca="false">IF(J1471="","",MOD(P1471,4))</f>
        <v/>
      </c>
      <c r="R1471" s="27" t="str">
        <f aca="false">IF(J1471="","",INT(P1471/4))</f>
        <v/>
      </c>
      <c r="S1471" s="27" t="str">
        <f aca="false">IF(J1471="","",IF(AND('Daily Count Sheet'!$H$3=Q1471,MOD('Daily Count Sheet'!$I$3,J1471)=R1471),1,""))</f>
        <v/>
      </c>
      <c r="T1471" s="27" t="str">
        <f aca="false">IF(S1471=1,COUNTIF($S$2:S1471,1),"")</f>
        <v/>
      </c>
    </row>
    <row r="1472" customFormat="false" ht="15" hidden="false" customHeight="false" outlineLevel="0" collapsed="false">
      <c r="H1472" s="26"/>
      <c r="I1472" s="27" t="str">
        <f aca="false">IF(A1472="","",IF(H1472&lt;&gt;"",UPPER(TRIM(H1472)),IFERROR(CHOOSE(VALUE(E1472)+1,"A","B","C","D"),IF(OR(LEFT(UPPER(TRIM(E1472)),1)="F",UPPER(TRIM(E1472))="A"),"A",IF(OR(LEFT(UPPER(TRIM(E1472)),1)="M",UPPER(TRIM(E1472))="B"),"B",IF(OR(LEFT(UPPER(TRIM(E1472)),2)="SL",UPPER(TRIM(E1472))="C"),"C",IF(OR(LEFT(UPPER(TRIM(E1472)),1)="D",UPPER(TRIM(E1472))="D"),"D","")))))))</f>
        <v/>
      </c>
      <c r="J1472" s="27" t="str">
        <f aca="false">IF(I1472="","",IF(AND(I1472="D",Settings!$B$6&lt;&gt;"Yes"),"",IFERROR(INDEX(Settings!$C$9:$C$12,MATCH(I1472,Settings!$A$9:$A$12,0)),"")))</f>
        <v/>
      </c>
      <c r="K1472" s="27" t="str">
        <f aca="false">IF(J1472="","",COUNTIF($I$2:I1472,I1472))</f>
        <v/>
      </c>
      <c r="L1472" s="27" t="str">
        <f aca="false">IF(J1472="","",CHOOSE(Q1472+1,"Tue","Wed","Thu","Fri"))</f>
        <v/>
      </c>
      <c r="M1472" s="27" t="str">
        <f aca="false">IF(J1472="","",IF(J1472=1,"Every week",R1472+1&amp;" of "&amp;J1472))</f>
        <v/>
      </c>
      <c r="N1472" s="28" t="str">
        <f aca="false">IF(J1472="","",Settings!$B$4+R1472*7+Q1472)</f>
        <v/>
      </c>
      <c r="O1472" s="28" t="str">
        <f aca="true">IF(J1472="","",N1472+MAX(0,ROUNDUP((TODAY()-N1472)/(J1472*7),0))*J1472*7)</f>
        <v/>
      </c>
      <c r="P1472" s="27" t="str">
        <f aca="false">IF(J1472="","",MOD(K1472-1,J1472*4))</f>
        <v/>
      </c>
      <c r="Q1472" s="27" t="str">
        <f aca="false">IF(J1472="","",MOD(P1472,4))</f>
        <v/>
      </c>
      <c r="R1472" s="27" t="str">
        <f aca="false">IF(J1472="","",INT(P1472/4))</f>
        <v/>
      </c>
      <c r="S1472" s="27" t="str">
        <f aca="false">IF(J1472="","",IF(AND('Daily Count Sheet'!$H$3=Q1472,MOD('Daily Count Sheet'!$I$3,J1472)=R1472),1,""))</f>
        <v/>
      </c>
      <c r="T1472" s="27" t="str">
        <f aca="false">IF(S1472=1,COUNTIF($S$2:S1472,1),"")</f>
        <v/>
      </c>
    </row>
    <row r="1473" customFormat="false" ht="15" hidden="false" customHeight="false" outlineLevel="0" collapsed="false">
      <c r="H1473" s="26"/>
      <c r="I1473" s="27" t="str">
        <f aca="false">IF(A1473="","",IF(H1473&lt;&gt;"",UPPER(TRIM(H1473)),IFERROR(CHOOSE(VALUE(E1473)+1,"A","B","C","D"),IF(OR(LEFT(UPPER(TRIM(E1473)),1)="F",UPPER(TRIM(E1473))="A"),"A",IF(OR(LEFT(UPPER(TRIM(E1473)),1)="M",UPPER(TRIM(E1473))="B"),"B",IF(OR(LEFT(UPPER(TRIM(E1473)),2)="SL",UPPER(TRIM(E1473))="C"),"C",IF(OR(LEFT(UPPER(TRIM(E1473)),1)="D",UPPER(TRIM(E1473))="D"),"D","")))))))</f>
        <v/>
      </c>
      <c r="J1473" s="27" t="str">
        <f aca="false">IF(I1473="","",IF(AND(I1473="D",Settings!$B$6&lt;&gt;"Yes"),"",IFERROR(INDEX(Settings!$C$9:$C$12,MATCH(I1473,Settings!$A$9:$A$12,0)),"")))</f>
        <v/>
      </c>
      <c r="K1473" s="27" t="str">
        <f aca="false">IF(J1473="","",COUNTIF($I$2:I1473,I1473))</f>
        <v/>
      </c>
      <c r="L1473" s="27" t="str">
        <f aca="false">IF(J1473="","",CHOOSE(Q1473+1,"Tue","Wed","Thu","Fri"))</f>
        <v/>
      </c>
      <c r="M1473" s="27" t="str">
        <f aca="false">IF(J1473="","",IF(J1473=1,"Every week",R1473+1&amp;" of "&amp;J1473))</f>
        <v/>
      </c>
      <c r="N1473" s="28" t="str">
        <f aca="false">IF(J1473="","",Settings!$B$4+R1473*7+Q1473)</f>
        <v/>
      </c>
      <c r="O1473" s="28" t="str">
        <f aca="true">IF(J1473="","",N1473+MAX(0,ROUNDUP((TODAY()-N1473)/(J1473*7),0))*J1473*7)</f>
        <v/>
      </c>
      <c r="P1473" s="27" t="str">
        <f aca="false">IF(J1473="","",MOD(K1473-1,J1473*4))</f>
        <v/>
      </c>
      <c r="Q1473" s="27" t="str">
        <f aca="false">IF(J1473="","",MOD(P1473,4))</f>
        <v/>
      </c>
      <c r="R1473" s="27" t="str">
        <f aca="false">IF(J1473="","",INT(P1473/4))</f>
        <v/>
      </c>
      <c r="S1473" s="27" t="str">
        <f aca="false">IF(J1473="","",IF(AND('Daily Count Sheet'!$H$3=Q1473,MOD('Daily Count Sheet'!$I$3,J1473)=R1473),1,""))</f>
        <v/>
      </c>
      <c r="T1473" s="27" t="str">
        <f aca="false">IF(S1473=1,COUNTIF($S$2:S1473,1),"")</f>
        <v/>
      </c>
    </row>
    <row r="1474" customFormat="false" ht="15" hidden="false" customHeight="false" outlineLevel="0" collapsed="false">
      <c r="H1474" s="26"/>
      <c r="I1474" s="27" t="str">
        <f aca="false">IF(A1474="","",IF(H1474&lt;&gt;"",UPPER(TRIM(H1474)),IFERROR(CHOOSE(VALUE(E1474)+1,"A","B","C","D"),IF(OR(LEFT(UPPER(TRIM(E1474)),1)="F",UPPER(TRIM(E1474))="A"),"A",IF(OR(LEFT(UPPER(TRIM(E1474)),1)="M",UPPER(TRIM(E1474))="B"),"B",IF(OR(LEFT(UPPER(TRIM(E1474)),2)="SL",UPPER(TRIM(E1474))="C"),"C",IF(OR(LEFT(UPPER(TRIM(E1474)),1)="D",UPPER(TRIM(E1474))="D"),"D","")))))))</f>
        <v/>
      </c>
      <c r="J1474" s="27" t="str">
        <f aca="false">IF(I1474="","",IF(AND(I1474="D",Settings!$B$6&lt;&gt;"Yes"),"",IFERROR(INDEX(Settings!$C$9:$C$12,MATCH(I1474,Settings!$A$9:$A$12,0)),"")))</f>
        <v/>
      </c>
      <c r="K1474" s="27" t="str">
        <f aca="false">IF(J1474="","",COUNTIF($I$2:I1474,I1474))</f>
        <v/>
      </c>
      <c r="L1474" s="27" t="str">
        <f aca="false">IF(J1474="","",CHOOSE(Q1474+1,"Tue","Wed","Thu","Fri"))</f>
        <v/>
      </c>
      <c r="M1474" s="27" t="str">
        <f aca="false">IF(J1474="","",IF(J1474=1,"Every week",R1474+1&amp;" of "&amp;J1474))</f>
        <v/>
      </c>
      <c r="N1474" s="28" t="str">
        <f aca="false">IF(J1474="","",Settings!$B$4+R1474*7+Q1474)</f>
        <v/>
      </c>
      <c r="O1474" s="28" t="str">
        <f aca="true">IF(J1474="","",N1474+MAX(0,ROUNDUP((TODAY()-N1474)/(J1474*7),0))*J1474*7)</f>
        <v/>
      </c>
      <c r="P1474" s="27" t="str">
        <f aca="false">IF(J1474="","",MOD(K1474-1,J1474*4))</f>
        <v/>
      </c>
      <c r="Q1474" s="27" t="str">
        <f aca="false">IF(J1474="","",MOD(P1474,4))</f>
        <v/>
      </c>
      <c r="R1474" s="27" t="str">
        <f aca="false">IF(J1474="","",INT(P1474/4))</f>
        <v/>
      </c>
      <c r="S1474" s="27" t="str">
        <f aca="false">IF(J1474="","",IF(AND('Daily Count Sheet'!$H$3=Q1474,MOD('Daily Count Sheet'!$I$3,J1474)=R1474),1,""))</f>
        <v/>
      </c>
      <c r="T1474" s="27" t="str">
        <f aca="false">IF(S1474=1,COUNTIF($S$2:S1474,1),"")</f>
        <v/>
      </c>
    </row>
    <row r="1475" customFormat="false" ht="15" hidden="false" customHeight="false" outlineLevel="0" collapsed="false">
      <c r="H1475" s="26"/>
      <c r="I1475" s="27" t="str">
        <f aca="false">IF(A1475="","",IF(H1475&lt;&gt;"",UPPER(TRIM(H1475)),IFERROR(CHOOSE(VALUE(E1475)+1,"A","B","C","D"),IF(OR(LEFT(UPPER(TRIM(E1475)),1)="F",UPPER(TRIM(E1475))="A"),"A",IF(OR(LEFT(UPPER(TRIM(E1475)),1)="M",UPPER(TRIM(E1475))="B"),"B",IF(OR(LEFT(UPPER(TRIM(E1475)),2)="SL",UPPER(TRIM(E1475))="C"),"C",IF(OR(LEFT(UPPER(TRIM(E1475)),1)="D",UPPER(TRIM(E1475))="D"),"D","")))))))</f>
        <v/>
      </c>
      <c r="J1475" s="27" t="str">
        <f aca="false">IF(I1475="","",IF(AND(I1475="D",Settings!$B$6&lt;&gt;"Yes"),"",IFERROR(INDEX(Settings!$C$9:$C$12,MATCH(I1475,Settings!$A$9:$A$12,0)),"")))</f>
        <v/>
      </c>
      <c r="K1475" s="27" t="str">
        <f aca="false">IF(J1475="","",COUNTIF($I$2:I1475,I1475))</f>
        <v/>
      </c>
      <c r="L1475" s="27" t="str">
        <f aca="false">IF(J1475="","",CHOOSE(Q1475+1,"Tue","Wed","Thu","Fri"))</f>
        <v/>
      </c>
      <c r="M1475" s="27" t="str">
        <f aca="false">IF(J1475="","",IF(J1475=1,"Every week",R1475+1&amp;" of "&amp;J1475))</f>
        <v/>
      </c>
      <c r="N1475" s="28" t="str">
        <f aca="false">IF(J1475="","",Settings!$B$4+R1475*7+Q1475)</f>
        <v/>
      </c>
      <c r="O1475" s="28" t="str">
        <f aca="true">IF(J1475="","",N1475+MAX(0,ROUNDUP((TODAY()-N1475)/(J1475*7),0))*J1475*7)</f>
        <v/>
      </c>
      <c r="P1475" s="27" t="str">
        <f aca="false">IF(J1475="","",MOD(K1475-1,J1475*4))</f>
        <v/>
      </c>
      <c r="Q1475" s="27" t="str">
        <f aca="false">IF(J1475="","",MOD(P1475,4))</f>
        <v/>
      </c>
      <c r="R1475" s="27" t="str">
        <f aca="false">IF(J1475="","",INT(P1475/4))</f>
        <v/>
      </c>
      <c r="S1475" s="27" t="str">
        <f aca="false">IF(J1475="","",IF(AND('Daily Count Sheet'!$H$3=Q1475,MOD('Daily Count Sheet'!$I$3,J1475)=R1475),1,""))</f>
        <v/>
      </c>
      <c r="T1475" s="27" t="str">
        <f aca="false">IF(S1475=1,COUNTIF($S$2:S1475,1),"")</f>
        <v/>
      </c>
    </row>
    <row r="1476" customFormat="false" ht="15" hidden="false" customHeight="false" outlineLevel="0" collapsed="false">
      <c r="H1476" s="26"/>
      <c r="I1476" s="27" t="str">
        <f aca="false">IF(A1476="","",IF(H1476&lt;&gt;"",UPPER(TRIM(H1476)),IFERROR(CHOOSE(VALUE(E1476)+1,"A","B","C","D"),IF(OR(LEFT(UPPER(TRIM(E1476)),1)="F",UPPER(TRIM(E1476))="A"),"A",IF(OR(LEFT(UPPER(TRIM(E1476)),1)="M",UPPER(TRIM(E1476))="B"),"B",IF(OR(LEFT(UPPER(TRIM(E1476)),2)="SL",UPPER(TRIM(E1476))="C"),"C",IF(OR(LEFT(UPPER(TRIM(E1476)),1)="D",UPPER(TRIM(E1476))="D"),"D","")))))))</f>
        <v/>
      </c>
      <c r="J1476" s="27" t="str">
        <f aca="false">IF(I1476="","",IF(AND(I1476="D",Settings!$B$6&lt;&gt;"Yes"),"",IFERROR(INDEX(Settings!$C$9:$C$12,MATCH(I1476,Settings!$A$9:$A$12,0)),"")))</f>
        <v/>
      </c>
      <c r="K1476" s="27" t="str">
        <f aca="false">IF(J1476="","",COUNTIF($I$2:I1476,I1476))</f>
        <v/>
      </c>
      <c r="L1476" s="27" t="str">
        <f aca="false">IF(J1476="","",CHOOSE(Q1476+1,"Tue","Wed","Thu","Fri"))</f>
        <v/>
      </c>
      <c r="M1476" s="27" t="str">
        <f aca="false">IF(J1476="","",IF(J1476=1,"Every week",R1476+1&amp;" of "&amp;J1476))</f>
        <v/>
      </c>
      <c r="N1476" s="28" t="str">
        <f aca="false">IF(J1476="","",Settings!$B$4+R1476*7+Q1476)</f>
        <v/>
      </c>
      <c r="O1476" s="28" t="str">
        <f aca="true">IF(J1476="","",N1476+MAX(0,ROUNDUP((TODAY()-N1476)/(J1476*7),0))*J1476*7)</f>
        <v/>
      </c>
      <c r="P1476" s="27" t="str">
        <f aca="false">IF(J1476="","",MOD(K1476-1,J1476*4))</f>
        <v/>
      </c>
      <c r="Q1476" s="27" t="str">
        <f aca="false">IF(J1476="","",MOD(P1476,4))</f>
        <v/>
      </c>
      <c r="R1476" s="27" t="str">
        <f aca="false">IF(J1476="","",INT(P1476/4))</f>
        <v/>
      </c>
      <c r="S1476" s="27" t="str">
        <f aca="false">IF(J1476="","",IF(AND('Daily Count Sheet'!$H$3=Q1476,MOD('Daily Count Sheet'!$I$3,J1476)=R1476),1,""))</f>
        <v/>
      </c>
      <c r="T1476" s="27" t="str">
        <f aca="false">IF(S1476=1,COUNTIF($S$2:S1476,1),"")</f>
        <v/>
      </c>
    </row>
    <row r="1477" customFormat="false" ht="15" hidden="false" customHeight="false" outlineLevel="0" collapsed="false">
      <c r="H1477" s="26"/>
      <c r="I1477" s="27" t="str">
        <f aca="false">IF(A1477="","",IF(H1477&lt;&gt;"",UPPER(TRIM(H1477)),IFERROR(CHOOSE(VALUE(E1477)+1,"A","B","C","D"),IF(OR(LEFT(UPPER(TRIM(E1477)),1)="F",UPPER(TRIM(E1477))="A"),"A",IF(OR(LEFT(UPPER(TRIM(E1477)),1)="M",UPPER(TRIM(E1477))="B"),"B",IF(OR(LEFT(UPPER(TRIM(E1477)),2)="SL",UPPER(TRIM(E1477))="C"),"C",IF(OR(LEFT(UPPER(TRIM(E1477)),1)="D",UPPER(TRIM(E1477))="D"),"D","")))))))</f>
        <v/>
      </c>
      <c r="J1477" s="27" t="str">
        <f aca="false">IF(I1477="","",IF(AND(I1477="D",Settings!$B$6&lt;&gt;"Yes"),"",IFERROR(INDEX(Settings!$C$9:$C$12,MATCH(I1477,Settings!$A$9:$A$12,0)),"")))</f>
        <v/>
      </c>
      <c r="K1477" s="27" t="str">
        <f aca="false">IF(J1477="","",COUNTIF($I$2:I1477,I1477))</f>
        <v/>
      </c>
      <c r="L1477" s="27" t="str">
        <f aca="false">IF(J1477="","",CHOOSE(Q1477+1,"Tue","Wed","Thu","Fri"))</f>
        <v/>
      </c>
      <c r="M1477" s="27" t="str">
        <f aca="false">IF(J1477="","",IF(J1477=1,"Every week",R1477+1&amp;" of "&amp;J1477))</f>
        <v/>
      </c>
      <c r="N1477" s="28" t="str">
        <f aca="false">IF(J1477="","",Settings!$B$4+R1477*7+Q1477)</f>
        <v/>
      </c>
      <c r="O1477" s="28" t="str">
        <f aca="true">IF(J1477="","",N1477+MAX(0,ROUNDUP((TODAY()-N1477)/(J1477*7),0))*J1477*7)</f>
        <v/>
      </c>
      <c r="P1477" s="27" t="str">
        <f aca="false">IF(J1477="","",MOD(K1477-1,J1477*4))</f>
        <v/>
      </c>
      <c r="Q1477" s="27" t="str">
        <f aca="false">IF(J1477="","",MOD(P1477,4))</f>
        <v/>
      </c>
      <c r="R1477" s="27" t="str">
        <f aca="false">IF(J1477="","",INT(P1477/4))</f>
        <v/>
      </c>
      <c r="S1477" s="27" t="str">
        <f aca="false">IF(J1477="","",IF(AND('Daily Count Sheet'!$H$3=Q1477,MOD('Daily Count Sheet'!$I$3,J1477)=R1477),1,""))</f>
        <v/>
      </c>
      <c r="T1477" s="27" t="str">
        <f aca="false">IF(S1477=1,COUNTIF($S$2:S1477,1),"")</f>
        <v/>
      </c>
    </row>
    <row r="1478" customFormat="false" ht="15" hidden="false" customHeight="false" outlineLevel="0" collapsed="false">
      <c r="H1478" s="26"/>
      <c r="I1478" s="27" t="str">
        <f aca="false">IF(A1478="","",IF(H1478&lt;&gt;"",UPPER(TRIM(H1478)),IFERROR(CHOOSE(VALUE(E1478)+1,"A","B","C","D"),IF(OR(LEFT(UPPER(TRIM(E1478)),1)="F",UPPER(TRIM(E1478))="A"),"A",IF(OR(LEFT(UPPER(TRIM(E1478)),1)="M",UPPER(TRIM(E1478))="B"),"B",IF(OR(LEFT(UPPER(TRIM(E1478)),2)="SL",UPPER(TRIM(E1478))="C"),"C",IF(OR(LEFT(UPPER(TRIM(E1478)),1)="D",UPPER(TRIM(E1478))="D"),"D","")))))))</f>
        <v/>
      </c>
      <c r="J1478" s="27" t="str">
        <f aca="false">IF(I1478="","",IF(AND(I1478="D",Settings!$B$6&lt;&gt;"Yes"),"",IFERROR(INDEX(Settings!$C$9:$C$12,MATCH(I1478,Settings!$A$9:$A$12,0)),"")))</f>
        <v/>
      </c>
      <c r="K1478" s="27" t="str">
        <f aca="false">IF(J1478="","",COUNTIF($I$2:I1478,I1478))</f>
        <v/>
      </c>
      <c r="L1478" s="27" t="str">
        <f aca="false">IF(J1478="","",CHOOSE(Q1478+1,"Tue","Wed","Thu","Fri"))</f>
        <v/>
      </c>
      <c r="M1478" s="27" t="str">
        <f aca="false">IF(J1478="","",IF(J1478=1,"Every week",R1478+1&amp;" of "&amp;J1478))</f>
        <v/>
      </c>
      <c r="N1478" s="28" t="str">
        <f aca="false">IF(J1478="","",Settings!$B$4+R1478*7+Q1478)</f>
        <v/>
      </c>
      <c r="O1478" s="28" t="str">
        <f aca="true">IF(J1478="","",N1478+MAX(0,ROUNDUP((TODAY()-N1478)/(J1478*7),0))*J1478*7)</f>
        <v/>
      </c>
      <c r="P1478" s="27" t="str">
        <f aca="false">IF(J1478="","",MOD(K1478-1,J1478*4))</f>
        <v/>
      </c>
      <c r="Q1478" s="27" t="str">
        <f aca="false">IF(J1478="","",MOD(P1478,4))</f>
        <v/>
      </c>
      <c r="R1478" s="27" t="str">
        <f aca="false">IF(J1478="","",INT(P1478/4))</f>
        <v/>
      </c>
      <c r="S1478" s="27" t="str">
        <f aca="false">IF(J1478="","",IF(AND('Daily Count Sheet'!$H$3=Q1478,MOD('Daily Count Sheet'!$I$3,J1478)=R1478),1,""))</f>
        <v/>
      </c>
      <c r="T1478" s="27" t="str">
        <f aca="false">IF(S1478=1,COUNTIF($S$2:S1478,1),"")</f>
        <v/>
      </c>
    </row>
    <row r="1479" customFormat="false" ht="15" hidden="false" customHeight="false" outlineLevel="0" collapsed="false">
      <c r="H1479" s="26"/>
      <c r="I1479" s="27" t="str">
        <f aca="false">IF(A1479="","",IF(H1479&lt;&gt;"",UPPER(TRIM(H1479)),IFERROR(CHOOSE(VALUE(E1479)+1,"A","B","C","D"),IF(OR(LEFT(UPPER(TRIM(E1479)),1)="F",UPPER(TRIM(E1479))="A"),"A",IF(OR(LEFT(UPPER(TRIM(E1479)),1)="M",UPPER(TRIM(E1479))="B"),"B",IF(OR(LEFT(UPPER(TRIM(E1479)),2)="SL",UPPER(TRIM(E1479))="C"),"C",IF(OR(LEFT(UPPER(TRIM(E1479)),1)="D",UPPER(TRIM(E1479))="D"),"D","")))))))</f>
        <v/>
      </c>
      <c r="J1479" s="27" t="str">
        <f aca="false">IF(I1479="","",IF(AND(I1479="D",Settings!$B$6&lt;&gt;"Yes"),"",IFERROR(INDEX(Settings!$C$9:$C$12,MATCH(I1479,Settings!$A$9:$A$12,0)),"")))</f>
        <v/>
      </c>
      <c r="K1479" s="27" t="str">
        <f aca="false">IF(J1479="","",COUNTIF($I$2:I1479,I1479))</f>
        <v/>
      </c>
      <c r="L1479" s="27" t="str">
        <f aca="false">IF(J1479="","",CHOOSE(Q1479+1,"Tue","Wed","Thu","Fri"))</f>
        <v/>
      </c>
      <c r="M1479" s="27" t="str">
        <f aca="false">IF(J1479="","",IF(J1479=1,"Every week",R1479+1&amp;" of "&amp;J1479))</f>
        <v/>
      </c>
      <c r="N1479" s="28" t="str">
        <f aca="false">IF(J1479="","",Settings!$B$4+R1479*7+Q1479)</f>
        <v/>
      </c>
      <c r="O1479" s="28" t="str">
        <f aca="true">IF(J1479="","",N1479+MAX(0,ROUNDUP((TODAY()-N1479)/(J1479*7),0))*J1479*7)</f>
        <v/>
      </c>
      <c r="P1479" s="27" t="str">
        <f aca="false">IF(J1479="","",MOD(K1479-1,J1479*4))</f>
        <v/>
      </c>
      <c r="Q1479" s="27" t="str">
        <f aca="false">IF(J1479="","",MOD(P1479,4))</f>
        <v/>
      </c>
      <c r="R1479" s="27" t="str">
        <f aca="false">IF(J1479="","",INT(P1479/4))</f>
        <v/>
      </c>
      <c r="S1479" s="27" t="str">
        <f aca="false">IF(J1479="","",IF(AND('Daily Count Sheet'!$H$3=Q1479,MOD('Daily Count Sheet'!$I$3,J1479)=R1479),1,""))</f>
        <v/>
      </c>
      <c r="T1479" s="27" t="str">
        <f aca="false">IF(S1479=1,COUNTIF($S$2:S1479,1),"")</f>
        <v/>
      </c>
    </row>
    <row r="1480" customFormat="false" ht="15" hidden="false" customHeight="false" outlineLevel="0" collapsed="false">
      <c r="H1480" s="26"/>
      <c r="I1480" s="27" t="str">
        <f aca="false">IF(A1480="","",IF(H1480&lt;&gt;"",UPPER(TRIM(H1480)),IFERROR(CHOOSE(VALUE(E1480)+1,"A","B","C","D"),IF(OR(LEFT(UPPER(TRIM(E1480)),1)="F",UPPER(TRIM(E1480))="A"),"A",IF(OR(LEFT(UPPER(TRIM(E1480)),1)="M",UPPER(TRIM(E1480))="B"),"B",IF(OR(LEFT(UPPER(TRIM(E1480)),2)="SL",UPPER(TRIM(E1480))="C"),"C",IF(OR(LEFT(UPPER(TRIM(E1480)),1)="D",UPPER(TRIM(E1480))="D"),"D","")))))))</f>
        <v/>
      </c>
      <c r="J1480" s="27" t="str">
        <f aca="false">IF(I1480="","",IF(AND(I1480="D",Settings!$B$6&lt;&gt;"Yes"),"",IFERROR(INDEX(Settings!$C$9:$C$12,MATCH(I1480,Settings!$A$9:$A$12,0)),"")))</f>
        <v/>
      </c>
      <c r="K1480" s="27" t="str">
        <f aca="false">IF(J1480="","",COUNTIF($I$2:I1480,I1480))</f>
        <v/>
      </c>
      <c r="L1480" s="27" t="str">
        <f aca="false">IF(J1480="","",CHOOSE(Q1480+1,"Tue","Wed","Thu","Fri"))</f>
        <v/>
      </c>
      <c r="M1480" s="27" t="str">
        <f aca="false">IF(J1480="","",IF(J1480=1,"Every week",R1480+1&amp;" of "&amp;J1480))</f>
        <v/>
      </c>
      <c r="N1480" s="28" t="str">
        <f aca="false">IF(J1480="","",Settings!$B$4+R1480*7+Q1480)</f>
        <v/>
      </c>
      <c r="O1480" s="28" t="str">
        <f aca="true">IF(J1480="","",N1480+MAX(0,ROUNDUP((TODAY()-N1480)/(J1480*7),0))*J1480*7)</f>
        <v/>
      </c>
      <c r="P1480" s="27" t="str">
        <f aca="false">IF(J1480="","",MOD(K1480-1,J1480*4))</f>
        <v/>
      </c>
      <c r="Q1480" s="27" t="str">
        <f aca="false">IF(J1480="","",MOD(P1480,4))</f>
        <v/>
      </c>
      <c r="R1480" s="27" t="str">
        <f aca="false">IF(J1480="","",INT(P1480/4))</f>
        <v/>
      </c>
      <c r="S1480" s="27" t="str">
        <f aca="false">IF(J1480="","",IF(AND('Daily Count Sheet'!$H$3=Q1480,MOD('Daily Count Sheet'!$I$3,J1480)=R1480),1,""))</f>
        <v/>
      </c>
      <c r="T1480" s="27" t="str">
        <f aca="false">IF(S1480=1,COUNTIF($S$2:S1480,1),"")</f>
        <v/>
      </c>
    </row>
    <row r="1481" customFormat="false" ht="15" hidden="false" customHeight="false" outlineLevel="0" collapsed="false">
      <c r="H1481" s="26"/>
      <c r="I1481" s="27" t="str">
        <f aca="false">IF(A1481="","",IF(H1481&lt;&gt;"",UPPER(TRIM(H1481)),IFERROR(CHOOSE(VALUE(E1481)+1,"A","B","C","D"),IF(OR(LEFT(UPPER(TRIM(E1481)),1)="F",UPPER(TRIM(E1481))="A"),"A",IF(OR(LEFT(UPPER(TRIM(E1481)),1)="M",UPPER(TRIM(E1481))="B"),"B",IF(OR(LEFT(UPPER(TRIM(E1481)),2)="SL",UPPER(TRIM(E1481))="C"),"C",IF(OR(LEFT(UPPER(TRIM(E1481)),1)="D",UPPER(TRIM(E1481))="D"),"D","")))))))</f>
        <v/>
      </c>
      <c r="J1481" s="27" t="str">
        <f aca="false">IF(I1481="","",IF(AND(I1481="D",Settings!$B$6&lt;&gt;"Yes"),"",IFERROR(INDEX(Settings!$C$9:$C$12,MATCH(I1481,Settings!$A$9:$A$12,0)),"")))</f>
        <v/>
      </c>
      <c r="K1481" s="27" t="str">
        <f aca="false">IF(J1481="","",COUNTIF($I$2:I1481,I1481))</f>
        <v/>
      </c>
      <c r="L1481" s="27" t="str">
        <f aca="false">IF(J1481="","",CHOOSE(Q1481+1,"Tue","Wed","Thu","Fri"))</f>
        <v/>
      </c>
      <c r="M1481" s="27" t="str">
        <f aca="false">IF(J1481="","",IF(J1481=1,"Every week",R1481+1&amp;" of "&amp;J1481))</f>
        <v/>
      </c>
      <c r="N1481" s="28" t="str">
        <f aca="false">IF(J1481="","",Settings!$B$4+R1481*7+Q1481)</f>
        <v/>
      </c>
      <c r="O1481" s="28" t="str">
        <f aca="true">IF(J1481="","",N1481+MAX(0,ROUNDUP((TODAY()-N1481)/(J1481*7),0))*J1481*7)</f>
        <v/>
      </c>
      <c r="P1481" s="27" t="str">
        <f aca="false">IF(J1481="","",MOD(K1481-1,J1481*4))</f>
        <v/>
      </c>
      <c r="Q1481" s="27" t="str">
        <f aca="false">IF(J1481="","",MOD(P1481,4))</f>
        <v/>
      </c>
      <c r="R1481" s="27" t="str">
        <f aca="false">IF(J1481="","",INT(P1481/4))</f>
        <v/>
      </c>
      <c r="S1481" s="27" t="str">
        <f aca="false">IF(J1481="","",IF(AND('Daily Count Sheet'!$H$3=Q1481,MOD('Daily Count Sheet'!$I$3,J1481)=R1481),1,""))</f>
        <v/>
      </c>
      <c r="T1481" s="27" t="str">
        <f aca="false">IF(S1481=1,COUNTIF($S$2:S1481,1),"")</f>
        <v/>
      </c>
    </row>
    <row r="1482" customFormat="false" ht="15" hidden="false" customHeight="false" outlineLevel="0" collapsed="false">
      <c r="H1482" s="26"/>
      <c r="I1482" s="27" t="str">
        <f aca="false">IF(A1482="","",IF(H1482&lt;&gt;"",UPPER(TRIM(H1482)),IFERROR(CHOOSE(VALUE(E1482)+1,"A","B","C","D"),IF(OR(LEFT(UPPER(TRIM(E1482)),1)="F",UPPER(TRIM(E1482))="A"),"A",IF(OR(LEFT(UPPER(TRIM(E1482)),1)="M",UPPER(TRIM(E1482))="B"),"B",IF(OR(LEFT(UPPER(TRIM(E1482)),2)="SL",UPPER(TRIM(E1482))="C"),"C",IF(OR(LEFT(UPPER(TRIM(E1482)),1)="D",UPPER(TRIM(E1482))="D"),"D","")))))))</f>
        <v/>
      </c>
      <c r="J1482" s="27" t="str">
        <f aca="false">IF(I1482="","",IF(AND(I1482="D",Settings!$B$6&lt;&gt;"Yes"),"",IFERROR(INDEX(Settings!$C$9:$C$12,MATCH(I1482,Settings!$A$9:$A$12,0)),"")))</f>
        <v/>
      </c>
      <c r="K1482" s="27" t="str">
        <f aca="false">IF(J1482="","",COUNTIF($I$2:I1482,I1482))</f>
        <v/>
      </c>
      <c r="L1482" s="27" t="str">
        <f aca="false">IF(J1482="","",CHOOSE(Q1482+1,"Tue","Wed","Thu","Fri"))</f>
        <v/>
      </c>
      <c r="M1482" s="27" t="str">
        <f aca="false">IF(J1482="","",IF(J1482=1,"Every week",R1482+1&amp;" of "&amp;J1482))</f>
        <v/>
      </c>
      <c r="N1482" s="28" t="str">
        <f aca="false">IF(J1482="","",Settings!$B$4+R1482*7+Q1482)</f>
        <v/>
      </c>
      <c r="O1482" s="28" t="str">
        <f aca="true">IF(J1482="","",N1482+MAX(0,ROUNDUP((TODAY()-N1482)/(J1482*7),0))*J1482*7)</f>
        <v/>
      </c>
      <c r="P1482" s="27" t="str">
        <f aca="false">IF(J1482="","",MOD(K1482-1,J1482*4))</f>
        <v/>
      </c>
      <c r="Q1482" s="27" t="str">
        <f aca="false">IF(J1482="","",MOD(P1482,4))</f>
        <v/>
      </c>
      <c r="R1482" s="27" t="str">
        <f aca="false">IF(J1482="","",INT(P1482/4))</f>
        <v/>
      </c>
      <c r="S1482" s="27" t="str">
        <f aca="false">IF(J1482="","",IF(AND('Daily Count Sheet'!$H$3=Q1482,MOD('Daily Count Sheet'!$I$3,J1482)=R1482),1,""))</f>
        <v/>
      </c>
      <c r="T1482" s="27" t="str">
        <f aca="false">IF(S1482=1,COUNTIF($S$2:S1482,1),"")</f>
        <v/>
      </c>
    </row>
    <row r="1483" customFormat="false" ht="15" hidden="false" customHeight="false" outlineLevel="0" collapsed="false">
      <c r="H1483" s="26"/>
      <c r="I1483" s="27" t="str">
        <f aca="false">IF(A1483="","",IF(H1483&lt;&gt;"",UPPER(TRIM(H1483)),IFERROR(CHOOSE(VALUE(E1483)+1,"A","B","C","D"),IF(OR(LEFT(UPPER(TRIM(E1483)),1)="F",UPPER(TRIM(E1483))="A"),"A",IF(OR(LEFT(UPPER(TRIM(E1483)),1)="M",UPPER(TRIM(E1483))="B"),"B",IF(OR(LEFT(UPPER(TRIM(E1483)),2)="SL",UPPER(TRIM(E1483))="C"),"C",IF(OR(LEFT(UPPER(TRIM(E1483)),1)="D",UPPER(TRIM(E1483))="D"),"D","")))))))</f>
        <v/>
      </c>
      <c r="J1483" s="27" t="str">
        <f aca="false">IF(I1483="","",IF(AND(I1483="D",Settings!$B$6&lt;&gt;"Yes"),"",IFERROR(INDEX(Settings!$C$9:$C$12,MATCH(I1483,Settings!$A$9:$A$12,0)),"")))</f>
        <v/>
      </c>
      <c r="K1483" s="27" t="str">
        <f aca="false">IF(J1483="","",COUNTIF($I$2:I1483,I1483))</f>
        <v/>
      </c>
      <c r="L1483" s="27" t="str">
        <f aca="false">IF(J1483="","",CHOOSE(Q1483+1,"Tue","Wed","Thu","Fri"))</f>
        <v/>
      </c>
      <c r="M1483" s="27" t="str">
        <f aca="false">IF(J1483="","",IF(J1483=1,"Every week",R1483+1&amp;" of "&amp;J1483))</f>
        <v/>
      </c>
      <c r="N1483" s="28" t="str">
        <f aca="false">IF(J1483="","",Settings!$B$4+R1483*7+Q1483)</f>
        <v/>
      </c>
      <c r="O1483" s="28" t="str">
        <f aca="true">IF(J1483="","",N1483+MAX(0,ROUNDUP((TODAY()-N1483)/(J1483*7),0))*J1483*7)</f>
        <v/>
      </c>
      <c r="P1483" s="27" t="str">
        <f aca="false">IF(J1483="","",MOD(K1483-1,J1483*4))</f>
        <v/>
      </c>
      <c r="Q1483" s="27" t="str">
        <f aca="false">IF(J1483="","",MOD(P1483,4))</f>
        <v/>
      </c>
      <c r="R1483" s="27" t="str">
        <f aca="false">IF(J1483="","",INT(P1483/4))</f>
        <v/>
      </c>
      <c r="S1483" s="27" t="str">
        <f aca="false">IF(J1483="","",IF(AND('Daily Count Sheet'!$H$3=Q1483,MOD('Daily Count Sheet'!$I$3,J1483)=R1483),1,""))</f>
        <v/>
      </c>
      <c r="T1483" s="27" t="str">
        <f aca="false">IF(S1483=1,COUNTIF($S$2:S1483,1),"")</f>
        <v/>
      </c>
    </row>
    <row r="1484" customFormat="false" ht="15" hidden="false" customHeight="false" outlineLevel="0" collapsed="false">
      <c r="H1484" s="26"/>
      <c r="I1484" s="27" t="str">
        <f aca="false">IF(A1484="","",IF(H1484&lt;&gt;"",UPPER(TRIM(H1484)),IFERROR(CHOOSE(VALUE(E1484)+1,"A","B","C","D"),IF(OR(LEFT(UPPER(TRIM(E1484)),1)="F",UPPER(TRIM(E1484))="A"),"A",IF(OR(LEFT(UPPER(TRIM(E1484)),1)="M",UPPER(TRIM(E1484))="B"),"B",IF(OR(LEFT(UPPER(TRIM(E1484)),2)="SL",UPPER(TRIM(E1484))="C"),"C",IF(OR(LEFT(UPPER(TRIM(E1484)),1)="D",UPPER(TRIM(E1484))="D"),"D","")))))))</f>
        <v/>
      </c>
      <c r="J1484" s="27" t="str">
        <f aca="false">IF(I1484="","",IF(AND(I1484="D",Settings!$B$6&lt;&gt;"Yes"),"",IFERROR(INDEX(Settings!$C$9:$C$12,MATCH(I1484,Settings!$A$9:$A$12,0)),"")))</f>
        <v/>
      </c>
      <c r="K1484" s="27" t="str">
        <f aca="false">IF(J1484="","",COUNTIF($I$2:I1484,I1484))</f>
        <v/>
      </c>
      <c r="L1484" s="27" t="str">
        <f aca="false">IF(J1484="","",CHOOSE(Q1484+1,"Tue","Wed","Thu","Fri"))</f>
        <v/>
      </c>
      <c r="M1484" s="27" t="str">
        <f aca="false">IF(J1484="","",IF(J1484=1,"Every week",R1484+1&amp;" of "&amp;J1484))</f>
        <v/>
      </c>
      <c r="N1484" s="28" t="str">
        <f aca="false">IF(J1484="","",Settings!$B$4+R1484*7+Q1484)</f>
        <v/>
      </c>
      <c r="O1484" s="28" t="str">
        <f aca="true">IF(J1484="","",N1484+MAX(0,ROUNDUP((TODAY()-N1484)/(J1484*7),0))*J1484*7)</f>
        <v/>
      </c>
      <c r="P1484" s="27" t="str">
        <f aca="false">IF(J1484="","",MOD(K1484-1,J1484*4))</f>
        <v/>
      </c>
      <c r="Q1484" s="27" t="str">
        <f aca="false">IF(J1484="","",MOD(P1484,4))</f>
        <v/>
      </c>
      <c r="R1484" s="27" t="str">
        <f aca="false">IF(J1484="","",INT(P1484/4))</f>
        <v/>
      </c>
      <c r="S1484" s="27" t="str">
        <f aca="false">IF(J1484="","",IF(AND('Daily Count Sheet'!$H$3=Q1484,MOD('Daily Count Sheet'!$I$3,J1484)=R1484),1,""))</f>
        <v/>
      </c>
      <c r="T1484" s="27" t="str">
        <f aca="false">IF(S1484=1,COUNTIF($S$2:S1484,1),"")</f>
        <v/>
      </c>
    </row>
    <row r="1485" customFormat="false" ht="15" hidden="false" customHeight="false" outlineLevel="0" collapsed="false">
      <c r="H1485" s="26"/>
      <c r="I1485" s="27" t="str">
        <f aca="false">IF(A1485="","",IF(H1485&lt;&gt;"",UPPER(TRIM(H1485)),IFERROR(CHOOSE(VALUE(E1485)+1,"A","B","C","D"),IF(OR(LEFT(UPPER(TRIM(E1485)),1)="F",UPPER(TRIM(E1485))="A"),"A",IF(OR(LEFT(UPPER(TRIM(E1485)),1)="M",UPPER(TRIM(E1485))="B"),"B",IF(OR(LEFT(UPPER(TRIM(E1485)),2)="SL",UPPER(TRIM(E1485))="C"),"C",IF(OR(LEFT(UPPER(TRIM(E1485)),1)="D",UPPER(TRIM(E1485))="D"),"D","")))))))</f>
        <v/>
      </c>
      <c r="J1485" s="27" t="str">
        <f aca="false">IF(I1485="","",IF(AND(I1485="D",Settings!$B$6&lt;&gt;"Yes"),"",IFERROR(INDEX(Settings!$C$9:$C$12,MATCH(I1485,Settings!$A$9:$A$12,0)),"")))</f>
        <v/>
      </c>
      <c r="K1485" s="27" t="str">
        <f aca="false">IF(J1485="","",COUNTIF($I$2:I1485,I1485))</f>
        <v/>
      </c>
      <c r="L1485" s="27" t="str">
        <f aca="false">IF(J1485="","",CHOOSE(Q1485+1,"Tue","Wed","Thu","Fri"))</f>
        <v/>
      </c>
      <c r="M1485" s="27" t="str">
        <f aca="false">IF(J1485="","",IF(J1485=1,"Every week",R1485+1&amp;" of "&amp;J1485))</f>
        <v/>
      </c>
      <c r="N1485" s="28" t="str">
        <f aca="false">IF(J1485="","",Settings!$B$4+R1485*7+Q1485)</f>
        <v/>
      </c>
      <c r="O1485" s="28" t="str">
        <f aca="true">IF(J1485="","",N1485+MAX(0,ROUNDUP((TODAY()-N1485)/(J1485*7),0))*J1485*7)</f>
        <v/>
      </c>
      <c r="P1485" s="27" t="str">
        <f aca="false">IF(J1485="","",MOD(K1485-1,J1485*4))</f>
        <v/>
      </c>
      <c r="Q1485" s="27" t="str">
        <f aca="false">IF(J1485="","",MOD(P1485,4))</f>
        <v/>
      </c>
      <c r="R1485" s="27" t="str">
        <f aca="false">IF(J1485="","",INT(P1485/4))</f>
        <v/>
      </c>
      <c r="S1485" s="27" t="str">
        <f aca="false">IF(J1485="","",IF(AND('Daily Count Sheet'!$H$3=Q1485,MOD('Daily Count Sheet'!$I$3,J1485)=R1485),1,""))</f>
        <v/>
      </c>
      <c r="T1485" s="27" t="str">
        <f aca="false">IF(S1485=1,COUNTIF($S$2:S1485,1),"")</f>
        <v/>
      </c>
    </row>
    <row r="1486" customFormat="false" ht="15" hidden="false" customHeight="false" outlineLevel="0" collapsed="false">
      <c r="H1486" s="26"/>
      <c r="I1486" s="27" t="str">
        <f aca="false">IF(A1486="","",IF(H1486&lt;&gt;"",UPPER(TRIM(H1486)),IFERROR(CHOOSE(VALUE(E1486)+1,"A","B","C","D"),IF(OR(LEFT(UPPER(TRIM(E1486)),1)="F",UPPER(TRIM(E1486))="A"),"A",IF(OR(LEFT(UPPER(TRIM(E1486)),1)="M",UPPER(TRIM(E1486))="B"),"B",IF(OR(LEFT(UPPER(TRIM(E1486)),2)="SL",UPPER(TRIM(E1486))="C"),"C",IF(OR(LEFT(UPPER(TRIM(E1486)),1)="D",UPPER(TRIM(E1486))="D"),"D","")))))))</f>
        <v/>
      </c>
      <c r="J1486" s="27" t="str">
        <f aca="false">IF(I1486="","",IF(AND(I1486="D",Settings!$B$6&lt;&gt;"Yes"),"",IFERROR(INDEX(Settings!$C$9:$C$12,MATCH(I1486,Settings!$A$9:$A$12,0)),"")))</f>
        <v/>
      </c>
      <c r="K1486" s="27" t="str">
        <f aca="false">IF(J1486="","",COUNTIF($I$2:I1486,I1486))</f>
        <v/>
      </c>
      <c r="L1486" s="27" t="str">
        <f aca="false">IF(J1486="","",CHOOSE(Q1486+1,"Tue","Wed","Thu","Fri"))</f>
        <v/>
      </c>
      <c r="M1486" s="27" t="str">
        <f aca="false">IF(J1486="","",IF(J1486=1,"Every week",R1486+1&amp;" of "&amp;J1486))</f>
        <v/>
      </c>
      <c r="N1486" s="28" t="str">
        <f aca="false">IF(J1486="","",Settings!$B$4+R1486*7+Q1486)</f>
        <v/>
      </c>
      <c r="O1486" s="28" t="str">
        <f aca="true">IF(J1486="","",N1486+MAX(0,ROUNDUP((TODAY()-N1486)/(J1486*7),0))*J1486*7)</f>
        <v/>
      </c>
      <c r="P1486" s="27" t="str">
        <f aca="false">IF(J1486="","",MOD(K1486-1,J1486*4))</f>
        <v/>
      </c>
      <c r="Q1486" s="27" t="str">
        <f aca="false">IF(J1486="","",MOD(P1486,4))</f>
        <v/>
      </c>
      <c r="R1486" s="27" t="str">
        <f aca="false">IF(J1486="","",INT(P1486/4))</f>
        <v/>
      </c>
      <c r="S1486" s="27" t="str">
        <f aca="false">IF(J1486="","",IF(AND('Daily Count Sheet'!$H$3=Q1486,MOD('Daily Count Sheet'!$I$3,J1486)=R1486),1,""))</f>
        <v/>
      </c>
      <c r="T1486" s="27" t="str">
        <f aca="false">IF(S1486=1,COUNTIF($S$2:S1486,1),"")</f>
        <v/>
      </c>
    </row>
    <row r="1487" customFormat="false" ht="15" hidden="false" customHeight="false" outlineLevel="0" collapsed="false">
      <c r="H1487" s="26"/>
      <c r="I1487" s="27" t="str">
        <f aca="false">IF(A1487="","",IF(H1487&lt;&gt;"",UPPER(TRIM(H1487)),IFERROR(CHOOSE(VALUE(E1487)+1,"A","B","C","D"),IF(OR(LEFT(UPPER(TRIM(E1487)),1)="F",UPPER(TRIM(E1487))="A"),"A",IF(OR(LEFT(UPPER(TRIM(E1487)),1)="M",UPPER(TRIM(E1487))="B"),"B",IF(OR(LEFT(UPPER(TRIM(E1487)),2)="SL",UPPER(TRIM(E1487))="C"),"C",IF(OR(LEFT(UPPER(TRIM(E1487)),1)="D",UPPER(TRIM(E1487))="D"),"D","")))))))</f>
        <v/>
      </c>
      <c r="J1487" s="27" t="str">
        <f aca="false">IF(I1487="","",IF(AND(I1487="D",Settings!$B$6&lt;&gt;"Yes"),"",IFERROR(INDEX(Settings!$C$9:$C$12,MATCH(I1487,Settings!$A$9:$A$12,0)),"")))</f>
        <v/>
      </c>
      <c r="K1487" s="27" t="str">
        <f aca="false">IF(J1487="","",COUNTIF($I$2:I1487,I1487))</f>
        <v/>
      </c>
      <c r="L1487" s="27" t="str">
        <f aca="false">IF(J1487="","",CHOOSE(Q1487+1,"Tue","Wed","Thu","Fri"))</f>
        <v/>
      </c>
      <c r="M1487" s="27" t="str">
        <f aca="false">IF(J1487="","",IF(J1487=1,"Every week",R1487+1&amp;" of "&amp;J1487))</f>
        <v/>
      </c>
      <c r="N1487" s="28" t="str">
        <f aca="false">IF(J1487="","",Settings!$B$4+R1487*7+Q1487)</f>
        <v/>
      </c>
      <c r="O1487" s="28" t="str">
        <f aca="true">IF(J1487="","",N1487+MAX(0,ROUNDUP((TODAY()-N1487)/(J1487*7),0))*J1487*7)</f>
        <v/>
      </c>
      <c r="P1487" s="27" t="str">
        <f aca="false">IF(J1487="","",MOD(K1487-1,J1487*4))</f>
        <v/>
      </c>
      <c r="Q1487" s="27" t="str">
        <f aca="false">IF(J1487="","",MOD(P1487,4))</f>
        <v/>
      </c>
      <c r="R1487" s="27" t="str">
        <f aca="false">IF(J1487="","",INT(P1487/4))</f>
        <v/>
      </c>
      <c r="S1487" s="27" t="str">
        <f aca="false">IF(J1487="","",IF(AND('Daily Count Sheet'!$H$3=Q1487,MOD('Daily Count Sheet'!$I$3,J1487)=R1487),1,""))</f>
        <v/>
      </c>
      <c r="T1487" s="27" t="str">
        <f aca="false">IF(S1487=1,COUNTIF($S$2:S1487,1),"")</f>
        <v/>
      </c>
    </row>
    <row r="1488" customFormat="false" ht="15" hidden="false" customHeight="false" outlineLevel="0" collapsed="false">
      <c r="H1488" s="26"/>
      <c r="I1488" s="27" t="str">
        <f aca="false">IF(A1488="","",IF(H1488&lt;&gt;"",UPPER(TRIM(H1488)),IFERROR(CHOOSE(VALUE(E1488)+1,"A","B","C","D"),IF(OR(LEFT(UPPER(TRIM(E1488)),1)="F",UPPER(TRIM(E1488))="A"),"A",IF(OR(LEFT(UPPER(TRIM(E1488)),1)="M",UPPER(TRIM(E1488))="B"),"B",IF(OR(LEFT(UPPER(TRIM(E1488)),2)="SL",UPPER(TRIM(E1488))="C"),"C",IF(OR(LEFT(UPPER(TRIM(E1488)),1)="D",UPPER(TRIM(E1488))="D"),"D","")))))))</f>
        <v/>
      </c>
      <c r="J1488" s="27" t="str">
        <f aca="false">IF(I1488="","",IF(AND(I1488="D",Settings!$B$6&lt;&gt;"Yes"),"",IFERROR(INDEX(Settings!$C$9:$C$12,MATCH(I1488,Settings!$A$9:$A$12,0)),"")))</f>
        <v/>
      </c>
      <c r="K1488" s="27" t="str">
        <f aca="false">IF(J1488="","",COUNTIF($I$2:I1488,I1488))</f>
        <v/>
      </c>
      <c r="L1488" s="27" t="str">
        <f aca="false">IF(J1488="","",CHOOSE(Q1488+1,"Tue","Wed","Thu","Fri"))</f>
        <v/>
      </c>
      <c r="M1488" s="27" t="str">
        <f aca="false">IF(J1488="","",IF(J1488=1,"Every week",R1488+1&amp;" of "&amp;J1488))</f>
        <v/>
      </c>
      <c r="N1488" s="28" t="str">
        <f aca="false">IF(J1488="","",Settings!$B$4+R1488*7+Q1488)</f>
        <v/>
      </c>
      <c r="O1488" s="28" t="str">
        <f aca="true">IF(J1488="","",N1488+MAX(0,ROUNDUP((TODAY()-N1488)/(J1488*7),0))*J1488*7)</f>
        <v/>
      </c>
      <c r="P1488" s="27" t="str">
        <f aca="false">IF(J1488="","",MOD(K1488-1,J1488*4))</f>
        <v/>
      </c>
      <c r="Q1488" s="27" t="str">
        <f aca="false">IF(J1488="","",MOD(P1488,4))</f>
        <v/>
      </c>
      <c r="R1488" s="27" t="str">
        <f aca="false">IF(J1488="","",INT(P1488/4))</f>
        <v/>
      </c>
      <c r="S1488" s="27" t="str">
        <f aca="false">IF(J1488="","",IF(AND('Daily Count Sheet'!$H$3=Q1488,MOD('Daily Count Sheet'!$I$3,J1488)=R1488),1,""))</f>
        <v/>
      </c>
      <c r="T1488" s="27" t="str">
        <f aca="false">IF(S1488=1,COUNTIF($S$2:S1488,1),"")</f>
        <v/>
      </c>
    </row>
    <row r="1489" customFormat="false" ht="15" hidden="false" customHeight="false" outlineLevel="0" collapsed="false">
      <c r="H1489" s="26"/>
      <c r="I1489" s="27" t="str">
        <f aca="false">IF(A1489="","",IF(H1489&lt;&gt;"",UPPER(TRIM(H1489)),IFERROR(CHOOSE(VALUE(E1489)+1,"A","B","C","D"),IF(OR(LEFT(UPPER(TRIM(E1489)),1)="F",UPPER(TRIM(E1489))="A"),"A",IF(OR(LEFT(UPPER(TRIM(E1489)),1)="M",UPPER(TRIM(E1489))="B"),"B",IF(OR(LEFT(UPPER(TRIM(E1489)),2)="SL",UPPER(TRIM(E1489))="C"),"C",IF(OR(LEFT(UPPER(TRIM(E1489)),1)="D",UPPER(TRIM(E1489))="D"),"D","")))))))</f>
        <v/>
      </c>
      <c r="J1489" s="27" t="str">
        <f aca="false">IF(I1489="","",IF(AND(I1489="D",Settings!$B$6&lt;&gt;"Yes"),"",IFERROR(INDEX(Settings!$C$9:$C$12,MATCH(I1489,Settings!$A$9:$A$12,0)),"")))</f>
        <v/>
      </c>
      <c r="K1489" s="27" t="str">
        <f aca="false">IF(J1489="","",COUNTIF($I$2:I1489,I1489))</f>
        <v/>
      </c>
      <c r="L1489" s="27" t="str">
        <f aca="false">IF(J1489="","",CHOOSE(Q1489+1,"Tue","Wed","Thu","Fri"))</f>
        <v/>
      </c>
      <c r="M1489" s="27" t="str">
        <f aca="false">IF(J1489="","",IF(J1489=1,"Every week",R1489+1&amp;" of "&amp;J1489))</f>
        <v/>
      </c>
      <c r="N1489" s="28" t="str">
        <f aca="false">IF(J1489="","",Settings!$B$4+R1489*7+Q1489)</f>
        <v/>
      </c>
      <c r="O1489" s="28" t="str">
        <f aca="true">IF(J1489="","",N1489+MAX(0,ROUNDUP((TODAY()-N1489)/(J1489*7),0))*J1489*7)</f>
        <v/>
      </c>
      <c r="P1489" s="27" t="str">
        <f aca="false">IF(J1489="","",MOD(K1489-1,J1489*4))</f>
        <v/>
      </c>
      <c r="Q1489" s="27" t="str">
        <f aca="false">IF(J1489="","",MOD(P1489,4))</f>
        <v/>
      </c>
      <c r="R1489" s="27" t="str">
        <f aca="false">IF(J1489="","",INT(P1489/4))</f>
        <v/>
      </c>
      <c r="S1489" s="27" t="str">
        <f aca="false">IF(J1489="","",IF(AND('Daily Count Sheet'!$H$3=Q1489,MOD('Daily Count Sheet'!$I$3,J1489)=R1489),1,""))</f>
        <v/>
      </c>
      <c r="T1489" s="27" t="str">
        <f aca="false">IF(S1489=1,COUNTIF($S$2:S1489,1),"")</f>
        <v/>
      </c>
    </row>
    <row r="1490" customFormat="false" ht="15" hidden="false" customHeight="false" outlineLevel="0" collapsed="false">
      <c r="H1490" s="26"/>
      <c r="I1490" s="27" t="str">
        <f aca="false">IF(A1490="","",IF(H1490&lt;&gt;"",UPPER(TRIM(H1490)),IFERROR(CHOOSE(VALUE(E1490)+1,"A","B","C","D"),IF(OR(LEFT(UPPER(TRIM(E1490)),1)="F",UPPER(TRIM(E1490))="A"),"A",IF(OR(LEFT(UPPER(TRIM(E1490)),1)="M",UPPER(TRIM(E1490))="B"),"B",IF(OR(LEFT(UPPER(TRIM(E1490)),2)="SL",UPPER(TRIM(E1490))="C"),"C",IF(OR(LEFT(UPPER(TRIM(E1490)),1)="D",UPPER(TRIM(E1490))="D"),"D","")))))))</f>
        <v/>
      </c>
      <c r="J1490" s="27" t="str">
        <f aca="false">IF(I1490="","",IF(AND(I1490="D",Settings!$B$6&lt;&gt;"Yes"),"",IFERROR(INDEX(Settings!$C$9:$C$12,MATCH(I1490,Settings!$A$9:$A$12,0)),"")))</f>
        <v/>
      </c>
      <c r="K1490" s="27" t="str">
        <f aca="false">IF(J1490="","",COUNTIF($I$2:I1490,I1490))</f>
        <v/>
      </c>
      <c r="L1490" s="27" t="str">
        <f aca="false">IF(J1490="","",CHOOSE(Q1490+1,"Tue","Wed","Thu","Fri"))</f>
        <v/>
      </c>
      <c r="M1490" s="27" t="str">
        <f aca="false">IF(J1490="","",IF(J1490=1,"Every week",R1490+1&amp;" of "&amp;J1490))</f>
        <v/>
      </c>
      <c r="N1490" s="28" t="str">
        <f aca="false">IF(J1490="","",Settings!$B$4+R1490*7+Q1490)</f>
        <v/>
      </c>
      <c r="O1490" s="28" t="str">
        <f aca="true">IF(J1490="","",N1490+MAX(0,ROUNDUP((TODAY()-N1490)/(J1490*7),0))*J1490*7)</f>
        <v/>
      </c>
      <c r="P1490" s="27" t="str">
        <f aca="false">IF(J1490="","",MOD(K1490-1,J1490*4))</f>
        <v/>
      </c>
      <c r="Q1490" s="27" t="str">
        <f aca="false">IF(J1490="","",MOD(P1490,4))</f>
        <v/>
      </c>
      <c r="R1490" s="27" t="str">
        <f aca="false">IF(J1490="","",INT(P1490/4))</f>
        <v/>
      </c>
      <c r="S1490" s="27" t="str">
        <f aca="false">IF(J1490="","",IF(AND('Daily Count Sheet'!$H$3=Q1490,MOD('Daily Count Sheet'!$I$3,J1490)=R1490),1,""))</f>
        <v/>
      </c>
      <c r="T1490" s="27" t="str">
        <f aca="false">IF(S1490=1,COUNTIF($S$2:S1490,1),"")</f>
        <v/>
      </c>
    </row>
    <row r="1491" customFormat="false" ht="15" hidden="false" customHeight="false" outlineLevel="0" collapsed="false">
      <c r="H1491" s="26"/>
      <c r="I1491" s="27" t="str">
        <f aca="false">IF(A1491="","",IF(H1491&lt;&gt;"",UPPER(TRIM(H1491)),IFERROR(CHOOSE(VALUE(E1491)+1,"A","B","C","D"),IF(OR(LEFT(UPPER(TRIM(E1491)),1)="F",UPPER(TRIM(E1491))="A"),"A",IF(OR(LEFT(UPPER(TRIM(E1491)),1)="M",UPPER(TRIM(E1491))="B"),"B",IF(OR(LEFT(UPPER(TRIM(E1491)),2)="SL",UPPER(TRIM(E1491))="C"),"C",IF(OR(LEFT(UPPER(TRIM(E1491)),1)="D",UPPER(TRIM(E1491))="D"),"D","")))))))</f>
        <v/>
      </c>
      <c r="J1491" s="27" t="str">
        <f aca="false">IF(I1491="","",IF(AND(I1491="D",Settings!$B$6&lt;&gt;"Yes"),"",IFERROR(INDEX(Settings!$C$9:$C$12,MATCH(I1491,Settings!$A$9:$A$12,0)),"")))</f>
        <v/>
      </c>
      <c r="K1491" s="27" t="str">
        <f aca="false">IF(J1491="","",COUNTIF($I$2:I1491,I1491))</f>
        <v/>
      </c>
      <c r="L1491" s="27" t="str">
        <f aca="false">IF(J1491="","",CHOOSE(Q1491+1,"Tue","Wed","Thu","Fri"))</f>
        <v/>
      </c>
      <c r="M1491" s="27" t="str">
        <f aca="false">IF(J1491="","",IF(J1491=1,"Every week",R1491+1&amp;" of "&amp;J1491))</f>
        <v/>
      </c>
      <c r="N1491" s="28" t="str">
        <f aca="false">IF(J1491="","",Settings!$B$4+R1491*7+Q1491)</f>
        <v/>
      </c>
      <c r="O1491" s="28" t="str">
        <f aca="true">IF(J1491="","",N1491+MAX(0,ROUNDUP((TODAY()-N1491)/(J1491*7),0))*J1491*7)</f>
        <v/>
      </c>
      <c r="P1491" s="27" t="str">
        <f aca="false">IF(J1491="","",MOD(K1491-1,J1491*4))</f>
        <v/>
      </c>
      <c r="Q1491" s="27" t="str">
        <f aca="false">IF(J1491="","",MOD(P1491,4))</f>
        <v/>
      </c>
      <c r="R1491" s="27" t="str">
        <f aca="false">IF(J1491="","",INT(P1491/4))</f>
        <v/>
      </c>
      <c r="S1491" s="27" t="str">
        <f aca="false">IF(J1491="","",IF(AND('Daily Count Sheet'!$H$3=Q1491,MOD('Daily Count Sheet'!$I$3,J1491)=R1491),1,""))</f>
        <v/>
      </c>
      <c r="T1491" s="27" t="str">
        <f aca="false">IF(S1491=1,COUNTIF($S$2:S1491,1),"")</f>
        <v/>
      </c>
    </row>
    <row r="1492" customFormat="false" ht="15" hidden="false" customHeight="false" outlineLevel="0" collapsed="false">
      <c r="H1492" s="26"/>
      <c r="I1492" s="27" t="str">
        <f aca="false">IF(A1492="","",IF(H1492&lt;&gt;"",UPPER(TRIM(H1492)),IFERROR(CHOOSE(VALUE(E1492)+1,"A","B","C","D"),IF(OR(LEFT(UPPER(TRIM(E1492)),1)="F",UPPER(TRIM(E1492))="A"),"A",IF(OR(LEFT(UPPER(TRIM(E1492)),1)="M",UPPER(TRIM(E1492))="B"),"B",IF(OR(LEFT(UPPER(TRIM(E1492)),2)="SL",UPPER(TRIM(E1492))="C"),"C",IF(OR(LEFT(UPPER(TRIM(E1492)),1)="D",UPPER(TRIM(E1492))="D"),"D","")))))))</f>
        <v/>
      </c>
      <c r="J1492" s="27" t="str">
        <f aca="false">IF(I1492="","",IF(AND(I1492="D",Settings!$B$6&lt;&gt;"Yes"),"",IFERROR(INDEX(Settings!$C$9:$C$12,MATCH(I1492,Settings!$A$9:$A$12,0)),"")))</f>
        <v/>
      </c>
      <c r="K1492" s="27" t="str">
        <f aca="false">IF(J1492="","",COUNTIF($I$2:I1492,I1492))</f>
        <v/>
      </c>
      <c r="L1492" s="27" t="str">
        <f aca="false">IF(J1492="","",CHOOSE(Q1492+1,"Tue","Wed","Thu","Fri"))</f>
        <v/>
      </c>
      <c r="M1492" s="27" t="str">
        <f aca="false">IF(J1492="","",IF(J1492=1,"Every week",R1492+1&amp;" of "&amp;J1492))</f>
        <v/>
      </c>
      <c r="N1492" s="28" t="str">
        <f aca="false">IF(J1492="","",Settings!$B$4+R1492*7+Q1492)</f>
        <v/>
      </c>
      <c r="O1492" s="28" t="str">
        <f aca="true">IF(J1492="","",N1492+MAX(0,ROUNDUP((TODAY()-N1492)/(J1492*7),0))*J1492*7)</f>
        <v/>
      </c>
      <c r="P1492" s="27" t="str">
        <f aca="false">IF(J1492="","",MOD(K1492-1,J1492*4))</f>
        <v/>
      </c>
      <c r="Q1492" s="27" t="str">
        <f aca="false">IF(J1492="","",MOD(P1492,4))</f>
        <v/>
      </c>
      <c r="R1492" s="27" t="str">
        <f aca="false">IF(J1492="","",INT(P1492/4))</f>
        <v/>
      </c>
      <c r="S1492" s="27" t="str">
        <f aca="false">IF(J1492="","",IF(AND('Daily Count Sheet'!$H$3=Q1492,MOD('Daily Count Sheet'!$I$3,J1492)=R1492),1,""))</f>
        <v/>
      </c>
      <c r="T1492" s="27" t="str">
        <f aca="false">IF(S1492=1,COUNTIF($S$2:S1492,1),"")</f>
        <v/>
      </c>
    </row>
    <row r="1493" customFormat="false" ht="15" hidden="false" customHeight="false" outlineLevel="0" collapsed="false">
      <c r="H1493" s="26"/>
      <c r="I1493" s="27" t="str">
        <f aca="false">IF(A1493="","",IF(H1493&lt;&gt;"",UPPER(TRIM(H1493)),IFERROR(CHOOSE(VALUE(E1493)+1,"A","B","C","D"),IF(OR(LEFT(UPPER(TRIM(E1493)),1)="F",UPPER(TRIM(E1493))="A"),"A",IF(OR(LEFT(UPPER(TRIM(E1493)),1)="M",UPPER(TRIM(E1493))="B"),"B",IF(OR(LEFT(UPPER(TRIM(E1493)),2)="SL",UPPER(TRIM(E1493))="C"),"C",IF(OR(LEFT(UPPER(TRIM(E1493)),1)="D",UPPER(TRIM(E1493))="D"),"D","")))))))</f>
        <v/>
      </c>
      <c r="J1493" s="27" t="str">
        <f aca="false">IF(I1493="","",IF(AND(I1493="D",Settings!$B$6&lt;&gt;"Yes"),"",IFERROR(INDEX(Settings!$C$9:$C$12,MATCH(I1493,Settings!$A$9:$A$12,0)),"")))</f>
        <v/>
      </c>
      <c r="K1493" s="27" t="str">
        <f aca="false">IF(J1493="","",COUNTIF($I$2:I1493,I1493))</f>
        <v/>
      </c>
      <c r="L1493" s="27" t="str">
        <f aca="false">IF(J1493="","",CHOOSE(Q1493+1,"Tue","Wed","Thu","Fri"))</f>
        <v/>
      </c>
      <c r="M1493" s="27" t="str">
        <f aca="false">IF(J1493="","",IF(J1493=1,"Every week",R1493+1&amp;" of "&amp;J1493))</f>
        <v/>
      </c>
      <c r="N1493" s="28" t="str">
        <f aca="false">IF(J1493="","",Settings!$B$4+R1493*7+Q1493)</f>
        <v/>
      </c>
      <c r="O1493" s="28" t="str">
        <f aca="true">IF(J1493="","",N1493+MAX(0,ROUNDUP((TODAY()-N1493)/(J1493*7),0))*J1493*7)</f>
        <v/>
      </c>
      <c r="P1493" s="27" t="str">
        <f aca="false">IF(J1493="","",MOD(K1493-1,J1493*4))</f>
        <v/>
      </c>
      <c r="Q1493" s="27" t="str">
        <f aca="false">IF(J1493="","",MOD(P1493,4))</f>
        <v/>
      </c>
      <c r="R1493" s="27" t="str">
        <f aca="false">IF(J1493="","",INT(P1493/4))</f>
        <v/>
      </c>
      <c r="S1493" s="27" t="str">
        <f aca="false">IF(J1493="","",IF(AND('Daily Count Sheet'!$H$3=Q1493,MOD('Daily Count Sheet'!$I$3,J1493)=R1493),1,""))</f>
        <v/>
      </c>
      <c r="T1493" s="27" t="str">
        <f aca="false">IF(S1493=1,COUNTIF($S$2:S1493,1),"")</f>
        <v/>
      </c>
    </row>
    <row r="1494" customFormat="false" ht="15" hidden="false" customHeight="false" outlineLevel="0" collapsed="false">
      <c r="H1494" s="26"/>
      <c r="I1494" s="27" t="str">
        <f aca="false">IF(A1494="","",IF(H1494&lt;&gt;"",UPPER(TRIM(H1494)),IFERROR(CHOOSE(VALUE(E1494)+1,"A","B","C","D"),IF(OR(LEFT(UPPER(TRIM(E1494)),1)="F",UPPER(TRIM(E1494))="A"),"A",IF(OR(LEFT(UPPER(TRIM(E1494)),1)="M",UPPER(TRIM(E1494))="B"),"B",IF(OR(LEFT(UPPER(TRIM(E1494)),2)="SL",UPPER(TRIM(E1494))="C"),"C",IF(OR(LEFT(UPPER(TRIM(E1494)),1)="D",UPPER(TRIM(E1494))="D"),"D","")))))))</f>
        <v/>
      </c>
      <c r="J1494" s="27" t="str">
        <f aca="false">IF(I1494="","",IF(AND(I1494="D",Settings!$B$6&lt;&gt;"Yes"),"",IFERROR(INDEX(Settings!$C$9:$C$12,MATCH(I1494,Settings!$A$9:$A$12,0)),"")))</f>
        <v/>
      </c>
      <c r="K1494" s="27" t="str">
        <f aca="false">IF(J1494="","",COUNTIF($I$2:I1494,I1494))</f>
        <v/>
      </c>
      <c r="L1494" s="27" t="str">
        <f aca="false">IF(J1494="","",CHOOSE(Q1494+1,"Tue","Wed","Thu","Fri"))</f>
        <v/>
      </c>
      <c r="M1494" s="27" t="str">
        <f aca="false">IF(J1494="","",IF(J1494=1,"Every week",R1494+1&amp;" of "&amp;J1494))</f>
        <v/>
      </c>
      <c r="N1494" s="28" t="str">
        <f aca="false">IF(J1494="","",Settings!$B$4+R1494*7+Q1494)</f>
        <v/>
      </c>
      <c r="O1494" s="28" t="str">
        <f aca="true">IF(J1494="","",N1494+MAX(0,ROUNDUP((TODAY()-N1494)/(J1494*7),0))*J1494*7)</f>
        <v/>
      </c>
      <c r="P1494" s="27" t="str">
        <f aca="false">IF(J1494="","",MOD(K1494-1,J1494*4))</f>
        <v/>
      </c>
      <c r="Q1494" s="27" t="str">
        <f aca="false">IF(J1494="","",MOD(P1494,4))</f>
        <v/>
      </c>
      <c r="R1494" s="27" t="str">
        <f aca="false">IF(J1494="","",INT(P1494/4))</f>
        <v/>
      </c>
      <c r="S1494" s="27" t="str">
        <f aca="false">IF(J1494="","",IF(AND('Daily Count Sheet'!$H$3=Q1494,MOD('Daily Count Sheet'!$I$3,J1494)=R1494),1,""))</f>
        <v/>
      </c>
      <c r="T1494" s="27" t="str">
        <f aca="false">IF(S1494=1,COUNTIF($S$2:S1494,1),"")</f>
        <v/>
      </c>
    </row>
    <row r="1495" customFormat="false" ht="15" hidden="false" customHeight="false" outlineLevel="0" collapsed="false">
      <c r="H1495" s="26"/>
      <c r="I1495" s="27" t="str">
        <f aca="false">IF(A1495="","",IF(H1495&lt;&gt;"",UPPER(TRIM(H1495)),IFERROR(CHOOSE(VALUE(E1495)+1,"A","B","C","D"),IF(OR(LEFT(UPPER(TRIM(E1495)),1)="F",UPPER(TRIM(E1495))="A"),"A",IF(OR(LEFT(UPPER(TRIM(E1495)),1)="M",UPPER(TRIM(E1495))="B"),"B",IF(OR(LEFT(UPPER(TRIM(E1495)),2)="SL",UPPER(TRIM(E1495))="C"),"C",IF(OR(LEFT(UPPER(TRIM(E1495)),1)="D",UPPER(TRIM(E1495))="D"),"D","")))))))</f>
        <v/>
      </c>
      <c r="J1495" s="27" t="str">
        <f aca="false">IF(I1495="","",IF(AND(I1495="D",Settings!$B$6&lt;&gt;"Yes"),"",IFERROR(INDEX(Settings!$C$9:$C$12,MATCH(I1495,Settings!$A$9:$A$12,0)),"")))</f>
        <v/>
      </c>
      <c r="K1495" s="27" t="str">
        <f aca="false">IF(J1495="","",COUNTIF($I$2:I1495,I1495))</f>
        <v/>
      </c>
      <c r="L1495" s="27" t="str">
        <f aca="false">IF(J1495="","",CHOOSE(Q1495+1,"Tue","Wed","Thu","Fri"))</f>
        <v/>
      </c>
      <c r="M1495" s="27" t="str">
        <f aca="false">IF(J1495="","",IF(J1495=1,"Every week",R1495+1&amp;" of "&amp;J1495))</f>
        <v/>
      </c>
      <c r="N1495" s="28" t="str">
        <f aca="false">IF(J1495="","",Settings!$B$4+R1495*7+Q1495)</f>
        <v/>
      </c>
      <c r="O1495" s="28" t="str">
        <f aca="true">IF(J1495="","",N1495+MAX(0,ROUNDUP((TODAY()-N1495)/(J1495*7),0))*J1495*7)</f>
        <v/>
      </c>
      <c r="P1495" s="27" t="str">
        <f aca="false">IF(J1495="","",MOD(K1495-1,J1495*4))</f>
        <v/>
      </c>
      <c r="Q1495" s="27" t="str">
        <f aca="false">IF(J1495="","",MOD(P1495,4))</f>
        <v/>
      </c>
      <c r="R1495" s="27" t="str">
        <f aca="false">IF(J1495="","",INT(P1495/4))</f>
        <v/>
      </c>
      <c r="S1495" s="27" t="str">
        <f aca="false">IF(J1495="","",IF(AND('Daily Count Sheet'!$H$3=Q1495,MOD('Daily Count Sheet'!$I$3,J1495)=R1495),1,""))</f>
        <v/>
      </c>
      <c r="T1495" s="27" t="str">
        <f aca="false">IF(S1495=1,COUNTIF($S$2:S1495,1),"")</f>
        <v/>
      </c>
    </row>
    <row r="1496" customFormat="false" ht="15" hidden="false" customHeight="false" outlineLevel="0" collapsed="false">
      <c r="H1496" s="26"/>
      <c r="I1496" s="27" t="str">
        <f aca="false">IF(A1496="","",IF(H1496&lt;&gt;"",UPPER(TRIM(H1496)),IFERROR(CHOOSE(VALUE(E1496)+1,"A","B","C","D"),IF(OR(LEFT(UPPER(TRIM(E1496)),1)="F",UPPER(TRIM(E1496))="A"),"A",IF(OR(LEFT(UPPER(TRIM(E1496)),1)="M",UPPER(TRIM(E1496))="B"),"B",IF(OR(LEFT(UPPER(TRIM(E1496)),2)="SL",UPPER(TRIM(E1496))="C"),"C",IF(OR(LEFT(UPPER(TRIM(E1496)),1)="D",UPPER(TRIM(E1496))="D"),"D","")))))))</f>
        <v/>
      </c>
      <c r="J1496" s="27" t="str">
        <f aca="false">IF(I1496="","",IF(AND(I1496="D",Settings!$B$6&lt;&gt;"Yes"),"",IFERROR(INDEX(Settings!$C$9:$C$12,MATCH(I1496,Settings!$A$9:$A$12,0)),"")))</f>
        <v/>
      </c>
      <c r="K1496" s="27" t="str">
        <f aca="false">IF(J1496="","",COUNTIF($I$2:I1496,I1496))</f>
        <v/>
      </c>
      <c r="L1496" s="27" t="str">
        <f aca="false">IF(J1496="","",CHOOSE(Q1496+1,"Tue","Wed","Thu","Fri"))</f>
        <v/>
      </c>
      <c r="M1496" s="27" t="str">
        <f aca="false">IF(J1496="","",IF(J1496=1,"Every week",R1496+1&amp;" of "&amp;J1496))</f>
        <v/>
      </c>
      <c r="N1496" s="28" t="str">
        <f aca="false">IF(J1496="","",Settings!$B$4+R1496*7+Q1496)</f>
        <v/>
      </c>
      <c r="O1496" s="28" t="str">
        <f aca="true">IF(J1496="","",N1496+MAX(0,ROUNDUP((TODAY()-N1496)/(J1496*7),0))*J1496*7)</f>
        <v/>
      </c>
      <c r="P1496" s="27" t="str">
        <f aca="false">IF(J1496="","",MOD(K1496-1,J1496*4))</f>
        <v/>
      </c>
      <c r="Q1496" s="27" t="str">
        <f aca="false">IF(J1496="","",MOD(P1496,4))</f>
        <v/>
      </c>
      <c r="R1496" s="27" t="str">
        <f aca="false">IF(J1496="","",INT(P1496/4))</f>
        <v/>
      </c>
      <c r="S1496" s="27" t="str">
        <f aca="false">IF(J1496="","",IF(AND('Daily Count Sheet'!$H$3=Q1496,MOD('Daily Count Sheet'!$I$3,J1496)=R1496),1,""))</f>
        <v/>
      </c>
      <c r="T1496" s="27" t="str">
        <f aca="false">IF(S1496=1,COUNTIF($S$2:S1496,1),"")</f>
        <v/>
      </c>
    </row>
    <row r="1497" customFormat="false" ht="15" hidden="false" customHeight="false" outlineLevel="0" collapsed="false">
      <c r="H1497" s="26"/>
      <c r="I1497" s="27" t="str">
        <f aca="false">IF(A1497="","",IF(H1497&lt;&gt;"",UPPER(TRIM(H1497)),IFERROR(CHOOSE(VALUE(E1497)+1,"A","B","C","D"),IF(OR(LEFT(UPPER(TRIM(E1497)),1)="F",UPPER(TRIM(E1497))="A"),"A",IF(OR(LEFT(UPPER(TRIM(E1497)),1)="M",UPPER(TRIM(E1497))="B"),"B",IF(OR(LEFT(UPPER(TRIM(E1497)),2)="SL",UPPER(TRIM(E1497))="C"),"C",IF(OR(LEFT(UPPER(TRIM(E1497)),1)="D",UPPER(TRIM(E1497))="D"),"D","")))))))</f>
        <v/>
      </c>
      <c r="J1497" s="27" t="str">
        <f aca="false">IF(I1497="","",IF(AND(I1497="D",Settings!$B$6&lt;&gt;"Yes"),"",IFERROR(INDEX(Settings!$C$9:$C$12,MATCH(I1497,Settings!$A$9:$A$12,0)),"")))</f>
        <v/>
      </c>
      <c r="K1497" s="27" t="str">
        <f aca="false">IF(J1497="","",COUNTIF($I$2:I1497,I1497))</f>
        <v/>
      </c>
      <c r="L1497" s="27" t="str">
        <f aca="false">IF(J1497="","",CHOOSE(Q1497+1,"Tue","Wed","Thu","Fri"))</f>
        <v/>
      </c>
      <c r="M1497" s="27" t="str">
        <f aca="false">IF(J1497="","",IF(J1497=1,"Every week",R1497+1&amp;" of "&amp;J1497))</f>
        <v/>
      </c>
      <c r="N1497" s="28" t="str">
        <f aca="false">IF(J1497="","",Settings!$B$4+R1497*7+Q1497)</f>
        <v/>
      </c>
      <c r="O1497" s="28" t="str">
        <f aca="true">IF(J1497="","",N1497+MAX(0,ROUNDUP((TODAY()-N1497)/(J1497*7),0))*J1497*7)</f>
        <v/>
      </c>
      <c r="P1497" s="27" t="str">
        <f aca="false">IF(J1497="","",MOD(K1497-1,J1497*4))</f>
        <v/>
      </c>
      <c r="Q1497" s="27" t="str">
        <f aca="false">IF(J1497="","",MOD(P1497,4))</f>
        <v/>
      </c>
      <c r="R1497" s="27" t="str">
        <f aca="false">IF(J1497="","",INT(P1497/4))</f>
        <v/>
      </c>
      <c r="S1497" s="27" t="str">
        <f aca="false">IF(J1497="","",IF(AND('Daily Count Sheet'!$H$3=Q1497,MOD('Daily Count Sheet'!$I$3,J1497)=R1497),1,""))</f>
        <v/>
      </c>
      <c r="T1497" s="27" t="str">
        <f aca="false">IF(S1497=1,COUNTIF($S$2:S1497,1),"")</f>
        <v/>
      </c>
    </row>
    <row r="1498" customFormat="false" ht="15" hidden="false" customHeight="false" outlineLevel="0" collapsed="false">
      <c r="H1498" s="26"/>
      <c r="I1498" s="27" t="str">
        <f aca="false">IF(A1498="","",IF(H1498&lt;&gt;"",UPPER(TRIM(H1498)),IFERROR(CHOOSE(VALUE(E1498)+1,"A","B","C","D"),IF(OR(LEFT(UPPER(TRIM(E1498)),1)="F",UPPER(TRIM(E1498))="A"),"A",IF(OR(LEFT(UPPER(TRIM(E1498)),1)="M",UPPER(TRIM(E1498))="B"),"B",IF(OR(LEFT(UPPER(TRIM(E1498)),2)="SL",UPPER(TRIM(E1498))="C"),"C",IF(OR(LEFT(UPPER(TRIM(E1498)),1)="D",UPPER(TRIM(E1498))="D"),"D","")))))))</f>
        <v/>
      </c>
      <c r="J1498" s="27" t="str">
        <f aca="false">IF(I1498="","",IF(AND(I1498="D",Settings!$B$6&lt;&gt;"Yes"),"",IFERROR(INDEX(Settings!$C$9:$C$12,MATCH(I1498,Settings!$A$9:$A$12,0)),"")))</f>
        <v/>
      </c>
      <c r="K1498" s="27" t="str">
        <f aca="false">IF(J1498="","",COUNTIF($I$2:I1498,I1498))</f>
        <v/>
      </c>
      <c r="L1498" s="27" t="str">
        <f aca="false">IF(J1498="","",CHOOSE(Q1498+1,"Tue","Wed","Thu","Fri"))</f>
        <v/>
      </c>
      <c r="M1498" s="27" t="str">
        <f aca="false">IF(J1498="","",IF(J1498=1,"Every week",R1498+1&amp;" of "&amp;J1498))</f>
        <v/>
      </c>
      <c r="N1498" s="28" t="str">
        <f aca="false">IF(J1498="","",Settings!$B$4+R1498*7+Q1498)</f>
        <v/>
      </c>
      <c r="O1498" s="28" t="str">
        <f aca="true">IF(J1498="","",N1498+MAX(0,ROUNDUP((TODAY()-N1498)/(J1498*7),0))*J1498*7)</f>
        <v/>
      </c>
      <c r="P1498" s="27" t="str">
        <f aca="false">IF(J1498="","",MOD(K1498-1,J1498*4))</f>
        <v/>
      </c>
      <c r="Q1498" s="27" t="str">
        <f aca="false">IF(J1498="","",MOD(P1498,4))</f>
        <v/>
      </c>
      <c r="R1498" s="27" t="str">
        <f aca="false">IF(J1498="","",INT(P1498/4))</f>
        <v/>
      </c>
      <c r="S1498" s="27" t="str">
        <f aca="false">IF(J1498="","",IF(AND('Daily Count Sheet'!$H$3=Q1498,MOD('Daily Count Sheet'!$I$3,J1498)=R1498),1,""))</f>
        <v/>
      </c>
      <c r="T1498" s="27" t="str">
        <f aca="false">IF(S1498=1,COUNTIF($S$2:S1498,1),"")</f>
        <v/>
      </c>
    </row>
    <row r="1499" customFormat="false" ht="15" hidden="false" customHeight="false" outlineLevel="0" collapsed="false">
      <c r="H1499" s="26"/>
      <c r="I1499" s="27" t="str">
        <f aca="false">IF(A1499="","",IF(H1499&lt;&gt;"",UPPER(TRIM(H1499)),IFERROR(CHOOSE(VALUE(E1499)+1,"A","B","C","D"),IF(OR(LEFT(UPPER(TRIM(E1499)),1)="F",UPPER(TRIM(E1499))="A"),"A",IF(OR(LEFT(UPPER(TRIM(E1499)),1)="M",UPPER(TRIM(E1499))="B"),"B",IF(OR(LEFT(UPPER(TRIM(E1499)),2)="SL",UPPER(TRIM(E1499))="C"),"C",IF(OR(LEFT(UPPER(TRIM(E1499)),1)="D",UPPER(TRIM(E1499))="D"),"D","")))))))</f>
        <v/>
      </c>
      <c r="J1499" s="27" t="str">
        <f aca="false">IF(I1499="","",IF(AND(I1499="D",Settings!$B$6&lt;&gt;"Yes"),"",IFERROR(INDEX(Settings!$C$9:$C$12,MATCH(I1499,Settings!$A$9:$A$12,0)),"")))</f>
        <v/>
      </c>
      <c r="K1499" s="27" t="str">
        <f aca="false">IF(J1499="","",COUNTIF($I$2:I1499,I1499))</f>
        <v/>
      </c>
      <c r="L1499" s="27" t="str">
        <f aca="false">IF(J1499="","",CHOOSE(Q1499+1,"Tue","Wed","Thu","Fri"))</f>
        <v/>
      </c>
      <c r="M1499" s="27" t="str">
        <f aca="false">IF(J1499="","",IF(J1499=1,"Every week",R1499+1&amp;" of "&amp;J1499))</f>
        <v/>
      </c>
      <c r="N1499" s="28" t="str">
        <f aca="false">IF(J1499="","",Settings!$B$4+R1499*7+Q1499)</f>
        <v/>
      </c>
      <c r="O1499" s="28" t="str">
        <f aca="true">IF(J1499="","",N1499+MAX(0,ROUNDUP((TODAY()-N1499)/(J1499*7),0))*J1499*7)</f>
        <v/>
      </c>
      <c r="P1499" s="27" t="str">
        <f aca="false">IF(J1499="","",MOD(K1499-1,J1499*4))</f>
        <v/>
      </c>
      <c r="Q1499" s="27" t="str">
        <f aca="false">IF(J1499="","",MOD(P1499,4))</f>
        <v/>
      </c>
      <c r="R1499" s="27" t="str">
        <f aca="false">IF(J1499="","",INT(P1499/4))</f>
        <v/>
      </c>
      <c r="S1499" s="27" t="str">
        <f aca="false">IF(J1499="","",IF(AND('Daily Count Sheet'!$H$3=Q1499,MOD('Daily Count Sheet'!$I$3,J1499)=R1499),1,""))</f>
        <v/>
      </c>
      <c r="T1499" s="27" t="str">
        <f aca="false">IF(S1499=1,COUNTIF($S$2:S1499,1),"")</f>
        <v/>
      </c>
    </row>
    <row r="1500" customFormat="false" ht="15" hidden="false" customHeight="false" outlineLevel="0" collapsed="false">
      <c r="H1500" s="26"/>
      <c r="I1500" s="27" t="str">
        <f aca="false">IF(A1500="","",IF(H1500&lt;&gt;"",UPPER(TRIM(H1500)),IFERROR(CHOOSE(VALUE(E1500)+1,"A","B","C","D"),IF(OR(LEFT(UPPER(TRIM(E1500)),1)="F",UPPER(TRIM(E1500))="A"),"A",IF(OR(LEFT(UPPER(TRIM(E1500)),1)="M",UPPER(TRIM(E1500))="B"),"B",IF(OR(LEFT(UPPER(TRIM(E1500)),2)="SL",UPPER(TRIM(E1500))="C"),"C",IF(OR(LEFT(UPPER(TRIM(E1500)),1)="D",UPPER(TRIM(E1500))="D"),"D","")))))))</f>
        <v/>
      </c>
      <c r="J1500" s="27" t="str">
        <f aca="false">IF(I1500="","",IF(AND(I1500="D",Settings!$B$6&lt;&gt;"Yes"),"",IFERROR(INDEX(Settings!$C$9:$C$12,MATCH(I1500,Settings!$A$9:$A$12,0)),"")))</f>
        <v/>
      </c>
      <c r="K1500" s="27" t="str">
        <f aca="false">IF(J1500="","",COUNTIF($I$2:I1500,I1500))</f>
        <v/>
      </c>
      <c r="L1500" s="27" t="str">
        <f aca="false">IF(J1500="","",CHOOSE(Q1500+1,"Tue","Wed","Thu","Fri"))</f>
        <v/>
      </c>
      <c r="M1500" s="27" t="str">
        <f aca="false">IF(J1500="","",IF(J1500=1,"Every week",R1500+1&amp;" of "&amp;J1500))</f>
        <v/>
      </c>
      <c r="N1500" s="28" t="str">
        <f aca="false">IF(J1500="","",Settings!$B$4+R1500*7+Q1500)</f>
        <v/>
      </c>
      <c r="O1500" s="28" t="str">
        <f aca="true">IF(J1500="","",N1500+MAX(0,ROUNDUP((TODAY()-N1500)/(J1500*7),0))*J1500*7)</f>
        <v/>
      </c>
      <c r="P1500" s="27" t="str">
        <f aca="false">IF(J1500="","",MOD(K1500-1,J1500*4))</f>
        <v/>
      </c>
      <c r="Q1500" s="27" t="str">
        <f aca="false">IF(J1500="","",MOD(P1500,4))</f>
        <v/>
      </c>
      <c r="R1500" s="27" t="str">
        <f aca="false">IF(J1500="","",INT(P1500/4))</f>
        <v/>
      </c>
      <c r="S1500" s="27" t="str">
        <f aca="false">IF(J1500="","",IF(AND('Daily Count Sheet'!$H$3=Q1500,MOD('Daily Count Sheet'!$I$3,J1500)=R1500),1,""))</f>
        <v/>
      </c>
      <c r="T1500" s="27" t="str">
        <f aca="false">IF(S1500=1,COUNTIF($S$2:S1500,1),"")</f>
        <v/>
      </c>
    </row>
    <row r="1501" customFormat="false" ht="15" hidden="false" customHeight="false" outlineLevel="0" collapsed="false">
      <c r="H1501" s="26"/>
      <c r="I1501" s="27" t="str">
        <f aca="false">IF(A1501="","",IF(H1501&lt;&gt;"",UPPER(TRIM(H1501)),IFERROR(CHOOSE(VALUE(E1501)+1,"A","B","C","D"),IF(OR(LEFT(UPPER(TRIM(E1501)),1)="F",UPPER(TRIM(E1501))="A"),"A",IF(OR(LEFT(UPPER(TRIM(E1501)),1)="M",UPPER(TRIM(E1501))="B"),"B",IF(OR(LEFT(UPPER(TRIM(E1501)),2)="SL",UPPER(TRIM(E1501))="C"),"C",IF(OR(LEFT(UPPER(TRIM(E1501)),1)="D",UPPER(TRIM(E1501))="D"),"D","")))))))</f>
        <v/>
      </c>
      <c r="J1501" s="27" t="str">
        <f aca="false">IF(I1501="","",IF(AND(I1501="D",Settings!$B$6&lt;&gt;"Yes"),"",IFERROR(INDEX(Settings!$C$9:$C$12,MATCH(I1501,Settings!$A$9:$A$12,0)),"")))</f>
        <v/>
      </c>
      <c r="K1501" s="27" t="str">
        <f aca="false">IF(J1501="","",COUNTIF($I$2:I1501,I1501))</f>
        <v/>
      </c>
      <c r="L1501" s="27" t="str">
        <f aca="false">IF(J1501="","",CHOOSE(Q1501+1,"Tue","Wed","Thu","Fri"))</f>
        <v/>
      </c>
      <c r="M1501" s="27" t="str">
        <f aca="false">IF(J1501="","",IF(J1501=1,"Every week",R1501+1&amp;" of "&amp;J1501))</f>
        <v/>
      </c>
      <c r="N1501" s="28" t="str">
        <f aca="false">IF(J1501="","",Settings!$B$4+R1501*7+Q1501)</f>
        <v/>
      </c>
      <c r="O1501" s="28" t="str">
        <f aca="true">IF(J1501="","",N1501+MAX(0,ROUNDUP((TODAY()-N1501)/(J1501*7),0))*J1501*7)</f>
        <v/>
      </c>
      <c r="P1501" s="27" t="str">
        <f aca="false">IF(J1501="","",MOD(K1501-1,J1501*4))</f>
        <v/>
      </c>
      <c r="Q1501" s="27" t="str">
        <f aca="false">IF(J1501="","",MOD(P1501,4))</f>
        <v/>
      </c>
      <c r="R1501" s="27" t="str">
        <f aca="false">IF(J1501="","",INT(P1501/4))</f>
        <v/>
      </c>
      <c r="S1501" s="27" t="str">
        <f aca="false">IF(J1501="","",IF(AND('Daily Count Sheet'!$H$3=Q1501,MOD('Daily Count Sheet'!$I$3,J1501)=R1501),1,""))</f>
        <v/>
      </c>
      <c r="T1501" s="27" t="str">
        <f aca="false">IF(S1501=1,COUNTIF($S$2:S1501,1),"")</f>
        <v/>
      </c>
    </row>
    <row r="1502" customFormat="false" ht="15" hidden="false" customHeight="false" outlineLevel="0" collapsed="false">
      <c r="H1502" s="26"/>
      <c r="I1502" s="27" t="str">
        <f aca="false">IF(A1502="","",IF(H1502&lt;&gt;"",UPPER(TRIM(H1502)),IFERROR(CHOOSE(VALUE(E1502)+1,"A","B","C","D"),IF(OR(LEFT(UPPER(TRIM(E1502)),1)="F",UPPER(TRIM(E1502))="A"),"A",IF(OR(LEFT(UPPER(TRIM(E1502)),1)="M",UPPER(TRIM(E1502))="B"),"B",IF(OR(LEFT(UPPER(TRIM(E1502)),2)="SL",UPPER(TRIM(E1502))="C"),"C",IF(OR(LEFT(UPPER(TRIM(E1502)),1)="D",UPPER(TRIM(E1502))="D"),"D","")))))))</f>
        <v/>
      </c>
      <c r="J1502" s="27" t="str">
        <f aca="false">IF(I1502="","",IF(AND(I1502="D",Settings!$B$6&lt;&gt;"Yes"),"",IFERROR(INDEX(Settings!$C$9:$C$12,MATCH(I1502,Settings!$A$9:$A$12,0)),"")))</f>
        <v/>
      </c>
      <c r="K1502" s="27" t="str">
        <f aca="false">IF(J1502="","",COUNTIF($I$2:I1502,I1502))</f>
        <v/>
      </c>
      <c r="L1502" s="27" t="str">
        <f aca="false">IF(J1502="","",CHOOSE(Q1502+1,"Tue","Wed","Thu","Fri"))</f>
        <v/>
      </c>
      <c r="M1502" s="27" t="str">
        <f aca="false">IF(J1502="","",IF(J1502=1,"Every week",R1502+1&amp;" of "&amp;J1502))</f>
        <v/>
      </c>
      <c r="N1502" s="28" t="str">
        <f aca="false">IF(J1502="","",Settings!$B$4+R1502*7+Q1502)</f>
        <v/>
      </c>
      <c r="O1502" s="28" t="str">
        <f aca="true">IF(J1502="","",N1502+MAX(0,ROUNDUP((TODAY()-N1502)/(J1502*7),0))*J1502*7)</f>
        <v/>
      </c>
      <c r="P1502" s="27" t="str">
        <f aca="false">IF(J1502="","",MOD(K1502-1,J1502*4))</f>
        <v/>
      </c>
      <c r="Q1502" s="27" t="str">
        <f aca="false">IF(J1502="","",MOD(P1502,4))</f>
        <v/>
      </c>
      <c r="R1502" s="27" t="str">
        <f aca="false">IF(J1502="","",INT(P1502/4))</f>
        <v/>
      </c>
      <c r="S1502" s="27" t="str">
        <f aca="false">IF(J1502="","",IF(AND('Daily Count Sheet'!$H$3=Q1502,MOD('Daily Count Sheet'!$I$3,J1502)=R1502),1,""))</f>
        <v/>
      </c>
      <c r="T1502" s="27" t="str">
        <f aca="false">IF(S1502=1,COUNTIF($S$2:S1502,1),"")</f>
        <v/>
      </c>
    </row>
    <row r="1503" customFormat="false" ht="15" hidden="false" customHeight="false" outlineLevel="0" collapsed="false">
      <c r="H1503" s="26"/>
      <c r="I1503" s="27" t="str">
        <f aca="false">IF(A1503="","",IF(H1503&lt;&gt;"",UPPER(TRIM(H1503)),IFERROR(CHOOSE(VALUE(E1503)+1,"A","B","C","D"),IF(OR(LEFT(UPPER(TRIM(E1503)),1)="F",UPPER(TRIM(E1503))="A"),"A",IF(OR(LEFT(UPPER(TRIM(E1503)),1)="M",UPPER(TRIM(E1503))="B"),"B",IF(OR(LEFT(UPPER(TRIM(E1503)),2)="SL",UPPER(TRIM(E1503))="C"),"C",IF(OR(LEFT(UPPER(TRIM(E1503)),1)="D",UPPER(TRIM(E1503))="D"),"D","")))))))</f>
        <v/>
      </c>
      <c r="J1503" s="27" t="str">
        <f aca="false">IF(I1503="","",IF(AND(I1503="D",Settings!$B$6&lt;&gt;"Yes"),"",IFERROR(INDEX(Settings!$C$9:$C$12,MATCH(I1503,Settings!$A$9:$A$12,0)),"")))</f>
        <v/>
      </c>
      <c r="K1503" s="27" t="str">
        <f aca="false">IF(J1503="","",COUNTIF($I$2:I1503,I1503))</f>
        <v/>
      </c>
      <c r="L1503" s="27" t="str">
        <f aca="false">IF(J1503="","",CHOOSE(Q1503+1,"Tue","Wed","Thu","Fri"))</f>
        <v/>
      </c>
      <c r="M1503" s="27" t="str">
        <f aca="false">IF(J1503="","",IF(J1503=1,"Every week",R1503+1&amp;" of "&amp;J1503))</f>
        <v/>
      </c>
      <c r="N1503" s="28" t="str">
        <f aca="false">IF(J1503="","",Settings!$B$4+R1503*7+Q1503)</f>
        <v/>
      </c>
      <c r="O1503" s="28" t="str">
        <f aca="true">IF(J1503="","",N1503+MAX(0,ROUNDUP((TODAY()-N1503)/(J1503*7),0))*J1503*7)</f>
        <v/>
      </c>
      <c r="P1503" s="27" t="str">
        <f aca="false">IF(J1503="","",MOD(K1503-1,J1503*4))</f>
        <v/>
      </c>
      <c r="Q1503" s="27" t="str">
        <f aca="false">IF(J1503="","",MOD(P1503,4))</f>
        <v/>
      </c>
      <c r="R1503" s="27" t="str">
        <f aca="false">IF(J1503="","",INT(P1503/4))</f>
        <v/>
      </c>
      <c r="S1503" s="27" t="str">
        <f aca="false">IF(J1503="","",IF(AND('Daily Count Sheet'!$H$3=Q1503,MOD('Daily Count Sheet'!$I$3,J1503)=R1503),1,""))</f>
        <v/>
      </c>
      <c r="T1503" s="27" t="str">
        <f aca="false">IF(S1503=1,COUNTIF($S$2:S1503,1),"")</f>
        <v/>
      </c>
    </row>
    <row r="1504" customFormat="false" ht="15" hidden="false" customHeight="false" outlineLevel="0" collapsed="false">
      <c r="H1504" s="26"/>
      <c r="I1504" s="27" t="str">
        <f aca="false">IF(A1504="","",IF(H1504&lt;&gt;"",UPPER(TRIM(H1504)),IFERROR(CHOOSE(VALUE(E1504)+1,"A","B","C","D"),IF(OR(LEFT(UPPER(TRIM(E1504)),1)="F",UPPER(TRIM(E1504))="A"),"A",IF(OR(LEFT(UPPER(TRIM(E1504)),1)="M",UPPER(TRIM(E1504))="B"),"B",IF(OR(LEFT(UPPER(TRIM(E1504)),2)="SL",UPPER(TRIM(E1504))="C"),"C",IF(OR(LEFT(UPPER(TRIM(E1504)),1)="D",UPPER(TRIM(E1504))="D"),"D","")))))))</f>
        <v/>
      </c>
      <c r="J1504" s="27" t="str">
        <f aca="false">IF(I1504="","",IF(AND(I1504="D",Settings!$B$6&lt;&gt;"Yes"),"",IFERROR(INDEX(Settings!$C$9:$C$12,MATCH(I1504,Settings!$A$9:$A$12,0)),"")))</f>
        <v/>
      </c>
      <c r="K1504" s="27" t="str">
        <f aca="false">IF(J1504="","",COUNTIF($I$2:I1504,I1504))</f>
        <v/>
      </c>
      <c r="L1504" s="27" t="str">
        <f aca="false">IF(J1504="","",CHOOSE(Q1504+1,"Tue","Wed","Thu","Fri"))</f>
        <v/>
      </c>
      <c r="M1504" s="27" t="str">
        <f aca="false">IF(J1504="","",IF(J1504=1,"Every week",R1504+1&amp;" of "&amp;J1504))</f>
        <v/>
      </c>
      <c r="N1504" s="28" t="str">
        <f aca="false">IF(J1504="","",Settings!$B$4+R1504*7+Q1504)</f>
        <v/>
      </c>
      <c r="O1504" s="28" t="str">
        <f aca="true">IF(J1504="","",N1504+MAX(0,ROUNDUP((TODAY()-N1504)/(J1504*7),0))*J1504*7)</f>
        <v/>
      </c>
      <c r="P1504" s="27" t="str">
        <f aca="false">IF(J1504="","",MOD(K1504-1,J1504*4))</f>
        <v/>
      </c>
      <c r="Q1504" s="27" t="str">
        <f aca="false">IF(J1504="","",MOD(P1504,4))</f>
        <v/>
      </c>
      <c r="R1504" s="27" t="str">
        <f aca="false">IF(J1504="","",INT(P1504/4))</f>
        <v/>
      </c>
      <c r="S1504" s="27" t="str">
        <f aca="false">IF(J1504="","",IF(AND('Daily Count Sheet'!$H$3=Q1504,MOD('Daily Count Sheet'!$I$3,J1504)=R1504),1,""))</f>
        <v/>
      </c>
      <c r="T1504" s="27" t="str">
        <f aca="false">IF(S1504=1,COUNTIF($S$2:S1504,1),"")</f>
        <v/>
      </c>
    </row>
    <row r="1505" customFormat="false" ht="15" hidden="false" customHeight="false" outlineLevel="0" collapsed="false">
      <c r="H1505" s="26"/>
      <c r="I1505" s="27" t="str">
        <f aca="false">IF(A1505="","",IF(H1505&lt;&gt;"",UPPER(TRIM(H1505)),IFERROR(CHOOSE(VALUE(E1505)+1,"A","B","C","D"),IF(OR(LEFT(UPPER(TRIM(E1505)),1)="F",UPPER(TRIM(E1505))="A"),"A",IF(OR(LEFT(UPPER(TRIM(E1505)),1)="M",UPPER(TRIM(E1505))="B"),"B",IF(OR(LEFT(UPPER(TRIM(E1505)),2)="SL",UPPER(TRIM(E1505))="C"),"C",IF(OR(LEFT(UPPER(TRIM(E1505)),1)="D",UPPER(TRIM(E1505))="D"),"D","")))))))</f>
        <v/>
      </c>
      <c r="J1505" s="27" t="str">
        <f aca="false">IF(I1505="","",IF(AND(I1505="D",Settings!$B$6&lt;&gt;"Yes"),"",IFERROR(INDEX(Settings!$C$9:$C$12,MATCH(I1505,Settings!$A$9:$A$12,0)),"")))</f>
        <v/>
      </c>
      <c r="K1505" s="27" t="str">
        <f aca="false">IF(J1505="","",COUNTIF($I$2:I1505,I1505))</f>
        <v/>
      </c>
      <c r="L1505" s="27" t="str">
        <f aca="false">IF(J1505="","",CHOOSE(Q1505+1,"Tue","Wed","Thu","Fri"))</f>
        <v/>
      </c>
      <c r="M1505" s="27" t="str">
        <f aca="false">IF(J1505="","",IF(J1505=1,"Every week",R1505+1&amp;" of "&amp;J1505))</f>
        <v/>
      </c>
      <c r="N1505" s="28" t="str">
        <f aca="false">IF(J1505="","",Settings!$B$4+R1505*7+Q1505)</f>
        <v/>
      </c>
      <c r="O1505" s="28" t="str">
        <f aca="true">IF(J1505="","",N1505+MAX(0,ROUNDUP((TODAY()-N1505)/(J1505*7),0))*J1505*7)</f>
        <v/>
      </c>
      <c r="P1505" s="27" t="str">
        <f aca="false">IF(J1505="","",MOD(K1505-1,J1505*4))</f>
        <v/>
      </c>
      <c r="Q1505" s="27" t="str">
        <f aca="false">IF(J1505="","",MOD(P1505,4))</f>
        <v/>
      </c>
      <c r="R1505" s="27" t="str">
        <f aca="false">IF(J1505="","",INT(P1505/4))</f>
        <v/>
      </c>
      <c r="S1505" s="27" t="str">
        <f aca="false">IF(J1505="","",IF(AND('Daily Count Sheet'!$H$3=Q1505,MOD('Daily Count Sheet'!$I$3,J1505)=R1505),1,""))</f>
        <v/>
      </c>
      <c r="T1505" s="27" t="str">
        <f aca="false">IF(S1505=1,COUNTIF($S$2:S1505,1),"")</f>
        <v/>
      </c>
    </row>
    <row r="1506" customFormat="false" ht="15" hidden="false" customHeight="false" outlineLevel="0" collapsed="false">
      <c r="H1506" s="26"/>
      <c r="I1506" s="27" t="str">
        <f aca="false">IF(A1506="","",IF(H1506&lt;&gt;"",UPPER(TRIM(H1506)),IFERROR(CHOOSE(VALUE(E1506)+1,"A","B","C","D"),IF(OR(LEFT(UPPER(TRIM(E1506)),1)="F",UPPER(TRIM(E1506))="A"),"A",IF(OR(LEFT(UPPER(TRIM(E1506)),1)="M",UPPER(TRIM(E1506))="B"),"B",IF(OR(LEFT(UPPER(TRIM(E1506)),2)="SL",UPPER(TRIM(E1506))="C"),"C",IF(OR(LEFT(UPPER(TRIM(E1506)),1)="D",UPPER(TRIM(E1506))="D"),"D","")))))))</f>
        <v/>
      </c>
      <c r="J1506" s="27" t="str">
        <f aca="false">IF(I1506="","",IF(AND(I1506="D",Settings!$B$6&lt;&gt;"Yes"),"",IFERROR(INDEX(Settings!$C$9:$C$12,MATCH(I1506,Settings!$A$9:$A$12,0)),"")))</f>
        <v/>
      </c>
      <c r="K1506" s="27" t="str">
        <f aca="false">IF(J1506="","",COUNTIF($I$2:I1506,I1506))</f>
        <v/>
      </c>
      <c r="L1506" s="27" t="str">
        <f aca="false">IF(J1506="","",CHOOSE(Q1506+1,"Tue","Wed","Thu","Fri"))</f>
        <v/>
      </c>
      <c r="M1506" s="27" t="str">
        <f aca="false">IF(J1506="","",IF(J1506=1,"Every week",R1506+1&amp;" of "&amp;J1506))</f>
        <v/>
      </c>
      <c r="N1506" s="28" t="str">
        <f aca="false">IF(J1506="","",Settings!$B$4+R1506*7+Q1506)</f>
        <v/>
      </c>
      <c r="O1506" s="28" t="str">
        <f aca="true">IF(J1506="","",N1506+MAX(0,ROUNDUP((TODAY()-N1506)/(J1506*7),0))*J1506*7)</f>
        <v/>
      </c>
      <c r="P1506" s="27" t="str">
        <f aca="false">IF(J1506="","",MOD(K1506-1,J1506*4))</f>
        <v/>
      </c>
      <c r="Q1506" s="27" t="str">
        <f aca="false">IF(J1506="","",MOD(P1506,4))</f>
        <v/>
      </c>
      <c r="R1506" s="27" t="str">
        <f aca="false">IF(J1506="","",INT(P1506/4))</f>
        <v/>
      </c>
      <c r="S1506" s="27" t="str">
        <f aca="false">IF(J1506="","",IF(AND('Daily Count Sheet'!$H$3=Q1506,MOD('Daily Count Sheet'!$I$3,J1506)=R1506),1,""))</f>
        <v/>
      </c>
      <c r="T1506" s="27" t="str">
        <f aca="false">IF(S1506=1,COUNTIF($S$2:S1506,1),"")</f>
        <v/>
      </c>
    </row>
    <row r="1507" customFormat="false" ht="15" hidden="false" customHeight="false" outlineLevel="0" collapsed="false">
      <c r="H1507" s="26"/>
      <c r="I1507" s="27" t="str">
        <f aca="false">IF(A1507="","",IF(H1507&lt;&gt;"",UPPER(TRIM(H1507)),IFERROR(CHOOSE(VALUE(E1507)+1,"A","B","C","D"),IF(OR(LEFT(UPPER(TRIM(E1507)),1)="F",UPPER(TRIM(E1507))="A"),"A",IF(OR(LEFT(UPPER(TRIM(E1507)),1)="M",UPPER(TRIM(E1507))="B"),"B",IF(OR(LEFT(UPPER(TRIM(E1507)),2)="SL",UPPER(TRIM(E1507))="C"),"C",IF(OR(LEFT(UPPER(TRIM(E1507)),1)="D",UPPER(TRIM(E1507))="D"),"D","")))))))</f>
        <v/>
      </c>
      <c r="J1507" s="27" t="str">
        <f aca="false">IF(I1507="","",IF(AND(I1507="D",Settings!$B$6&lt;&gt;"Yes"),"",IFERROR(INDEX(Settings!$C$9:$C$12,MATCH(I1507,Settings!$A$9:$A$12,0)),"")))</f>
        <v/>
      </c>
      <c r="K1507" s="27" t="str">
        <f aca="false">IF(J1507="","",COUNTIF($I$2:I1507,I1507))</f>
        <v/>
      </c>
      <c r="L1507" s="27" t="str">
        <f aca="false">IF(J1507="","",CHOOSE(Q1507+1,"Tue","Wed","Thu","Fri"))</f>
        <v/>
      </c>
      <c r="M1507" s="27" t="str">
        <f aca="false">IF(J1507="","",IF(J1507=1,"Every week",R1507+1&amp;" of "&amp;J1507))</f>
        <v/>
      </c>
      <c r="N1507" s="28" t="str">
        <f aca="false">IF(J1507="","",Settings!$B$4+R1507*7+Q1507)</f>
        <v/>
      </c>
      <c r="O1507" s="28" t="str">
        <f aca="true">IF(J1507="","",N1507+MAX(0,ROUNDUP((TODAY()-N1507)/(J1507*7),0))*J1507*7)</f>
        <v/>
      </c>
      <c r="P1507" s="27" t="str">
        <f aca="false">IF(J1507="","",MOD(K1507-1,J1507*4))</f>
        <v/>
      </c>
      <c r="Q1507" s="27" t="str">
        <f aca="false">IF(J1507="","",MOD(P1507,4))</f>
        <v/>
      </c>
      <c r="R1507" s="27" t="str">
        <f aca="false">IF(J1507="","",INT(P1507/4))</f>
        <v/>
      </c>
      <c r="S1507" s="27" t="str">
        <f aca="false">IF(J1507="","",IF(AND('Daily Count Sheet'!$H$3=Q1507,MOD('Daily Count Sheet'!$I$3,J1507)=R1507),1,""))</f>
        <v/>
      </c>
      <c r="T1507" s="27" t="str">
        <f aca="false">IF(S1507=1,COUNTIF($S$2:S1507,1),"")</f>
        <v/>
      </c>
    </row>
    <row r="1508" customFormat="false" ht="15" hidden="false" customHeight="false" outlineLevel="0" collapsed="false">
      <c r="H1508" s="26"/>
      <c r="I1508" s="27" t="str">
        <f aca="false">IF(A1508="","",IF(H1508&lt;&gt;"",UPPER(TRIM(H1508)),IFERROR(CHOOSE(VALUE(E1508)+1,"A","B","C","D"),IF(OR(LEFT(UPPER(TRIM(E1508)),1)="F",UPPER(TRIM(E1508))="A"),"A",IF(OR(LEFT(UPPER(TRIM(E1508)),1)="M",UPPER(TRIM(E1508))="B"),"B",IF(OR(LEFT(UPPER(TRIM(E1508)),2)="SL",UPPER(TRIM(E1508))="C"),"C",IF(OR(LEFT(UPPER(TRIM(E1508)),1)="D",UPPER(TRIM(E1508))="D"),"D","")))))))</f>
        <v/>
      </c>
      <c r="J1508" s="27" t="str">
        <f aca="false">IF(I1508="","",IF(AND(I1508="D",Settings!$B$6&lt;&gt;"Yes"),"",IFERROR(INDEX(Settings!$C$9:$C$12,MATCH(I1508,Settings!$A$9:$A$12,0)),"")))</f>
        <v/>
      </c>
      <c r="K1508" s="27" t="str">
        <f aca="false">IF(J1508="","",COUNTIF($I$2:I1508,I1508))</f>
        <v/>
      </c>
      <c r="L1508" s="27" t="str">
        <f aca="false">IF(J1508="","",CHOOSE(Q1508+1,"Tue","Wed","Thu","Fri"))</f>
        <v/>
      </c>
      <c r="M1508" s="27" t="str">
        <f aca="false">IF(J1508="","",IF(J1508=1,"Every week",R1508+1&amp;" of "&amp;J1508))</f>
        <v/>
      </c>
      <c r="N1508" s="28" t="str">
        <f aca="false">IF(J1508="","",Settings!$B$4+R1508*7+Q1508)</f>
        <v/>
      </c>
      <c r="O1508" s="28" t="str">
        <f aca="true">IF(J1508="","",N1508+MAX(0,ROUNDUP((TODAY()-N1508)/(J1508*7),0))*J1508*7)</f>
        <v/>
      </c>
      <c r="P1508" s="27" t="str">
        <f aca="false">IF(J1508="","",MOD(K1508-1,J1508*4))</f>
        <v/>
      </c>
      <c r="Q1508" s="27" t="str">
        <f aca="false">IF(J1508="","",MOD(P1508,4))</f>
        <v/>
      </c>
      <c r="R1508" s="27" t="str">
        <f aca="false">IF(J1508="","",INT(P1508/4))</f>
        <v/>
      </c>
      <c r="S1508" s="27" t="str">
        <f aca="false">IF(J1508="","",IF(AND('Daily Count Sheet'!$H$3=Q1508,MOD('Daily Count Sheet'!$I$3,J1508)=R1508),1,""))</f>
        <v/>
      </c>
      <c r="T1508" s="27" t="str">
        <f aca="false">IF(S1508=1,COUNTIF($S$2:S1508,1),"")</f>
        <v/>
      </c>
    </row>
    <row r="1509" customFormat="false" ht="15" hidden="false" customHeight="false" outlineLevel="0" collapsed="false">
      <c r="H1509" s="26"/>
      <c r="I1509" s="27" t="str">
        <f aca="false">IF(A1509="","",IF(H1509&lt;&gt;"",UPPER(TRIM(H1509)),IFERROR(CHOOSE(VALUE(E1509)+1,"A","B","C","D"),IF(OR(LEFT(UPPER(TRIM(E1509)),1)="F",UPPER(TRIM(E1509))="A"),"A",IF(OR(LEFT(UPPER(TRIM(E1509)),1)="M",UPPER(TRIM(E1509))="B"),"B",IF(OR(LEFT(UPPER(TRIM(E1509)),2)="SL",UPPER(TRIM(E1509))="C"),"C",IF(OR(LEFT(UPPER(TRIM(E1509)),1)="D",UPPER(TRIM(E1509))="D"),"D","")))))))</f>
        <v/>
      </c>
      <c r="J1509" s="27" t="str">
        <f aca="false">IF(I1509="","",IF(AND(I1509="D",Settings!$B$6&lt;&gt;"Yes"),"",IFERROR(INDEX(Settings!$C$9:$C$12,MATCH(I1509,Settings!$A$9:$A$12,0)),"")))</f>
        <v/>
      </c>
      <c r="K1509" s="27" t="str">
        <f aca="false">IF(J1509="","",COUNTIF($I$2:I1509,I1509))</f>
        <v/>
      </c>
      <c r="L1509" s="27" t="str">
        <f aca="false">IF(J1509="","",CHOOSE(Q1509+1,"Tue","Wed","Thu","Fri"))</f>
        <v/>
      </c>
      <c r="M1509" s="27" t="str">
        <f aca="false">IF(J1509="","",IF(J1509=1,"Every week",R1509+1&amp;" of "&amp;J1509))</f>
        <v/>
      </c>
      <c r="N1509" s="28" t="str">
        <f aca="false">IF(J1509="","",Settings!$B$4+R1509*7+Q1509)</f>
        <v/>
      </c>
      <c r="O1509" s="28" t="str">
        <f aca="true">IF(J1509="","",N1509+MAX(0,ROUNDUP((TODAY()-N1509)/(J1509*7),0))*J1509*7)</f>
        <v/>
      </c>
      <c r="P1509" s="27" t="str">
        <f aca="false">IF(J1509="","",MOD(K1509-1,J1509*4))</f>
        <v/>
      </c>
      <c r="Q1509" s="27" t="str">
        <f aca="false">IF(J1509="","",MOD(P1509,4))</f>
        <v/>
      </c>
      <c r="R1509" s="27" t="str">
        <f aca="false">IF(J1509="","",INT(P1509/4))</f>
        <v/>
      </c>
      <c r="S1509" s="27" t="str">
        <f aca="false">IF(J1509="","",IF(AND('Daily Count Sheet'!$H$3=Q1509,MOD('Daily Count Sheet'!$I$3,J1509)=R1509),1,""))</f>
        <v/>
      </c>
      <c r="T1509" s="27" t="str">
        <f aca="false">IF(S1509=1,COUNTIF($S$2:S1509,1),"")</f>
        <v/>
      </c>
    </row>
    <row r="1510" customFormat="false" ht="15" hidden="false" customHeight="false" outlineLevel="0" collapsed="false">
      <c r="H1510" s="26"/>
      <c r="I1510" s="27" t="str">
        <f aca="false">IF(A1510="","",IF(H1510&lt;&gt;"",UPPER(TRIM(H1510)),IFERROR(CHOOSE(VALUE(E1510)+1,"A","B","C","D"),IF(OR(LEFT(UPPER(TRIM(E1510)),1)="F",UPPER(TRIM(E1510))="A"),"A",IF(OR(LEFT(UPPER(TRIM(E1510)),1)="M",UPPER(TRIM(E1510))="B"),"B",IF(OR(LEFT(UPPER(TRIM(E1510)),2)="SL",UPPER(TRIM(E1510))="C"),"C",IF(OR(LEFT(UPPER(TRIM(E1510)),1)="D",UPPER(TRIM(E1510))="D"),"D","")))))))</f>
        <v/>
      </c>
      <c r="J1510" s="27" t="str">
        <f aca="false">IF(I1510="","",IF(AND(I1510="D",Settings!$B$6&lt;&gt;"Yes"),"",IFERROR(INDEX(Settings!$C$9:$C$12,MATCH(I1510,Settings!$A$9:$A$12,0)),"")))</f>
        <v/>
      </c>
      <c r="K1510" s="27" t="str">
        <f aca="false">IF(J1510="","",COUNTIF($I$2:I1510,I1510))</f>
        <v/>
      </c>
      <c r="L1510" s="27" t="str">
        <f aca="false">IF(J1510="","",CHOOSE(Q1510+1,"Tue","Wed","Thu","Fri"))</f>
        <v/>
      </c>
      <c r="M1510" s="27" t="str">
        <f aca="false">IF(J1510="","",IF(J1510=1,"Every week",R1510+1&amp;" of "&amp;J1510))</f>
        <v/>
      </c>
      <c r="N1510" s="28" t="str">
        <f aca="false">IF(J1510="","",Settings!$B$4+R1510*7+Q1510)</f>
        <v/>
      </c>
      <c r="O1510" s="28" t="str">
        <f aca="true">IF(J1510="","",N1510+MAX(0,ROUNDUP((TODAY()-N1510)/(J1510*7),0))*J1510*7)</f>
        <v/>
      </c>
      <c r="P1510" s="27" t="str">
        <f aca="false">IF(J1510="","",MOD(K1510-1,J1510*4))</f>
        <v/>
      </c>
      <c r="Q1510" s="27" t="str">
        <f aca="false">IF(J1510="","",MOD(P1510,4))</f>
        <v/>
      </c>
      <c r="R1510" s="27" t="str">
        <f aca="false">IF(J1510="","",INT(P1510/4))</f>
        <v/>
      </c>
      <c r="S1510" s="27" t="str">
        <f aca="false">IF(J1510="","",IF(AND('Daily Count Sheet'!$H$3=Q1510,MOD('Daily Count Sheet'!$I$3,J1510)=R1510),1,""))</f>
        <v/>
      </c>
      <c r="T1510" s="27" t="str">
        <f aca="false">IF(S1510=1,COUNTIF($S$2:S1510,1),"")</f>
        <v/>
      </c>
    </row>
    <row r="1511" customFormat="false" ht="15" hidden="false" customHeight="false" outlineLevel="0" collapsed="false">
      <c r="H1511" s="26"/>
      <c r="I1511" s="27" t="str">
        <f aca="false">IF(A1511="","",IF(H1511&lt;&gt;"",UPPER(TRIM(H1511)),IFERROR(CHOOSE(VALUE(E1511)+1,"A","B","C","D"),IF(OR(LEFT(UPPER(TRIM(E1511)),1)="F",UPPER(TRIM(E1511))="A"),"A",IF(OR(LEFT(UPPER(TRIM(E1511)),1)="M",UPPER(TRIM(E1511))="B"),"B",IF(OR(LEFT(UPPER(TRIM(E1511)),2)="SL",UPPER(TRIM(E1511))="C"),"C",IF(OR(LEFT(UPPER(TRIM(E1511)),1)="D",UPPER(TRIM(E1511))="D"),"D","")))))))</f>
        <v/>
      </c>
      <c r="J1511" s="27" t="str">
        <f aca="false">IF(I1511="","",IF(AND(I1511="D",Settings!$B$6&lt;&gt;"Yes"),"",IFERROR(INDEX(Settings!$C$9:$C$12,MATCH(I1511,Settings!$A$9:$A$12,0)),"")))</f>
        <v/>
      </c>
      <c r="K1511" s="27" t="str">
        <f aca="false">IF(J1511="","",COUNTIF($I$2:I1511,I1511))</f>
        <v/>
      </c>
      <c r="L1511" s="27" t="str">
        <f aca="false">IF(J1511="","",CHOOSE(Q1511+1,"Tue","Wed","Thu","Fri"))</f>
        <v/>
      </c>
      <c r="M1511" s="27" t="str">
        <f aca="false">IF(J1511="","",IF(J1511=1,"Every week",R1511+1&amp;" of "&amp;J1511))</f>
        <v/>
      </c>
      <c r="N1511" s="28" t="str">
        <f aca="false">IF(J1511="","",Settings!$B$4+R1511*7+Q1511)</f>
        <v/>
      </c>
      <c r="O1511" s="28" t="str">
        <f aca="true">IF(J1511="","",N1511+MAX(0,ROUNDUP((TODAY()-N1511)/(J1511*7),0))*J1511*7)</f>
        <v/>
      </c>
      <c r="P1511" s="27" t="str">
        <f aca="false">IF(J1511="","",MOD(K1511-1,J1511*4))</f>
        <v/>
      </c>
      <c r="Q1511" s="27" t="str">
        <f aca="false">IF(J1511="","",MOD(P1511,4))</f>
        <v/>
      </c>
      <c r="R1511" s="27" t="str">
        <f aca="false">IF(J1511="","",INT(P1511/4))</f>
        <v/>
      </c>
      <c r="S1511" s="27" t="str">
        <f aca="false">IF(J1511="","",IF(AND('Daily Count Sheet'!$H$3=Q1511,MOD('Daily Count Sheet'!$I$3,J1511)=R1511),1,""))</f>
        <v/>
      </c>
      <c r="T1511" s="27" t="str">
        <f aca="false">IF(S1511=1,COUNTIF($S$2:S1511,1),"")</f>
        <v/>
      </c>
    </row>
    <row r="1512" customFormat="false" ht="15" hidden="false" customHeight="false" outlineLevel="0" collapsed="false">
      <c r="H1512" s="26"/>
      <c r="I1512" s="27" t="str">
        <f aca="false">IF(A1512="","",IF(H1512&lt;&gt;"",UPPER(TRIM(H1512)),IFERROR(CHOOSE(VALUE(E1512)+1,"A","B","C","D"),IF(OR(LEFT(UPPER(TRIM(E1512)),1)="F",UPPER(TRIM(E1512))="A"),"A",IF(OR(LEFT(UPPER(TRIM(E1512)),1)="M",UPPER(TRIM(E1512))="B"),"B",IF(OR(LEFT(UPPER(TRIM(E1512)),2)="SL",UPPER(TRIM(E1512))="C"),"C",IF(OR(LEFT(UPPER(TRIM(E1512)),1)="D",UPPER(TRIM(E1512))="D"),"D","")))))))</f>
        <v/>
      </c>
      <c r="J1512" s="27" t="str">
        <f aca="false">IF(I1512="","",IF(AND(I1512="D",Settings!$B$6&lt;&gt;"Yes"),"",IFERROR(INDEX(Settings!$C$9:$C$12,MATCH(I1512,Settings!$A$9:$A$12,0)),"")))</f>
        <v/>
      </c>
      <c r="K1512" s="27" t="str">
        <f aca="false">IF(J1512="","",COUNTIF($I$2:I1512,I1512))</f>
        <v/>
      </c>
      <c r="L1512" s="27" t="str">
        <f aca="false">IF(J1512="","",CHOOSE(Q1512+1,"Tue","Wed","Thu","Fri"))</f>
        <v/>
      </c>
      <c r="M1512" s="27" t="str">
        <f aca="false">IF(J1512="","",IF(J1512=1,"Every week",R1512+1&amp;" of "&amp;J1512))</f>
        <v/>
      </c>
      <c r="N1512" s="28" t="str">
        <f aca="false">IF(J1512="","",Settings!$B$4+R1512*7+Q1512)</f>
        <v/>
      </c>
      <c r="O1512" s="28" t="str">
        <f aca="true">IF(J1512="","",N1512+MAX(0,ROUNDUP((TODAY()-N1512)/(J1512*7),0))*J1512*7)</f>
        <v/>
      </c>
      <c r="P1512" s="27" t="str">
        <f aca="false">IF(J1512="","",MOD(K1512-1,J1512*4))</f>
        <v/>
      </c>
      <c r="Q1512" s="27" t="str">
        <f aca="false">IF(J1512="","",MOD(P1512,4))</f>
        <v/>
      </c>
      <c r="R1512" s="27" t="str">
        <f aca="false">IF(J1512="","",INT(P1512/4))</f>
        <v/>
      </c>
      <c r="S1512" s="27" t="str">
        <f aca="false">IF(J1512="","",IF(AND('Daily Count Sheet'!$H$3=Q1512,MOD('Daily Count Sheet'!$I$3,J1512)=R1512),1,""))</f>
        <v/>
      </c>
      <c r="T1512" s="27" t="str">
        <f aca="false">IF(S1512=1,COUNTIF($S$2:S1512,1),"")</f>
        <v/>
      </c>
    </row>
    <row r="1513" customFormat="false" ht="15" hidden="false" customHeight="false" outlineLevel="0" collapsed="false">
      <c r="H1513" s="26"/>
      <c r="I1513" s="27" t="str">
        <f aca="false">IF(A1513="","",IF(H1513&lt;&gt;"",UPPER(TRIM(H1513)),IFERROR(CHOOSE(VALUE(E1513)+1,"A","B","C","D"),IF(OR(LEFT(UPPER(TRIM(E1513)),1)="F",UPPER(TRIM(E1513))="A"),"A",IF(OR(LEFT(UPPER(TRIM(E1513)),1)="M",UPPER(TRIM(E1513))="B"),"B",IF(OR(LEFT(UPPER(TRIM(E1513)),2)="SL",UPPER(TRIM(E1513))="C"),"C",IF(OR(LEFT(UPPER(TRIM(E1513)),1)="D",UPPER(TRIM(E1513))="D"),"D","")))))))</f>
        <v/>
      </c>
      <c r="J1513" s="27" t="str">
        <f aca="false">IF(I1513="","",IF(AND(I1513="D",Settings!$B$6&lt;&gt;"Yes"),"",IFERROR(INDEX(Settings!$C$9:$C$12,MATCH(I1513,Settings!$A$9:$A$12,0)),"")))</f>
        <v/>
      </c>
      <c r="K1513" s="27" t="str">
        <f aca="false">IF(J1513="","",COUNTIF($I$2:I1513,I1513))</f>
        <v/>
      </c>
      <c r="L1513" s="27" t="str">
        <f aca="false">IF(J1513="","",CHOOSE(Q1513+1,"Tue","Wed","Thu","Fri"))</f>
        <v/>
      </c>
      <c r="M1513" s="27" t="str">
        <f aca="false">IF(J1513="","",IF(J1513=1,"Every week",R1513+1&amp;" of "&amp;J1513))</f>
        <v/>
      </c>
      <c r="N1513" s="28" t="str">
        <f aca="false">IF(J1513="","",Settings!$B$4+R1513*7+Q1513)</f>
        <v/>
      </c>
      <c r="O1513" s="28" t="str">
        <f aca="true">IF(J1513="","",N1513+MAX(0,ROUNDUP((TODAY()-N1513)/(J1513*7),0))*J1513*7)</f>
        <v/>
      </c>
      <c r="P1513" s="27" t="str">
        <f aca="false">IF(J1513="","",MOD(K1513-1,J1513*4))</f>
        <v/>
      </c>
      <c r="Q1513" s="27" t="str">
        <f aca="false">IF(J1513="","",MOD(P1513,4))</f>
        <v/>
      </c>
      <c r="R1513" s="27" t="str">
        <f aca="false">IF(J1513="","",INT(P1513/4))</f>
        <v/>
      </c>
      <c r="S1513" s="27" t="str">
        <f aca="false">IF(J1513="","",IF(AND('Daily Count Sheet'!$H$3=Q1513,MOD('Daily Count Sheet'!$I$3,J1513)=R1513),1,""))</f>
        <v/>
      </c>
      <c r="T1513" s="27" t="str">
        <f aca="false">IF(S1513=1,COUNTIF($S$2:S1513,1),"")</f>
        <v/>
      </c>
    </row>
    <row r="1514" customFormat="false" ht="15" hidden="false" customHeight="false" outlineLevel="0" collapsed="false">
      <c r="H1514" s="26"/>
      <c r="I1514" s="27" t="str">
        <f aca="false">IF(A1514="","",IF(H1514&lt;&gt;"",UPPER(TRIM(H1514)),IFERROR(CHOOSE(VALUE(E1514)+1,"A","B","C","D"),IF(OR(LEFT(UPPER(TRIM(E1514)),1)="F",UPPER(TRIM(E1514))="A"),"A",IF(OR(LEFT(UPPER(TRIM(E1514)),1)="M",UPPER(TRIM(E1514))="B"),"B",IF(OR(LEFT(UPPER(TRIM(E1514)),2)="SL",UPPER(TRIM(E1514))="C"),"C",IF(OR(LEFT(UPPER(TRIM(E1514)),1)="D",UPPER(TRIM(E1514))="D"),"D","")))))))</f>
        <v/>
      </c>
      <c r="J1514" s="27" t="str">
        <f aca="false">IF(I1514="","",IF(AND(I1514="D",Settings!$B$6&lt;&gt;"Yes"),"",IFERROR(INDEX(Settings!$C$9:$C$12,MATCH(I1514,Settings!$A$9:$A$12,0)),"")))</f>
        <v/>
      </c>
      <c r="K1514" s="27" t="str">
        <f aca="false">IF(J1514="","",COUNTIF($I$2:I1514,I1514))</f>
        <v/>
      </c>
      <c r="L1514" s="27" t="str">
        <f aca="false">IF(J1514="","",CHOOSE(Q1514+1,"Tue","Wed","Thu","Fri"))</f>
        <v/>
      </c>
      <c r="M1514" s="27" t="str">
        <f aca="false">IF(J1514="","",IF(J1514=1,"Every week",R1514+1&amp;" of "&amp;J1514))</f>
        <v/>
      </c>
      <c r="N1514" s="28" t="str">
        <f aca="false">IF(J1514="","",Settings!$B$4+R1514*7+Q1514)</f>
        <v/>
      </c>
      <c r="O1514" s="28" t="str">
        <f aca="true">IF(J1514="","",N1514+MAX(0,ROUNDUP((TODAY()-N1514)/(J1514*7),0))*J1514*7)</f>
        <v/>
      </c>
      <c r="P1514" s="27" t="str">
        <f aca="false">IF(J1514="","",MOD(K1514-1,J1514*4))</f>
        <v/>
      </c>
      <c r="Q1514" s="27" t="str">
        <f aca="false">IF(J1514="","",MOD(P1514,4))</f>
        <v/>
      </c>
      <c r="R1514" s="27" t="str">
        <f aca="false">IF(J1514="","",INT(P1514/4))</f>
        <v/>
      </c>
      <c r="S1514" s="27" t="str">
        <f aca="false">IF(J1514="","",IF(AND('Daily Count Sheet'!$H$3=Q1514,MOD('Daily Count Sheet'!$I$3,J1514)=R1514),1,""))</f>
        <v/>
      </c>
      <c r="T1514" s="27" t="str">
        <f aca="false">IF(S1514=1,COUNTIF($S$2:S1514,1),"")</f>
        <v/>
      </c>
    </row>
    <row r="1515" customFormat="false" ht="15" hidden="false" customHeight="false" outlineLevel="0" collapsed="false">
      <c r="H1515" s="26"/>
      <c r="I1515" s="27" t="str">
        <f aca="false">IF(A1515="","",IF(H1515&lt;&gt;"",UPPER(TRIM(H1515)),IFERROR(CHOOSE(VALUE(E1515)+1,"A","B","C","D"),IF(OR(LEFT(UPPER(TRIM(E1515)),1)="F",UPPER(TRIM(E1515))="A"),"A",IF(OR(LEFT(UPPER(TRIM(E1515)),1)="M",UPPER(TRIM(E1515))="B"),"B",IF(OR(LEFT(UPPER(TRIM(E1515)),2)="SL",UPPER(TRIM(E1515))="C"),"C",IF(OR(LEFT(UPPER(TRIM(E1515)),1)="D",UPPER(TRIM(E1515))="D"),"D","")))))))</f>
        <v/>
      </c>
      <c r="J1515" s="27" t="str">
        <f aca="false">IF(I1515="","",IF(AND(I1515="D",Settings!$B$6&lt;&gt;"Yes"),"",IFERROR(INDEX(Settings!$C$9:$C$12,MATCH(I1515,Settings!$A$9:$A$12,0)),"")))</f>
        <v/>
      </c>
      <c r="K1515" s="27" t="str">
        <f aca="false">IF(J1515="","",COUNTIF($I$2:I1515,I1515))</f>
        <v/>
      </c>
      <c r="L1515" s="27" t="str">
        <f aca="false">IF(J1515="","",CHOOSE(Q1515+1,"Tue","Wed","Thu","Fri"))</f>
        <v/>
      </c>
      <c r="M1515" s="27" t="str">
        <f aca="false">IF(J1515="","",IF(J1515=1,"Every week",R1515+1&amp;" of "&amp;J1515))</f>
        <v/>
      </c>
      <c r="N1515" s="28" t="str">
        <f aca="false">IF(J1515="","",Settings!$B$4+R1515*7+Q1515)</f>
        <v/>
      </c>
      <c r="O1515" s="28" t="str">
        <f aca="true">IF(J1515="","",N1515+MAX(0,ROUNDUP((TODAY()-N1515)/(J1515*7),0))*J1515*7)</f>
        <v/>
      </c>
      <c r="P1515" s="27" t="str">
        <f aca="false">IF(J1515="","",MOD(K1515-1,J1515*4))</f>
        <v/>
      </c>
      <c r="Q1515" s="27" t="str">
        <f aca="false">IF(J1515="","",MOD(P1515,4))</f>
        <v/>
      </c>
      <c r="R1515" s="27" t="str">
        <f aca="false">IF(J1515="","",INT(P1515/4))</f>
        <v/>
      </c>
      <c r="S1515" s="27" t="str">
        <f aca="false">IF(J1515="","",IF(AND('Daily Count Sheet'!$H$3=Q1515,MOD('Daily Count Sheet'!$I$3,J1515)=R1515),1,""))</f>
        <v/>
      </c>
      <c r="T1515" s="27" t="str">
        <f aca="false">IF(S1515=1,COUNTIF($S$2:S1515,1),"")</f>
        <v/>
      </c>
    </row>
    <row r="1516" customFormat="false" ht="15" hidden="false" customHeight="false" outlineLevel="0" collapsed="false">
      <c r="H1516" s="26"/>
      <c r="I1516" s="27" t="str">
        <f aca="false">IF(A1516="","",IF(H1516&lt;&gt;"",UPPER(TRIM(H1516)),IFERROR(CHOOSE(VALUE(E1516)+1,"A","B","C","D"),IF(OR(LEFT(UPPER(TRIM(E1516)),1)="F",UPPER(TRIM(E1516))="A"),"A",IF(OR(LEFT(UPPER(TRIM(E1516)),1)="M",UPPER(TRIM(E1516))="B"),"B",IF(OR(LEFT(UPPER(TRIM(E1516)),2)="SL",UPPER(TRIM(E1516))="C"),"C",IF(OR(LEFT(UPPER(TRIM(E1516)),1)="D",UPPER(TRIM(E1516))="D"),"D","")))))))</f>
        <v/>
      </c>
      <c r="J1516" s="27" t="str">
        <f aca="false">IF(I1516="","",IF(AND(I1516="D",Settings!$B$6&lt;&gt;"Yes"),"",IFERROR(INDEX(Settings!$C$9:$C$12,MATCH(I1516,Settings!$A$9:$A$12,0)),"")))</f>
        <v/>
      </c>
      <c r="K1516" s="27" t="str">
        <f aca="false">IF(J1516="","",COUNTIF($I$2:I1516,I1516))</f>
        <v/>
      </c>
      <c r="L1516" s="27" t="str">
        <f aca="false">IF(J1516="","",CHOOSE(Q1516+1,"Tue","Wed","Thu","Fri"))</f>
        <v/>
      </c>
      <c r="M1516" s="27" t="str">
        <f aca="false">IF(J1516="","",IF(J1516=1,"Every week",R1516+1&amp;" of "&amp;J1516))</f>
        <v/>
      </c>
      <c r="N1516" s="28" t="str">
        <f aca="false">IF(J1516="","",Settings!$B$4+R1516*7+Q1516)</f>
        <v/>
      </c>
      <c r="O1516" s="28" t="str">
        <f aca="true">IF(J1516="","",N1516+MAX(0,ROUNDUP((TODAY()-N1516)/(J1516*7),0))*J1516*7)</f>
        <v/>
      </c>
      <c r="P1516" s="27" t="str">
        <f aca="false">IF(J1516="","",MOD(K1516-1,J1516*4))</f>
        <v/>
      </c>
      <c r="Q1516" s="27" t="str">
        <f aca="false">IF(J1516="","",MOD(P1516,4))</f>
        <v/>
      </c>
      <c r="R1516" s="27" t="str">
        <f aca="false">IF(J1516="","",INT(P1516/4))</f>
        <v/>
      </c>
      <c r="S1516" s="27" t="str">
        <f aca="false">IF(J1516="","",IF(AND('Daily Count Sheet'!$H$3=Q1516,MOD('Daily Count Sheet'!$I$3,J1516)=R1516),1,""))</f>
        <v/>
      </c>
      <c r="T1516" s="27" t="str">
        <f aca="false">IF(S1516=1,COUNTIF($S$2:S1516,1),"")</f>
        <v/>
      </c>
    </row>
    <row r="1517" customFormat="false" ht="15" hidden="false" customHeight="false" outlineLevel="0" collapsed="false">
      <c r="H1517" s="26"/>
      <c r="I1517" s="27" t="str">
        <f aca="false">IF(A1517="","",IF(H1517&lt;&gt;"",UPPER(TRIM(H1517)),IFERROR(CHOOSE(VALUE(E1517)+1,"A","B","C","D"),IF(OR(LEFT(UPPER(TRIM(E1517)),1)="F",UPPER(TRIM(E1517))="A"),"A",IF(OR(LEFT(UPPER(TRIM(E1517)),1)="M",UPPER(TRIM(E1517))="B"),"B",IF(OR(LEFT(UPPER(TRIM(E1517)),2)="SL",UPPER(TRIM(E1517))="C"),"C",IF(OR(LEFT(UPPER(TRIM(E1517)),1)="D",UPPER(TRIM(E1517))="D"),"D","")))))))</f>
        <v/>
      </c>
      <c r="J1517" s="27" t="str">
        <f aca="false">IF(I1517="","",IF(AND(I1517="D",Settings!$B$6&lt;&gt;"Yes"),"",IFERROR(INDEX(Settings!$C$9:$C$12,MATCH(I1517,Settings!$A$9:$A$12,0)),"")))</f>
        <v/>
      </c>
      <c r="K1517" s="27" t="str">
        <f aca="false">IF(J1517="","",COUNTIF($I$2:I1517,I1517))</f>
        <v/>
      </c>
      <c r="L1517" s="27" t="str">
        <f aca="false">IF(J1517="","",CHOOSE(Q1517+1,"Tue","Wed","Thu","Fri"))</f>
        <v/>
      </c>
      <c r="M1517" s="27" t="str">
        <f aca="false">IF(J1517="","",IF(J1517=1,"Every week",R1517+1&amp;" of "&amp;J1517))</f>
        <v/>
      </c>
      <c r="N1517" s="28" t="str">
        <f aca="false">IF(J1517="","",Settings!$B$4+R1517*7+Q1517)</f>
        <v/>
      </c>
      <c r="O1517" s="28" t="str">
        <f aca="true">IF(J1517="","",N1517+MAX(0,ROUNDUP((TODAY()-N1517)/(J1517*7),0))*J1517*7)</f>
        <v/>
      </c>
      <c r="P1517" s="27" t="str">
        <f aca="false">IF(J1517="","",MOD(K1517-1,J1517*4))</f>
        <v/>
      </c>
      <c r="Q1517" s="27" t="str">
        <f aca="false">IF(J1517="","",MOD(P1517,4))</f>
        <v/>
      </c>
      <c r="R1517" s="27" t="str">
        <f aca="false">IF(J1517="","",INT(P1517/4))</f>
        <v/>
      </c>
      <c r="S1517" s="27" t="str">
        <f aca="false">IF(J1517="","",IF(AND('Daily Count Sheet'!$H$3=Q1517,MOD('Daily Count Sheet'!$I$3,J1517)=R1517),1,""))</f>
        <v/>
      </c>
      <c r="T1517" s="27" t="str">
        <f aca="false">IF(S1517=1,COUNTIF($S$2:S1517,1),"")</f>
        <v/>
      </c>
    </row>
    <row r="1518" customFormat="false" ht="15" hidden="false" customHeight="false" outlineLevel="0" collapsed="false">
      <c r="H1518" s="26"/>
      <c r="I1518" s="27" t="str">
        <f aca="false">IF(A1518="","",IF(H1518&lt;&gt;"",UPPER(TRIM(H1518)),IFERROR(CHOOSE(VALUE(E1518)+1,"A","B","C","D"),IF(OR(LEFT(UPPER(TRIM(E1518)),1)="F",UPPER(TRIM(E1518))="A"),"A",IF(OR(LEFT(UPPER(TRIM(E1518)),1)="M",UPPER(TRIM(E1518))="B"),"B",IF(OR(LEFT(UPPER(TRIM(E1518)),2)="SL",UPPER(TRIM(E1518))="C"),"C",IF(OR(LEFT(UPPER(TRIM(E1518)),1)="D",UPPER(TRIM(E1518))="D"),"D","")))))))</f>
        <v/>
      </c>
      <c r="J1518" s="27" t="str">
        <f aca="false">IF(I1518="","",IF(AND(I1518="D",Settings!$B$6&lt;&gt;"Yes"),"",IFERROR(INDEX(Settings!$C$9:$C$12,MATCH(I1518,Settings!$A$9:$A$12,0)),"")))</f>
        <v/>
      </c>
      <c r="K1518" s="27" t="str">
        <f aca="false">IF(J1518="","",COUNTIF($I$2:I1518,I1518))</f>
        <v/>
      </c>
      <c r="L1518" s="27" t="str">
        <f aca="false">IF(J1518="","",CHOOSE(Q1518+1,"Tue","Wed","Thu","Fri"))</f>
        <v/>
      </c>
      <c r="M1518" s="27" t="str">
        <f aca="false">IF(J1518="","",IF(J1518=1,"Every week",R1518+1&amp;" of "&amp;J1518))</f>
        <v/>
      </c>
      <c r="N1518" s="28" t="str">
        <f aca="false">IF(J1518="","",Settings!$B$4+R1518*7+Q1518)</f>
        <v/>
      </c>
      <c r="O1518" s="28" t="str">
        <f aca="true">IF(J1518="","",N1518+MAX(0,ROUNDUP((TODAY()-N1518)/(J1518*7),0))*J1518*7)</f>
        <v/>
      </c>
      <c r="P1518" s="27" t="str">
        <f aca="false">IF(J1518="","",MOD(K1518-1,J1518*4))</f>
        <v/>
      </c>
      <c r="Q1518" s="27" t="str">
        <f aca="false">IF(J1518="","",MOD(P1518,4))</f>
        <v/>
      </c>
      <c r="R1518" s="27" t="str">
        <f aca="false">IF(J1518="","",INT(P1518/4))</f>
        <v/>
      </c>
      <c r="S1518" s="27" t="str">
        <f aca="false">IF(J1518="","",IF(AND('Daily Count Sheet'!$H$3=Q1518,MOD('Daily Count Sheet'!$I$3,J1518)=R1518),1,""))</f>
        <v/>
      </c>
      <c r="T1518" s="27" t="str">
        <f aca="false">IF(S1518=1,COUNTIF($S$2:S1518,1),"")</f>
        <v/>
      </c>
    </row>
    <row r="1519" customFormat="false" ht="15" hidden="false" customHeight="false" outlineLevel="0" collapsed="false">
      <c r="H1519" s="26"/>
      <c r="I1519" s="27" t="str">
        <f aca="false">IF(A1519="","",IF(H1519&lt;&gt;"",UPPER(TRIM(H1519)),IFERROR(CHOOSE(VALUE(E1519)+1,"A","B","C","D"),IF(OR(LEFT(UPPER(TRIM(E1519)),1)="F",UPPER(TRIM(E1519))="A"),"A",IF(OR(LEFT(UPPER(TRIM(E1519)),1)="M",UPPER(TRIM(E1519))="B"),"B",IF(OR(LEFT(UPPER(TRIM(E1519)),2)="SL",UPPER(TRIM(E1519))="C"),"C",IF(OR(LEFT(UPPER(TRIM(E1519)),1)="D",UPPER(TRIM(E1519))="D"),"D","")))))))</f>
        <v/>
      </c>
      <c r="J1519" s="27" t="str">
        <f aca="false">IF(I1519="","",IF(AND(I1519="D",Settings!$B$6&lt;&gt;"Yes"),"",IFERROR(INDEX(Settings!$C$9:$C$12,MATCH(I1519,Settings!$A$9:$A$12,0)),"")))</f>
        <v/>
      </c>
      <c r="K1519" s="27" t="str">
        <f aca="false">IF(J1519="","",COUNTIF($I$2:I1519,I1519))</f>
        <v/>
      </c>
      <c r="L1519" s="27" t="str">
        <f aca="false">IF(J1519="","",CHOOSE(Q1519+1,"Tue","Wed","Thu","Fri"))</f>
        <v/>
      </c>
      <c r="M1519" s="27" t="str">
        <f aca="false">IF(J1519="","",IF(J1519=1,"Every week",R1519+1&amp;" of "&amp;J1519))</f>
        <v/>
      </c>
      <c r="N1519" s="28" t="str">
        <f aca="false">IF(J1519="","",Settings!$B$4+R1519*7+Q1519)</f>
        <v/>
      </c>
      <c r="O1519" s="28" t="str">
        <f aca="true">IF(J1519="","",N1519+MAX(0,ROUNDUP((TODAY()-N1519)/(J1519*7),0))*J1519*7)</f>
        <v/>
      </c>
      <c r="P1519" s="27" t="str">
        <f aca="false">IF(J1519="","",MOD(K1519-1,J1519*4))</f>
        <v/>
      </c>
      <c r="Q1519" s="27" t="str">
        <f aca="false">IF(J1519="","",MOD(P1519,4))</f>
        <v/>
      </c>
      <c r="R1519" s="27" t="str">
        <f aca="false">IF(J1519="","",INT(P1519/4))</f>
        <v/>
      </c>
      <c r="S1519" s="27" t="str">
        <f aca="false">IF(J1519="","",IF(AND('Daily Count Sheet'!$H$3=Q1519,MOD('Daily Count Sheet'!$I$3,J1519)=R1519),1,""))</f>
        <v/>
      </c>
      <c r="T1519" s="27" t="str">
        <f aca="false">IF(S1519=1,COUNTIF($S$2:S1519,1),"")</f>
        <v/>
      </c>
    </row>
    <row r="1520" customFormat="false" ht="15" hidden="false" customHeight="false" outlineLevel="0" collapsed="false">
      <c r="H1520" s="26"/>
      <c r="I1520" s="27" t="str">
        <f aca="false">IF(A1520="","",IF(H1520&lt;&gt;"",UPPER(TRIM(H1520)),IFERROR(CHOOSE(VALUE(E1520)+1,"A","B","C","D"),IF(OR(LEFT(UPPER(TRIM(E1520)),1)="F",UPPER(TRIM(E1520))="A"),"A",IF(OR(LEFT(UPPER(TRIM(E1520)),1)="M",UPPER(TRIM(E1520))="B"),"B",IF(OR(LEFT(UPPER(TRIM(E1520)),2)="SL",UPPER(TRIM(E1520))="C"),"C",IF(OR(LEFT(UPPER(TRIM(E1520)),1)="D",UPPER(TRIM(E1520))="D"),"D","")))))))</f>
        <v/>
      </c>
      <c r="J1520" s="27" t="str">
        <f aca="false">IF(I1520="","",IF(AND(I1520="D",Settings!$B$6&lt;&gt;"Yes"),"",IFERROR(INDEX(Settings!$C$9:$C$12,MATCH(I1520,Settings!$A$9:$A$12,0)),"")))</f>
        <v/>
      </c>
      <c r="K1520" s="27" t="str">
        <f aca="false">IF(J1520="","",COUNTIF($I$2:I1520,I1520))</f>
        <v/>
      </c>
      <c r="L1520" s="27" t="str">
        <f aca="false">IF(J1520="","",CHOOSE(Q1520+1,"Tue","Wed","Thu","Fri"))</f>
        <v/>
      </c>
      <c r="M1520" s="27" t="str">
        <f aca="false">IF(J1520="","",IF(J1520=1,"Every week",R1520+1&amp;" of "&amp;J1520))</f>
        <v/>
      </c>
      <c r="N1520" s="28" t="str">
        <f aca="false">IF(J1520="","",Settings!$B$4+R1520*7+Q1520)</f>
        <v/>
      </c>
      <c r="O1520" s="28" t="str">
        <f aca="true">IF(J1520="","",N1520+MAX(0,ROUNDUP((TODAY()-N1520)/(J1520*7),0))*J1520*7)</f>
        <v/>
      </c>
      <c r="P1520" s="27" t="str">
        <f aca="false">IF(J1520="","",MOD(K1520-1,J1520*4))</f>
        <v/>
      </c>
      <c r="Q1520" s="27" t="str">
        <f aca="false">IF(J1520="","",MOD(P1520,4))</f>
        <v/>
      </c>
      <c r="R1520" s="27" t="str">
        <f aca="false">IF(J1520="","",INT(P1520/4))</f>
        <v/>
      </c>
      <c r="S1520" s="27" t="str">
        <f aca="false">IF(J1520="","",IF(AND('Daily Count Sheet'!$H$3=Q1520,MOD('Daily Count Sheet'!$I$3,J1520)=R1520),1,""))</f>
        <v/>
      </c>
      <c r="T1520" s="27" t="str">
        <f aca="false">IF(S1520=1,COUNTIF($S$2:S1520,1),"")</f>
        <v/>
      </c>
    </row>
    <row r="1521" customFormat="false" ht="15" hidden="false" customHeight="false" outlineLevel="0" collapsed="false">
      <c r="H1521" s="26"/>
      <c r="I1521" s="27" t="str">
        <f aca="false">IF(A1521="","",IF(H1521&lt;&gt;"",UPPER(TRIM(H1521)),IFERROR(CHOOSE(VALUE(E1521)+1,"A","B","C","D"),IF(OR(LEFT(UPPER(TRIM(E1521)),1)="F",UPPER(TRIM(E1521))="A"),"A",IF(OR(LEFT(UPPER(TRIM(E1521)),1)="M",UPPER(TRIM(E1521))="B"),"B",IF(OR(LEFT(UPPER(TRIM(E1521)),2)="SL",UPPER(TRIM(E1521))="C"),"C",IF(OR(LEFT(UPPER(TRIM(E1521)),1)="D",UPPER(TRIM(E1521))="D"),"D","")))))))</f>
        <v/>
      </c>
      <c r="J1521" s="27" t="str">
        <f aca="false">IF(I1521="","",IF(AND(I1521="D",Settings!$B$6&lt;&gt;"Yes"),"",IFERROR(INDEX(Settings!$C$9:$C$12,MATCH(I1521,Settings!$A$9:$A$12,0)),"")))</f>
        <v/>
      </c>
      <c r="K1521" s="27" t="str">
        <f aca="false">IF(J1521="","",COUNTIF($I$2:I1521,I1521))</f>
        <v/>
      </c>
      <c r="L1521" s="27" t="str">
        <f aca="false">IF(J1521="","",CHOOSE(Q1521+1,"Tue","Wed","Thu","Fri"))</f>
        <v/>
      </c>
      <c r="M1521" s="27" t="str">
        <f aca="false">IF(J1521="","",IF(J1521=1,"Every week",R1521+1&amp;" of "&amp;J1521))</f>
        <v/>
      </c>
      <c r="N1521" s="28" t="str">
        <f aca="false">IF(J1521="","",Settings!$B$4+R1521*7+Q1521)</f>
        <v/>
      </c>
      <c r="O1521" s="28" t="str">
        <f aca="true">IF(J1521="","",N1521+MAX(0,ROUNDUP((TODAY()-N1521)/(J1521*7),0))*J1521*7)</f>
        <v/>
      </c>
      <c r="P1521" s="27" t="str">
        <f aca="false">IF(J1521="","",MOD(K1521-1,J1521*4))</f>
        <v/>
      </c>
      <c r="Q1521" s="27" t="str">
        <f aca="false">IF(J1521="","",MOD(P1521,4))</f>
        <v/>
      </c>
      <c r="R1521" s="27" t="str">
        <f aca="false">IF(J1521="","",INT(P1521/4))</f>
        <v/>
      </c>
      <c r="S1521" s="27" t="str">
        <f aca="false">IF(J1521="","",IF(AND('Daily Count Sheet'!$H$3=Q1521,MOD('Daily Count Sheet'!$I$3,J1521)=R1521),1,""))</f>
        <v/>
      </c>
      <c r="T1521" s="27" t="str">
        <f aca="false">IF(S1521=1,COUNTIF($S$2:S1521,1),"")</f>
        <v/>
      </c>
    </row>
    <row r="1522" customFormat="false" ht="15" hidden="false" customHeight="false" outlineLevel="0" collapsed="false">
      <c r="H1522" s="26"/>
      <c r="I1522" s="27" t="str">
        <f aca="false">IF(A1522="","",IF(H1522&lt;&gt;"",UPPER(TRIM(H1522)),IFERROR(CHOOSE(VALUE(E1522)+1,"A","B","C","D"),IF(OR(LEFT(UPPER(TRIM(E1522)),1)="F",UPPER(TRIM(E1522))="A"),"A",IF(OR(LEFT(UPPER(TRIM(E1522)),1)="M",UPPER(TRIM(E1522))="B"),"B",IF(OR(LEFT(UPPER(TRIM(E1522)),2)="SL",UPPER(TRIM(E1522))="C"),"C",IF(OR(LEFT(UPPER(TRIM(E1522)),1)="D",UPPER(TRIM(E1522))="D"),"D","")))))))</f>
        <v/>
      </c>
      <c r="J1522" s="27" t="str">
        <f aca="false">IF(I1522="","",IF(AND(I1522="D",Settings!$B$6&lt;&gt;"Yes"),"",IFERROR(INDEX(Settings!$C$9:$C$12,MATCH(I1522,Settings!$A$9:$A$12,0)),"")))</f>
        <v/>
      </c>
      <c r="K1522" s="27" t="str">
        <f aca="false">IF(J1522="","",COUNTIF($I$2:I1522,I1522))</f>
        <v/>
      </c>
      <c r="L1522" s="27" t="str">
        <f aca="false">IF(J1522="","",CHOOSE(Q1522+1,"Tue","Wed","Thu","Fri"))</f>
        <v/>
      </c>
      <c r="M1522" s="27" t="str">
        <f aca="false">IF(J1522="","",IF(J1522=1,"Every week",R1522+1&amp;" of "&amp;J1522))</f>
        <v/>
      </c>
      <c r="N1522" s="28" t="str">
        <f aca="false">IF(J1522="","",Settings!$B$4+R1522*7+Q1522)</f>
        <v/>
      </c>
      <c r="O1522" s="28" t="str">
        <f aca="true">IF(J1522="","",N1522+MAX(0,ROUNDUP((TODAY()-N1522)/(J1522*7),0))*J1522*7)</f>
        <v/>
      </c>
      <c r="P1522" s="27" t="str">
        <f aca="false">IF(J1522="","",MOD(K1522-1,J1522*4))</f>
        <v/>
      </c>
      <c r="Q1522" s="27" t="str">
        <f aca="false">IF(J1522="","",MOD(P1522,4))</f>
        <v/>
      </c>
      <c r="R1522" s="27" t="str">
        <f aca="false">IF(J1522="","",INT(P1522/4))</f>
        <v/>
      </c>
      <c r="S1522" s="27" t="str">
        <f aca="false">IF(J1522="","",IF(AND('Daily Count Sheet'!$H$3=Q1522,MOD('Daily Count Sheet'!$I$3,J1522)=R1522),1,""))</f>
        <v/>
      </c>
      <c r="T1522" s="27" t="str">
        <f aca="false">IF(S1522=1,COUNTIF($S$2:S1522,1),"")</f>
        <v/>
      </c>
    </row>
    <row r="1523" customFormat="false" ht="15" hidden="false" customHeight="false" outlineLevel="0" collapsed="false">
      <c r="H1523" s="26"/>
      <c r="I1523" s="27" t="str">
        <f aca="false">IF(A1523="","",IF(H1523&lt;&gt;"",UPPER(TRIM(H1523)),IFERROR(CHOOSE(VALUE(E1523)+1,"A","B","C","D"),IF(OR(LEFT(UPPER(TRIM(E1523)),1)="F",UPPER(TRIM(E1523))="A"),"A",IF(OR(LEFT(UPPER(TRIM(E1523)),1)="M",UPPER(TRIM(E1523))="B"),"B",IF(OR(LEFT(UPPER(TRIM(E1523)),2)="SL",UPPER(TRIM(E1523))="C"),"C",IF(OR(LEFT(UPPER(TRIM(E1523)),1)="D",UPPER(TRIM(E1523))="D"),"D","")))))))</f>
        <v/>
      </c>
      <c r="J1523" s="27" t="str">
        <f aca="false">IF(I1523="","",IF(AND(I1523="D",Settings!$B$6&lt;&gt;"Yes"),"",IFERROR(INDEX(Settings!$C$9:$C$12,MATCH(I1523,Settings!$A$9:$A$12,0)),"")))</f>
        <v/>
      </c>
      <c r="K1523" s="27" t="str">
        <f aca="false">IF(J1523="","",COUNTIF($I$2:I1523,I1523))</f>
        <v/>
      </c>
      <c r="L1523" s="27" t="str">
        <f aca="false">IF(J1523="","",CHOOSE(Q1523+1,"Tue","Wed","Thu","Fri"))</f>
        <v/>
      </c>
      <c r="M1523" s="27" t="str">
        <f aca="false">IF(J1523="","",IF(J1523=1,"Every week",R1523+1&amp;" of "&amp;J1523))</f>
        <v/>
      </c>
      <c r="N1523" s="28" t="str">
        <f aca="false">IF(J1523="","",Settings!$B$4+R1523*7+Q1523)</f>
        <v/>
      </c>
      <c r="O1523" s="28" t="str">
        <f aca="true">IF(J1523="","",N1523+MAX(0,ROUNDUP((TODAY()-N1523)/(J1523*7),0))*J1523*7)</f>
        <v/>
      </c>
      <c r="P1523" s="27" t="str">
        <f aca="false">IF(J1523="","",MOD(K1523-1,J1523*4))</f>
        <v/>
      </c>
      <c r="Q1523" s="27" t="str">
        <f aca="false">IF(J1523="","",MOD(P1523,4))</f>
        <v/>
      </c>
      <c r="R1523" s="27" t="str">
        <f aca="false">IF(J1523="","",INT(P1523/4))</f>
        <v/>
      </c>
      <c r="S1523" s="27" t="str">
        <f aca="false">IF(J1523="","",IF(AND('Daily Count Sheet'!$H$3=Q1523,MOD('Daily Count Sheet'!$I$3,J1523)=R1523),1,""))</f>
        <v/>
      </c>
      <c r="T1523" s="27" t="str">
        <f aca="false">IF(S1523=1,COUNTIF($S$2:S1523,1),"")</f>
        <v/>
      </c>
    </row>
    <row r="1524" customFormat="false" ht="15" hidden="false" customHeight="false" outlineLevel="0" collapsed="false">
      <c r="H1524" s="26"/>
      <c r="I1524" s="27" t="str">
        <f aca="false">IF(A1524="","",IF(H1524&lt;&gt;"",UPPER(TRIM(H1524)),IFERROR(CHOOSE(VALUE(E1524)+1,"A","B","C","D"),IF(OR(LEFT(UPPER(TRIM(E1524)),1)="F",UPPER(TRIM(E1524))="A"),"A",IF(OR(LEFT(UPPER(TRIM(E1524)),1)="M",UPPER(TRIM(E1524))="B"),"B",IF(OR(LEFT(UPPER(TRIM(E1524)),2)="SL",UPPER(TRIM(E1524))="C"),"C",IF(OR(LEFT(UPPER(TRIM(E1524)),1)="D",UPPER(TRIM(E1524))="D"),"D","")))))))</f>
        <v/>
      </c>
      <c r="J1524" s="27" t="str">
        <f aca="false">IF(I1524="","",IF(AND(I1524="D",Settings!$B$6&lt;&gt;"Yes"),"",IFERROR(INDEX(Settings!$C$9:$C$12,MATCH(I1524,Settings!$A$9:$A$12,0)),"")))</f>
        <v/>
      </c>
      <c r="K1524" s="27" t="str">
        <f aca="false">IF(J1524="","",COUNTIF($I$2:I1524,I1524))</f>
        <v/>
      </c>
      <c r="L1524" s="27" t="str">
        <f aca="false">IF(J1524="","",CHOOSE(Q1524+1,"Tue","Wed","Thu","Fri"))</f>
        <v/>
      </c>
      <c r="M1524" s="27" t="str">
        <f aca="false">IF(J1524="","",IF(J1524=1,"Every week",R1524+1&amp;" of "&amp;J1524))</f>
        <v/>
      </c>
      <c r="N1524" s="28" t="str">
        <f aca="false">IF(J1524="","",Settings!$B$4+R1524*7+Q1524)</f>
        <v/>
      </c>
      <c r="O1524" s="28" t="str">
        <f aca="true">IF(J1524="","",N1524+MAX(0,ROUNDUP((TODAY()-N1524)/(J1524*7),0))*J1524*7)</f>
        <v/>
      </c>
      <c r="P1524" s="27" t="str">
        <f aca="false">IF(J1524="","",MOD(K1524-1,J1524*4))</f>
        <v/>
      </c>
      <c r="Q1524" s="27" t="str">
        <f aca="false">IF(J1524="","",MOD(P1524,4))</f>
        <v/>
      </c>
      <c r="R1524" s="27" t="str">
        <f aca="false">IF(J1524="","",INT(P1524/4))</f>
        <v/>
      </c>
      <c r="S1524" s="27" t="str">
        <f aca="false">IF(J1524="","",IF(AND('Daily Count Sheet'!$H$3=Q1524,MOD('Daily Count Sheet'!$I$3,J1524)=R1524),1,""))</f>
        <v/>
      </c>
      <c r="T1524" s="27" t="str">
        <f aca="false">IF(S1524=1,COUNTIF($S$2:S1524,1),"")</f>
        <v/>
      </c>
    </row>
    <row r="1525" customFormat="false" ht="15" hidden="false" customHeight="false" outlineLevel="0" collapsed="false">
      <c r="H1525" s="26"/>
      <c r="I1525" s="27" t="str">
        <f aca="false">IF(A1525="","",IF(H1525&lt;&gt;"",UPPER(TRIM(H1525)),IFERROR(CHOOSE(VALUE(E1525)+1,"A","B","C","D"),IF(OR(LEFT(UPPER(TRIM(E1525)),1)="F",UPPER(TRIM(E1525))="A"),"A",IF(OR(LEFT(UPPER(TRIM(E1525)),1)="M",UPPER(TRIM(E1525))="B"),"B",IF(OR(LEFT(UPPER(TRIM(E1525)),2)="SL",UPPER(TRIM(E1525))="C"),"C",IF(OR(LEFT(UPPER(TRIM(E1525)),1)="D",UPPER(TRIM(E1525))="D"),"D","")))))))</f>
        <v/>
      </c>
      <c r="J1525" s="27" t="str">
        <f aca="false">IF(I1525="","",IF(AND(I1525="D",Settings!$B$6&lt;&gt;"Yes"),"",IFERROR(INDEX(Settings!$C$9:$C$12,MATCH(I1525,Settings!$A$9:$A$12,0)),"")))</f>
        <v/>
      </c>
      <c r="K1525" s="27" t="str">
        <f aca="false">IF(J1525="","",COUNTIF($I$2:I1525,I1525))</f>
        <v/>
      </c>
      <c r="L1525" s="27" t="str">
        <f aca="false">IF(J1525="","",CHOOSE(Q1525+1,"Tue","Wed","Thu","Fri"))</f>
        <v/>
      </c>
      <c r="M1525" s="27" t="str">
        <f aca="false">IF(J1525="","",IF(J1525=1,"Every week",R1525+1&amp;" of "&amp;J1525))</f>
        <v/>
      </c>
      <c r="N1525" s="28" t="str">
        <f aca="false">IF(J1525="","",Settings!$B$4+R1525*7+Q1525)</f>
        <v/>
      </c>
      <c r="O1525" s="28" t="str">
        <f aca="true">IF(J1525="","",N1525+MAX(0,ROUNDUP((TODAY()-N1525)/(J1525*7),0))*J1525*7)</f>
        <v/>
      </c>
      <c r="P1525" s="27" t="str">
        <f aca="false">IF(J1525="","",MOD(K1525-1,J1525*4))</f>
        <v/>
      </c>
      <c r="Q1525" s="27" t="str">
        <f aca="false">IF(J1525="","",MOD(P1525,4))</f>
        <v/>
      </c>
      <c r="R1525" s="27" t="str">
        <f aca="false">IF(J1525="","",INT(P1525/4))</f>
        <v/>
      </c>
      <c r="S1525" s="27" t="str">
        <f aca="false">IF(J1525="","",IF(AND('Daily Count Sheet'!$H$3=Q1525,MOD('Daily Count Sheet'!$I$3,J1525)=R1525),1,""))</f>
        <v/>
      </c>
      <c r="T1525" s="27" t="str">
        <f aca="false">IF(S1525=1,COUNTIF($S$2:S1525,1),"")</f>
        <v/>
      </c>
    </row>
    <row r="1526" customFormat="false" ht="15" hidden="false" customHeight="false" outlineLevel="0" collapsed="false">
      <c r="H1526" s="26"/>
      <c r="I1526" s="27" t="str">
        <f aca="false">IF(A1526="","",IF(H1526&lt;&gt;"",UPPER(TRIM(H1526)),IFERROR(CHOOSE(VALUE(E1526)+1,"A","B","C","D"),IF(OR(LEFT(UPPER(TRIM(E1526)),1)="F",UPPER(TRIM(E1526))="A"),"A",IF(OR(LEFT(UPPER(TRIM(E1526)),1)="M",UPPER(TRIM(E1526))="B"),"B",IF(OR(LEFT(UPPER(TRIM(E1526)),2)="SL",UPPER(TRIM(E1526))="C"),"C",IF(OR(LEFT(UPPER(TRIM(E1526)),1)="D",UPPER(TRIM(E1526))="D"),"D","")))))))</f>
        <v/>
      </c>
      <c r="J1526" s="27" t="str">
        <f aca="false">IF(I1526="","",IF(AND(I1526="D",Settings!$B$6&lt;&gt;"Yes"),"",IFERROR(INDEX(Settings!$C$9:$C$12,MATCH(I1526,Settings!$A$9:$A$12,0)),"")))</f>
        <v/>
      </c>
      <c r="K1526" s="27" t="str">
        <f aca="false">IF(J1526="","",COUNTIF($I$2:I1526,I1526))</f>
        <v/>
      </c>
      <c r="L1526" s="27" t="str">
        <f aca="false">IF(J1526="","",CHOOSE(Q1526+1,"Tue","Wed","Thu","Fri"))</f>
        <v/>
      </c>
      <c r="M1526" s="27" t="str">
        <f aca="false">IF(J1526="","",IF(J1526=1,"Every week",R1526+1&amp;" of "&amp;J1526))</f>
        <v/>
      </c>
      <c r="N1526" s="28" t="str">
        <f aca="false">IF(J1526="","",Settings!$B$4+R1526*7+Q1526)</f>
        <v/>
      </c>
      <c r="O1526" s="28" t="str">
        <f aca="true">IF(J1526="","",N1526+MAX(0,ROUNDUP((TODAY()-N1526)/(J1526*7),0))*J1526*7)</f>
        <v/>
      </c>
      <c r="P1526" s="27" t="str">
        <f aca="false">IF(J1526="","",MOD(K1526-1,J1526*4))</f>
        <v/>
      </c>
      <c r="Q1526" s="27" t="str">
        <f aca="false">IF(J1526="","",MOD(P1526,4))</f>
        <v/>
      </c>
      <c r="R1526" s="27" t="str">
        <f aca="false">IF(J1526="","",INT(P1526/4))</f>
        <v/>
      </c>
      <c r="S1526" s="27" t="str">
        <f aca="false">IF(J1526="","",IF(AND('Daily Count Sheet'!$H$3=Q1526,MOD('Daily Count Sheet'!$I$3,J1526)=R1526),1,""))</f>
        <v/>
      </c>
      <c r="T1526" s="27" t="str">
        <f aca="false">IF(S1526=1,COUNTIF($S$2:S1526,1),"")</f>
        <v/>
      </c>
    </row>
    <row r="1527" customFormat="false" ht="15" hidden="false" customHeight="false" outlineLevel="0" collapsed="false">
      <c r="H1527" s="26"/>
      <c r="I1527" s="27" t="str">
        <f aca="false">IF(A1527="","",IF(H1527&lt;&gt;"",UPPER(TRIM(H1527)),IFERROR(CHOOSE(VALUE(E1527)+1,"A","B","C","D"),IF(OR(LEFT(UPPER(TRIM(E1527)),1)="F",UPPER(TRIM(E1527))="A"),"A",IF(OR(LEFT(UPPER(TRIM(E1527)),1)="M",UPPER(TRIM(E1527))="B"),"B",IF(OR(LEFT(UPPER(TRIM(E1527)),2)="SL",UPPER(TRIM(E1527))="C"),"C",IF(OR(LEFT(UPPER(TRIM(E1527)),1)="D",UPPER(TRIM(E1527))="D"),"D","")))))))</f>
        <v/>
      </c>
      <c r="J1527" s="27" t="str">
        <f aca="false">IF(I1527="","",IF(AND(I1527="D",Settings!$B$6&lt;&gt;"Yes"),"",IFERROR(INDEX(Settings!$C$9:$C$12,MATCH(I1527,Settings!$A$9:$A$12,0)),"")))</f>
        <v/>
      </c>
      <c r="K1527" s="27" t="str">
        <f aca="false">IF(J1527="","",COUNTIF($I$2:I1527,I1527))</f>
        <v/>
      </c>
      <c r="L1527" s="27" t="str">
        <f aca="false">IF(J1527="","",CHOOSE(Q1527+1,"Tue","Wed","Thu","Fri"))</f>
        <v/>
      </c>
      <c r="M1527" s="27" t="str">
        <f aca="false">IF(J1527="","",IF(J1527=1,"Every week",R1527+1&amp;" of "&amp;J1527))</f>
        <v/>
      </c>
      <c r="N1527" s="28" t="str">
        <f aca="false">IF(J1527="","",Settings!$B$4+R1527*7+Q1527)</f>
        <v/>
      </c>
      <c r="O1527" s="28" t="str">
        <f aca="true">IF(J1527="","",N1527+MAX(0,ROUNDUP((TODAY()-N1527)/(J1527*7),0))*J1527*7)</f>
        <v/>
      </c>
      <c r="P1527" s="27" t="str">
        <f aca="false">IF(J1527="","",MOD(K1527-1,J1527*4))</f>
        <v/>
      </c>
      <c r="Q1527" s="27" t="str">
        <f aca="false">IF(J1527="","",MOD(P1527,4))</f>
        <v/>
      </c>
      <c r="R1527" s="27" t="str">
        <f aca="false">IF(J1527="","",INT(P1527/4))</f>
        <v/>
      </c>
      <c r="S1527" s="27" t="str">
        <f aca="false">IF(J1527="","",IF(AND('Daily Count Sheet'!$H$3=Q1527,MOD('Daily Count Sheet'!$I$3,J1527)=R1527),1,""))</f>
        <v/>
      </c>
      <c r="T1527" s="27" t="str">
        <f aca="false">IF(S1527=1,COUNTIF($S$2:S1527,1),"")</f>
        <v/>
      </c>
    </row>
    <row r="1528" customFormat="false" ht="15" hidden="false" customHeight="false" outlineLevel="0" collapsed="false">
      <c r="H1528" s="26"/>
      <c r="I1528" s="27" t="str">
        <f aca="false">IF(A1528="","",IF(H1528&lt;&gt;"",UPPER(TRIM(H1528)),IFERROR(CHOOSE(VALUE(E1528)+1,"A","B","C","D"),IF(OR(LEFT(UPPER(TRIM(E1528)),1)="F",UPPER(TRIM(E1528))="A"),"A",IF(OR(LEFT(UPPER(TRIM(E1528)),1)="M",UPPER(TRIM(E1528))="B"),"B",IF(OR(LEFT(UPPER(TRIM(E1528)),2)="SL",UPPER(TRIM(E1528))="C"),"C",IF(OR(LEFT(UPPER(TRIM(E1528)),1)="D",UPPER(TRIM(E1528))="D"),"D","")))))))</f>
        <v/>
      </c>
      <c r="J1528" s="27" t="str">
        <f aca="false">IF(I1528="","",IF(AND(I1528="D",Settings!$B$6&lt;&gt;"Yes"),"",IFERROR(INDEX(Settings!$C$9:$C$12,MATCH(I1528,Settings!$A$9:$A$12,0)),"")))</f>
        <v/>
      </c>
      <c r="K1528" s="27" t="str">
        <f aca="false">IF(J1528="","",COUNTIF($I$2:I1528,I1528))</f>
        <v/>
      </c>
      <c r="L1528" s="27" t="str">
        <f aca="false">IF(J1528="","",CHOOSE(Q1528+1,"Tue","Wed","Thu","Fri"))</f>
        <v/>
      </c>
      <c r="M1528" s="27" t="str">
        <f aca="false">IF(J1528="","",IF(J1528=1,"Every week",R1528+1&amp;" of "&amp;J1528))</f>
        <v/>
      </c>
      <c r="N1528" s="28" t="str">
        <f aca="false">IF(J1528="","",Settings!$B$4+R1528*7+Q1528)</f>
        <v/>
      </c>
      <c r="O1528" s="28" t="str">
        <f aca="true">IF(J1528="","",N1528+MAX(0,ROUNDUP((TODAY()-N1528)/(J1528*7),0))*J1528*7)</f>
        <v/>
      </c>
      <c r="P1528" s="27" t="str">
        <f aca="false">IF(J1528="","",MOD(K1528-1,J1528*4))</f>
        <v/>
      </c>
      <c r="Q1528" s="27" t="str">
        <f aca="false">IF(J1528="","",MOD(P1528,4))</f>
        <v/>
      </c>
      <c r="R1528" s="27" t="str">
        <f aca="false">IF(J1528="","",INT(P1528/4))</f>
        <v/>
      </c>
      <c r="S1528" s="27" t="str">
        <f aca="false">IF(J1528="","",IF(AND('Daily Count Sheet'!$H$3=Q1528,MOD('Daily Count Sheet'!$I$3,J1528)=R1528),1,""))</f>
        <v/>
      </c>
      <c r="T1528" s="27" t="str">
        <f aca="false">IF(S1528=1,COUNTIF($S$2:S1528,1),"")</f>
        <v/>
      </c>
    </row>
    <row r="1529" customFormat="false" ht="15" hidden="false" customHeight="false" outlineLevel="0" collapsed="false">
      <c r="H1529" s="26"/>
      <c r="I1529" s="27" t="str">
        <f aca="false">IF(A1529="","",IF(H1529&lt;&gt;"",UPPER(TRIM(H1529)),IFERROR(CHOOSE(VALUE(E1529)+1,"A","B","C","D"),IF(OR(LEFT(UPPER(TRIM(E1529)),1)="F",UPPER(TRIM(E1529))="A"),"A",IF(OR(LEFT(UPPER(TRIM(E1529)),1)="M",UPPER(TRIM(E1529))="B"),"B",IF(OR(LEFT(UPPER(TRIM(E1529)),2)="SL",UPPER(TRIM(E1529))="C"),"C",IF(OR(LEFT(UPPER(TRIM(E1529)),1)="D",UPPER(TRIM(E1529))="D"),"D","")))))))</f>
        <v/>
      </c>
      <c r="J1529" s="27" t="str">
        <f aca="false">IF(I1529="","",IF(AND(I1529="D",Settings!$B$6&lt;&gt;"Yes"),"",IFERROR(INDEX(Settings!$C$9:$C$12,MATCH(I1529,Settings!$A$9:$A$12,0)),"")))</f>
        <v/>
      </c>
      <c r="K1529" s="27" t="str">
        <f aca="false">IF(J1529="","",COUNTIF($I$2:I1529,I1529))</f>
        <v/>
      </c>
      <c r="L1529" s="27" t="str">
        <f aca="false">IF(J1529="","",CHOOSE(Q1529+1,"Tue","Wed","Thu","Fri"))</f>
        <v/>
      </c>
      <c r="M1529" s="27" t="str">
        <f aca="false">IF(J1529="","",IF(J1529=1,"Every week",R1529+1&amp;" of "&amp;J1529))</f>
        <v/>
      </c>
      <c r="N1529" s="28" t="str">
        <f aca="false">IF(J1529="","",Settings!$B$4+R1529*7+Q1529)</f>
        <v/>
      </c>
      <c r="O1529" s="28" t="str">
        <f aca="true">IF(J1529="","",N1529+MAX(0,ROUNDUP((TODAY()-N1529)/(J1529*7),0))*J1529*7)</f>
        <v/>
      </c>
      <c r="P1529" s="27" t="str">
        <f aca="false">IF(J1529="","",MOD(K1529-1,J1529*4))</f>
        <v/>
      </c>
      <c r="Q1529" s="27" t="str">
        <f aca="false">IF(J1529="","",MOD(P1529,4))</f>
        <v/>
      </c>
      <c r="R1529" s="27" t="str">
        <f aca="false">IF(J1529="","",INT(P1529/4))</f>
        <v/>
      </c>
      <c r="S1529" s="27" t="str">
        <f aca="false">IF(J1529="","",IF(AND('Daily Count Sheet'!$H$3=Q1529,MOD('Daily Count Sheet'!$I$3,J1529)=R1529),1,""))</f>
        <v/>
      </c>
      <c r="T1529" s="27" t="str">
        <f aca="false">IF(S1529=1,COUNTIF($S$2:S1529,1),"")</f>
        <v/>
      </c>
    </row>
    <row r="1530" customFormat="false" ht="15" hidden="false" customHeight="false" outlineLevel="0" collapsed="false">
      <c r="H1530" s="26"/>
      <c r="I1530" s="27" t="str">
        <f aca="false">IF(A1530="","",IF(H1530&lt;&gt;"",UPPER(TRIM(H1530)),IFERROR(CHOOSE(VALUE(E1530)+1,"A","B","C","D"),IF(OR(LEFT(UPPER(TRIM(E1530)),1)="F",UPPER(TRIM(E1530))="A"),"A",IF(OR(LEFT(UPPER(TRIM(E1530)),1)="M",UPPER(TRIM(E1530))="B"),"B",IF(OR(LEFT(UPPER(TRIM(E1530)),2)="SL",UPPER(TRIM(E1530))="C"),"C",IF(OR(LEFT(UPPER(TRIM(E1530)),1)="D",UPPER(TRIM(E1530))="D"),"D","")))))))</f>
        <v/>
      </c>
      <c r="J1530" s="27" t="str">
        <f aca="false">IF(I1530="","",IF(AND(I1530="D",Settings!$B$6&lt;&gt;"Yes"),"",IFERROR(INDEX(Settings!$C$9:$C$12,MATCH(I1530,Settings!$A$9:$A$12,0)),"")))</f>
        <v/>
      </c>
      <c r="K1530" s="27" t="str">
        <f aca="false">IF(J1530="","",COUNTIF($I$2:I1530,I1530))</f>
        <v/>
      </c>
      <c r="L1530" s="27" t="str">
        <f aca="false">IF(J1530="","",CHOOSE(Q1530+1,"Tue","Wed","Thu","Fri"))</f>
        <v/>
      </c>
      <c r="M1530" s="27" t="str">
        <f aca="false">IF(J1530="","",IF(J1530=1,"Every week",R1530+1&amp;" of "&amp;J1530))</f>
        <v/>
      </c>
      <c r="N1530" s="28" t="str">
        <f aca="false">IF(J1530="","",Settings!$B$4+R1530*7+Q1530)</f>
        <v/>
      </c>
      <c r="O1530" s="28" t="str">
        <f aca="true">IF(J1530="","",N1530+MAX(0,ROUNDUP((TODAY()-N1530)/(J1530*7),0))*J1530*7)</f>
        <v/>
      </c>
      <c r="P1530" s="27" t="str">
        <f aca="false">IF(J1530="","",MOD(K1530-1,J1530*4))</f>
        <v/>
      </c>
      <c r="Q1530" s="27" t="str">
        <f aca="false">IF(J1530="","",MOD(P1530,4))</f>
        <v/>
      </c>
      <c r="R1530" s="27" t="str">
        <f aca="false">IF(J1530="","",INT(P1530/4))</f>
        <v/>
      </c>
      <c r="S1530" s="27" t="str">
        <f aca="false">IF(J1530="","",IF(AND('Daily Count Sheet'!$H$3=Q1530,MOD('Daily Count Sheet'!$I$3,J1530)=R1530),1,""))</f>
        <v/>
      </c>
      <c r="T1530" s="27" t="str">
        <f aca="false">IF(S1530=1,COUNTIF($S$2:S1530,1),"")</f>
        <v/>
      </c>
    </row>
    <row r="1531" customFormat="false" ht="15" hidden="false" customHeight="false" outlineLevel="0" collapsed="false">
      <c r="H1531" s="26"/>
      <c r="I1531" s="27" t="str">
        <f aca="false">IF(A1531="","",IF(H1531&lt;&gt;"",UPPER(TRIM(H1531)),IFERROR(CHOOSE(VALUE(E1531)+1,"A","B","C","D"),IF(OR(LEFT(UPPER(TRIM(E1531)),1)="F",UPPER(TRIM(E1531))="A"),"A",IF(OR(LEFT(UPPER(TRIM(E1531)),1)="M",UPPER(TRIM(E1531))="B"),"B",IF(OR(LEFT(UPPER(TRIM(E1531)),2)="SL",UPPER(TRIM(E1531))="C"),"C",IF(OR(LEFT(UPPER(TRIM(E1531)),1)="D",UPPER(TRIM(E1531))="D"),"D","")))))))</f>
        <v/>
      </c>
      <c r="J1531" s="27" t="str">
        <f aca="false">IF(I1531="","",IF(AND(I1531="D",Settings!$B$6&lt;&gt;"Yes"),"",IFERROR(INDEX(Settings!$C$9:$C$12,MATCH(I1531,Settings!$A$9:$A$12,0)),"")))</f>
        <v/>
      </c>
      <c r="K1531" s="27" t="str">
        <f aca="false">IF(J1531="","",COUNTIF($I$2:I1531,I1531))</f>
        <v/>
      </c>
      <c r="L1531" s="27" t="str">
        <f aca="false">IF(J1531="","",CHOOSE(Q1531+1,"Tue","Wed","Thu","Fri"))</f>
        <v/>
      </c>
      <c r="M1531" s="27" t="str">
        <f aca="false">IF(J1531="","",IF(J1531=1,"Every week",R1531+1&amp;" of "&amp;J1531))</f>
        <v/>
      </c>
      <c r="N1531" s="28" t="str">
        <f aca="false">IF(J1531="","",Settings!$B$4+R1531*7+Q1531)</f>
        <v/>
      </c>
      <c r="O1531" s="28" t="str">
        <f aca="true">IF(J1531="","",N1531+MAX(0,ROUNDUP((TODAY()-N1531)/(J1531*7),0))*J1531*7)</f>
        <v/>
      </c>
      <c r="P1531" s="27" t="str">
        <f aca="false">IF(J1531="","",MOD(K1531-1,J1531*4))</f>
        <v/>
      </c>
      <c r="Q1531" s="27" t="str">
        <f aca="false">IF(J1531="","",MOD(P1531,4))</f>
        <v/>
      </c>
      <c r="R1531" s="27" t="str">
        <f aca="false">IF(J1531="","",INT(P1531/4))</f>
        <v/>
      </c>
      <c r="S1531" s="27" t="str">
        <f aca="false">IF(J1531="","",IF(AND('Daily Count Sheet'!$H$3=Q1531,MOD('Daily Count Sheet'!$I$3,J1531)=R1531),1,""))</f>
        <v/>
      </c>
      <c r="T1531" s="27" t="str">
        <f aca="false">IF(S1531=1,COUNTIF($S$2:S1531,1),"")</f>
        <v/>
      </c>
    </row>
    <row r="1532" customFormat="false" ht="15" hidden="false" customHeight="false" outlineLevel="0" collapsed="false">
      <c r="H1532" s="26"/>
      <c r="I1532" s="27" t="str">
        <f aca="false">IF(A1532="","",IF(H1532&lt;&gt;"",UPPER(TRIM(H1532)),IFERROR(CHOOSE(VALUE(E1532)+1,"A","B","C","D"),IF(OR(LEFT(UPPER(TRIM(E1532)),1)="F",UPPER(TRIM(E1532))="A"),"A",IF(OR(LEFT(UPPER(TRIM(E1532)),1)="M",UPPER(TRIM(E1532))="B"),"B",IF(OR(LEFT(UPPER(TRIM(E1532)),2)="SL",UPPER(TRIM(E1532))="C"),"C",IF(OR(LEFT(UPPER(TRIM(E1532)),1)="D",UPPER(TRIM(E1532))="D"),"D","")))))))</f>
        <v/>
      </c>
      <c r="J1532" s="27" t="str">
        <f aca="false">IF(I1532="","",IF(AND(I1532="D",Settings!$B$6&lt;&gt;"Yes"),"",IFERROR(INDEX(Settings!$C$9:$C$12,MATCH(I1532,Settings!$A$9:$A$12,0)),"")))</f>
        <v/>
      </c>
      <c r="K1532" s="27" t="str">
        <f aca="false">IF(J1532="","",COUNTIF($I$2:I1532,I1532))</f>
        <v/>
      </c>
      <c r="L1532" s="27" t="str">
        <f aca="false">IF(J1532="","",CHOOSE(Q1532+1,"Tue","Wed","Thu","Fri"))</f>
        <v/>
      </c>
      <c r="M1532" s="27" t="str">
        <f aca="false">IF(J1532="","",IF(J1532=1,"Every week",R1532+1&amp;" of "&amp;J1532))</f>
        <v/>
      </c>
      <c r="N1532" s="28" t="str">
        <f aca="false">IF(J1532="","",Settings!$B$4+R1532*7+Q1532)</f>
        <v/>
      </c>
      <c r="O1532" s="28" t="str">
        <f aca="true">IF(J1532="","",N1532+MAX(0,ROUNDUP((TODAY()-N1532)/(J1532*7),0))*J1532*7)</f>
        <v/>
      </c>
      <c r="P1532" s="27" t="str">
        <f aca="false">IF(J1532="","",MOD(K1532-1,J1532*4))</f>
        <v/>
      </c>
      <c r="Q1532" s="27" t="str">
        <f aca="false">IF(J1532="","",MOD(P1532,4))</f>
        <v/>
      </c>
      <c r="R1532" s="27" t="str">
        <f aca="false">IF(J1532="","",INT(P1532/4))</f>
        <v/>
      </c>
      <c r="S1532" s="27" t="str">
        <f aca="false">IF(J1532="","",IF(AND('Daily Count Sheet'!$H$3=Q1532,MOD('Daily Count Sheet'!$I$3,J1532)=R1532),1,""))</f>
        <v/>
      </c>
      <c r="T1532" s="27" t="str">
        <f aca="false">IF(S1532=1,COUNTIF($S$2:S1532,1),"")</f>
        <v/>
      </c>
    </row>
    <row r="1533" customFormat="false" ht="15" hidden="false" customHeight="false" outlineLevel="0" collapsed="false">
      <c r="H1533" s="26"/>
      <c r="I1533" s="27" t="str">
        <f aca="false">IF(A1533="","",IF(H1533&lt;&gt;"",UPPER(TRIM(H1533)),IFERROR(CHOOSE(VALUE(E1533)+1,"A","B","C","D"),IF(OR(LEFT(UPPER(TRIM(E1533)),1)="F",UPPER(TRIM(E1533))="A"),"A",IF(OR(LEFT(UPPER(TRIM(E1533)),1)="M",UPPER(TRIM(E1533))="B"),"B",IF(OR(LEFT(UPPER(TRIM(E1533)),2)="SL",UPPER(TRIM(E1533))="C"),"C",IF(OR(LEFT(UPPER(TRIM(E1533)),1)="D",UPPER(TRIM(E1533))="D"),"D","")))))))</f>
        <v/>
      </c>
      <c r="J1533" s="27" t="str">
        <f aca="false">IF(I1533="","",IF(AND(I1533="D",Settings!$B$6&lt;&gt;"Yes"),"",IFERROR(INDEX(Settings!$C$9:$C$12,MATCH(I1533,Settings!$A$9:$A$12,0)),"")))</f>
        <v/>
      </c>
      <c r="K1533" s="27" t="str">
        <f aca="false">IF(J1533="","",COUNTIF($I$2:I1533,I1533))</f>
        <v/>
      </c>
      <c r="L1533" s="27" t="str">
        <f aca="false">IF(J1533="","",CHOOSE(Q1533+1,"Tue","Wed","Thu","Fri"))</f>
        <v/>
      </c>
      <c r="M1533" s="27" t="str">
        <f aca="false">IF(J1533="","",IF(J1533=1,"Every week",R1533+1&amp;" of "&amp;J1533))</f>
        <v/>
      </c>
      <c r="N1533" s="28" t="str">
        <f aca="false">IF(J1533="","",Settings!$B$4+R1533*7+Q1533)</f>
        <v/>
      </c>
      <c r="O1533" s="28" t="str">
        <f aca="true">IF(J1533="","",N1533+MAX(0,ROUNDUP((TODAY()-N1533)/(J1533*7),0))*J1533*7)</f>
        <v/>
      </c>
      <c r="P1533" s="27" t="str">
        <f aca="false">IF(J1533="","",MOD(K1533-1,J1533*4))</f>
        <v/>
      </c>
      <c r="Q1533" s="27" t="str">
        <f aca="false">IF(J1533="","",MOD(P1533,4))</f>
        <v/>
      </c>
      <c r="R1533" s="27" t="str">
        <f aca="false">IF(J1533="","",INT(P1533/4))</f>
        <v/>
      </c>
      <c r="S1533" s="27" t="str">
        <f aca="false">IF(J1533="","",IF(AND('Daily Count Sheet'!$H$3=Q1533,MOD('Daily Count Sheet'!$I$3,J1533)=R1533),1,""))</f>
        <v/>
      </c>
      <c r="T1533" s="27" t="str">
        <f aca="false">IF(S1533=1,COUNTIF($S$2:S1533,1),"")</f>
        <v/>
      </c>
    </row>
    <row r="1534" customFormat="false" ht="15" hidden="false" customHeight="false" outlineLevel="0" collapsed="false">
      <c r="H1534" s="26"/>
      <c r="I1534" s="27" t="str">
        <f aca="false">IF(A1534="","",IF(H1534&lt;&gt;"",UPPER(TRIM(H1534)),IFERROR(CHOOSE(VALUE(E1534)+1,"A","B","C","D"),IF(OR(LEFT(UPPER(TRIM(E1534)),1)="F",UPPER(TRIM(E1534))="A"),"A",IF(OR(LEFT(UPPER(TRIM(E1534)),1)="M",UPPER(TRIM(E1534))="B"),"B",IF(OR(LEFT(UPPER(TRIM(E1534)),2)="SL",UPPER(TRIM(E1534))="C"),"C",IF(OR(LEFT(UPPER(TRIM(E1534)),1)="D",UPPER(TRIM(E1534))="D"),"D","")))))))</f>
        <v/>
      </c>
      <c r="J1534" s="27" t="str">
        <f aca="false">IF(I1534="","",IF(AND(I1534="D",Settings!$B$6&lt;&gt;"Yes"),"",IFERROR(INDEX(Settings!$C$9:$C$12,MATCH(I1534,Settings!$A$9:$A$12,0)),"")))</f>
        <v/>
      </c>
      <c r="K1534" s="27" t="str">
        <f aca="false">IF(J1534="","",COUNTIF($I$2:I1534,I1534))</f>
        <v/>
      </c>
      <c r="L1534" s="27" t="str">
        <f aca="false">IF(J1534="","",CHOOSE(Q1534+1,"Tue","Wed","Thu","Fri"))</f>
        <v/>
      </c>
      <c r="M1534" s="27" t="str">
        <f aca="false">IF(J1534="","",IF(J1534=1,"Every week",R1534+1&amp;" of "&amp;J1534))</f>
        <v/>
      </c>
      <c r="N1534" s="28" t="str">
        <f aca="false">IF(J1534="","",Settings!$B$4+R1534*7+Q1534)</f>
        <v/>
      </c>
      <c r="O1534" s="28" t="str">
        <f aca="true">IF(J1534="","",N1534+MAX(0,ROUNDUP((TODAY()-N1534)/(J1534*7),0))*J1534*7)</f>
        <v/>
      </c>
      <c r="P1534" s="27" t="str">
        <f aca="false">IF(J1534="","",MOD(K1534-1,J1534*4))</f>
        <v/>
      </c>
      <c r="Q1534" s="27" t="str">
        <f aca="false">IF(J1534="","",MOD(P1534,4))</f>
        <v/>
      </c>
      <c r="R1534" s="27" t="str">
        <f aca="false">IF(J1534="","",INT(P1534/4))</f>
        <v/>
      </c>
      <c r="S1534" s="27" t="str">
        <f aca="false">IF(J1534="","",IF(AND('Daily Count Sheet'!$H$3=Q1534,MOD('Daily Count Sheet'!$I$3,J1534)=R1534),1,""))</f>
        <v/>
      </c>
      <c r="T1534" s="27" t="str">
        <f aca="false">IF(S1534=1,COUNTIF($S$2:S1534,1),"")</f>
        <v/>
      </c>
    </row>
    <row r="1535" customFormat="false" ht="15" hidden="false" customHeight="false" outlineLevel="0" collapsed="false">
      <c r="H1535" s="26"/>
      <c r="I1535" s="27" t="str">
        <f aca="false">IF(A1535="","",IF(H1535&lt;&gt;"",UPPER(TRIM(H1535)),IFERROR(CHOOSE(VALUE(E1535)+1,"A","B","C","D"),IF(OR(LEFT(UPPER(TRIM(E1535)),1)="F",UPPER(TRIM(E1535))="A"),"A",IF(OR(LEFT(UPPER(TRIM(E1535)),1)="M",UPPER(TRIM(E1535))="B"),"B",IF(OR(LEFT(UPPER(TRIM(E1535)),2)="SL",UPPER(TRIM(E1535))="C"),"C",IF(OR(LEFT(UPPER(TRIM(E1535)),1)="D",UPPER(TRIM(E1535))="D"),"D","")))))))</f>
        <v/>
      </c>
      <c r="J1535" s="27" t="str">
        <f aca="false">IF(I1535="","",IF(AND(I1535="D",Settings!$B$6&lt;&gt;"Yes"),"",IFERROR(INDEX(Settings!$C$9:$C$12,MATCH(I1535,Settings!$A$9:$A$12,0)),"")))</f>
        <v/>
      </c>
      <c r="K1535" s="27" t="str">
        <f aca="false">IF(J1535="","",COUNTIF($I$2:I1535,I1535))</f>
        <v/>
      </c>
      <c r="L1535" s="27" t="str">
        <f aca="false">IF(J1535="","",CHOOSE(Q1535+1,"Tue","Wed","Thu","Fri"))</f>
        <v/>
      </c>
      <c r="M1535" s="27" t="str">
        <f aca="false">IF(J1535="","",IF(J1535=1,"Every week",R1535+1&amp;" of "&amp;J1535))</f>
        <v/>
      </c>
      <c r="N1535" s="28" t="str">
        <f aca="false">IF(J1535="","",Settings!$B$4+R1535*7+Q1535)</f>
        <v/>
      </c>
      <c r="O1535" s="28" t="str">
        <f aca="true">IF(J1535="","",N1535+MAX(0,ROUNDUP((TODAY()-N1535)/(J1535*7),0))*J1535*7)</f>
        <v/>
      </c>
      <c r="P1535" s="27" t="str">
        <f aca="false">IF(J1535="","",MOD(K1535-1,J1535*4))</f>
        <v/>
      </c>
      <c r="Q1535" s="27" t="str">
        <f aca="false">IF(J1535="","",MOD(P1535,4))</f>
        <v/>
      </c>
      <c r="R1535" s="27" t="str">
        <f aca="false">IF(J1535="","",INT(P1535/4))</f>
        <v/>
      </c>
      <c r="S1535" s="27" t="str">
        <f aca="false">IF(J1535="","",IF(AND('Daily Count Sheet'!$H$3=Q1535,MOD('Daily Count Sheet'!$I$3,J1535)=R1535),1,""))</f>
        <v/>
      </c>
      <c r="T1535" s="27" t="str">
        <f aca="false">IF(S1535=1,COUNTIF($S$2:S1535,1),"")</f>
        <v/>
      </c>
    </row>
    <row r="1536" customFormat="false" ht="15" hidden="false" customHeight="false" outlineLevel="0" collapsed="false">
      <c r="H1536" s="26"/>
      <c r="I1536" s="27" t="str">
        <f aca="false">IF(A1536="","",IF(H1536&lt;&gt;"",UPPER(TRIM(H1536)),IFERROR(CHOOSE(VALUE(E1536)+1,"A","B","C","D"),IF(OR(LEFT(UPPER(TRIM(E1536)),1)="F",UPPER(TRIM(E1536))="A"),"A",IF(OR(LEFT(UPPER(TRIM(E1536)),1)="M",UPPER(TRIM(E1536))="B"),"B",IF(OR(LEFT(UPPER(TRIM(E1536)),2)="SL",UPPER(TRIM(E1536))="C"),"C",IF(OR(LEFT(UPPER(TRIM(E1536)),1)="D",UPPER(TRIM(E1536))="D"),"D","")))))))</f>
        <v/>
      </c>
      <c r="J1536" s="27" t="str">
        <f aca="false">IF(I1536="","",IF(AND(I1536="D",Settings!$B$6&lt;&gt;"Yes"),"",IFERROR(INDEX(Settings!$C$9:$C$12,MATCH(I1536,Settings!$A$9:$A$12,0)),"")))</f>
        <v/>
      </c>
      <c r="K1536" s="27" t="str">
        <f aca="false">IF(J1536="","",COUNTIF($I$2:I1536,I1536))</f>
        <v/>
      </c>
      <c r="L1536" s="27" t="str">
        <f aca="false">IF(J1536="","",CHOOSE(Q1536+1,"Tue","Wed","Thu","Fri"))</f>
        <v/>
      </c>
      <c r="M1536" s="27" t="str">
        <f aca="false">IF(J1536="","",IF(J1536=1,"Every week",R1536+1&amp;" of "&amp;J1536))</f>
        <v/>
      </c>
      <c r="N1536" s="28" t="str">
        <f aca="false">IF(J1536="","",Settings!$B$4+R1536*7+Q1536)</f>
        <v/>
      </c>
      <c r="O1536" s="28" t="str">
        <f aca="true">IF(J1536="","",N1536+MAX(0,ROUNDUP((TODAY()-N1536)/(J1536*7),0))*J1536*7)</f>
        <v/>
      </c>
      <c r="P1536" s="27" t="str">
        <f aca="false">IF(J1536="","",MOD(K1536-1,J1536*4))</f>
        <v/>
      </c>
      <c r="Q1536" s="27" t="str">
        <f aca="false">IF(J1536="","",MOD(P1536,4))</f>
        <v/>
      </c>
      <c r="R1536" s="27" t="str">
        <f aca="false">IF(J1536="","",INT(P1536/4))</f>
        <v/>
      </c>
      <c r="S1536" s="27" t="str">
        <f aca="false">IF(J1536="","",IF(AND('Daily Count Sheet'!$H$3=Q1536,MOD('Daily Count Sheet'!$I$3,J1536)=R1536),1,""))</f>
        <v/>
      </c>
      <c r="T1536" s="27" t="str">
        <f aca="false">IF(S1536=1,COUNTIF($S$2:S1536,1),"")</f>
        <v/>
      </c>
    </row>
    <row r="1537" customFormat="false" ht="15" hidden="false" customHeight="false" outlineLevel="0" collapsed="false">
      <c r="H1537" s="26"/>
      <c r="I1537" s="27" t="str">
        <f aca="false">IF(A1537="","",IF(H1537&lt;&gt;"",UPPER(TRIM(H1537)),IFERROR(CHOOSE(VALUE(E1537)+1,"A","B","C","D"),IF(OR(LEFT(UPPER(TRIM(E1537)),1)="F",UPPER(TRIM(E1537))="A"),"A",IF(OR(LEFT(UPPER(TRIM(E1537)),1)="M",UPPER(TRIM(E1537))="B"),"B",IF(OR(LEFT(UPPER(TRIM(E1537)),2)="SL",UPPER(TRIM(E1537))="C"),"C",IF(OR(LEFT(UPPER(TRIM(E1537)),1)="D",UPPER(TRIM(E1537))="D"),"D","")))))))</f>
        <v/>
      </c>
      <c r="J1537" s="27" t="str">
        <f aca="false">IF(I1537="","",IF(AND(I1537="D",Settings!$B$6&lt;&gt;"Yes"),"",IFERROR(INDEX(Settings!$C$9:$C$12,MATCH(I1537,Settings!$A$9:$A$12,0)),"")))</f>
        <v/>
      </c>
      <c r="K1537" s="27" t="str">
        <f aca="false">IF(J1537="","",COUNTIF($I$2:I1537,I1537))</f>
        <v/>
      </c>
      <c r="L1537" s="27" t="str">
        <f aca="false">IF(J1537="","",CHOOSE(Q1537+1,"Tue","Wed","Thu","Fri"))</f>
        <v/>
      </c>
      <c r="M1537" s="27" t="str">
        <f aca="false">IF(J1537="","",IF(J1537=1,"Every week",R1537+1&amp;" of "&amp;J1537))</f>
        <v/>
      </c>
      <c r="N1537" s="28" t="str">
        <f aca="false">IF(J1537="","",Settings!$B$4+R1537*7+Q1537)</f>
        <v/>
      </c>
      <c r="O1537" s="28" t="str">
        <f aca="true">IF(J1537="","",N1537+MAX(0,ROUNDUP((TODAY()-N1537)/(J1537*7),0))*J1537*7)</f>
        <v/>
      </c>
      <c r="P1537" s="27" t="str">
        <f aca="false">IF(J1537="","",MOD(K1537-1,J1537*4))</f>
        <v/>
      </c>
      <c r="Q1537" s="27" t="str">
        <f aca="false">IF(J1537="","",MOD(P1537,4))</f>
        <v/>
      </c>
      <c r="R1537" s="27" t="str">
        <f aca="false">IF(J1537="","",INT(P1537/4))</f>
        <v/>
      </c>
      <c r="S1537" s="27" t="str">
        <f aca="false">IF(J1537="","",IF(AND('Daily Count Sheet'!$H$3=Q1537,MOD('Daily Count Sheet'!$I$3,J1537)=R1537),1,""))</f>
        <v/>
      </c>
      <c r="T1537" s="27" t="str">
        <f aca="false">IF(S1537=1,COUNTIF($S$2:S1537,1),"")</f>
        <v/>
      </c>
    </row>
    <row r="1538" customFormat="false" ht="15" hidden="false" customHeight="false" outlineLevel="0" collapsed="false">
      <c r="H1538" s="26"/>
      <c r="I1538" s="27" t="str">
        <f aca="false">IF(A1538="","",IF(H1538&lt;&gt;"",UPPER(TRIM(H1538)),IFERROR(CHOOSE(VALUE(E1538)+1,"A","B","C","D"),IF(OR(LEFT(UPPER(TRIM(E1538)),1)="F",UPPER(TRIM(E1538))="A"),"A",IF(OR(LEFT(UPPER(TRIM(E1538)),1)="M",UPPER(TRIM(E1538))="B"),"B",IF(OR(LEFT(UPPER(TRIM(E1538)),2)="SL",UPPER(TRIM(E1538))="C"),"C",IF(OR(LEFT(UPPER(TRIM(E1538)),1)="D",UPPER(TRIM(E1538))="D"),"D","")))))))</f>
        <v/>
      </c>
      <c r="J1538" s="27" t="str">
        <f aca="false">IF(I1538="","",IF(AND(I1538="D",Settings!$B$6&lt;&gt;"Yes"),"",IFERROR(INDEX(Settings!$C$9:$C$12,MATCH(I1538,Settings!$A$9:$A$12,0)),"")))</f>
        <v/>
      </c>
      <c r="K1538" s="27" t="str">
        <f aca="false">IF(J1538="","",COUNTIF($I$2:I1538,I1538))</f>
        <v/>
      </c>
      <c r="L1538" s="27" t="str">
        <f aca="false">IF(J1538="","",CHOOSE(Q1538+1,"Tue","Wed","Thu","Fri"))</f>
        <v/>
      </c>
      <c r="M1538" s="27" t="str">
        <f aca="false">IF(J1538="","",IF(J1538=1,"Every week",R1538+1&amp;" of "&amp;J1538))</f>
        <v/>
      </c>
      <c r="N1538" s="28" t="str">
        <f aca="false">IF(J1538="","",Settings!$B$4+R1538*7+Q1538)</f>
        <v/>
      </c>
      <c r="O1538" s="28" t="str">
        <f aca="true">IF(J1538="","",N1538+MAX(0,ROUNDUP((TODAY()-N1538)/(J1538*7),0))*J1538*7)</f>
        <v/>
      </c>
      <c r="P1538" s="27" t="str">
        <f aca="false">IF(J1538="","",MOD(K1538-1,J1538*4))</f>
        <v/>
      </c>
      <c r="Q1538" s="27" t="str">
        <f aca="false">IF(J1538="","",MOD(P1538,4))</f>
        <v/>
      </c>
      <c r="R1538" s="27" t="str">
        <f aca="false">IF(J1538="","",INT(P1538/4))</f>
        <v/>
      </c>
      <c r="S1538" s="27" t="str">
        <f aca="false">IF(J1538="","",IF(AND('Daily Count Sheet'!$H$3=Q1538,MOD('Daily Count Sheet'!$I$3,J1538)=R1538),1,""))</f>
        <v/>
      </c>
      <c r="T1538" s="27" t="str">
        <f aca="false">IF(S1538=1,COUNTIF($S$2:S1538,1),"")</f>
        <v/>
      </c>
    </row>
    <row r="1539" customFormat="false" ht="15" hidden="false" customHeight="false" outlineLevel="0" collapsed="false">
      <c r="H1539" s="26"/>
      <c r="I1539" s="27" t="str">
        <f aca="false">IF(A1539="","",IF(H1539&lt;&gt;"",UPPER(TRIM(H1539)),IFERROR(CHOOSE(VALUE(E1539)+1,"A","B","C","D"),IF(OR(LEFT(UPPER(TRIM(E1539)),1)="F",UPPER(TRIM(E1539))="A"),"A",IF(OR(LEFT(UPPER(TRIM(E1539)),1)="M",UPPER(TRIM(E1539))="B"),"B",IF(OR(LEFT(UPPER(TRIM(E1539)),2)="SL",UPPER(TRIM(E1539))="C"),"C",IF(OR(LEFT(UPPER(TRIM(E1539)),1)="D",UPPER(TRIM(E1539))="D"),"D","")))))))</f>
        <v/>
      </c>
      <c r="J1539" s="27" t="str">
        <f aca="false">IF(I1539="","",IF(AND(I1539="D",Settings!$B$6&lt;&gt;"Yes"),"",IFERROR(INDEX(Settings!$C$9:$C$12,MATCH(I1539,Settings!$A$9:$A$12,0)),"")))</f>
        <v/>
      </c>
      <c r="K1539" s="27" t="str">
        <f aca="false">IF(J1539="","",COUNTIF($I$2:I1539,I1539))</f>
        <v/>
      </c>
      <c r="L1539" s="27" t="str">
        <f aca="false">IF(J1539="","",CHOOSE(Q1539+1,"Tue","Wed","Thu","Fri"))</f>
        <v/>
      </c>
      <c r="M1539" s="27" t="str">
        <f aca="false">IF(J1539="","",IF(J1539=1,"Every week",R1539+1&amp;" of "&amp;J1539))</f>
        <v/>
      </c>
      <c r="N1539" s="28" t="str">
        <f aca="false">IF(J1539="","",Settings!$B$4+R1539*7+Q1539)</f>
        <v/>
      </c>
      <c r="O1539" s="28" t="str">
        <f aca="true">IF(J1539="","",N1539+MAX(0,ROUNDUP((TODAY()-N1539)/(J1539*7),0))*J1539*7)</f>
        <v/>
      </c>
      <c r="P1539" s="27" t="str">
        <f aca="false">IF(J1539="","",MOD(K1539-1,J1539*4))</f>
        <v/>
      </c>
      <c r="Q1539" s="27" t="str">
        <f aca="false">IF(J1539="","",MOD(P1539,4))</f>
        <v/>
      </c>
      <c r="R1539" s="27" t="str">
        <f aca="false">IF(J1539="","",INT(P1539/4))</f>
        <v/>
      </c>
      <c r="S1539" s="27" t="str">
        <f aca="false">IF(J1539="","",IF(AND('Daily Count Sheet'!$H$3=Q1539,MOD('Daily Count Sheet'!$I$3,J1539)=R1539),1,""))</f>
        <v/>
      </c>
      <c r="T1539" s="27" t="str">
        <f aca="false">IF(S1539=1,COUNTIF($S$2:S1539,1),"")</f>
        <v/>
      </c>
    </row>
    <row r="1540" customFormat="false" ht="15" hidden="false" customHeight="false" outlineLevel="0" collapsed="false">
      <c r="H1540" s="26"/>
      <c r="I1540" s="27" t="str">
        <f aca="false">IF(A1540="","",IF(H1540&lt;&gt;"",UPPER(TRIM(H1540)),IFERROR(CHOOSE(VALUE(E1540)+1,"A","B","C","D"),IF(OR(LEFT(UPPER(TRIM(E1540)),1)="F",UPPER(TRIM(E1540))="A"),"A",IF(OR(LEFT(UPPER(TRIM(E1540)),1)="M",UPPER(TRIM(E1540))="B"),"B",IF(OR(LEFT(UPPER(TRIM(E1540)),2)="SL",UPPER(TRIM(E1540))="C"),"C",IF(OR(LEFT(UPPER(TRIM(E1540)),1)="D",UPPER(TRIM(E1540))="D"),"D","")))))))</f>
        <v/>
      </c>
      <c r="J1540" s="27" t="str">
        <f aca="false">IF(I1540="","",IF(AND(I1540="D",Settings!$B$6&lt;&gt;"Yes"),"",IFERROR(INDEX(Settings!$C$9:$C$12,MATCH(I1540,Settings!$A$9:$A$12,0)),"")))</f>
        <v/>
      </c>
      <c r="K1540" s="27" t="str">
        <f aca="false">IF(J1540="","",COUNTIF($I$2:I1540,I1540))</f>
        <v/>
      </c>
      <c r="L1540" s="27" t="str">
        <f aca="false">IF(J1540="","",CHOOSE(Q1540+1,"Tue","Wed","Thu","Fri"))</f>
        <v/>
      </c>
      <c r="M1540" s="27" t="str">
        <f aca="false">IF(J1540="","",IF(J1540=1,"Every week",R1540+1&amp;" of "&amp;J1540))</f>
        <v/>
      </c>
      <c r="N1540" s="28" t="str">
        <f aca="false">IF(J1540="","",Settings!$B$4+R1540*7+Q1540)</f>
        <v/>
      </c>
      <c r="O1540" s="28" t="str">
        <f aca="true">IF(J1540="","",N1540+MAX(0,ROUNDUP((TODAY()-N1540)/(J1540*7),0))*J1540*7)</f>
        <v/>
      </c>
      <c r="P1540" s="27" t="str">
        <f aca="false">IF(J1540="","",MOD(K1540-1,J1540*4))</f>
        <v/>
      </c>
      <c r="Q1540" s="27" t="str">
        <f aca="false">IF(J1540="","",MOD(P1540,4))</f>
        <v/>
      </c>
      <c r="R1540" s="27" t="str">
        <f aca="false">IF(J1540="","",INT(P1540/4))</f>
        <v/>
      </c>
      <c r="S1540" s="27" t="str">
        <f aca="false">IF(J1540="","",IF(AND('Daily Count Sheet'!$H$3=Q1540,MOD('Daily Count Sheet'!$I$3,J1540)=R1540),1,""))</f>
        <v/>
      </c>
      <c r="T1540" s="27" t="str">
        <f aca="false">IF(S1540=1,COUNTIF($S$2:S1540,1),"")</f>
        <v/>
      </c>
    </row>
    <row r="1541" customFormat="false" ht="15" hidden="false" customHeight="false" outlineLevel="0" collapsed="false">
      <c r="H1541" s="26"/>
      <c r="I1541" s="27" t="str">
        <f aca="false">IF(A1541="","",IF(H1541&lt;&gt;"",UPPER(TRIM(H1541)),IFERROR(CHOOSE(VALUE(E1541)+1,"A","B","C","D"),IF(OR(LEFT(UPPER(TRIM(E1541)),1)="F",UPPER(TRIM(E1541))="A"),"A",IF(OR(LEFT(UPPER(TRIM(E1541)),1)="M",UPPER(TRIM(E1541))="B"),"B",IF(OR(LEFT(UPPER(TRIM(E1541)),2)="SL",UPPER(TRIM(E1541))="C"),"C",IF(OR(LEFT(UPPER(TRIM(E1541)),1)="D",UPPER(TRIM(E1541))="D"),"D","")))))))</f>
        <v/>
      </c>
      <c r="J1541" s="27" t="str">
        <f aca="false">IF(I1541="","",IF(AND(I1541="D",Settings!$B$6&lt;&gt;"Yes"),"",IFERROR(INDEX(Settings!$C$9:$C$12,MATCH(I1541,Settings!$A$9:$A$12,0)),"")))</f>
        <v/>
      </c>
      <c r="K1541" s="27" t="str">
        <f aca="false">IF(J1541="","",COUNTIF($I$2:I1541,I1541))</f>
        <v/>
      </c>
      <c r="L1541" s="27" t="str">
        <f aca="false">IF(J1541="","",CHOOSE(Q1541+1,"Tue","Wed","Thu","Fri"))</f>
        <v/>
      </c>
      <c r="M1541" s="27" t="str">
        <f aca="false">IF(J1541="","",IF(J1541=1,"Every week",R1541+1&amp;" of "&amp;J1541))</f>
        <v/>
      </c>
      <c r="N1541" s="28" t="str">
        <f aca="false">IF(J1541="","",Settings!$B$4+R1541*7+Q1541)</f>
        <v/>
      </c>
      <c r="O1541" s="28" t="str">
        <f aca="true">IF(J1541="","",N1541+MAX(0,ROUNDUP((TODAY()-N1541)/(J1541*7),0))*J1541*7)</f>
        <v/>
      </c>
      <c r="P1541" s="27" t="str">
        <f aca="false">IF(J1541="","",MOD(K1541-1,J1541*4))</f>
        <v/>
      </c>
      <c r="Q1541" s="27" t="str">
        <f aca="false">IF(J1541="","",MOD(P1541,4))</f>
        <v/>
      </c>
      <c r="R1541" s="27" t="str">
        <f aca="false">IF(J1541="","",INT(P1541/4))</f>
        <v/>
      </c>
      <c r="S1541" s="27" t="str">
        <f aca="false">IF(J1541="","",IF(AND('Daily Count Sheet'!$H$3=Q1541,MOD('Daily Count Sheet'!$I$3,J1541)=R1541),1,""))</f>
        <v/>
      </c>
      <c r="T1541" s="27" t="str">
        <f aca="false">IF(S1541=1,COUNTIF($S$2:S1541,1),"")</f>
        <v/>
      </c>
    </row>
    <row r="1542" customFormat="false" ht="15" hidden="false" customHeight="false" outlineLevel="0" collapsed="false">
      <c r="H1542" s="26"/>
      <c r="I1542" s="27" t="str">
        <f aca="false">IF(A1542="","",IF(H1542&lt;&gt;"",UPPER(TRIM(H1542)),IFERROR(CHOOSE(VALUE(E1542)+1,"A","B","C","D"),IF(OR(LEFT(UPPER(TRIM(E1542)),1)="F",UPPER(TRIM(E1542))="A"),"A",IF(OR(LEFT(UPPER(TRIM(E1542)),1)="M",UPPER(TRIM(E1542))="B"),"B",IF(OR(LEFT(UPPER(TRIM(E1542)),2)="SL",UPPER(TRIM(E1542))="C"),"C",IF(OR(LEFT(UPPER(TRIM(E1542)),1)="D",UPPER(TRIM(E1542))="D"),"D","")))))))</f>
        <v/>
      </c>
      <c r="J1542" s="27" t="str">
        <f aca="false">IF(I1542="","",IF(AND(I1542="D",Settings!$B$6&lt;&gt;"Yes"),"",IFERROR(INDEX(Settings!$C$9:$C$12,MATCH(I1542,Settings!$A$9:$A$12,0)),"")))</f>
        <v/>
      </c>
      <c r="K1542" s="27" t="str">
        <f aca="false">IF(J1542="","",COUNTIF($I$2:I1542,I1542))</f>
        <v/>
      </c>
      <c r="L1542" s="27" t="str">
        <f aca="false">IF(J1542="","",CHOOSE(Q1542+1,"Tue","Wed","Thu","Fri"))</f>
        <v/>
      </c>
      <c r="M1542" s="27" t="str">
        <f aca="false">IF(J1542="","",IF(J1542=1,"Every week",R1542+1&amp;" of "&amp;J1542))</f>
        <v/>
      </c>
      <c r="N1542" s="28" t="str">
        <f aca="false">IF(J1542="","",Settings!$B$4+R1542*7+Q1542)</f>
        <v/>
      </c>
      <c r="O1542" s="28" t="str">
        <f aca="true">IF(J1542="","",N1542+MAX(0,ROUNDUP((TODAY()-N1542)/(J1542*7),0))*J1542*7)</f>
        <v/>
      </c>
      <c r="P1542" s="27" t="str">
        <f aca="false">IF(J1542="","",MOD(K1542-1,J1542*4))</f>
        <v/>
      </c>
      <c r="Q1542" s="27" t="str">
        <f aca="false">IF(J1542="","",MOD(P1542,4))</f>
        <v/>
      </c>
      <c r="R1542" s="27" t="str">
        <f aca="false">IF(J1542="","",INT(P1542/4))</f>
        <v/>
      </c>
      <c r="S1542" s="27" t="str">
        <f aca="false">IF(J1542="","",IF(AND('Daily Count Sheet'!$H$3=Q1542,MOD('Daily Count Sheet'!$I$3,J1542)=R1542),1,""))</f>
        <v/>
      </c>
      <c r="T1542" s="27" t="str">
        <f aca="false">IF(S1542=1,COUNTIF($S$2:S1542,1),"")</f>
        <v/>
      </c>
    </row>
    <row r="1543" customFormat="false" ht="15" hidden="false" customHeight="false" outlineLevel="0" collapsed="false">
      <c r="H1543" s="26"/>
      <c r="I1543" s="27" t="str">
        <f aca="false">IF(A1543="","",IF(H1543&lt;&gt;"",UPPER(TRIM(H1543)),IFERROR(CHOOSE(VALUE(E1543)+1,"A","B","C","D"),IF(OR(LEFT(UPPER(TRIM(E1543)),1)="F",UPPER(TRIM(E1543))="A"),"A",IF(OR(LEFT(UPPER(TRIM(E1543)),1)="M",UPPER(TRIM(E1543))="B"),"B",IF(OR(LEFT(UPPER(TRIM(E1543)),2)="SL",UPPER(TRIM(E1543))="C"),"C",IF(OR(LEFT(UPPER(TRIM(E1543)),1)="D",UPPER(TRIM(E1543))="D"),"D","")))))))</f>
        <v/>
      </c>
      <c r="J1543" s="27" t="str">
        <f aca="false">IF(I1543="","",IF(AND(I1543="D",Settings!$B$6&lt;&gt;"Yes"),"",IFERROR(INDEX(Settings!$C$9:$C$12,MATCH(I1543,Settings!$A$9:$A$12,0)),"")))</f>
        <v/>
      </c>
      <c r="K1543" s="27" t="str">
        <f aca="false">IF(J1543="","",COUNTIF($I$2:I1543,I1543))</f>
        <v/>
      </c>
      <c r="L1543" s="27" t="str">
        <f aca="false">IF(J1543="","",CHOOSE(Q1543+1,"Tue","Wed","Thu","Fri"))</f>
        <v/>
      </c>
      <c r="M1543" s="27" t="str">
        <f aca="false">IF(J1543="","",IF(J1543=1,"Every week",R1543+1&amp;" of "&amp;J1543))</f>
        <v/>
      </c>
      <c r="N1543" s="28" t="str">
        <f aca="false">IF(J1543="","",Settings!$B$4+R1543*7+Q1543)</f>
        <v/>
      </c>
      <c r="O1543" s="28" t="str">
        <f aca="true">IF(J1543="","",N1543+MAX(0,ROUNDUP((TODAY()-N1543)/(J1543*7),0))*J1543*7)</f>
        <v/>
      </c>
      <c r="P1543" s="27" t="str">
        <f aca="false">IF(J1543="","",MOD(K1543-1,J1543*4))</f>
        <v/>
      </c>
      <c r="Q1543" s="27" t="str">
        <f aca="false">IF(J1543="","",MOD(P1543,4))</f>
        <v/>
      </c>
      <c r="R1543" s="27" t="str">
        <f aca="false">IF(J1543="","",INT(P1543/4))</f>
        <v/>
      </c>
      <c r="S1543" s="27" t="str">
        <f aca="false">IF(J1543="","",IF(AND('Daily Count Sheet'!$H$3=Q1543,MOD('Daily Count Sheet'!$I$3,J1543)=R1543),1,""))</f>
        <v/>
      </c>
      <c r="T1543" s="27" t="str">
        <f aca="false">IF(S1543=1,COUNTIF($S$2:S1543,1),"")</f>
        <v/>
      </c>
    </row>
    <row r="1544" customFormat="false" ht="15" hidden="false" customHeight="false" outlineLevel="0" collapsed="false">
      <c r="H1544" s="26"/>
      <c r="I1544" s="27" t="str">
        <f aca="false">IF(A1544="","",IF(H1544&lt;&gt;"",UPPER(TRIM(H1544)),IFERROR(CHOOSE(VALUE(E1544)+1,"A","B","C","D"),IF(OR(LEFT(UPPER(TRIM(E1544)),1)="F",UPPER(TRIM(E1544))="A"),"A",IF(OR(LEFT(UPPER(TRIM(E1544)),1)="M",UPPER(TRIM(E1544))="B"),"B",IF(OR(LEFT(UPPER(TRIM(E1544)),2)="SL",UPPER(TRIM(E1544))="C"),"C",IF(OR(LEFT(UPPER(TRIM(E1544)),1)="D",UPPER(TRIM(E1544))="D"),"D","")))))))</f>
        <v/>
      </c>
      <c r="J1544" s="27" t="str">
        <f aca="false">IF(I1544="","",IF(AND(I1544="D",Settings!$B$6&lt;&gt;"Yes"),"",IFERROR(INDEX(Settings!$C$9:$C$12,MATCH(I1544,Settings!$A$9:$A$12,0)),"")))</f>
        <v/>
      </c>
      <c r="K1544" s="27" t="str">
        <f aca="false">IF(J1544="","",COUNTIF($I$2:I1544,I1544))</f>
        <v/>
      </c>
      <c r="L1544" s="27" t="str">
        <f aca="false">IF(J1544="","",CHOOSE(Q1544+1,"Tue","Wed","Thu","Fri"))</f>
        <v/>
      </c>
      <c r="M1544" s="27" t="str">
        <f aca="false">IF(J1544="","",IF(J1544=1,"Every week",R1544+1&amp;" of "&amp;J1544))</f>
        <v/>
      </c>
      <c r="N1544" s="28" t="str">
        <f aca="false">IF(J1544="","",Settings!$B$4+R1544*7+Q1544)</f>
        <v/>
      </c>
      <c r="O1544" s="28" t="str">
        <f aca="true">IF(J1544="","",N1544+MAX(0,ROUNDUP((TODAY()-N1544)/(J1544*7),0))*J1544*7)</f>
        <v/>
      </c>
      <c r="P1544" s="27" t="str">
        <f aca="false">IF(J1544="","",MOD(K1544-1,J1544*4))</f>
        <v/>
      </c>
      <c r="Q1544" s="27" t="str">
        <f aca="false">IF(J1544="","",MOD(P1544,4))</f>
        <v/>
      </c>
      <c r="R1544" s="27" t="str">
        <f aca="false">IF(J1544="","",INT(P1544/4))</f>
        <v/>
      </c>
      <c r="S1544" s="27" t="str">
        <f aca="false">IF(J1544="","",IF(AND('Daily Count Sheet'!$H$3=Q1544,MOD('Daily Count Sheet'!$I$3,J1544)=R1544),1,""))</f>
        <v/>
      </c>
      <c r="T1544" s="27" t="str">
        <f aca="false">IF(S1544=1,COUNTIF($S$2:S1544,1),"")</f>
        <v/>
      </c>
    </row>
    <row r="1545" customFormat="false" ht="15" hidden="false" customHeight="false" outlineLevel="0" collapsed="false">
      <c r="H1545" s="26"/>
      <c r="I1545" s="27" t="str">
        <f aca="false">IF(A1545="","",IF(H1545&lt;&gt;"",UPPER(TRIM(H1545)),IFERROR(CHOOSE(VALUE(E1545)+1,"A","B","C","D"),IF(OR(LEFT(UPPER(TRIM(E1545)),1)="F",UPPER(TRIM(E1545))="A"),"A",IF(OR(LEFT(UPPER(TRIM(E1545)),1)="M",UPPER(TRIM(E1545))="B"),"B",IF(OR(LEFT(UPPER(TRIM(E1545)),2)="SL",UPPER(TRIM(E1545))="C"),"C",IF(OR(LEFT(UPPER(TRIM(E1545)),1)="D",UPPER(TRIM(E1545))="D"),"D","")))))))</f>
        <v/>
      </c>
      <c r="J1545" s="27" t="str">
        <f aca="false">IF(I1545="","",IF(AND(I1545="D",Settings!$B$6&lt;&gt;"Yes"),"",IFERROR(INDEX(Settings!$C$9:$C$12,MATCH(I1545,Settings!$A$9:$A$12,0)),"")))</f>
        <v/>
      </c>
      <c r="K1545" s="27" t="str">
        <f aca="false">IF(J1545="","",COUNTIF($I$2:I1545,I1545))</f>
        <v/>
      </c>
      <c r="L1545" s="27" t="str">
        <f aca="false">IF(J1545="","",CHOOSE(Q1545+1,"Tue","Wed","Thu","Fri"))</f>
        <v/>
      </c>
      <c r="M1545" s="27" t="str">
        <f aca="false">IF(J1545="","",IF(J1545=1,"Every week",R1545+1&amp;" of "&amp;J1545))</f>
        <v/>
      </c>
      <c r="N1545" s="28" t="str">
        <f aca="false">IF(J1545="","",Settings!$B$4+R1545*7+Q1545)</f>
        <v/>
      </c>
      <c r="O1545" s="28" t="str">
        <f aca="true">IF(J1545="","",N1545+MAX(0,ROUNDUP((TODAY()-N1545)/(J1545*7),0))*J1545*7)</f>
        <v/>
      </c>
      <c r="P1545" s="27" t="str">
        <f aca="false">IF(J1545="","",MOD(K1545-1,J1545*4))</f>
        <v/>
      </c>
      <c r="Q1545" s="27" t="str">
        <f aca="false">IF(J1545="","",MOD(P1545,4))</f>
        <v/>
      </c>
      <c r="R1545" s="27" t="str">
        <f aca="false">IF(J1545="","",INT(P1545/4))</f>
        <v/>
      </c>
      <c r="S1545" s="27" t="str">
        <f aca="false">IF(J1545="","",IF(AND('Daily Count Sheet'!$H$3=Q1545,MOD('Daily Count Sheet'!$I$3,J1545)=R1545),1,""))</f>
        <v/>
      </c>
      <c r="T1545" s="27" t="str">
        <f aca="false">IF(S1545=1,COUNTIF($S$2:S1545,1),"")</f>
        <v/>
      </c>
    </row>
    <row r="1546" customFormat="false" ht="15" hidden="false" customHeight="false" outlineLevel="0" collapsed="false">
      <c r="H1546" s="26"/>
      <c r="I1546" s="27" t="str">
        <f aca="false">IF(A1546="","",IF(H1546&lt;&gt;"",UPPER(TRIM(H1546)),IFERROR(CHOOSE(VALUE(E1546)+1,"A","B","C","D"),IF(OR(LEFT(UPPER(TRIM(E1546)),1)="F",UPPER(TRIM(E1546))="A"),"A",IF(OR(LEFT(UPPER(TRIM(E1546)),1)="M",UPPER(TRIM(E1546))="B"),"B",IF(OR(LEFT(UPPER(TRIM(E1546)),2)="SL",UPPER(TRIM(E1546))="C"),"C",IF(OR(LEFT(UPPER(TRIM(E1546)),1)="D",UPPER(TRIM(E1546))="D"),"D","")))))))</f>
        <v/>
      </c>
      <c r="J1546" s="27" t="str">
        <f aca="false">IF(I1546="","",IF(AND(I1546="D",Settings!$B$6&lt;&gt;"Yes"),"",IFERROR(INDEX(Settings!$C$9:$C$12,MATCH(I1546,Settings!$A$9:$A$12,0)),"")))</f>
        <v/>
      </c>
      <c r="K1546" s="27" t="str">
        <f aca="false">IF(J1546="","",COUNTIF($I$2:I1546,I1546))</f>
        <v/>
      </c>
      <c r="L1546" s="27" t="str">
        <f aca="false">IF(J1546="","",CHOOSE(Q1546+1,"Tue","Wed","Thu","Fri"))</f>
        <v/>
      </c>
      <c r="M1546" s="27" t="str">
        <f aca="false">IF(J1546="","",IF(J1546=1,"Every week",R1546+1&amp;" of "&amp;J1546))</f>
        <v/>
      </c>
      <c r="N1546" s="28" t="str">
        <f aca="false">IF(J1546="","",Settings!$B$4+R1546*7+Q1546)</f>
        <v/>
      </c>
      <c r="O1546" s="28" t="str">
        <f aca="true">IF(J1546="","",N1546+MAX(0,ROUNDUP((TODAY()-N1546)/(J1546*7),0))*J1546*7)</f>
        <v/>
      </c>
      <c r="P1546" s="27" t="str">
        <f aca="false">IF(J1546="","",MOD(K1546-1,J1546*4))</f>
        <v/>
      </c>
      <c r="Q1546" s="27" t="str">
        <f aca="false">IF(J1546="","",MOD(P1546,4))</f>
        <v/>
      </c>
      <c r="R1546" s="27" t="str">
        <f aca="false">IF(J1546="","",INT(P1546/4))</f>
        <v/>
      </c>
      <c r="S1546" s="27" t="str">
        <f aca="false">IF(J1546="","",IF(AND('Daily Count Sheet'!$H$3=Q1546,MOD('Daily Count Sheet'!$I$3,J1546)=R1546),1,""))</f>
        <v/>
      </c>
      <c r="T1546" s="27" t="str">
        <f aca="false">IF(S1546=1,COUNTIF($S$2:S1546,1),"")</f>
        <v/>
      </c>
    </row>
    <row r="1547" customFormat="false" ht="15" hidden="false" customHeight="false" outlineLevel="0" collapsed="false">
      <c r="H1547" s="26"/>
      <c r="I1547" s="27" t="str">
        <f aca="false">IF(A1547="","",IF(H1547&lt;&gt;"",UPPER(TRIM(H1547)),IFERROR(CHOOSE(VALUE(E1547)+1,"A","B","C","D"),IF(OR(LEFT(UPPER(TRIM(E1547)),1)="F",UPPER(TRIM(E1547))="A"),"A",IF(OR(LEFT(UPPER(TRIM(E1547)),1)="M",UPPER(TRIM(E1547))="B"),"B",IF(OR(LEFT(UPPER(TRIM(E1547)),2)="SL",UPPER(TRIM(E1547))="C"),"C",IF(OR(LEFT(UPPER(TRIM(E1547)),1)="D",UPPER(TRIM(E1547))="D"),"D","")))))))</f>
        <v/>
      </c>
      <c r="J1547" s="27" t="str">
        <f aca="false">IF(I1547="","",IF(AND(I1547="D",Settings!$B$6&lt;&gt;"Yes"),"",IFERROR(INDEX(Settings!$C$9:$C$12,MATCH(I1547,Settings!$A$9:$A$12,0)),"")))</f>
        <v/>
      </c>
      <c r="K1547" s="27" t="str">
        <f aca="false">IF(J1547="","",COUNTIF($I$2:I1547,I1547))</f>
        <v/>
      </c>
      <c r="L1547" s="27" t="str">
        <f aca="false">IF(J1547="","",CHOOSE(Q1547+1,"Tue","Wed","Thu","Fri"))</f>
        <v/>
      </c>
      <c r="M1547" s="27" t="str">
        <f aca="false">IF(J1547="","",IF(J1547=1,"Every week",R1547+1&amp;" of "&amp;J1547))</f>
        <v/>
      </c>
      <c r="N1547" s="28" t="str">
        <f aca="false">IF(J1547="","",Settings!$B$4+R1547*7+Q1547)</f>
        <v/>
      </c>
      <c r="O1547" s="28" t="str">
        <f aca="true">IF(J1547="","",N1547+MAX(0,ROUNDUP((TODAY()-N1547)/(J1547*7),0))*J1547*7)</f>
        <v/>
      </c>
      <c r="P1547" s="27" t="str">
        <f aca="false">IF(J1547="","",MOD(K1547-1,J1547*4))</f>
        <v/>
      </c>
      <c r="Q1547" s="27" t="str">
        <f aca="false">IF(J1547="","",MOD(P1547,4))</f>
        <v/>
      </c>
      <c r="R1547" s="27" t="str">
        <f aca="false">IF(J1547="","",INT(P1547/4))</f>
        <v/>
      </c>
      <c r="S1547" s="27" t="str">
        <f aca="false">IF(J1547="","",IF(AND('Daily Count Sheet'!$H$3=Q1547,MOD('Daily Count Sheet'!$I$3,J1547)=R1547),1,""))</f>
        <v/>
      </c>
      <c r="T1547" s="27" t="str">
        <f aca="false">IF(S1547=1,COUNTIF($S$2:S1547,1),"")</f>
        <v/>
      </c>
    </row>
    <row r="1548" customFormat="false" ht="15" hidden="false" customHeight="false" outlineLevel="0" collapsed="false">
      <c r="H1548" s="26"/>
      <c r="I1548" s="27" t="str">
        <f aca="false">IF(A1548="","",IF(H1548&lt;&gt;"",UPPER(TRIM(H1548)),IFERROR(CHOOSE(VALUE(E1548)+1,"A","B","C","D"),IF(OR(LEFT(UPPER(TRIM(E1548)),1)="F",UPPER(TRIM(E1548))="A"),"A",IF(OR(LEFT(UPPER(TRIM(E1548)),1)="M",UPPER(TRIM(E1548))="B"),"B",IF(OR(LEFT(UPPER(TRIM(E1548)),2)="SL",UPPER(TRIM(E1548))="C"),"C",IF(OR(LEFT(UPPER(TRIM(E1548)),1)="D",UPPER(TRIM(E1548))="D"),"D","")))))))</f>
        <v/>
      </c>
      <c r="J1548" s="27" t="str">
        <f aca="false">IF(I1548="","",IF(AND(I1548="D",Settings!$B$6&lt;&gt;"Yes"),"",IFERROR(INDEX(Settings!$C$9:$C$12,MATCH(I1548,Settings!$A$9:$A$12,0)),"")))</f>
        <v/>
      </c>
      <c r="K1548" s="27" t="str">
        <f aca="false">IF(J1548="","",COUNTIF($I$2:I1548,I1548))</f>
        <v/>
      </c>
      <c r="L1548" s="27" t="str">
        <f aca="false">IF(J1548="","",CHOOSE(Q1548+1,"Tue","Wed","Thu","Fri"))</f>
        <v/>
      </c>
      <c r="M1548" s="27" t="str">
        <f aca="false">IF(J1548="","",IF(J1548=1,"Every week",R1548+1&amp;" of "&amp;J1548))</f>
        <v/>
      </c>
      <c r="N1548" s="28" t="str">
        <f aca="false">IF(J1548="","",Settings!$B$4+R1548*7+Q1548)</f>
        <v/>
      </c>
      <c r="O1548" s="28" t="str">
        <f aca="true">IF(J1548="","",N1548+MAX(0,ROUNDUP((TODAY()-N1548)/(J1548*7),0))*J1548*7)</f>
        <v/>
      </c>
      <c r="P1548" s="27" t="str">
        <f aca="false">IF(J1548="","",MOD(K1548-1,J1548*4))</f>
        <v/>
      </c>
      <c r="Q1548" s="27" t="str">
        <f aca="false">IF(J1548="","",MOD(P1548,4))</f>
        <v/>
      </c>
      <c r="R1548" s="27" t="str">
        <f aca="false">IF(J1548="","",INT(P1548/4))</f>
        <v/>
      </c>
      <c r="S1548" s="27" t="str">
        <f aca="false">IF(J1548="","",IF(AND('Daily Count Sheet'!$H$3=Q1548,MOD('Daily Count Sheet'!$I$3,J1548)=R1548),1,""))</f>
        <v/>
      </c>
      <c r="T1548" s="27" t="str">
        <f aca="false">IF(S1548=1,COUNTIF($S$2:S1548,1),"")</f>
        <v/>
      </c>
    </row>
    <row r="1549" customFormat="false" ht="15" hidden="false" customHeight="false" outlineLevel="0" collapsed="false">
      <c r="H1549" s="26"/>
      <c r="I1549" s="27" t="str">
        <f aca="false">IF(A1549="","",IF(H1549&lt;&gt;"",UPPER(TRIM(H1549)),IFERROR(CHOOSE(VALUE(E1549)+1,"A","B","C","D"),IF(OR(LEFT(UPPER(TRIM(E1549)),1)="F",UPPER(TRIM(E1549))="A"),"A",IF(OR(LEFT(UPPER(TRIM(E1549)),1)="M",UPPER(TRIM(E1549))="B"),"B",IF(OR(LEFT(UPPER(TRIM(E1549)),2)="SL",UPPER(TRIM(E1549))="C"),"C",IF(OR(LEFT(UPPER(TRIM(E1549)),1)="D",UPPER(TRIM(E1549))="D"),"D","")))))))</f>
        <v/>
      </c>
      <c r="J1549" s="27" t="str">
        <f aca="false">IF(I1549="","",IF(AND(I1549="D",Settings!$B$6&lt;&gt;"Yes"),"",IFERROR(INDEX(Settings!$C$9:$C$12,MATCH(I1549,Settings!$A$9:$A$12,0)),"")))</f>
        <v/>
      </c>
      <c r="K1549" s="27" t="str">
        <f aca="false">IF(J1549="","",COUNTIF($I$2:I1549,I1549))</f>
        <v/>
      </c>
      <c r="L1549" s="27" t="str">
        <f aca="false">IF(J1549="","",CHOOSE(Q1549+1,"Tue","Wed","Thu","Fri"))</f>
        <v/>
      </c>
      <c r="M1549" s="27" t="str">
        <f aca="false">IF(J1549="","",IF(J1549=1,"Every week",R1549+1&amp;" of "&amp;J1549))</f>
        <v/>
      </c>
      <c r="N1549" s="28" t="str">
        <f aca="false">IF(J1549="","",Settings!$B$4+R1549*7+Q1549)</f>
        <v/>
      </c>
      <c r="O1549" s="28" t="str">
        <f aca="true">IF(J1549="","",N1549+MAX(0,ROUNDUP((TODAY()-N1549)/(J1549*7),0))*J1549*7)</f>
        <v/>
      </c>
      <c r="P1549" s="27" t="str">
        <f aca="false">IF(J1549="","",MOD(K1549-1,J1549*4))</f>
        <v/>
      </c>
      <c r="Q1549" s="27" t="str">
        <f aca="false">IF(J1549="","",MOD(P1549,4))</f>
        <v/>
      </c>
      <c r="R1549" s="27" t="str">
        <f aca="false">IF(J1549="","",INT(P1549/4))</f>
        <v/>
      </c>
      <c r="S1549" s="27" t="str">
        <f aca="false">IF(J1549="","",IF(AND('Daily Count Sheet'!$H$3=Q1549,MOD('Daily Count Sheet'!$I$3,J1549)=R1549),1,""))</f>
        <v/>
      </c>
      <c r="T1549" s="27" t="str">
        <f aca="false">IF(S1549=1,COUNTIF($S$2:S1549,1),"")</f>
        <v/>
      </c>
    </row>
    <row r="1550" customFormat="false" ht="15" hidden="false" customHeight="false" outlineLevel="0" collapsed="false">
      <c r="H1550" s="26"/>
      <c r="I1550" s="27" t="str">
        <f aca="false">IF(A1550="","",IF(H1550&lt;&gt;"",UPPER(TRIM(H1550)),IFERROR(CHOOSE(VALUE(E1550)+1,"A","B","C","D"),IF(OR(LEFT(UPPER(TRIM(E1550)),1)="F",UPPER(TRIM(E1550))="A"),"A",IF(OR(LEFT(UPPER(TRIM(E1550)),1)="M",UPPER(TRIM(E1550))="B"),"B",IF(OR(LEFT(UPPER(TRIM(E1550)),2)="SL",UPPER(TRIM(E1550))="C"),"C",IF(OR(LEFT(UPPER(TRIM(E1550)),1)="D",UPPER(TRIM(E1550))="D"),"D","")))))))</f>
        <v/>
      </c>
      <c r="J1550" s="27" t="str">
        <f aca="false">IF(I1550="","",IF(AND(I1550="D",Settings!$B$6&lt;&gt;"Yes"),"",IFERROR(INDEX(Settings!$C$9:$C$12,MATCH(I1550,Settings!$A$9:$A$12,0)),"")))</f>
        <v/>
      </c>
      <c r="K1550" s="27" t="str">
        <f aca="false">IF(J1550="","",COUNTIF($I$2:I1550,I1550))</f>
        <v/>
      </c>
      <c r="L1550" s="27" t="str">
        <f aca="false">IF(J1550="","",CHOOSE(Q1550+1,"Tue","Wed","Thu","Fri"))</f>
        <v/>
      </c>
      <c r="M1550" s="27" t="str">
        <f aca="false">IF(J1550="","",IF(J1550=1,"Every week",R1550+1&amp;" of "&amp;J1550))</f>
        <v/>
      </c>
      <c r="N1550" s="28" t="str">
        <f aca="false">IF(J1550="","",Settings!$B$4+R1550*7+Q1550)</f>
        <v/>
      </c>
      <c r="O1550" s="28" t="str">
        <f aca="true">IF(J1550="","",N1550+MAX(0,ROUNDUP((TODAY()-N1550)/(J1550*7),0))*J1550*7)</f>
        <v/>
      </c>
      <c r="P1550" s="27" t="str">
        <f aca="false">IF(J1550="","",MOD(K1550-1,J1550*4))</f>
        <v/>
      </c>
      <c r="Q1550" s="27" t="str">
        <f aca="false">IF(J1550="","",MOD(P1550,4))</f>
        <v/>
      </c>
      <c r="R1550" s="27" t="str">
        <f aca="false">IF(J1550="","",INT(P1550/4))</f>
        <v/>
      </c>
      <c r="S1550" s="27" t="str">
        <f aca="false">IF(J1550="","",IF(AND('Daily Count Sheet'!$H$3=Q1550,MOD('Daily Count Sheet'!$I$3,J1550)=R1550),1,""))</f>
        <v/>
      </c>
      <c r="T1550" s="27" t="str">
        <f aca="false">IF(S1550=1,COUNTIF($S$2:S1550,1),"")</f>
        <v/>
      </c>
    </row>
    <row r="1551" customFormat="false" ht="15" hidden="false" customHeight="false" outlineLevel="0" collapsed="false">
      <c r="H1551" s="26"/>
      <c r="I1551" s="27" t="str">
        <f aca="false">IF(A1551="","",IF(H1551&lt;&gt;"",UPPER(TRIM(H1551)),IFERROR(CHOOSE(VALUE(E1551)+1,"A","B","C","D"),IF(OR(LEFT(UPPER(TRIM(E1551)),1)="F",UPPER(TRIM(E1551))="A"),"A",IF(OR(LEFT(UPPER(TRIM(E1551)),1)="M",UPPER(TRIM(E1551))="B"),"B",IF(OR(LEFT(UPPER(TRIM(E1551)),2)="SL",UPPER(TRIM(E1551))="C"),"C",IF(OR(LEFT(UPPER(TRIM(E1551)),1)="D",UPPER(TRIM(E1551))="D"),"D","")))))))</f>
        <v/>
      </c>
      <c r="J1551" s="27" t="str">
        <f aca="false">IF(I1551="","",IF(AND(I1551="D",Settings!$B$6&lt;&gt;"Yes"),"",IFERROR(INDEX(Settings!$C$9:$C$12,MATCH(I1551,Settings!$A$9:$A$12,0)),"")))</f>
        <v/>
      </c>
      <c r="K1551" s="27" t="str">
        <f aca="false">IF(J1551="","",COUNTIF($I$2:I1551,I1551))</f>
        <v/>
      </c>
      <c r="L1551" s="27" t="str">
        <f aca="false">IF(J1551="","",CHOOSE(Q1551+1,"Tue","Wed","Thu","Fri"))</f>
        <v/>
      </c>
      <c r="M1551" s="27" t="str">
        <f aca="false">IF(J1551="","",IF(J1551=1,"Every week",R1551+1&amp;" of "&amp;J1551))</f>
        <v/>
      </c>
      <c r="N1551" s="28" t="str">
        <f aca="false">IF(J1551="","",Settings!$B$4+R1551*7+Q1551)</f>
        <v/>
      </c>
      <c r="O1551" s="28" t="str">
        <f aca="true">IF(J1551="","",N1551+MAX(0,ROUNDUP((TODAY()-N1551)/(J1551*7),0))*J1551*7)</f>
        <v/>
      </c>
      <c r="P1551" s="27" t="str">
        <f aca="false">IF(J1551="","",MOD(K1551-1,J1551*4))</f>
        <v/>
      </c>
      <c r="Q1551" s="27" t="str">
        <f aca="false">IF(J1551="","",MOD(P1551,4))</f>
        <v/>
      </c>
      <c r="R1551" s="27" t="str">
        <f aca="false">IF(J1551="","",INT(P1551/4))</f>
        <v/>
      </c>
      <c r="S1551" s="27" t="str">
        <f aca="false">IF(J1551="","",IF(AND('Daily Count Sheet'!$H$3=Q1551,MOD('Daily Count Sheet'!$I$3,J1551)=R1551),1,""))</f>
        <v/>
      </c>
      <c r="T1551" s="27" t="str">
        <f aca="false">IF(S1551=1,COUNTIF($S$2:S1551,1),"")</f>
        <v/>
      </c>
    </row>
    <row r="1552" customFormat="false" ht="15" hidden="false" customHeight="false" outlineLevel="0" collapsed="false">
      <c r="H1552" s="26"/>
      <c r="I1552" s="27" t="str">
        <f aca="false">IF(A1552="","",IF(H1552&lt;&gt;"",UPPER(TRIM(H1552)),IFERROR(CHOOSE(VALUE(E1552)+1,"A","B","C","D"),IF(OR(LEFT(UPPER(TRIM(E1552)),1)="F",UPPER(TRIM(E1552))="A"),"A",IF(OR(LEFT(UPPER(TRIM(E1552)),1)="M",UPPER(TRIM(E1552))="B"),"B",IF(OR(LEFT(UPPER(TRIM(E1552)),2)="SL",UPPER(TRIM(E1552))="C"),"C",IF(OR(LEFT(UPPER(TRIM(E1552)),1)="D",UPPER(TRIM(E1552))="D"),"D","")))))))</f>
        <v/>
      </c>
      <c r="J1552" s="27" t="str">
        <f aca="false">IF(I1552="","",IF(AND(I1552="D",Settings!$B$6&lt;&gt;"Yes"),"",IFERROR(INDEX(Settings!$C$9:$C$12,MATCH(I1552,Settings!$A$9:$A$12,0)),"")))</f>
        <v/>
      </c>
      <c r="K1552" s="27" t="str">
        <f aca="false">IF(J1552="","",COUNTIF($I$2:I1552,I1552))</f>
        <v/>
      </c>
      <c r="L1552" s="27" t="str">
        <f aca="false">IF(J1552="","",CHOOSE(Q1552+1,"Tue","Wed","Thu","Fri"))</f>
        <v/>
      </c>
      <c r="M1552" s="27" t="str">
        <f aca="false">IF(J1552="","",IF(J1552=1,"Every week",R1552+1&amp;" of "&amp;J1552))</f>
        <v/>
      </c>
      <c r="N1552" s="28" t="str">
        <f aca="false">IF(J1552="","",Settings!$B$4+R1552*7+Q1552)</f>
        <v/>
      </c>
      <c r="O1552" s="28" t="str">
        <f aca="true">IF(J1552="","",N1552+MAX(0,ROUNDUP((TODAY()-N1552)/(J1552*7),0))*J1552*7)</f>
        <v/>
      </c>
      <c r="P1552" s="27" t="str">
        <f aca="false">IF(J1552="","",MOD(K1552-1,J1552*4))</f>
        <v/>
      </c>
      <c r="Q1552" s="27" t="str">
        <f aca="false">IF(J1552="","",MOD(P1552,4))</f>
        <v/>
      </c>
      <c r="R1552" s="27" t="str">
        <f aca="false">IF(J1552="","",INT(P1552/4))</f>
        <v/>
      </c>
      <c r="S1552" s="27" t="str">
        <f aca="false">IF(J1552="","",IF(AND('Daily Count Sheet'!$H$3=Q1552,MOD('Daily Count Sheet'!$I$3,J1552)=R1552),1,""))</f>
        <v/>
      </c>
      <c r="T1552" s="27" t="str">
        <f aca="false">IF(S1552=1,COUNTIF($S$2:S1552,1),"")</f>
        <v/>
      </c>
    </row>
    <row r="1553" customFormat="false" ht="15" hidden="false" customHeight="false" outlineLevel="0" collapsed="false">
      <c r="H1553" s="26"/>
      <c r="I1553" s="27" t="str">
        <f aca="false">IF(A1553="","",IF(H1553&lt;&gt;"",UPPER(TRIM(H1553)),IFERROR(CHOOSE(VALUE(E1553)+1,"A","B","C","D"),IF(OR(LEFT(UPPER(TRIM(E1553)),1)="F",UPPER(TRIM(E1553))="A"),"A",IF(OR(LEFT(UPPER(TRIM(E1553)),1)="M",UPPER(TRIM(E1553))="B"),"B",IF(OR(LEFT(UPPER(TRIM(E1553)),2)="SL",UPPER(TRIM(E1553))="C"),"C",IF(OR(LEFT(UPPER(TRIM(E1553)),1)="D",UPPER(TRIM(E1553))="D"),"D","")))))))</f>
        <v/>
      </c>
      <c r="J1553" s="27" t="str">
        <f aca="false">IF(I1553="","",IF(AND(I1553="D",Settings!$B$6&lt;&gt;"Yes"),"",IFERROR(INDEX(Settings!$C$9:$C$12,MATCH(I1553,Settings!$A$9:$A$12,0)),"")))</f>
        <v/>
      </c>
      <c r="K1553" s="27" t="str">
        <f aca="false">IF(J1553="","",COUNTIF($I$2:I1553,I1553))</f>
        <v/>
      </c>
      <c r="L1553" s="27" t="str">
        <f aca="false">IF(J1553="","",CHOOSE(Q1553+1,"Tue","Wed","Thu","Fri"))</f>
        <v/>
      </c>
      <c r="M1553" s="27" t="str">
        <f aca="false">IF(J1553="","",IF(J1553=1,"Every week",R1553+1&amp;" of "&amp;J1553))</f>
        <v/>
      </c>
      <c r="N1553" s="28" t="str">
        <f aca="false">IF(J1553="","",Settings!$B$4+R1553*7+Q1553)</f>
        <v/>
      </c>
      <c r="O1553" s="28" t="str">
        <f aca="true">IF(J1553="","",N1553+MAX(0,ROUNDUP((TODAY()-N1553)/(J1553*7),0))*J1553*7)</f>
        <v/>
      </c>
      <c r="P1553" s="27" t="str">
        <f aca="false">IF(J1553="","",MOD(K1553-1,J1553*4))</f>
        <v/>
      </c>
      <c r="Q1553" s="27" t="str">
        <f aca="false">IF(J1553="","",MOD(P1553,4))</f>
        <v/>
      </c>
      <c r="R1553" s="27" t="str">
        <f aca="false">IF(J1553="","",INT(P1553/4))</f>
        <v/>
      </c>
      <c r="S1553" s="27" t="str">
        <f aca="false">IF(J1553="","",IF(AND('Daily Count Sheet'!$H$3=Q1553,MOD('Daily Count Sheet'!$I$3,J1553)=R1553),1,""))</f>
        <v/>
      </c>
      <c r="T1553" s="27" t="str">
        <f aca="false">IF(S1553=1,COUNTIF($S$2:S1553,1),"")</f>
        <v/>
      </c>
    </row>
    <row r="1554" customFormat="false" ht="15" hidden="false" customHeight="false" outlineLevel="0" collapsed="false">
      <c r="H1554" s="26"/>
      <c r="I1554" s="27" t="str">
        <f aca="false">IF(A1554="","",IF(H1554&lt;&gt;"",UPPER(TRIM(H1554)),IFERROR(CHOOSE(VALUE(E1554)+1,"A","B","C","D"),IF(OR(LEFT(UPPER(TRIM(E1554)),1)="F",UPPER(TRIM(E1554))="A"),"A",IF(OR(LEFT(UPPER(TRIM(E1554)),1)="M",UPPER(TRIM(E1554))="B"),"B",IF(OR(LEFT(UPPER(TRIM(E1554)),2)="SL",UPPER(TRIM(E1554))="C"),"C",IF(OR(LEFT(UPPER(TRIM(E1554)),1)="D",UPPER(TRIM(E1554))="D"),"D","")))))))</f>
        <v/>
      </c>
      <c r="J1554" s="27" t="str">
        <f aca="false">IF(I1554="","",IF(AND(I1554="D",Settings!$B$6&lt;&gt;"Yes"),"",IFERROR(INDEX(Settings!$C$9:$C$12,MATCH(I1554,Settings!$A$9:$A$12,0)),"")))</f>
        <v/>
      </c>
      <c r="K1554" s="27" t="str">
        <f aca="false">IF(J1554="","",COUNTIF($I$2:I1554,I1554))</f>
        <v/>
      </c>
      <c r="L1554" s="27" t="str">
        <f aca="false">IF(J1554="","",CHOOSE(Q1554+1,"Tue","Wed","Thu","Fri"))</f>
        <v/>
      </c>
      <c r="M1554" s="27" t="str">
        <f aca="false">IF(J1554="","",IF(J1554=1,"Every week",R1554+1&amp;" of "&amp;J1554))</f>
        <v/>
      </c>
      <c r="N1554" s="28" t="str">
        <f aca="false">IF(J1554="","",Settings!$B$4+R1554*7+Q1554)</f>
        <v/>
      </c>
      <c r="O1554" s="28" t="str">
        <f aca="true">IF(J1554="","",N1554+MAX(0,ROUNDUP((TODAY()-N1554)/(J1554*7),0))*J1554*7)</f>
        <v/>
      </c>
      <c r="P1554" s="27" t="str">
        <f aca="false">IF(J1554="","",MOD(K1554-1,J1554*4))</f>
        <v/>
      </c>
      <c r="Q1554" s="27" t="str">
        <f aca="false">IF(J1554="","",MOD(P1554,4))</f>
        <v/>
      </c>
      <c r="R1554" s="27" t="str">
        <f aca="false">IF(J1554="","",INT(P1554/4))</f>
        <v/>
      </c>
      <c r="S1554" s="27" t="str">
        <f aca="false">IF(J1554="","",IF(AND('Daily Count Sheet'!$H$3=Q1554,MOD('Daily Count Sheet'!$I$3,J1554)=R1554),1,""))</f>
        <v/>
      </c>
      <c r="T1554" s="27" t="str">
        <f aca="false">IF(S1554=1,COUNTIF($S$2:S1554,1),"")</f>
        <v/>
      </c>
    </row>
    <row r="1555" customFormat="false" ht="15" hidden="false" customHeight="false" outlineLevel="0" collapsed="false">
      <c r="H1555" s="26"/>
      <c r="I1555" s="27" t="str">
        <f aca="false">IF(A1555="","",IF(H1555&lt;&gt;"",UPPER(TRIM(H1555)),IFERROR(CHOOSE(VALUE(E1555)+1,"A","B","C","D"),IF(OR(LEFT(UPPER(TRIM(E1555)),1)="F",UPPER(TRIM(E1555))="A"),"A",IF(OR(LEFT(UPPER(TRIM(E1555)),1)="M",UPPER(TRIM(E1555))="B"),"B",IF(OR(LEFT(UPPER(TRIM(E1555)),2)="SL",UPPER(TRIM(E1555))="C"),"C",IF(OR(LEFT(UPPER(TRIM(E1555)),1)="D",UPPER(TRIM(E1555))="D"),"D","")))))))</f>
        <v/>
      </c>
      <c r="J1555" s="27" t="str">
        <f aca="false">IF(I1555="","",IF(AND(I1555="D",Settings!$B$6&lt;&gt;"Yes"),"",IFERROR(INDEX(Settings!$C$9:$C$12,MATCH(I1555,Settings!$A$9:$A$12,0)),"")))</f>
        <v/>
      </c>
      <c r="K1555" s="27" t="str">
        <f aca="false">IF(J1555="","",COUNTIF($I$2:I1555,I1555))</f>
        <v/>
      </c>
      <c r="L1555" s="27" t="str">
        <f aca="false">IF(J1555="","",CHOOSE(Q1555+1,"Tue","Wed","Thu","Fri"))</f>
        <v/>
      </c>
      <c r="M1555" s="27" t="str">
        <f aca="false">IF(J1555="","",IF(J1555=1,"Every week",R1555+1&amp;" of "&amp;J1555))</f>
        <v/>
      </c>
      <c r="N1555" s="28" t="str">
        <f aca="false">IF(J1555="","",Settings!$B$4+R1555*7+Q1555)</f>
        <v/>
      </c>
      <c r="O1555" s="28" t="str">
        <f aca="true">IF(J1555="","",N1555+MAX(0,ROUNDUP((TODAY()-N1555)/(J1555*7),0))*J1555*7)</f>
        <v/>
      </c>
      <c r="P1555" s="27" t="str">
        <f aca="false">IF(J1555="","",MOD(K1555-1,J1555*4))</f>
        <v/>
      </c>
      <c r="Q1555" s="27" t="str">
        <f aca="false">IF(J1555="","",MOD(P1555,4))</f>
        <v/>
      </c>
      <c r="R1555" s="27" t="str">
        <f aca="false">IF(J1555="","",INT(P1555/4))</f>
        <v/>
      </c>
      <c r="S1555" s="27" t="str">
        <f aca="false">IF(J1555="","",IF(AND('Daily Count Sheet'!$H$3=Q1555,MOD('Daily Count Sheet'!$I$3,J1555)=R1555),1,""))</f>
        <v/>
      </c>
      <c r="T1555" s="27" t="str">
        <f aca="false">IF(S1555=1,COUNTIF($S$2:S1555,1),"")</f>
        <v/>
      </c>
    </row>
    <row r="1556" customFormat="false" ht="15" hidden="false" customHeight="false" outlineLevel="0" collapsed="false">
      <c r="H1556" s="26"/>
      <c r="I1556" s="27" t="str">
        <f aca="false">IF(A1556="","",IF(H1556&lt;&gt;"",UPPER(TRIM(H1556)),IFERROR(CHOOSE(VALUE(E1556)+1,"A","B","C","D"),IF(OR(LEFT(UPPER(TRIM(E1556)),1)="F",UPPER(TRIM(E1556))="A"),"A",IF(OR(LEFT(UPPER(TRIM(E1556)),1)="M",UPPER(TRIM(E1556))="B"),"B",IF(OR(LEFT(UPPER(TRIM(E1556)),2)="SL",UPPER(TRIM(E1556))="C"),"C",IF(OR(LEFT(UPPER(TRIM(E1556)),1)="D",UPPER(TRIM(E1556))="D"),"D","")))))))</f>
        <v/>
      </c>
      <c r="J1556" s="27" t="str">
        <f aca="false">IF(I1556="","",IF(AND(I1556="D",Settings!$B$6&lt;&gt;"Yes"),"",IFERROR(INDEX(Settings!$C$9:$C$12,MATCH(I1556,Settings!$A$9:$A$12,0)),"")))</f>
        <v/>
      </c>
      <c r="K1556" s="27" t="str">
        <f aca="false">IF(J1556="","",COUNTIF($I$2:I1556,I1556))</f>
        <v/>
      </c>
      <c r="L1556" s="27" t="str">
        <f aca="false">IF(J1556="","",CHOOSE(Q1556+1,"Tue","Wed","Thu","Fri"))</f>
        <v/>
      </c>
      <c r="M1556" s="27" t="str">
        <f aca="false">IF(J1556="","",IF(J1556=1,"Every week",R1556+1&amp;" of "&amp;J1556))</f>
        <v/>
      </c>
      <c r="N1556" s="28" t="str">
        <f aca="false">IF(J1556="","",Settings!$B$4+R1556*7+Q1556)</f>
        <v/>
      </c>
      <c r="O1556" s="28" t="str">
        <f aca="true">IF(J1556="","",N1556+MAX(0,ROUNDUP((TODAY()-N1556)/(J1556*7),0))*J1556*7)</f>
        <v/>
      </c>
      <c r="P1556" s="27" t="str">
        <f aca="false">IF(J1556="","",MOD(K1556-1,J1556*4))</f>
        <v/>
      </c>
      <c r="Q1556" s="27" t="str">
        <f aca="false">IF(J1556="","",MOD(P1556,4))</f>
        <v/>
      </c>
      <c r="R1556" s="27" t="str">
        <f aca="false">IF(J1556="","",INT(P1556/4))</f>
        <v/>
      </c>
      <c r="S1556" s="27" t="str">
        <f aca="false">IF(J1556="","",IF(AND('Daily Count Sheet'!$H$3=Q1556,MOD('Daily Count Sheet'!$I$3,J1556)=R1556),1,""))</f>
        <v/>
      </c>
      <c r="T1556" s="27" t="str">
        <f aca="false">IF(S1556=1,COUNTIF($S$2:S1556,1),"")</f>
        <v/>
      </c>
    </row>
    <row r="1557" customFormat="false" ht="15" hidden="false" customHeight="false" outlineLevel="0" collapsed="false">
      <c r="H1557" s="26"/>
      <c r="I1557" s="27" t="str">
        <f aca="false">IF(A1557="","",IF(H1557&lt;&gt;"",UPPER(TRIM(H1557)),IFERROR(CHOOSE(VALUE(E1557)+1,"A","B","C","D"),IF(OR(LEFT(UPPER(TRIM(E1557)),1)="F",UPPER(TRIM(E1557))="A"),"A",IF(OR(LEFT(UPPER(TRIM(E1557)),1)="M",UPPER(TRIM(E1557))="B"),"B",IF(OR(LEFT(UPPER(TRIM(E1557)),2)="SL",UPPER(TRIM(E1557))="C"),"C",IF(OR(LEFT(UPPER(TRIM(E1557)),1)="D",UPPER(TRIM(E1557))="D"),"D","")))))))</f>
        <v/>
      </c>
      <c r="J1557" s="27" t="str">
        <f aca="false">IF(I1557="","",IF(AND(I1557="D",Settings!$B$6&lt;&gt;"Yes"),"",IFERROR(INDEX(Settings!$C$9:$C$12,MATCH(I1557,Settings!$A$9:$A$12,0)),"")))</f>
        <v/>
      </c>
      <c r="K1557" s="27" t="str">
        <f aca="false">IF(J1557="","",COUNTIF($I$2:I1557,I1557))</f>
        <v/>
      </c>
      <c r="L1557" s="27" t="str">
        <f aca="false">IF(J1557="","",CHOOSE(Q1557+1,"Tue","Wed","Thu","Fri"))</f>
        <v/>
      </c>
      <c r="M1557" s="27" t="str">
        <f aca="false">IF(J1557="","",IF(J1557=1,"Every week",R1557+1&amp;" of "&amp;J1557))</f>
        <v/>
      </c>
      <c r="N1557" s="28" t="str">
        <f aca="false">IF(J1557="","",Settings!$B$4+R1557*7+Q1557)</f>
        <v/>
      </c>
      <c r="O1557" s="28" t="str">
        <f aca="true">IF(J1557="","",N1557+MAX(0,ROUNDUP((TODAY()-N1557)/(J1557*7),0))*J1557*7)</f>
        <v/>
      </c>
      <c r="P1557" s="27" t="str">
        <f aca="false">IF(J1557="","",MOD(K1557-1,J1557*4))</f>
        <v/>
      </c>
      <c r="Q1557" s="27" t="str">
        <f aca="false">IF(J1557="","",MOD(P1557,4))</f>
        <v/>
      </c>
      <c r="R1557" s="27" t="str">
        <f aca="false">IF(J1557="","",INT(P1557/4))</f>
        <v/>
      </c>
      <c r="S1557" s="27" t="str">
        <f aca="false">IF(J1557="","",IF(AND('Daily Count Sheet'!$H$3=Q1557,MOD('Daily Count Sheet'!$I$3,J1557)=R1557),1,""))</f>
        <v/>
      </c>
      <c r="T1557" s="27" t="str">
        <f aca="false">IF(S1557=1,COUNTIF($S$2:S1557,1),"")</f>
        <v/>
      </c>
    </row>
    <row r="1558" customFormat="false" ht="15" hidden="false" customHeight="false" outlineLevel="0" collapsed="false">
      <c r="H1558" s="26"/>
      <c r="I1558" s="27" t="str">
        <f aca="false">IF(A1558="","",IF(H1558&lt;&gt;"",UPPER(TRIM(H1558)),IFERROR(CHOOSE(VALUE(E1558)+1,"A","B","C","D"),IF(OR(LEFT(UPPER(TRIM(E1558)),1)="F",UPPER(TRIM(E1558))="A"),"A",IF(OR(LEFT(UPPER(TRIM(E1558)),1)="M",UPPER(TRIM(E1558))="B"),"B",IF(OR(LEFT(UPPER(TRIM(E1558)),2)="SL",UPPER(TRIM(E1558))="C"),"C",IF(OR(LEFT(UPPER(TRIM(E1558)),1)="D",UPPER(TRIM(E1558))="D"),"D","")))))))</f>
        <v/>
      </c>
      <c r="J1558" s="27" t="str">
        <f aca="false">IF(I1558="","",IF(AND(I1558="D",Settings!$B$6&lt;&gt;"Yes"),"",IFERROR(INDEX(Settings!$C$9:$C$12,MATCH(I1558,Settings!$A$9:$A$12,0)),"")))</f>
        <v/>
      </c>
      <c r="K1558" s="27" t="str">
        <f aca="false">IF(J1558="","",COUNTIF($I$2:I1558,I1558))</f>
        <v/>
      </c>
      <c r="L1558" s="27" t="str">
        <f aca="false">IF(J1558="","",CHOOSE(Q1558+1,"Tue","Wed","Thu","Fri"))</f>
        <v/>
      </c>
      <c r="M1558" s="27" t="str">
        <f aca="false">IF(J1558="","",IF(J1558=1,"Every week",R1558+1&amp;" of "&amp;J1558))</f>
        <v/>
      </c>
      <c r="N1558" s="28" t="str">
        <f aca="false">IF(J1558="","",Settings!$B$4+R1558*7+Q1558)</f>
        <v/>
      </c>
      <c r="O1558" s="28" t="str">
        <f aca="true">IF(J1558="","",N1558+MAX(0,ROUNDUP((TODAY()-N1558)/(J1558*7),0))*J1558*7)</f>
        <v/>
      </c>
      <c r="P1558" s="27" t="str">
        <f aca="false">IF(J1558="","",MOD(K1558-1,J1558*4))</f>
        <v/>
      </c>
      <c r="Q1558" s="27" t="str">
        <f aca="false">IF(J1558="","",MOD(P1558,4))</f>
        <v/>
      </c>
      <c r="R1558" s="27" t="str">
        <f aca="false">IF(J1558="","",INT(P1558/4))</f>
        <v/>
      </c>
      <c r="S1558" s="27" t="str">
        <f aca="false">IF(J1558="","",IF(AND('Daily Count Sheet'!$H$3=Q1558,MOD('Daily Count Sheet'!$I$3,J1558)=R1558),1,""))</f>
        <v/>
      </c>
      <c r="T1558" s="27" t="str">
        <f aca="false">IF(S1558=1,COUNTIF($S$2:S1558,1),"")</f>
        <v/>
      </c>
    </row>
    <row r="1559" customFormat="false" ht="15" hidden="false" customHeight="false" outlineLevel="0" collapsed="false">
      <c r="H1559" s="26"/>
      <c r="I1559" s="27" t="str">
        <f aca="false">IF(A1559="","",IF(H1559&lt;&gt;"",UPPER(TRIM(H1559)),IFERROR(CHOOSE(VALUE(E1559)+1,"A","B","C","D"),IF(OR(LEFT(UPPER(TRIM(E1559)),1)="F",UPPER(TRIM(E1559))="A"),"A",IF(OR(LEFT(UPPER(TRIM(E1559)),1)="M",UPPER(TRIM(E1559))="B"),"B",IF(OR(LEFT(UPPER(TRIM(E1559)),2)="SL",UPPER(TRIM(E1559))="C"),"C",IF(OR(LEFT(UPPER(TRIM(E1559)),1)="D",UPPER(TRIM(E1559))="D"),"D","")))))))</f>
        <v/>
      </c>
      <c r="J1559" s="27" t="str">
        <f aca="false">IF(I1559="","",IF(AND(I1559="D",Settings!$B$6&lt;&gt;"Yes"),"",IFERROR(INDEX(Settings!$C$9:$C$12,MATCH(I1559,Settings!$A$9:$A$12,0)),"")))</f>
        <v/>
      </c>
      <c r="K1559" s="27" t="str">
        <f aca="false">IF(J1559="","",COUNTIF($I$2:I1559,I1559))</f>
        <v/>
      </c>
      <c r="L1559" s="27" t="str">
        <f aca="false">IF(J1559="","",CHOOSE(Q1559+1,"Tue","Wed","Thu","Fri"))</f>
        <v/>
      </c>
      <c r="M1559" s="27" t="str">
        <f aca="false">IF(J1559="","",IF(J1559=1,"Every week",R1559+1&amp;" of "&amp;J1559))</f>
        <v/>
      </c>
      <c r="N1559" s="28" t="str">
        <f aca="false">IF(J1559="","",Settings!$B$4+R1559*7+Q1559)</f>
        <v/>
      </c>
      <c r="O1559" s="28" t="str">
        <f aca="true">IF(J1559="","",N1559+MAX(0,ROUNDUP((TODAY()-N1559)/(J1559*7),0))*J1559*7)</f>
        <v/>
      </c>
      <c r="P1559" s="27" t="str">
        <f aca="false">IF(J1559="","",MOD(K1559-1,J1559*4))</f>
        <v/>
      </c>
      <c r="Q1559" s="27" t="str">
        <f aca="false">IF(J1559="","",MOD(P1559,4))</f>
        <v/>
      </c>
      <c r="R1559" s="27" t="str">
        <f aca="false">IF(J1559="","",INT(P1559/4))</f>
        <v/>
      </c>
      <c r="S1559" s="27" t="str">
        <f aca="false">IF(J1559="","",IF(AND('Daily Count Sheet'!$H$3=Q1559,MOD('Daily Count Sheet'!$I$3,J1559)=R1559),1,""))</f>
        <v/>
      </c>
      <c r="T1559" s="27" t="str">
        <f aca="false">IF(S1559=1,COUNTIF($S$2:S1559,1),"")</f>
        <v/>
      </c>
    </row>
    <row r="1560" customFormat="false" ht="15" hidden="false" customHeight="false" outlineLevel="0" collapsed="false">
      <c r="H1560" s="26"/>
      <c r="I1560" s="27" t="str">
        <f aca="false">IF(A1560="","",IF(H1560&lt;&gt;"",UPPER(TRIM(H1560)),IFERROR(CHOOSE(VALUE(E1560)+1,"A","B","C","D"),IF(OR(LEFT(UPPER(TRIM(E1560)),1)="F",UPPER(TRIM(E1560))="A"),"A",IF(OR(LEFT(UPPER(TRIM(E1560)),1)="M",UPPER(TRIM(E1560))="B"),"B",IF(OR(LEFT(UPPER(TRIM(E1560)),2)="SL",UPPER(TRIM(E1560))="C"),"C",IF(OR(LEFT(UPPER(TRIM(E1560)),1)="D",UPPER(TRIM(E1560))="D"),"D","")))))))</f>
        <v/>
      </c>
      <c r="J1560" s="27" t="str">
        <f aca="false">IF(I1560="","",IF(AND(I1560="D",Settings!$B$6&lt;&gt;"Yes"),"",IFERROR(INDEX(Settings!$C$9:$C$12,MATCH(I1560,Settings!$A$9:$A$12,0)),"")))</f>
        <v/>
      </c>
      <c r="K1560" s="27" t="str">
        <f aca="false">IF(J1560="","",COUNTIF($I$2:I1560,I1560))</f>
        <v/>
      </c>
      <c r="L1560" s="27" t="str">
        <f aca="false">IF(J1560="","",CHOOSE(Q1560+1,"Tue","Wed","Thu","Fri"))</f>
        <v/>
      </c>
      <c r="M1560" s="27" t="str">
        <f aca="false">IF(J1560="","",IF(J1560=1,"Every week",R1560+1&amp;" of "&amp;J1560))</f>
        <v/>
      </c>
      <c r="N1560" s="28" t="str">
        <f aca="false">IF(J1560="","",Settings!$B$4+R1560*7+Q1560)</f>
        <v/>
      </c>
      <c r="O1560" s="28" t="str">
        <f aca="true">IF(J1560="","",N1560+MAX(0,ROUNDUP((TODAY()-N1560)/(J1560*7),0))*J1560*7)</f>
        <v/>
      </c>
      <c r="P1560" s="27" t="str">
        <f aca="false">IF(J1560="","",MOD(K1560-1,J1560*4))</f>
        <v/>
      </c>
      <c r="Q1560" s="27" t="str">
        <f aca="false">IF(J1560="","",MOD(P1560,4))</f>
        <v/>
      </c>
      <c r="R1560" s="27" t="str">
        <f aca="false">IF(J1560="","",INT(P1560/4))</f>
        <v/>
      </c>
      <c r="S1560" s="27" t="str">
        <f aca="false">IF(J1560="","",IF(AND('Daily Count Sheet'!$H$3=Q1560,MOD('Daily Count Sheet'!$I$3,J1560)=R1560),1,""))</f>
        <v/>
      </c>
      <c r="T1560" s="27" t="str">
        <f aca="false">IF(S1560=1,COUNTIF($S$2:S1560,1),"")</f>
        <v/>
      </c>
    </row>
    <row r="1561" customFormat="false" ht="15" hidden="false" customHeight="false" outlineLevel="0" collapsed="false">
      <c r="H1561" s="26"/>
      <c r="I1561" s="27" t="str">
        <f aca="false">IF(A1561="","",IF(H1561&lt;&gt;"",UPPER(TRIM(H1561)),IFERROR(CHOOSE(VALUE(E1561)+1,"A","B","C","D"),IF(OR(LEFT(UPPER(TRIM(E1561)),1)="F",UPPER(TRIM(E1561))="A"),"A",IF(OR(LEFT(UPPER(TRIM(E1561)),1)="M",UPPER(TRIM(E1561))="B"),"B",IF(OR(LEFT(UPPER(TRIM(E1561)),2)="SL",UPPER(TRIM(E1561))="C"),"C",IF(OR(LEFT(UPPER(TRIM(E1561)),1)="D",UPPER(TRIM(E1561))="D"),"D","")))))))</f>
        <v/>
      </c>
      <c r="J1561" s="27" t="str">
        <f aca="false">IF(I1561="","",IF(AND(I1561="D",Settings!$B$6&lt;&gt;"Yes"),"",IFERROR(INDEX(Settings!$C$9:$C$12,MATCH(I1561,Settings!$A$9:$A$12,0)),"")))</f>
        <v/>
      </c>
      <c r="K1561" s="27" t="str">
        <f aca="false">IF(J1561="","",COUNTIF($I$2:I1561,I1561))</f>
        <v/>
      </c>
      <c r="L1561" s="27" t="str">
        <f aca="false">IF(J1561="","",CHOOSE(Q1561+1,"Tue","Wed","Thu","Fri"))</f>
        <v/>
      </c>
      <c r="M1561" s="27" t="str">
        <f aca="false">IF(J1561="","",IF(J1561=1,"Every week",R1561+1&amp;" of "&amp;J1561))</f>
        <v/>
      </c>
      <c r="N1561" s="28" t="str">
        <f aca="false">IF(J1561="","",Settings!$B$4+R1561*7+Q1561)</f>
        <v/>
      </c>
      <c r="O1561" s="28" t="str">
        <f aca="true">IF(J1561="","",N1561+MAX(0,ROUNDUP((TODAY()-N1561)/(J1561*7),0))*J1561*7)</f>
        <v/>
      </c>
      <c r="P1561" s="27" t="str">
        <f aca="false">IF(J1561="","",MOD(K1561-1,J1561*4))</f>
        <v/>
      </c>
      <c r="Q1561" s="27" t="str">
        <f aca="false">IF(J1561="","",MOD(P1561,4))</f>
        <v/>
      </c>
      <c r="R1561" s="27" t="str">
        <f aca="false">IF(J1561="","",INT(P1561/4))</f>
        <v/>
      </c>
      <c r="S1561" s="27" t="str">
        <f aca="false">IF(J1561="","",IF(AND('Daily Count Sheet'!$H$3=Q1561,MOD('Daily Count Sheet'!$I$3,J1561)=R1561),1,""))</f>
        <v/>
      </c>
      <c r="T1561" s="27" t="str">
        <f aca="false">IF(S1561=1,COUNTIF($S$2:S1561,1),"")</f>
        <v/>
      </c>
    </row>
    <row r="1562" customFormat="false" ht="15" hidden="false" customHeight="false" outlineLevel="0" collapsed="false">
      <c r="H1562" s="26"/>
      <c r="I1562" s="27" t="str">
        <f aca="false">IF(A1562="","",IF(H1562&lt;&gt;"",UPPER(TRIM(H1562)),IFERROR(CHOOSE(VALUE(E1562)+1,"A","B","C","D"),IF(OR(LEFT(UPPER(TRIM(E1562)),1)="F",UPPER(TRIM(E1562))="A"),"A",IF(OR(LEFT(UPPER(TRIM(E1562)),1)="M",UPPER(TRIM(E1562))="B"),"B",IF(OR(LEFT(UPPER(TRIM(E1562)),2)="SL",UPPER(TRIM(E1562))="C"),"C",IF(OR(LEFT(UPPER(TRIM(E1562)),1)="D",UPPER(TRIM(E1562))="D"),"D","")))))))</f>
        <v/>
      </c>
      <c r="J1562" s="27" t="str">
        <f aca="false">IF(I1562="","",IF(AND(I1562="D",Settings!$B$6&lt;&gt;"Yes"),"",IFERROR(INDEX(Settings!$C$9:$C$12,MATCH(I1562,Settings!$A$9:$A$12,0)),"")))</f>
        <v/>
      </c>
      <c r="K1562" s="27" t="str">
        <f aca="false">IF(J1562="","",COUNTIF($I$2:I1562,I1562))</f>
        <v/>
      </c>
      <c r="L1562" s="27" t="str">
        <f aca="false">IF(J1562="","",CHOOSE(Q1562+1,"Tue","Wed","Thu","Fri"))</f>
        <v/>
      </c>
      <c r="M1562" s="27" t="str">
        <f aca="false">IF(J1562="","",IF(J1562=1,"Every week",R1562+1&amp;" of "&amp;J1562))</f>
        <v/>
      </c>
      <c r="N1562" s="28" t="str">
        <f aca="false">IF(J1562="","",Settings!$B$4+R1562*7+Q1562)</f>
        <v/>
      </c>
      <c r="O1562" s="28" t="str">
        <f aca="true">IF(J1562="","",N1562+MAX(0,ROUNDUP((TODAY()-N1562)/(J1562*7),0))*J1562*7)</f>
        <v/>
      </c>
      <c r="P1562" s="27" t="str">
        <f aca="false">IF(J1562="","",MOD(K1562-1,J1562*4))</f>
        <v/>
      </c>
      <c r="Q1562" s="27" t="str">
        <f aca="false">IF(J1562="","",MOD(P1562,4))</f>
        <v/>
      </c>
      <c r="R1562" s="27" t="str">
        <f aca="false">IF(J1562="","",INT(P1562/4))</f>
        <v/>
      </c>
      <c r="S1562" s="27" t="str">
        <f aca="false">IF(J1562="","",IF(AND('Daily Count Sheet'!$H$3=Q1562,MOD('Daily Count Sheet'!$I$3,J1562)=R1562),1,""))</f>
        <v/>
      </c>
      <c r="T1562" s="27" t="str">
        <f aca="false">IF(S1562=1,COUNTIF($S$2:S1562,1),"")</f>
        <v/>
      </c>
    </row>
    <row r="1563" customFormat="false" ht="15" hidden="false" customHeight="false" outlineLevel="0" collapsed="false">
      <c r="H1563" s="26"/>
      <c r="I1563" s="27" t="str">
        <f aca="false">IF(A1563="","",IF(H1563&lt;&gt;"",UPPER(TRIM(H1563)),IFERROR(CHOOSE(VALUE(E1563)+1,"A","B","C","D"),IF(OR(LEFT(UPPER(TRIM(E1563)),1)="F",UPPER(TRIM(E1563))="A"),"A",IF(OR(LEFT(UPPER(TRIM(E1563)),1)="M",UPPER(TRIM(E1563))="B"),"B",IF(OR(LEFT(UPPER(TRIM(E1563)),2)="SL",UPPER(TRIM(E1563))="C"),"C",IF(OR(LEFT(UPPER(TRIM(E1563)),1)="D",UPPER(TRIM(E1563))="D"),"D","")))))))</f>
        <v/>
      </c>
      <c r="J1563" s="27" t="str">
        <f aca="false">IF(I1563="","",IF(AND(I1563="D",Settings!$B$6&lt;&gt;"Yes"),"",IFERROR(INDEX(Settings!$C$9:$C$12,MATCH(I1563,Settings!$A$9:$A$12,0)),"")))</f>
        <v/>
      </c>
      <c r="K1563" s="27" t="str">
        <f aca="false">IF(J1563="","",COUNTIF($I$2:I1563,I1563))</f>
        <v/>
      </c>
      <c r="L1563" s="27" t="str">
        <f aca="false">IF(J1563="","",CHOOSE(Q1563+1,"Tue","Wed","Thu","Fri"))</f>
        <v/>
      </c>
      <c r="M1563" s="27" t="str">
        <f aca="false">IF(J1563="","",IF(J1563=1,"Every week",R1563+1&amp;" of "&amp;J1563))</f>
        <v/>
      </c>
      <c r="N1563" s="28" t="str">
        <f aca="false">IF(J1563="","",Settings!$B$4+R1563*7+Q1563)</f>
        <v/>
      </c>
      <c r="O1563" s="28" t="str">
        <f aca="true">IF(J1563="","",N1563+MAX(0,ROUNDUP((TODAY()-N1563)/(J1563*7),0))*J1563*7)</f>
        <v/>
      </c>
      <c r="P1563" s="27" t="str">
        <f aca="false">IF(J1563="","",MOD(K1563-1,J1563*4))</f>
        <v/>
      </c>
      <c r="Q1563" s="27" t="str">
        <f aca="false">IF(J1563="","",MOD(P1563,4))</f>
        <v/>
      </c>
      <c r="R1563" s="27" t="str">
        <f aca="false">IF(J1563="","",INT(P1563/4))</f>
        <v/>
      </c>
      <c r="S1563" s="27" t="str">
        <f aca="false">IF(J1563="","",IF(AND('Daily Count Sheet'!$H$3=Q1563,MOD('Daily Count Sheet'!$I$3,J1563)=R1563),1,""))</f>
        <v/>
      </c>
      <c r="T1563" s="27" t="str">
        <f aca="false">IF(S1563=1,COUNTIF($S$2:S1563,1),"")</f>
        <v/>
      </c>
    </row>
    <row r="1564" customFormat="false" ht="15" hidden="false" customHeight="false" outlineLevel="0" collapsed="false">
      <c r="H1564" s="26"/>
      <c r="I1564" s="27" t="str">
        <f aca="false">IF(A1564="","",IF(H1564&lt;&gt;"",UPPER(TRIM(H1564)),IFERROR(CHOOSE(VALUE(E1564)+1,"A","B","C","D"),IF(OR(LEFT(UPPER(TRIM(E1564)),1)="F",UPPER(TRIM(E1564))="A"),"A",IF(OR(LEFT(UPPER(TRIM(E1564)),1)="M",UPPER(TRIM(E1564))="B"),"B",IF(OR(LEFT(UPPER(TRIM(E1564)),2)="SL",UPPER(TRIM(E1564))="C"),"C",IF(OR(LEFT(UPPER(TRIM(E1564)),1)="D",UPPER(TRIM(E1564))="D"),"D","")))))))</f>
        <v/>
      </c>
      <c r="J1564" s="27" t="str">
        <f aca="false">IF(I1564="","",IF(AND(I1564="D",Settings!$B$6&lt;&gt;"Yes"),"",IFERROR(INDEX(Settings!$C$9:$C$12,MATCH(I1564,Settings!$A$9:$A$12,0)),"")))</f>
        <v/>
      </c>
      <c r="K1564" s="27" t="str">
        <f aca="false">IF(J1564="","",COUNTIF($I$2:I1564,I1564))</f>
        <v/>
      </c>
      <c r="L1564" s="27" t="str">
        <f aca="false">IF(J1564="","",CHOOSE(Q1564+1,"Tue","Wed","Thu","Fri"))</f>
        <v/>
      </c>
      <c r="M1564" s="27" t="str">
        <f aca="false">IF(J1564="","",IF(J1564=1,"Every week",R1564+1&amp;" of "&amp;J1564))</f>
        <v/>
      </c>
      <c r="N1564" s="28" t="str">
        <f aca="false">IF(J1564="","",Settings!$B$4+R1564*7+Q1564)</f>
        <v/>
      </c>
      <c r="O1564" s="28" t="str">
        <f aca="true">IF(J1564="","",N1564+MAX(0,ROUNDUP((TODAY()-N1564)/(J1564*7),0))*J1564*7)</f>
        <v/>
      </c>
      <c r="P1564" s="27" t="str">
        <f aca="false">IF(J1564="","",MOD(K1564-1,J1564*4))</f>
        <v/>
      </c>
      <c r="Q1564" s="27" t="str">
        <f aca="false">IF(J1564="","",MOD(P1564,4))</f>
        <v/>
      </c>
      <c r="R1564" s="27" t="str">
        <f aca="false">IF(J1564="","",INT(P1564/4))</f>
        <v/>
      </c>
      <c r="S1564" s="27" t="str">
        <f aca="false">IF(J1564="","",IF(AND('Daily Count Sheet'!$H$3=Q1564,MOD('Daily Count Sheet'!$I$3,J1564)=R1564),1,""))</f>
        <v/>
      </c>
      <c r="T1564" s="27" t="str">
        <f aca="false">IF(S1564=1,COUNTIF($S$2:S1564,1),"")</f>
        <v/>
      </c>
    </row>
    <row r="1565" customFormat="false" ht="15" hidden="false" customHeight="false" outlineLevel="0" collapsed="false">
      <c r="H1565" s="26"/>
      <c r="I1565" s="27" t="str">
        <f aca="false">IF(A1565="","",IF(H1565&lt;&gt;"",UPPER(TRIM(H1565)),IFERROR(CHOOSE(VALUE(E1565)+1,"A","B","C","D"),IF(OR(LEFT(UPPER(TRIM(E1565)),1)="F",UPPER(TRIM(E1565))="A"),"A",IF(OR(LEFT(UPPER(TRIM(E1565)),1)="M",UPPER(TRIM(E1565))="B"),"B",IF(OR(LEFT(UPPER(TRIM(E1565)),2)="SL",UPPER(TRIM(E1565))="C"),"C",IF(OR(LEFT(UPPER(TRIM(E1565)),1)="D",UPPER(TRIM(E1565))="D"),"D","")))))))</f>
        <v/>
      </c>
      <c r="J1565" s="27" t="str">
        <f aca="false">IF(I1565="","",IF(AND(I1565="D",Settings!$B$6&lt;&gt;"Yes"),"",IFERROR(INDEX(Settings!$C$9:$C$12,MATCH(I1565,Settings!$A$9:$A$12,0)),"")))</f>
        <v/>
      </c>
      <c r="K1565" s="27" t="str">
        <f aca="false">IF(J1565="","",COUNTIF($I$2:I1565,I1565))</f>
        <v/>
      </c>
      <c r="L1565" s="27" t="str">
        <f aca="false">IF(J1565="","",CHOOSE(Q1565+1,"Tue","Wed","Thu","Fri"))</f>
        <v/>
      </c>
      <c r="M1565" s="27" t="str">
        <f aca="false">IF(J1565="","",IF(J1565=1,"Every week",R1565+1&amp;" of "&amp;J1565))</f>
        <v/>
      </c>
      <c r="N1565" s="28" t="str">
        <f aca="false">IF(J1565="","",Settings!$B$4+R1565*7+Q1565)</f>
        <v/>
      </c>
      <c r="O1565" s="28" t="str">
        <f aca="true">IF(J1565="","",N1565+MAX(0,ROUNDUP((TODAY()-N1565)/(J1565*7),0))*J1565*7)</f>
        <v/>
      </c>
      <c r="P1565" s="27" t="str">
        <f aca="false">IF(J1565="","",MOD(K1565-1,J1565*4))</f>
        <v/>
      </c>
      <c r="Q1565" s="27" t="str">
        <f aca="false">IF(J1565="","",MOD(P1565,4))</f>
        <v/>
      </c>
      <c r="R1565" s="27" t="str">
        <f aca="false">IF(J1565="","",INT(P1565/4))</f>
        <v/>
      </c>
      <c r="S1565" s="27" t="str">
        <f aca="false">IF(J1565="","",IF(AND('Daily Count Sheet'!$H$3=Q1565,MOD('Daily Count Sheet'!$I$3,J1565)=R1565),1,""))</f>
        <v/>
      </c>
      <c r="T1565" s="27" t="str">
        <f aca="false">IF(S1565=1,COUNTIF($S$2:S1565,1),"")</f>
        <v/>
      </c>
    </row>
    <row r="1566" customFormat="false" ht="15" hidden="false" customHeight="false" outlineLevel="0" collapsed="false">
      <c r="H1566" s="26"/>
      <c r="I1566" s="27" t="str">
        <f aca="false">IF(A1566="","",IF(H1566&lt;&gt;"",UPPER(TRIM(H1566)),IFERROR(CHOOSE(VALUE(E1566)+1,"A","B","C","D"),IF(OR(LEFT(UPPER(TRIM(E1566)),1)="F",UPPER(TRIM(E1566))="A"),"A",IF(OR(LEFT(UPPER(TRIM(E1566)),1)="M",UPPER(TRIM(E1566))="B"),"B",IF(OR(LEFT(UPPER(TRIM(E1566)),2)="SL",UPPER(TRIM(E1566))="C"),"C",IF(OR(LEFT(UPPER(TRIM(E1566)),1)="D",UPPER(TRIM(E1566))="D"),"D","")))))))</f>
        <v/>
      </c>
      <c r="J1566" s="27" t="str">
        <f aca="false">IF(I1566="","",IF(AND(I1566="D",Settings!$B$6&lt;&gt;"Yes"),"",IFERROR(INDEX(Settings!$C$9:$C$12,MATCH(I1566,Settings!$A$9:$A$12,0)),"")))</f>
        <v/>
      </c>
      <c r="K1566" s="27" t="str">
        <f aca="false">IF(J1566="","",COUNTIF($I$2:I1566,I1566))</f>
        <v/>
      </c>
      <c r="L1566" s="27" t="str">
        <f aca="false">IF(J1566="","",CHOOSE(Q1566+1,"Tue","Wed","Thu","Fri"))</f>
        <v/>
      </c>
      <c r="M1566" s="27" t="str">
        <f aca="false">IF(J1566="","",IF(J1566=1,"Every week",R1566+1&amp;" of "&amp;J1566))</f>
        <v/>
      </c>
      <c r="N1566" s="28" t="str">
        <f aca="false">IF(J1566="","",Settings!$B$4+R1566*7+Q1566)</f>
        <v/>
      </c>
      <c r="O1566" s="28" t="str">
        <f aca="true">IF(J1566="","",N1566+MAX(0,ROUNDUP((TODAY()-N1566)/(J1566*7),0))*J1566*7)</f>
        <v/>
      </c>
      <c r="P1566" s="27" t="str">
        <f aca="false">IF(J1566="","",MOD(K1566-1,J1566*4))</f>
        <v/>
      </c>
      <c r="Q1566" s="27" t="str">
        <f aca="false">IF(J1566="","",MOD(P1566,4))</f>
        <v/>
      </c>
      <c r="R1566" s="27" t="str">
        <f aca="false">IF(J1566="","",INT(P1566/4))</f>
        <v/>
      </c>
      <c r="S1566" s="27" t="str">
        <f aca="false">IF(J1566="","",IF(AND('Daily Count Sheet'!$H$3=Q1566,MOD('Daily Count Sheet'!$I$3,J1566)=R1566),1,""))</f>
        <v/>
      </c>
      <c r="T1566" s="27" t="str">
        <f aca="false">IF(S1566=1,COUNTIF($S$2:S1566,1),"")</f>
        <v/>
      </c>
    </row>
    <row r="1567" customFormat="false" ht="15" hidden="false" customHeight="false" outlineLevel="0" collapsed="false">
      <c r="H1567" s="26"/>
      <c r="I1567" s="27" t="str">
        <f aca="false">IF(A1567="","",IF(H1567&lt;&gt;"",UPPER(TRIM(H1567)),IFERROR(CHOOSE(VALUE(E1567)+1,"A","B","C","D"),IF(OR(LEFT(UPPER(TRIM(E1567)),1)="F",UPPER(TRIM(E1567))="A"),"A",IF(OR(LEFT(UPPER(TRIM(E1567)),1)="M",UPPER(TRIM(E1567))="B"),"B",IF(OR(LEFT(UPPER(TRIM(E1567)),2)="SL",UPPER(TRIM(E1567))="C"),"C",IF(OR(LEFT(UPPER(TRIM(E1567)),1)="D",UPPER(TRIM(E1567))="D"),"D","")))))))</f>
        <v/>
      </c>
      <c r="J1567" s="27" t="str">
        <f aca="false">IF(I1567="","",IF(AND(I1567="D",Settings!$B$6&lt;&gt;"Yes"),"",IFERROR(INDEX(Settings!$C$9:$C$12,MATCH(I1567,Settings!$A$9:$A$12,0)),"")))</f>
        <v/>
      </c>
      <c r="K1567" s="27" t="str">
        <f aca="false">IF(J1567="","",COUNTIF($I$2:I1567,I1567))</f>
        <v/>
      </c>
      <c r="L1567" s="27" t="str">
        <f aca="false">IF(J1567="","",CHOOSE(Q1567+1,"Tue","Wed","Thu","Fri"))</f>
        <v/>
      </c>
      <c r="M1567" s="27" t="str">
        <f aca="false">IF(J1567="","",IF(J1567=1,"Every week",R1567+1&amp;" of "&amp;J1567))</f>
        <v/>
      </c>
      <c r="N1567" s="28" t="str">
        <f aca="false">IF(J1567="","",Settings!$B$4+R1567*7+Q1567)</f>
        <v/>
      </c>
      <c r="O1567" s="28" t="str">
        <f aca="true">IF(J1567="","",N1567+MAX(0,ROUNDUP((TODAY()-N1567)/(J1567*7),0))*J1567*7)</f>
        <v/>
      </c>
      <c r="P1567" s="27" t="str">
        <f aca="false">IF(J1567="","",MOD(K1567-1,J1567*4))</f>
        <v/>
      </c>
      <c r="Q1567" s="27" t="str">
        <f aca="false">IF(J1567="","",MOD(P1567,4))</f>
        <v/>
      </c>
      <c r="R1567" s="27" t="str">
        <f aca="false">IF(J1567="","",INT(P1567/4))</f>
        <v/>
      </c>
      <c r="S1567" s="27" t="str">
        <f aca="false">IF(J1567="","",IF(AND('Daily Count Sheet'!$H$3=Q1567,MOD('Daily Count Sheet'!$I$3,J1567)=R1567),1,""))</f>
        <v/>
      </c>
      <c r="T1567" s="27" t="str">
        <f aca="false">IF(S1567=1,COUNTIF($S$2:S1567,1),"")</f>
        <v/>
      </c>
    </row>
    <row r="1568" customFormat="false" ht="15" hidden="false" customHeight="false" outlineLevel="0" collapsed="false">
      <c r="H1568" s="26"/>
      <c r="I1568" s="27" t="str">
        <f aca="false">IF(A1568="","",IF(H1568&lt;&gt;"",UPPER(TRIM(H1568)),IFERROR(CHOOSE(VALUE(E1568)+1,"A","B","C","D"),IF(OR(LEFT(UPPER(TRIM(E1568)),1)="F",UPPER(TRIM(E1568))="A"),"A",IF(OR(LEFT(UPPER(TRIM(E1568)),1)="M",UPPER(TRIM(E1568))="B"),"B",IF(OR(LEFT(UPPER(TRIM(E1568)),2)="SL",UPPER(TRIM(E1568))="C"),"C",IF(OR(LEFT(UPPER(TRIM(E1568)),1)="D",UPPER(TRIM(E1568))="D"),"D","")))))))</f>
        <v/>
      </c>
      <c r="J1568" s="27" t="str">
        <f aca="false">IF(I1568="","",IF(AND(I1568="D",Settings!$B$6&lt;&gt;"Yes"),"",IFERROR(INDEX(Settings!$C$9:$C$12,MATCH(I1568,Settings!$A$9:$A$12,0)),"")))</f>
        <v/>
      </c>
      <c r="K1568" s="27" t="str">
        <f aca="false">IF(J1568="","",COUNTIF($I$2:I1568,I1568))</f>
        <v/>
      </c>
      <c r="L1568" s="27" t="str">
        <f aca="false">IF(J1568="","",CHOOSE(Q1568+1,"Tue","Wed","Thu","Fri"))</f>
        <v/>
      </c>
      <c r="M1568" s="27" t="str">
        <f aca="false">IF(J1568="","",IF(J1568=1,"Every week",R1568+1&amp;" of "&amp;J1568))</f>
        <v/>
      </c>
      <c r="N1568" s="28" t="str">
        <f aca="false">IF(J1568="","",Settings!$B$4+R1568*7+Q1568)</f>
        <v/>
      </c>
      <c r="O1568" s="28" t="str">
        <f aca="true">IF(J1568="","",N1568+MAX(0,ROUNDUP((TODAY()-N1568)/(J1568*7),0))*J1568*7)</f>
        <v/>
      </c>
      <c r="P1568" s="27" t="str">
        <f aca="false">IF(J1568="","",MOD(K1568-1,J1568*4))</f>
        <v/>
      </c>
      <c r="Q1568" s="27" t="str">
        <f aca="false">IF(J1568="","",MOD(P1568,4))</f>
        <v/>
      </c>
      <c r="R1568" s="27" t="str">
        <f aca="false">IF(J1568="","",INT(P1568/4))</f>
        <v/>
      </c>
      <c r="S1568" s="27" t="str">
        <f aca="false">IF(J1568="","",IF(AND('Daily Count Sheet'!$H$3=Q1568,MOD('Daily Count Sheet'!$I$3,J1568)=R1568),1,""))</f>
        <v/>
      </c>
      <c r="T1568" s="27" t="str">
        <f aca="false">IF(S1568=1,COUNTIF($S$2:S1568,1),"")</f>
        <v/>
      </c>
    </row>
    <row r="1569" customFormat="false" ht="15" hidden="false" customHeight="false" outlineLevel="0" collapsed="false">
      <c r="H1569" s="26"/>
      <c r="I1569" s="27" t="str">
        <f aca="false">IF(A1569="","",IF(H1569&lt;&gt;"",UPPER(TRIM(H1569)),IFERROR(CHOOSE(VALUE(E1569)+1,"A","B","C","D"),IF(OR(LEFT(UPPER(TRIM(E1569)),1)="F",UPPER(TRIM(E1569))="A"),"A",IF(OR(LEFT(UPPER(TRIM(E1569)),1)="M",UPPER(TRIM(E1569))="B"),"B",IF(OR(LEFT(UPPER(TRIM(E1569)),2)="SL",UPPER(TRIM(E1569))="C"),"C",IF(OR(LEFT(UPPER(TRIM(E1569)),1)="D",UPPER(TRIM(E1569))="D"),"D","")))))))</f>
        <v/>
      </c>
      <c r="J1569" s="27" t="str">
        <f aca="false">IF(I1569="","",IF(AND(I1569="D",Settings!$B$6&lt;&gt;"Yes"),"",IFERROR(INDEX(Settings!$C$9:$C$12,MATCH(I1569,Settings!$A$9:$A$12,0)),"")))</f>
        <v/>
      </c>
      <c r="K1569" s="27" t="str">
        <f aca="false">IF(J1569="","",COUNTIF($I$2:I1569,I1569))</f>
        <v/>
      </c>
      <c r="L1569" s="27" t="str">
        <f aca="false">IF(J1569="","",CHOOSE(Q1569+1,"Tue","Wed","Thu","Fri"))</f>
        <v/>
      </c>
      <c r="M1569" s="27" t="str">
        <f aca="false">IF(J1569="","",IF(J1569=1,"Every week",R1569+1&amp;" of "&amp;J1569))</f>
        <v/>
      </c>
      <c r="N1569" s="28" t="str">
        <f aca="false">IF(J1569="","",Settings!$B$4+R1569*7+Q1569)</f>
        <v/>
      </c>
      <c r="O1569" s="28" t="str">
        <f aca="true">IF(J1569="","",N1569+MAX(0,ROUNDUP((TODAY()-N1569)/(J1569*7),0))*J1569*7)</f>
        <v/>
      </c>
      <c r="P1569" s="27" t="str">
        <f aca="false">IF(J1569="","",MOD(K1569-1,J1569*4))</f>
        <v/>
      </c>
      <c r="Q1569" s="27" t="str">
        <f aca="false">IF(J1569="","",MOD(P1569,4))</f>
        <v/>
      </c>
      <c r="R1569" s="27" t="str">
        <f aca="false">IF(J1569="","",INT(P1569/4))</f>
        <v/>
      </c>
      <c r="S1569" s="27" t="str">
        <f aca="false">IF(J1569="","",IF(AND('Daily Count Sheet'!$H$3=Q1569,MOD('Daily Count Sheet'!$I$3,J1569)=R1569),1,""))</f>
        <v/>
      </c>
      <c r="T1569" s="27" t="str">
        <f aca="false">IF(S1569=1,COUNTIF($S$2:S1569,1),"")</f>
        <v/>
      </c>
    </row>
    <row r="1570" customFormat="false" ht="15" hidden="false" customHeight="false" outlineLevel="0" collapsed="false">
      <c r="H1570" s="26"/>
      <c r="I1570" s="27" t="str">
        <f aca="false">IF(A1570="","",IF(H1570&lt;&gt;"",UPPER(TRIM(H1570)),IFERROR(CHOOSE(VALUE(E1570)+1,"A","B","C","D"),IF(OR(LEFT(UPPER(TRIM(E1570)),1)="F",UPPER(TRIM(E1570))="A"),"A",IF(OR(LEFT(UPPER(TRIM(E1570)),1)="M",UPPER(TRIM(E1570))="B"),"B",IF(OR(LEFT(UPPER(TRIM(E1570)),2)="SL",UPPER(TRIM(E1570))="C"),"C",IF(OR(LEFT(UPPER(TRIM(E1570)),1)="D",UPPER(TRIM(E1570))="D"),"D","")))))))</f>
        <v/>
      </c>
      <c r="J1570" s="27" t="str">
        <f aca="false">IF(I1570="","",IF(AND(I1570="D",Settings!$B$6&lt;&gt;"Yes"),"",IFERROR(INDEX(Settings!$C$9:$C$12,MATCH(I1570,Settings!$A$9:$A$12,0)),"")))</f>
        <v/>
      </c>
      <c r="K1570" s="27" t="str">
        <f aca="false">IF(J1570="","",COUNTIF($I$2:I1570,I1570))</f>
        <v/>
      </c>
      <c r="L1570" s="27" t="str">
        <f aca="false">IF(J1570="","",CHOOSE(Q1570+1,"Tue","Wed","Thu","Fri"))</f>
        <v/>
      </c>
      <c r="M1570" s="27" t="str">
        <f aca="false">IF(J1570="","",IF(J1570=1,"Every week",R1570+1&amp;" of "&amp;J1570))</f>
        <v/>
      </c>
      <c r="N1570" s="28" t="str">
        <f aca="false">IF(J1570="","",Settings!$B$4+R1570*7+Q1570)</f>
        <v/>
      </c>
      <c r="O1570" s="28" t="str">
        <f aca="true">IF(J1570="","",N1570+MAX(0,ROUNDUP((TODAY()-N1570)/(J1570*7),0))*J1570*7)</f>
        <v/>
      </c>
      <c r="P1570" s="27" t="str">
        <f aca="false">IF(J1570="","",MOD(K1570-1,J1570*4))</f>
        <v/>
      </c>
      <c r="Q1570" s="27" t="str">
        <f aca="false">IF(J1570="","",MOD(P1570,4))</f>
        <v/>
      </c>
      <c r="R1570" s="27" t="str">
        <f aca="false">IF(J1570="","",INT(P1570/4))</f>
        <v/>
      </c>
      <c r="S1570" s="27" t="str">
        <f aca="false">IF(J1570="","",IF(AND('Daily Count Sheet'!$H$3=Q1570,MOD('Daily Count Sheet'!$I$3,J1570)=R1570),1,""))</f>
        <v/>
      </c>
      <c r="T1570" s="27" t="str">
        <f aca="false">IF(S1570=1,COUNTIF($S$2:S1570,1),"")</f>
        <v/>
      </c>
    </row>
    <row r="1571" customFormat="false" ht="15" hidden="false" customHeight="false" outlineLevel="0" collapsed="false">
      <c r="H1571" s="26"/>
      <c r="I1571" s="27" t="str">
        <f aca="false">IF(A1571="","",IF(H1571&lt;&gt;"",UPPER(TRIM(H1571)),IFERROR(CHOOSE(VALUE(E1571)+1,"A","B","C","D"),IF(OR(LEFT(UPPER(TRIM(E1571)),1)="F",UPPER(TRIM(E1571))="A"),"A",IF(OR(LEFT(UPPER(TRIM(E1571)),1)="M",UPPER(TRIM(E1571))="B"),"B",IF(OR(LEFT(UPPER(TRIM(E1571)),2)="SL",UPPER(TRIM(E1571))="C"),"C",IF(OR(LEFT(UPPER(TRIM(E1571)),1)="D",UPPER(TRIM(E1571))="D"),"D","")))))))</f>
        <v/>
      </c>
      <c r="J1571" s="27" t="str">
        <f aca="false">IF(I1571="","",IF(AND(I1571="D",Settings!$B$6&lt;&gt;"Yes"),"",IFERROR(INDEX(Settings!$C$9:$C$12,MATCH(I1571,Settings!$A$9:$A$12,0)),"")))</f>
        <v/>
      </c>
      <c r="K1571" s="27" t="str">
        <f aca="false">IF(J1571="","",COUNTIF($I$2:I1571,I1571))</f>
        <v/>
      </c>
      <c r="L1571" s="27" t="str">
        <f aca="false">IF(J1571="","",CHOOSE(Q1571+1,"Tue","Wed","Thu","Fri"))</f>
        <v/>
      </c>
      <c r="M1571" s="27" t="str">
        <f aca="false">IF(J1571="","",IF(J1571=1,"Every week",R1571+1&amp;" of "&amp;J1571))</f>
        <v/>
      </c>
      <c r="N1571" s="28" t="str">
        <f aca="false">IF(J1571="","",Settings!$B$4+R1571*7+Q1571)</f>
        <v/>
      </c>
      <c r="O1571" s="28" t="str">
        <f aca="true">IF(J1571="","",N1571+MAX(0,ROUNDUP((TODAY()-N1571)/(J1571*7),0))*J1571*7)</f>
        <v/>
      </c>
      <c r="P1571" s="27" t="str">
        <f aca="false">IF(J1571="","",MOD(K1571-1,J1571*4))</f>
        <v/>
      </c>
      <c r="Q1571" s="27" t="str">
        <f aca="false">IF(J1571="","",MOD(P1571,4))</f>
        <v/>
      </c>
      <c r="R1571" s="27" t="str">
        <f aca="false">IF(J1571="","",INT(P1571/4))</f>
        <v/>
      </c>
      <c r="S1571" s="27" t="str">
        <f aca="false">IF(J1571="","",IF(AND('Daily Count Sheet'!$H$3=Q1571,MOD('Daily Count Sheet'!$I$3,J1571)=R1571),1,""))</f>
        <v/>
      </c>
      <c r="T1571" s="27" t="str">
        <f aca="false">IF(S1571=1,COUNTIF($S$2:S1571,1),"")</f>
        <v/>
      </c>
    </row>
    <row r="1572" customFormat="false" ht="15" hidden="false" customHeight="false" outlineLevel="0" collapsed="false">
      <c r="H1572" s="26"/>
      <c r="I1572" s="27" t="str">
        <f aca="false">IF(A1572="","",IF(H1572&lt;&gt;"",UPPER(TRIM(H1572)),IFERROR(CHOOSE(VALUE(E1572)+1,"A","B","C","D"),IF(OR(LEFT(UPPER(TRIM(E1572)),1)="F",UPPER(TRIM(E1572))="A"),"A",IF(OR(LEFT(UPPER(TRIM(E1572)),1)="M",UPPER(TRIM(E1572))="B"),"B",IF(OR(LEFT(UPPER(TRIM(E1572)),2)="SL",UPPER(TRIM(E1572))="C"),"C",IF(OR(LEFT(UPPER(TRIM(E1572)),1)="D",UPPER(TRIM(E1572))="D"),"D","")))))))</f>
        <v/>
      </c>
      <c r="J1572" s="27" t="str">
        <f aca="false">IF(I1572="","",IF(AND(I1572="D",Settings!$B$6&lt;&gt;"Yes"),"",IFERROR(INDEX(Settings!$C$9:$C$12,MATCH(I1572,Settings!$A$9:$A$12,0)),"")))</f>
        <v/>
      </c>
      <c r="K1572" s="27" t="str">
        <f aca="false">IF(J1572="","",COUNTIF($I$2:I1572,I1572))</f>
        <v/>
      </c>
      <c r="L1572" s="27" t="str">
        <f aca="false">IF(J1572="","",CHOOSE(Q1572+1,"Tue","Wed","Thu","Fri"))</f>
        <v/>
      </c>
      <c r="M1572" s="27" t="str">
        <f aca="false">IF(J1572="","",IF(J1572=1,"Every week",R1572+1&amp;" of "&amp;J1572))</f>
        <v/>
      </c>
      <c r="N1572" s="28" t="str">
        <f aca="false">IF(J1572="","",Settings!$B$4+R1572*7+Q1572)</f>
        <v/>
      </c>
      <c r="O1572" s="28" t="str">
        <f aca="true">IF(J1572="","",N1572+MAX(0,ROUNDUP((TODAY()-N1572)/(J1572*7),0))*J1572*7)</f>
        <v/>
      </c>
      <c r="P1572" s="27" t="str">
        <f aca="false">IF(J1572="","",MOD(K1572-1,J1572*4))</f>
        <v/>
      </c>
      <c r="Q1572" s="27" t="str">
        <f aca="false">IF(J1572="","",MOD(P1572,4))</f>
        <v/>
      </c>
      <c r="R1572" s="27" t="str">
        <f aca="false">IF(J1572="","",INT(P1572/4))</f>
        <v/>
      </c>
      <c r="S1572" s="27" t="str">
        <f aca="false">IF(J1572="","",IF(AND('Daily Count Sheet'!$H$3=Q1572,MOD('Daily Count Sheet'!$I$3,J1572)=R1572),1,""))</f>
        <v/>
      </c>
      <c r="T1572" s="27" t="str">
        <f aca="false">IF(S1572=1,COUNTIF($S$2:S1572,1),"")</f>
        <v/>
      </c>
    </row>
    <row r="1573" customFormat="false" ht="15" hidden="false" customHeight="false" outlineLevel="0" collapsed="false">
      <c r="H1573" s="26"/>
      <c r="I1573" s="27" t="str">
        <f aca="false">IF(A1573="","",IF(H1573&lt;&gt;"",UPPER(TRIM(H1573)),IFERROR(CHOOSE(VALUE(E1573)+1,"A","B","C","D"),IF(OR(LEFT(UPPER(TRIM(E1573)),1)="F",UPPER(TRIM(E1573))="A"),"A",IF(OR(LEFT(UPPER(TRIM(E1573)),1)="M",UPPER(TRIM(E1573))="B"),"B",IF(OR(LEFT(UPPER(TRIM(E1573)),2)="SL",UPPER(TRIM(E1573))="C"),"C",IF(OR(LEFT(UPPER(TRIM(E1573)),1)="D",UPPER(TRIM(E1573))="D"),"D","")))))))</f>
        <v/>
      </c>
      <c r="J1573" s="27" t="str">
        <f aca="false">IF(I1573="","",IF(AND(I1573="D",Settings!$B$6&lt;&gt;"Yes"),"",IFERROR(INDEX(Settings!$C$9:$C$12,MATCH(I1573,Settings!$A$9:$A$12,0)),"")))</f>
        <v/>
      </c>
      <c r="K1573" s="27" t="str">
        <f aca="false">IF(J1573="","",COUNTIF($I$2:I1573,I1573))</f>
        <v/>
      </c>
      <c r="L1573" s="27" t="str">
        <f aca="false">IF(J1573="","",CHOOSE(Q1573+1,"Tue","Wed","Thu","Fri"))</f>
        <v/>
      </c>
      <c r="M1573" s="27" t="str">
        <f aca="false">IF(J1573="","",IF(J1573=1,"Every week",R1573+1&amp;" of "&amp;J1573))</f>
        <v/>
      </c>
      <c r="N1573" s="28" t="str">
        <f aca="false">IF(J1573="","",Settings!$B$4+R1573*7+Q1573)</f>
        <v/>
      </c>
      <c r="O1573" s="28" t="str">
        <f aca="true">IF(J1573="","",N1573+MAX(0,ROUNDUP((TODAY()-N1573)/(J1573*7),0))*J1573*7)</f>
        <v/>
      </c>
      <c r="P1573" s="27" t="str">
        <f aca="false">IF(J1573="","",MOD(K1573-1,J1573*4))</f>
        <v/>
      </c>
      <c r="Q1573" s="27" t="str">
        <f aca="false">IF(J1573="","",MOD(P1573,4))</f>
        <v/>
      </c>
      <c r="R1573" s="27" t="str">
        <f aca="false">IF(J1573="","",INT(P1573/4))</f>
        <v/>
      </c>
      <c r="S1573" s="27" t="str">
        <f aca="false">IF(J1573="","",IF(AND('Daily Count Sheet'!$H$3=Q1573,MOD('Daily Count Sheet'!$I$3,J1573)=R1573),1,""))</f>
        <v/>
      </c>
      <c r="T1573" s="27" t="str">
        <f aca="false">IF(S1573=1,COUNTIF($S$2:S1573,1),"")</f>
        <v/>
      </c>
    </row>
    <row r="1574" customFormat="false" ht="15" hidden="false" customHeight="false" outlineLevel="0" collapsed="false">
      <c r="H1574" s="26"/>
      <c r="I1574" s="27" t="str">
        <f aca="false">IF(A1574="","",IF(H1574&lt;&gt;"",UPPER(TRIM(H1574)),IFERROR(CHOOSE(VALUE(E1574)+1,"A","B","C","D"),IF(OR(LEFT(UPPER(TRIM(E1574)),1)="F",UPPER(TRIM(E1574))="A"),"A",IF(OR(LEFT(UPPER(TRIM(E1574)),1)="M",UPPER(TRIM(E1574))="B"),"B",IF(OR(LEFT(UPPER(TRIM(E1574)),2)="SL",UPPER(TRIM(E1574))="C"),"C",IF(OR(LEFT(UPPER(TRIM(E1574)),1)="D",UPPER(TRIM(E1574))="D"),"D","")))))))</f>
        <v/>
      </c>
      <c r="J1574" s="27" t="str">
        <f aca="false">IF(I1574="","",IF(AND(I1574="D",Settings!$B$6&lt;&gt;"Yes"),"",IFERROR(INDEX(Settings!$C$9:$C$12,MATCH(I1574,Settings!$A$9:$A$12,0)),"")))</f>
        <v/>
      </c>
      <c r="K1574" s="27" t="str">
        <f aca="false">IF(J1574="","",COUNTIF($I$2:I1574,I1574))</f>
        <v/>
      </c>
      <c r="L1574" s="27" t="str">
        <f aca="false">IF(J1574="","",CHOOSE(Q1574+1,"Tue","Wed","Thu","Fri"))</f>
        <v/>
      </c>
      <c r="M1574" s="27" t="str">
        <f aca="false">IF(J1574="","",IF(J1574=1,"Every week",R1574+1&amp;" of "&amp;J1574))</f>
        <v/>
      </c>
      <c r="N1574" s="28" t="str">
        <f aca="false">IF(J1574="","",Settings!$B$4+R1574*7+Q1574)</f>
        <v/>
      </c>
      <c r="O1574" s="28" t="str">
        <f aca="true">IF(J1574="","",N1574+MAX(0,ROUNDUP((TODAY()-N1574)/(J1574*7),0))*J1574*7)</f>
        <v/>
      </c>
      <c r="P1574" s="27" t="str">
        <f aca="false">IF(J1574="","",MOD(K1574-1,J1574*4))</f>
        <v/>
      </c>
      <c r="Q1574" s="27" t="str">
        <f aca="false">IF(J1574="","",MOD(P1574,4))</f>
        <v/>
      </c>
      <c r="R1574" s="27" t="str">
        <f aca="false">IF(J1574="","",INT(P1574/4))</f>
        <v/>
      </c>
      <c r="S1574" s="27" t="str">
        <f aca="false">IF(J1574="","",IF(AND('Daily Count Sheet'!$H$3=Q1574,MOD('Daily Count Sheet'!$I$3,J1574)=R1574),1,""))</f>
        <v/>
      </c>
      <c r="T1574" s="27" t="str">
        <f aca="false">IF(S1574=1,COUNTIF($S$2:S1574,1),"")</f>
        <v/>
      </c>
    </row>
    <row r="1575" customFormat="false" ht="15" hidden="false" customHeight="false" outlineLevel="0" collapsed="false">
      <c r="H1575" s="26"/>
      <c r="I1575" s="27" t="str">
        <f aca="false">IF(A1575="","",IF(H1575&lt;&gt;"",UPPER(TRIM(H1575)),IFERROR(CHOOSE(VALUE(E1575)+1,"A","B","C","D"),IF(OR(LEFT(UPPER(TRIM(E1575)),1)="F",UPPER(TRIM(E1575))="A"),"A",IF(OR(LEFT(UPPER(TRIM(E1575)),1)="M",UPPER(TRIM(E1575))="B"),"B",IF(OR(LEFT(UPPER(TRIM(E1575)),2)="SL",UPPER(TRIM(E1575))="C"),"C",IF(OR(LEFT(UPPER(TRIM(E1575)),1)="D",UPPER(TRIM(E1575))="D"),"D","")))))))</f>
        <v/>
      </c>
      <c r="J1575" s="27" t="str">
        <f aca="false">IF(I1575="","",IF(AND(I1575="D",Settings!$B$6&lt;&gt;"Yes"),"",IFERROR(INDEX(Settings!$C$9:$C$12,MATCH(I1575,Settings!$A$9:$A$12,0)),"")))</f>
        <v/>
      </c>
      <c r="K1575" s="27" t="str">
        <f aca="false">IF(J1575="","",COUNTIF($I$2:I1575,I1575))</f>
        <v/>
      </c>
      <c r="L1575" s="27" t="str">
        <f aca="false">IF(J1575="","",CHOOSE(Q1575+1,"Tue","Wed","Thu","Fri"))</f>
        <v/>
      </c>
      <c r="M1575" s="27" t="str">
        <f aca="false">IF(J1575="","",IF(J1575=1,"Every week",R1575+1&amp;" of "&amp;J1575))</f>
        <v/>
      </c>
      <c r="N1575" s="28" t="str">
        <f aca="false">IF(J1575="","",Settings!$B$4+R1575*7+Q1575)</f>
        <v/>
      </c>
      <c r="O1575" s="28" t="str">
        <f aca="true">IF(J1575="","",N1575+MAX(0,ROUNDUP((TODAY()-N1575)/(J1575*7),0))*J1575*7)</f>
        <v/>
      </c>
      <c r="P1575" s="27" t="str">
        <f aca="false">IF(J1575="","",MOD(K1575-1,J1575*4))</f>
        <v/>
      </c>
      <c r="Q1575" s="27" t="str">
        <f aca="false">IF(J1575="","",MOD(P1575,4))</f>
        <v/>
      </c>
      <c r="R1575" s="27" t="str">
        <f aca="false">IF(J1575="","",INT(P1575/4))</f>
        <v/>
      </c>
      <c r="S1575" s="27" t="str">
        <f aca="false">IF(J1575="","",IF(AND('Daily Count Sheet'!$H$3=Q1575,MOD('Daily Count Sheet'!$I$3,J1575)=R1575),1,""))</f>
        <v/>
      </c>
      <c r="T1575" s="27" t="str">
        <f aca="false">IF(S1575=1,COUNTIF($S$2:S1575,1),"")</f>
        <v/>
      </c>
    </row>
    <row r="1576" customFormat="false" ht="15" hidden="false" customHeight="false" outlineLevel="0" collapsed="false">
      <c r="H1576" s="26"/>
      <c r="I1576" s="27" t="str">
        <f aca="false">IF(A1576="","",IF(H1576&lt;&gt;"",UPPER(TRIM(H1576)),IFERROR(CHOOSE(VALUE(E1576)+1,"A","B","C","D"),IF(OR(LEFT(UPPER(TRIM(E1576)),1)="F",UPPER(TRIM(E1576))="A"),"A",IF(OR(LEFT(UPPER(TRIM(E1576)),1)="M",UPPER(TRIM(E1576))="B"),"B",IF(OR(LEFT(UPPER(TRIM(E1576)),2)="SL",UPPER(TRIM(E1576))="C"),"C",IF(OR(LEFT(UPPER(TRIM(E1576)),1)="D",UPPER(TRIM(E1576))="D"),"D","")))))))</f>
        <v/>
      </c>
      <c r="J1576" s="27" t="str">
        <f aca="false">IF(I1576="","",IF(AND(I1576="D",Settings!$B$6&lt;&gt;"Yes"),"",IFERROR(INDEX(Settings!$C$9:$C$12,MATCH(I1576,Settings!$A$9:$A$12,0)),"")))</f>
        <v/>
      </c>
      <c r="K1576" s="27" t="str">
        <f aca="false">IF(J1576="","",COUNTIF($I$2:I1576,I1576))</f>
        <v/>
      </c>
      <c r="L1576" s="27" t="str">
        <f aca="false">IF(J1576="","",CHOOSE(Q1576+1,"Tue","Wed","Thu","Fri"))</f>
        <v/>
      </c>
      <c r="M1576" s="27" t="str">
        <f aca="false">IF(J1576="","",IF(J1576=1,"Every week",R1576+1&amp;" of "&amp;J1576))</f>
        <v/>
      </c>
      <c r="N1576" s="28" t="str">
        <f aca="false">IF(J1576="","",Settings!$B$4+R1576*7+Q1576)</f>
        <v/>
      </c>
      <c r="O1576" s="28" t="str">
        <f aca="true">IF(J1576="","",N1576+MAX(0,ROUNDUP((TODAY()-N1576)/(J1576*7),0))*J1576*7)</f>
        <v/>
      </c>
      <c r="P1576" s="27" t="str">
        <f aca="false">IF(J1576="","",MOD(K1576-1,J1576*4))</f>
        <v/>
      </c>
      <c r="Q1576" s="27" t="str">
        <f aca="false">IF(J1576="","",MOD(P1576,4))</f>
        <v/>
      </c>
      <c r="R1576" s="27" t="str">
        <f aca="false">IF(J1576="","",INT(P1576/4))</f>
        <v/>
      </c>
      <c r="S1576" s="27" t="str">
        <f aca="false">IF(J1576="","",IF(AND('Daily Count Sheet'!$H$3=Q1576,MOD('Daily Count Sheet'!$I$3,J1576)=R1576),1,""))</f>
        <v/>
      </c>
      <c r="T1576" s="27" t="str">
        <f aca="false">IF(S1576=1,COUNTIF($S$2:S1576,1),"")</f>
        <v/>
      </c>
    </row>
    <row r="1577" customFormat="false" ht="15" hidden="false" customHeight="false" outlineLevel="0" collapsed="false">
      <c r="H1577" s="26"/>
      <c r="I1577" s="27" t="str">
        <f aca="false">IF(A1577="","",IF(H1577&lt;&gt;"",UPPER(TRIM(H1577)),IFERROR(CHOOSE(VALUE(E1577)+1,"A","B","C","D"),IF(OR(LEFT(UPPER(TRIM(E1577)),1)="F",UPPER(TRIM(E1577))="A"),"A",IF(OR(LEFT(UPPER(TRIM(E1577)),1)="M",UPPER(TRIM(E1577))="B"),"B",IF(OR(LEFT(UPPER(TRIM(E1577)),2)="SL",UPPER(TRIM(E1577))="C"),"C",IF(OR(LEFT(UPPER(TRIM(E1577)),1)="D",UPPER(TRIM(E1577))="D"),"D","")))))))</f>
        <v/>
      </c>
      <c r="J1577" s="27" t="str">
        <f aca="false">IF(I1577="","",IF(AND(I1577="D",Settings!$B$6&lt;&gt;"Yes"),"",IFERROR(INDEX(Settings!$C$9:$C$12,MATCH(I1577,Settings!$A$9:$A$12,0)),"")))</f>
        <v/>
      </c>
      <c r="K1577" s="27" t="str">
        <f aca="false">IF(J1577="","",COUNTIF($I$2:I1577,I1577))</f>
        <v/>
      </c>
      <c r="L1577" s="27" t="str">
        <f aca="false">IF(J1577="","",CHOOSE(Q1577+1,"Tue","Wed","Thu","Fri"))</f>
        <v/>
      </c>
      <c r="M1577" s="27" t="str">
        <f aca="false">IF(J1577="","",IF(J1577=1,"Every week",R1577+1&amp;" of "&amp;J1577))</f>
        <v/>
      </c>
      <c r="N1577" s="28" t="str">
        <f aca="false">IF(J1577="","",Settings!$B$4+R1577*7+Q1577)</f>
        <v/>
      </c>
      <c r="O1577" s="28" t="str">
        <f aca="true">IF(J1577="","",N1577+MAX(0,ROUNDUP((TODAY()-N1577)/(J1577*7),0))*J1577*7)</f>
        <v/>
      </c>
      <c r="P1577" s="27" t="str">
        <f aca="false">IF(J1577="","",MOD(K1577-1,J1577*4))</f>
        <v/>
      </c>
      <c r="Q1577" s="27" t="str">
        <f aca="false">IF(J1577="","",MOD(P1577,4))</f>
        <v/>
      </c>
      <c r="R1577" s="27" t="str">
        <f aca="false">IF(J1577="","",INT(P1577/4))</f>
        <v/>
      </c>
      <c r="S1577" s="27" t="str">
        <f aca="false">IF(J1577="","",IF(AND('Daily Count Sheet'!$H$3=Q1577,MOD('Daily Count Sheet'!$I$3,J1577)=R1577),1,""))</f>
        <v/>
      </c>
      <c r="T1577" s="27" t="str">
        <f aca="false">IF(S1577=1,COUNTIF($S$2:S1577,1),"")</f>
        <v/>
      </c>
    </row>
    <row r="1578" customFormat="false" ht="15" hidden="false" customHeight="false" outlineLevel="0" collapsed="false">
      <c r="H1578" s="26"/>
      <c r="I1578" s="27" t="str">
        <f aca="false">IF(A1578="","",IF(H1578&lt;&gt;"",UPPER(TRIM(H1578)),IFERROR(CHOOSE(VALUE(E1578)+1,"A","B","C","D"),IF(OR(LEFT(UPPER(TRIM(E1578)),1)="F",UPPER(TRIM(E1578))="A"),"A",IF(OR(LEFT(UPPER(TRIM(E1578)),1)="M",UPPER(TRIM(E1578))="B"),"B",IF(OR(LEFT(UPPER(TRIM(E1578)),2)="SL",UPPER(TRIM(E1578))="C"),"C",IF(OR(LEFT(UPPER(TRIM(E1578)),1)="D",UPPER(TRIM(E1578))="D"),"D","")))))))</f>
        <v/>
      </c>
      <c r="J1578" s="27" t="str">
        <f aca="false">IF(I1578="","",IF(AND(I1578="D",Settings!$B$6&lt;&gt;"Yes"),"",IFERROR(INDEX(Settings!$C$9:$C$12,MATCH(I1578,Settings!$A$9:$A$12,0)),"")))</f>
        <v/>
      </c>
      <c r="K1578" s="27" t="str">
        <f aca="false">IF(J1578="","",COUNTIF($I$2:I1578,I1578))</f>
        <v/>
      </c>
      <c r="L1578" s="27" t="str">
        <f aca="false">IF(J1578="","",CHOOSE(Q1578+1,"Tue","Wed","Thu","Fri"))</f>
        <v/>
      </c>
      <c r="M1578" s="27" t="str">
        <f aca="false">IF(J1578="","",IF(J1578=1,"Every week",R1578+1&amp;" of "&amp;J1578))</f>
        <v/>
      </c>
      <c r="N1578" s="28" t="str">
        <f aca="false">IF(J1578="","",Settings!$B$4+R1578*7+Q1578)</f>
        <v/>
      </c>
      <c r="O1578" s="28" t="str">
        <f aca="true">IF(J1578="","",N1578+MAX(0,ROUNDUP((TODAY()-N1578)/(J1578*7),0))*J1578*7)</f>
        <v/>
      </c>
      <c r="P1578" s="27" t="str">
        <f aca="false">IF(J1578="","",MOD(K1578-1,J1578*4))</f>
        <v/>
      </c>
      <c r="Q1578" s="27" t="str">
        <f aca="false">IF(J1578="","",MOD(P1578,4))</f>
        <v/>
      </c>
      <c r="R1578" s="27" t="str">
        <f aca="false">IF(J1578="","",INT(P1578/4))</f>
        <v/>
      </c>
      <c r="S1578" s="27" t="str">
        <f aca="false">IF(J1578="","",IF(AND('Daily Count Sheet'!$H$3=Q1578,MOD('Daily Count Sheet'!$I$3,J1578)=R1578),1,""))</f>
        <v/>
      </c>
      <c r="T1578" s="27" t="str">
        <f aca="false">IF(S1578=1,COUNTIF($S$2:S1578,1),"")</f>
        <v/>
      </c>
    </row>
    <row r="1579" customFormat="false" ht="15" hidden="false" customHeight="false" outlineLevel="0" collapsed="false">
      <c r="H1579" s="26"/>
      <c r="I1579" s="27" t="str">
        <f aca="false">IF(A1579="","",IF(H1579&lt;&gt;"",UPPER(TRIM(H1579)),IFERROR(CHOOSE(VALUE(E1579)+1,"A","B","C","D"),IF(OR(LEFT(UPPER(TRIM(E1579)),1)="F",UPPER(TRIM(E1579))="A"),"A",IF(OR(LEFT(UPPER(TRIM(E1579)),1)="M",UPPER(TRIM(E1579))="B"),"B",IF(OR(LEFT(UPPER(TRIM(E1579)),2)="SL",UPPER(TRIM(E1579))="C"),"C",IF(OR(LEFT(UPPER(TRIM(E1579)),1)="D",UPPER(TRIM(E1579))="D"),"D","")))))))</f>
        <v/>
      </c>
      <c r="J1579" s="27" t="str">
        <f aca="false">IF(I1579="","",IF(AND(I1579="D",Settings!$B$6&lt;&gt;"Yes"),"",IFERROR(INDEX(Settings!$C$9:$C$12,MATCH(I1579,Settings!$A$9:$A$12,0)),"")))</f>
        <v/>
      </c>
      <c r="K1579" s="27" t="str">
        <f aca="false">IF(J1579="","",COUNTIF($I$2:I1579,I1579))</f>
        <v/>
      </c>
      <c r="L1579" s="27" t="str">
        <f aca="false">IF(J1579="","",CHOOSE(Q1579+1,"Tue","Wed","Thu","Fri"))</f>
        <v/>
      </c>
      <c r="M1579" s="27" t="str">
        <f aca="false">IF(J1579="","",IF(J1579=1,"Every week",R1579+1&amp;" of "&amp;J1579))</f>
        <v/>
      </c>
      <c r="N1579" s="28" t="str">
        <f aca="false">IF(J1579="","",Settings!$B$4+R1579*7+Q1579)</f>
        <v/>
      </c>
      <c r="O1579" s="28" t="str">
        <f aca="true">IF(J1579="","",N1579+MAX(0,ROUNDUP((TODAY()-N1579)/(J1579*7),0))*J1579*7)</f>
        <v/>
      </c>
      <c r="P1579" s="27" t="str">
        <f aca="false">IF(J1579="","",MOD(K1579-1,J1579*4))</f>
        <v/>
      </c>
      <c r="Q1579" s="27" t="str">
        <f aca="false">IF(J1579="","",MOD(P1579,4))</f>
        <v/>
      </c>
      <c r="R1579" s="27" t="str">
        <f aca="false">IF(J1579="","",INT(P1579/4))</f>
        <v/>
      </c>
      <c r="S1579" s="27" t="str">
        <f aca="false">IF(J1579="","",IF(AND('Daily Count Sheet'!$H$3=Q1579,MOD('Daily Count Sheet'!$I$3,J1579)=R1579),1,""))</f>
        <v/>
      </c>
      <c r="T1579" s="27" t="str">
        <f aca="false">IF(S1579=1,COUNTIF($S$2:S1579,1),"")</f>
        <v/>
      </c>
    </row>
    <row r="1580" customFormat="false" ht="15" hidden="false" customHeight="false" outlineLevel="0" collapsed="false">
      <c r="H1580" s="26"/>
      <c r="I1580" s="27" t="str">
        <f aca="false">IF(A1580="","",IF(H1580&lt;&gt;"",UPPER(TRIM(H1580)),IFERROR(CHOOSE(VALUE(E1580)+1,"A","B","C","D"),IF(OR(LEFT(UPPER(TRIM(E1580)),1)="F",UPPER(TRIM(E1580))="A"),"A",IF(OR(LEFT(UPPER(TRIM(E1580)),1)="M",UPPER(TRIM(E1580))="B"),"B",IF(OR(LEFT(UPPER(TRIM(E1580)),2)="SL",UPPER(TRIM(E1580))="C"),"C",IF(OR(LEFT(UPPER(TRIM(E1580)),1)="D",UPPER(TRIM(E1580))="D"),"D","")))))))</f>
        <v/>
      </c>
      <c r="J1580" s="27" t="str">
        <f aca="false">IF(I1580="","",IF(AND(I1580="D",Settings!$B$6&lt;&gt;"Yes"),"",IFERROR(INDEX(Settings!$C$9:$C$12,MATCH(I1580,Settings!$A$9:$A$12,0)),"")))</f>
        <v/>
      </c>
      <c r="K1580" s="27" t="str">
        <f aca="false">IF(J1580="","",COUNTIF($I$2:I1580,I1580))</f>
        <v/>
      </c>
      <c r="L1580" s="27" t="str">
        <f aca="false">IF(J1580="","",CHOOSE(Q1580+1,"Tue","Wed","Thu","Fri"))</f>
        <v/>
      </c>
      <c r="M1580" s="27" t="str">
        <f aca="false">IF(J1580="","",IF(J1580=1,"Every week",R1580+1&amp;" of "&amp;J1580))</f>
        <v/>
      </c>
      <c r="N1580" s="28" t="str">
        <f aca="false">IF(J1580="","",Settings!$B$4+R1580*7+Q1580)</f>
        <v/>
      </c>
      <c r="O1580" s="28" t="str">
        <f aca="true">IF(J1580="","",N1580+MAX(0,ROUNDUP((TODAY()-N1580)/(J1580*7),0))*J1580*7)</f>
        <v/>
      </c>
      <c r="P1580" s="27" t="str">
        <f aca="false">IF(J1580="","",MOD(K1580-1,J1580*4))</f>
        <v/>
      </c>
      <c r="Q1580" s="27" t="str">
        <f aca="false">IF(J1580="","",MOD(P1580,4))</f>
        <v/>
      </c>
      <c r="R1580" s="27" t="str">
        <f aca="false">IF(J1580="","",INT(P1580/4))</f>
        <v/>
      </c>
      <c r="S1580" s="27" t="str">
        <f aca="false">IF(J1580="","",IF(AND('Daily Count Sheet'!$H$3=Q1580,MOD('Daily Count Sheet'!$I$3,J1580)=R1580),1,""))</f>
        <v/>
      </c>
      <c r="T1580" s="27" t="str">
        <f aca="false">IF(S1580=1,COUNTIF($S$2:S1580,1),"")</f>
        <v/>
      </c>
    </row>
    <row r="1581" customFormat="false" ht="15" hidden="false" customHeight="false" outlineLevel="0" collapsed="false">
      <c r="H1581" s="26"/>
      <c r="I1581" s="27" t="str">
        <f aca="false">IF(A1581="","",IF(H1581&lt;&gt;"",UPPER(TRIM(H1581)),IFERROR(CHOOSE(VALUE(E1581)+1,"A","B","C","D"),IF(OR(LEFT(UPPER(TRIM(E1581)),1)="F",UPPER(TRIM(E1581))="A"),"A",IF(OR(LEFT(UPPER(TRIM(E1581)),1)="M",UPPER(TRIM(E1581))="B"),"B",IF(OR(LEFT(UPPER(TRIM(E1581)),2)="SL",UPPER(TRIM(E1581))="C"),"C",IF(OR(LEFT(UPPER(TRIM(E1581)),1)="D",UPPER(TRIM(E1581))="D"),"D","")))))))</f>
        <v/>
      </c>
      <c r="J1581" s="27" t="str">
        <f aca="false">IF(I1581="","",IF(AND(I1581="D",Settings!$B$6&lt;&gt;"Yes"),"",IFERROR(INDEX(Settings!$C$9:$C$12,MATCH(I1581,Settings!$A$9:$A$12,0)),"")))</f>
        <v/>
      </c>
      <c r="K1581" s="27" t="str">
        <f aca="false">IF(J1581="","",COUNTIF($I$2:I1581,I1581))</f>
        <v/>
      </c>
      <c r="L1581" s="27" t="str">
        <f aca="false">IF(J1581="","",CHOOSE(Q1581+1,"Tue","Wed","Thu","Fri"))</f>
        <v/>
      </c>
      <c r="M1581" s="27" t="str">
        <f aca="false">IF(J1581="","",IF(J1581=1,"Every week",R1581+1&amp;" of "&amp;J1581))</f>
        <v/>
      </c>
      <c r="N1581" s="28" t="str">
        <f aca="false">IF(J1581="","",Settings!$B$4+R1581*7+Q1581)</f>
        <v/>
      </c>
      <c r="O1581" s="28" t="str">
        <f aca="true">IF(J1581="","",N1581+MAX(0,ROUNDUP((TODAY()-N1581)/(J1581*7),0))*J1581*7)</f>
        <v/>
      </c>
      <c r="P1581" s="27" t="str">
        <f aca="false">IF(J1581="","",MOD(K1581-1,J1581*4))</f>
        <v/>
      </c>
      <c r="Q1581" s="27" t="str">
        <f aca="false">IF(J1581="","",MOD(P1581,4))</f>
        <v/>
      </c>
      <c r="R1581" s="27" t="str">
        <f aca="false">IF(J1581="","",INT(P1581/4))</f>
        <v/>
      </c>
      <c r="S1581" s="27" t="str">
        <f aca="false">IF(J1581="","",IF(AND('Daily Count Sheet'!$H$3=Q1581,MOD('Daily Count Sheet'!$I$3,J1581)=R1581),1,""))</f>
        <v/>
      </c>
      <c r="T1581" s="27" t="str">
        <f aca="false">IF(S1581=1,COUNTIF($S$2:S1581,1),"")</f>
        <v/>
      </c>
    </row>
    <row r="1582" customFormat="false" ht="15" hidden="false" customHeight="false" outlineLevel="0" collapsed="false">
      <c r="H1582" s="26"/>
      <c r="I1582" s="27" t="str">
        <f aca="false">IF(A1582="","",IF(H1582&lt;&gt;"",UPPER(TRIM(H1582)),IFERROR(CHOOSE(VALUE(E1582)+1,"A","B","C","D"),IF(OR(LEFT(UPPER(TRIM(E1582)),1)="F",UPPER(TRIM(E1582))="A"),"A",IF(OR(LEFT(UPPER(TRIM(E1582)),1)="M",UPPER(TRIM(E1582))="B"),"B",IF(OR(LEFT(UPPER(TRIM(E1582)),2)="SL",UPPER(TRIM(E1582))="C"),"C",IF(OR(LEFT(UPPER(TRIM(E1582)),1)="D",UPPER(TRIM(E1582))="D"),"D","")))))))</f>
        <v/>
      </c>
      <c r="J1582" s="27" t="str">
        <f aca="false">IF(I1582="","",IF(AND(I1582="D",Settings!$B$6&lt;&gt;"Yes"),"",IFERROR(INDEX(Settings!$C$9:$C$12,MATCH(I1582,Settings!$A$9:$A$12,0)),"")))</f>
        <v/>
      </c>
      <c r="K1582" s="27" t="str">
        <f aca="false">IF(J1582="","",COUNTIF($I$2:I1582,I1582))</f>
        <v/>
      </c>
      <c r="L1582" s="27" t="str">
        <f aca="false">IF(J1582="","",CHOOSE(Q1582+1,"Tue","Wed","Thu","Fri"))</f>
        <v/>
      </c>
      <c r="M1582" s="27" t="str">
        <f aca="false">IF(J1582="","",IF(J1582=1,"Every week",R1582+1&amp;" of "&amp;J1582))</f>
        <v/>
      </c>
      <c r="N1582" s="28" t="str">
        <f aca="false">IF(J1582="","",Settings!$B$4+R1582*7+Q1582)</f>
        <v/>
      </c>
      <c r="O1582" s="28" t="str">
        <f aca="true">IF(J1582="","",N1582+MAX(0,ROUNDUP((TODAY()-N1582)/(J1582*7),0))*J1582*7)</f>
        <v/>
      </c>
      <c r="P1582" s="27" t="str">
        <f aca="false">IF(J1582="","",MOD(K1582-1,J1582*4))</f>
        <v/>
      </c>
      <c r="Q1582" s="27" t="str">
        <f aca="false">IF(J1582="","",MOD(P1582,4))</f>
        <v/>
      </c>
      <c r="R1582" s="27" t="str">
        <f aca="false">IF(J1582="","",INT(P1582/4))</f>
        <v/>
      </c>
      <c r="S1582" s="27" t="str">
        <f aca="false">IF(J1582="","",IF(AND('Daily Count Sheet'!$H$3=Q1582,MOD('Daily Count Sheet'!$I$3,J1582)=R1582),1,""))</f>
        <v/>
      </c>
      <c r="T1582" s="27" t="str">
        <f aca="false">IF(S1582=1,COUNTIF($S$2:S1582,1),"")</f>
        <v/>
      </c>
    </row>
    <row r="1583" customFormat="false" ht="15" hidden="false" customHeight="false" outlineLevel="0" collapsed="false">
      <c r="H1583" s="26"/>
      <c r="I1583" s="27" t="str">
        <f aca="false">IF(A1583="","",IF(H1583&lt;&gt;"",UPPER(TRIM(H1583)),IFERROR(CHOOSE(VALUE(E1583)+1,"A","B","C","D"),IF(OR(LEFT(UPPER(TRIM(E1583)),1)="F",UPPER(TRIM(E1583))="A"),"A",IF(OR(LEFT(UPPER(TRIM(E1583)),1)="M",UPPER(TRIM(E1583))="B"),"B",IF(OR(LEFT(UPPER(TRIM(E1583)),2)="SL",UPPER(TRIM(E1583))="C"),"C",IF(OR(LEFT(UPPER(TRIM(E1583)),1)="D",UPPER(TRIM(E1583))="D"),"D","")))))))</f>
        <v/>
      </c>
      <c r="J1583" s="27" t="str">
        <f aca="false">IF(I1583="","",IF(AND(I1583="D",Settings!$B$6&lt;&gt;"Yes"),"",IFERROR(INDEX(Settings!$C$9:$C$12,MATCH(I1583,Settings!$A$9:$A$12,0)),"")))</f>
        <v/>
      </c>
      <c r="K1583" s="27" t="str">
        <f aca="false">IF(J1583="","",COUNTIF($I$2:I1583,I1583))</f>
        <v/>
      </c>
      <c r="L1583" s="27" t="str">
        <f aca="false">IF(J1583="","",CHOOSE(Q1583+1,"Tue","Wed","Thu","Fri"))</f>
        <v/>
      </c>
      <c r="M1583" s="27" t="str">
        <f aca="false">IF(J1583="","",IF(J1583=1,"Every week",R1583+1&amp;" of "&amp;J1583))</f>
        <v/>
      </c>
      <c r="N1583" s="28" t="str">
        <f aca="false">IF(J1583="","",Settings!$B$4+R1583*7+Q1583)</f>
        <v/>
      </c>
      <c r="O1583" s="28" t="str">
        <f aca="true">IF(J1583="","",N1583+MAX(0,ROUNDUP((TODAY()-N1583)/(J1583*7),0))*J1583*7)</f>
        <v/>
      </c>
      <c r="P1583" s="27" t="str">
        <f aca="false">IF(J1583="","",MOD(K1583-1,J1583*4))</f>
        <v/>
      </c>
      <c r="Q1583" s="27" t="str">
        <f aca="false">IF(J1583="","",MOD(P1583,4))</f>
        <v/>
      </c>
      <c r="R1583" s="27" t="str">
        <f aca="false">IF(J1583="","",INT(P1583/4))</f>
        <v/>
      </c>
      <c r="S1583" s="27" t="str">
        <f aca="false">IF(J1583="","",IF(AND('Daily Count Sheet'!$H$3=Q1583,MOD('Daily Count Sheet'!$I$3,J1583)=R1583),1,""))</f>
        <v/>
      </c>
      <c r="T1583" s="27" t="str">
        <f aca="false">IF(S1583=1,COUNTIF($S$2:S1583,1),"")</f>
        <v/>
      </c>
    </row>
    <row r="1584" customFormat="false" ht="15" hidden="false" customHeight="false" outlineLevel="0" collapsed="false">
      <c r="H1584" s="26"/>
      <c r="I1584" s="27" t="str">
        <f aca="false">IF(A1584="","",IF(H1584&lt;&gt;"",UPPER(TRIM(H1584)),IFERROR(CHOOSE(VALUE(E1584)+1,"A","B","C","D"),IF(OR(LEFT(UPPER(TRIM(E1584)),1)="F",UPPER(TRIM(E1584))="A"),"A",IF(OR(LEFT(UPPER(TRIM(E1584)),1)="M",UPPER(TRIM(E1584))="B"),"B",IF(OR(LEFT(UPPER(TRIM(E1584)),2)="SL",UPPER(TRIM(E1584))="C"),"C",IF(OR(LEFT(UPPER(TRIM(E1584)),1)="D",UPPER(TRIM(E1584))="D"),"D","")))))))</f>
        <v/>
      </c>
      <c r="J1584" s="27" t="str">
        <f aca="false">IF(I1584="","",IF(AND(I1584="D",Settings!$B$6&lt;&gt;"Yes"),"",IFERROR(INDEX(Settings!$C$9:$C$12,MATCH(I1584,Settings!$A$9:$A$12,0)),"")))</f>
        <v/>
      </c>
      <c r="K1584" s="27" t="str">
        <f aca="false">IF(J1584="","",COUNTIF($I$2:I1584,I1584))</f>
        <v/>
      </c>
      <c r="L1584" s="27" t="str">
        <f aca="false">IF(J1584="","",CHOOSE(Q1584+1,"Tue","Wed","Thu","Fri"))</f>
        <v/>
      </c>
      <c r="M1584" s="27" t="str">
        <f aca="false">IF(J1584="","",IF(J1584=1,"Every week",R1584+1&amp;" of "&amp;J1584))</f>
        <v/>
      </c>
      <c r="N1584" s="28" t="str">
        <f aca="false">IF(J1584="","",Settings!$B$4+R1584*7+Q1584)</f>
        <v/>
      </c>
      <c r="O1584" s="28" t="str">
        <f aca="true">IF(J1584="","",N1584+MAX(0,ROUNDUP((TODAY()-N1584)/(J1584*7),0))*J1584*7)</f>
        <v/>
      </c>
      <c r="P1584" s="27" t="str">
        <f aca="false">IF(J1584="","",MOD(K1584-1,J1584*4))</f>
        <v/>
      </c>
      <c r="Q1584" s="27" t="str">
        <f aca="false">IF(J1584="","",MOD(P1584,4))</f>
        <v/>
      </c>
      <c r="R1584" s="27" t="str">
        <f aca="false">IF(J1584="","",INT(P1584/4))</f>
        <v/>
      </c>
      <c r="S1584" s="27" t="str">
        <f aca="false">IF(J1584="","",IF(AND('Daily Count Sheet'!$H$3=Q1584,MOD('Daily Count Sheet'!$I$3,J1584)=R1584),1,""))</f>
        <v/>
      </c>
      <c r="T1584" s="27" t="str">
        <f aca="false">IF(S1584=1,COUNTIF($S$2:S1584,1),"")</f>
        <v/>
      </c>
    </row>
    <row r="1585" customFormat="false" ht="15" hidden="false" customHeight="false" outlineLevel="0" collapsed="false">
      <c r="H1585" s="26"/>
      <c r="I1585" s="27" t="str">
        <f aca="false">IF(A1585="","",IF(H1585&lt;&gt;"",UPPER(TRIM(H1585)),IFERROR(CHOOSE(VALUE(E1585)+1,"A","B","C","D"),IF(OR(LEFT(UPPER(TRIM(E1585)),1)="F",UPPER(TRIM(E1585))="A"),"A",IF(OR(LEFT(UPPER(TRIM(E1585)),1)="M",UPPER(TRIM(E1585))="B"),"B",IF(OR(LEFT(UPPER(TRIM(E1585)),2)="SL",UPPER(TRIM(E1585))="C"),"C",IF(OR(LEFT(UPPER(TRIM(E1585)),1)="D",UPPER(TRIM(E1585))="D"),"D","")))))))</f>
        <v/>
      </c>
      <c r="J1585" s="27" t="str">
        <f aca="false">IF(I1585="","",IF(AND(I1585="D",Settings!$B$6&lt;&gt;"Yes"),"",IFERROR(INDEX(Settings!$C$9:$C$12,MATCH(I1585,Settings!$A$9:$A$12,0)),"")))</f>
        <v/>
      </c>
      <c r="K1585" s="27" t="str">
        <f aca="false">IF(J1585="","",COUNTIF($I$2:I1585,I1585))</f>
        <v/>
      </c>
      <c r="L1585" s="27" t="str">
        <f aca="false">IF(J1585="","",CHOOSE(Q1585+1,"Tue","Wed","Thu","Fri"))</f>
        <v/>
      </c>
      <c r="M1585" s="27" t="str">
        <f aca="false">IF(J1585="","",IF(J1585=1,"Every week",R1585+1&amp;" of "&amp;J1585))</f>
        <v/>
      </c>
      <c r="N1585" s="28" t="str">
        <f aca="false">IF(J1585="","",Settings!$B$4+R1585*7+Q1585)</f>
        <v/>
      </c>
      <c r="O1585" s="28" t="str">
        <f aca="true">IF(J1585="","",N1585+MAX(0,ROUNDUP((TODAY()-N1585)/(J1585*7),0))*J1585*7)</f>
        <v/>
      </c>
      <c r="P1585" s="27" t="str">
        <f aca="false">IF(J1585="","",MOD(K1585-1,J1585*4))</f>
        <v/>
      </c>
      <c r="Q1585" s="27" t="str">
        <f aca="false">IF(J1585="","",MOD(P1585,4))</f>
        <v/>
      </c>
      <c r="R1585" s="27" t="str">
        <f aca="false">IF(J1585="","",INT(P1585/4))</f>
        <v/>
      </c>
      <c r="S1585" s="27" t="str">
        <f aca="false">IF(J1585="","",IF(AND('Daily Count Sheet'!$H$3=Q1585,MOD('Daily Count Sheet'!$I$3,J1585)=R1585),1,""))</f>
        <v/>
      </c>
      <c r="T1585" s="27" t="str">
        <f aca="false">IF(S1585=1,COUNTIF($S$2:S1585,1),"")</f>
        <v/>
      </c>
    </row>
    <row r="1586" customFormat="false" ht="15" hidden="false" customHeight="false" outlineLevel="0" collapsed="false">
      <c r="H1586" s="26"/>
      <c r="I1586" s="27" t="str">
        <f aca="false">IF(A1586="","",IF(H1586&lt;&gt;"",UPPER(TRIM(H1586)),IFERROR(CHOOSE(VALUE(E1586)+1,"A","B","C","D"),IF(OR(LEFT(UPPER(TRIM(E1586)),1)="F",UPPER(TRIM(E1586))="A"),"A",IF(OR(LEFT(UPPER(TRIM(E1586)),1)="M",UPPER(TRIM(E1586))="B"),"B",IF(OR(LEFT(UPPER(TRIM(E1586)),2)="SL",UPPER(TRIM(E1586))="C"),"C",IF(OR(LEFT(UPPER(TRIM(E1586)),1)="D",UPPER(TRIM(E1586))="D"),"D","")))))))</f>
        <v/>
      </c>
      <c r="J1586" s="27" t="str">
        <f aca="false">IF(I1586="","",IF(AND(I1586="D",Settings!$B$6&lt;&gt;"Yes"),"",IFERROR(INDEX(Settings!$C$9:$C$12,MATCH(I1586,Settings!$A$9:$A$12,0)),"")))</f>
        <v/>
      </c>
      <c r="K1586" s="27" t="str">
        <f aca="false">IF(J1586="","",COUNTIF($I$2:I1586,I1586))</f>
        <v/>
      </c>
      <c r="L1586" s="27" t="str">
        <f aca="false">IF(J1586="","",CHOOSE(Q1586+1,"Tue","Wed","Thu","Fri"))</f>
        <v/>
      </c>
      <c r="M1586" s="27" t="str">
        <f aca="false">IF(J1586="","",IF(J1586=1,"Every week",R1586+1&amp;" of "&amp;J1586))</f>
        <v/>
      </c>
      <c r="N1586" s="28" t="str">
        <f aca="false">IF(J1586="","",Settings!$B$4+R1586*7+Q1586)</f>
        <v/>
      </c>
      <c r="O1586" s="28" t="str">
        <f aca="true">IF(J1586="","",N1586+MAX(0,ROUNDUP((TODAY()-N1586)/(J1586*7),0))*J1586*7)</f>
        <v/>
      </c>
      <c r="P1586" s="27" t="str">
        <f aca="false">IF(J1586="","",MOD(K1586-1,J1586*4))</f>
        <v/>
      </c>
      <c r="Q1586" s="27" t="str">
        <f aca="false">IF(J1586="","",MOD(P1586,4))</f>
        <v/>
      </c>
      <c r="R1586" s="27" t="str">
        <f aca="false">IF(J1586="","",INT(P1586/4))</f>
        <v/>
      </c>
      <c r="S1586" s="27" t="str">
        <f aca="false">IF(J1586="","",IF(AND('Daily Count Sheet'!$H$3=Q1586,MOD('Daily Count Sheet'!$I$3,J1586)=R1586),1,""))</f>
        <v/>
      </c>
      <c r="T1586" s="27" t="str">
        <f aca="false">IF(S1586=1,COUNTIF($S$2:S1586,1),"")</f>
        <v/>
      </c>
    </row>
    <row r="1587" customFormat="false" ht="15" hidden="false" customHeight="false" outlineLevel="0" collapsed="false">
      <c r="H1587" s="26"/>
      <c r="I1587" s="27" t="str">
        <f aca="false">IF(A1587="","",IF(H1587&lt;&gt;"",UPPER(TRIM(H1587)),IFERROR(CHOOSE(VALUE(E1587)+1,"A","B","C","D"),IF(OR(LEFT(UPPER(TRIM(E1587)),1)="F",UPPER(TRIM(E1587))="A"),"A",IF(OR(LEFT(UPPER(TRIM(E1587)),1)="M",UPPER(TRIM(E1587))="B"),"B",IF(OR(LEFT(UPPER(TRIM(E1587)),2)="SL",UPPER(TRIM(E1587))="C"),"C",IF(OR(LEFT(UPPER(TRIM(E1587)),1)="D",UPPER(TRIM(E1587))="D"),"D","")))))))</f>
        <v/>
      </c>
      <c r="J1587" s="27" t="str">
        <f aca="false">IF(I1587="","",IF(AND(I1587="D",Settings!$B$6&lt;&gt;"Yes"),"",IFERROR(INDEX(Settings!$C$9:$C$12,MATCH(I1587,Settings!$A$9:$A$12,0)),"")))</f>
        <v/>
      </c>
      <c r="K1587" s="27" t="str">
        <f aca="false">IF(J1587="","",COUNTIF($I$2:I1587,I1587))</f>
        <v/>
      </c>
      <c r="L1587" s="27" t="str">
        <f aca="false">IF(J1587="","",CHOOSE(Q1587+1,"Tue","Wed","Thu","Fri"))</f>
        <v/>
      </c>
      <c r="M1587" s="27" t="str">
        <f aca="false">IF(J1587="","",IF(J1587=1,"Every week",R1587+1&amp;" of "&amp;J1587))</f>
        <v/>
      </c>
      <c r="N1587" s="28" t="str">
        <f aca="false">IF(J1587="","",Settings!$B$4+R1587*7+Q1587)</f>
        <v/>
      </c>
      <c r="O1587" s="28" t="str">
        <f aca="true">IF(J1587="","",N1587+MAX(0,ROUNDUP((TODAY()-N1587)/(J1587*7),0))*J1587*7)</f>
        <v/>
      </c>
      <c r="P1587" s="27" t="str">
        <f aca="false">IF(J1587="","",MOD(K1587-1,J1587*4))</f>
        <v/>
      </c>
      <c r="Q1587" s="27" t="str">
        <f aca="false">IF(J1587="","",MOD(P1587,4))</f>
        <v/>
      </c>
      <c r="R1587" s="27" t="str">
        <f aca="false">IF(J1587="","",INT(P1587/4))</f>
        <v/>
      </c>
      <c r="S1587" s="27" t="str">
        <f aca="false">IF(J1587="","",IF(AND('Daily Count Sheet'!$H$3=Q1587,MOD('Daily Count Sheet'!$I$3,J1587)=R1587),1,""))</f>
        <v/>
      </c>
      <c r="T1587" s="27" t="str">
        <f aca="false">IF(S1587=1,COUNTIF($S$2:S1587,1),"")</f>
        <v/>
      </c>
    </row>
    <row r="1588" customFormat="false" ht="15" hidden="false" customHeight="false" outlineLevel="0" collapsed="false">
      <c r="H1588" s="26"/>
      <c r="I1588" s="27" t="str">
        <f aca="false">IF(A1588="","",IF(H1588&lt;&gt;"",UPPER(TRIM(H1588)),IFERROR(CHOOSE(VALUE(E1588)+1,"A","B","C","D"),IF(OR(LEFT(UPPER(TRIM(E1588)),1)="F",UPPER(TRIM(E1588))="A"),"A",IF(OR(LEFT(UPPER(TRIM(E1588)),1)="M",UPPER(TRIM(E1588))="B"),"B",IF(OR(LEFT(UPPER(TRIM(E1588)),2)="SL",UPPER(TRIM(E1588))="C"),"C",IF(OR(LEFT(UPPER(TRIM(E1588)),1)="D",UPPER(TRIM(E1588))="D"),"D","")))))))</f>
        <v/>
      </c>
      <c r="J1588" s="27" t="str">
        <f aca="false">IF(I1588="","",IF(AND(I1588="D",Settings!$B$6&lt;&gt;"Yes"),"",IFERROR(INDEX(Settings!$C$9:$C$12,MATCH(I1588,Settings!$A$9:$A$12,0)),"")))</f>
        <v/>
      </c>
      <c r="K1588" s="27" t="str">
        <f aca="false">IF(J1588="","",COUNTIF($I$2:I1588,I1588))</f>
        <v/>
      </c>
      <c r="L1588" s="27" t="str">
        <f aca="false">IF(J1588="","",CHOOSE(Q1588+1,"Tue","Wed","Thu","Fri"))</f>
        <v/>
      </c>
      <c r="M1588" s="27" t="str">
        <f aca="false">IF(J1588="","",IF(J1588=1,"Every week",R1588+1&amp;" of "&amp;J1588))</f>
        <v/>
      </c>
      <c r="N1588" s="28" t="str">
        <f aca="false">IF(J1588="","",Settings!$B$4+R1588*7+Q1588)</f>
        <v/>
      </c>
      <c r="O1588" s="28" t="str">
        <f aca="true">IF(J1588="","",N1588+MAX(0,ROUNDUP((TODAY()-N1588)/(J1588*7),0))*J1588*7)</f>
        <v/>
      </c>
      <c r="P1588" s="27" t="str">
        <f aca="false">IF(J1588="","",MOD(K1588-1,J1588*4))</f>
        <v/>
      </c>
      <c r="Q1588" s="27" t="str">
        <f aca="false">IF(J1588="","",MOD(P1588,4))</f>
        <v/>
      </c>
      <c r="R1588" s="27" t="str">
        <f aca="false">IF(J1588="","",INT(P1588/4))</f>
        <v/>
      </c>
      <c r="S1588" s="27" t="str">
        <f aca="false">IF(J1588="","",IF(AND('Daily Count Sheet'!$H$3=Q1588,MOD('Daily Count Sheet'!$I$3,J1588)=R1588),1,""))</f>
        <v/>
      </c>
      <c r="T1588" s="27" t="str">
        <f aca="false">IF(S1588=1,COUNTIF($S$2:S1588,1),"")</f>
        <v/>
      </c>
    </row>
    <row r="1589" customFormat="false" ht="15" hidden="false" customHeight="false" outlineLevel="0" collapsed="false">
      <c r="H1589" s="26"/>
      <c r="I1589" s="27" t="str">
        <f aca="false">IF(A1589="","",IF(H1589&lt;&gt;"",UPPER(TRIM(H1589)),IFERROR(CHOOSE(VALUE(E1589)+1,"A","B","C","D"),IF(OR(LEFT(UPPER(TRIM(E1589)),1)="F",UPPER(TRIM(E1589))="A"),"A",IF(OR(LEFT(UPPER(TRIM(E1589)),1)="M",UPPER(TRIM(E1589))="B"),"B",IF(OR(LEFT(UPPER(TRIM(E1589)),2)="SL",UPPER(TRIM(E1589))="C"),"C",IF(OR(LEFT(UPPER(TRIM(E1589)),1)="D",UPPER(TRIM(E1589))="D"),"D","")))))))</f>
        <v/>
      </c>
      <c r="J1589" s="27" t="str">
        <f aca="false">IF(I1589="","",IF(AND(I1589="D",Settings!$B$6&lt;&gt;"Yes"),"",IFERROR(INDEX(Settings!$C$9:$C$12,MATCH(I1589,Settings!$A$9:$A$12,0)),"")))</f>
        <v/>
      </c>
      <c r="K1589" s="27" t="str">
        <f aca="false">IF(J1589="","",COUNTIF($I$2:I1589,I1589))</f>
        <v/>
      </c>
      <c r="L1589" s="27" t="str">
        <f aca="false">IF(J1589="","",CHOOSE(Q1589+1,"Tue","Wed","Thu","Fri"))</f>
        <v/>
      </c>
      <c r="M1589" s="27" t="str">
        <f aca="false">IF(J1589="","",IF(J1589=1,"Every week",R1589+1&amp;" of "&amp;J1589))</f>
        <v/>
      </c>
      <c r="N1589" s="28" t="str">
        <f aca="false">IF(J1589="","",Settings!$B$4+R1589*7+Q1589)</f>
        <v/>
      </c>
      <c r="O1589" s="28" t="str">
        <f aca="true">IF(J1589="","",N1589+MAX(0,ROUNDUP((TODAY()-N1589)/(J1589*7),0))*J1589*7)</f>
        <v/>
      </c>
      <c r="P1589" s="27" t="str">
        <f aca="false">IF(J1589="","",MOD(K1589-1,J1589*4))</f>
        <v/>
      </c>
      <c r="Q1589" s="27" t="str">
        <f aca="false">IF(J1589="","",MOD(P1589,4))</f>
        <v/>
      </c>
      <c r="R1589" s="27" t="str">
        <f aca="false">IF(J1589="","",INT(P1589/4))</f>
        <v/>
      </c>
      <c r="S1589" s="27" t="str">
        <f aca="false">IF(J1589="","",IF(AND('Daily Count Sheet'!$H$3=Q1589,MOD('Daily Count Sheet'!$I$3,J1589)=R1589),1,""))</f>
        <v/>
      </c>
      <c r="T1589" s="27" t="str">
        <f aca="false">IF(S1589=1,COUNTIF($S$2:S1589,1),"")</f>
        <v/>
      </c>
    </row>
    <row r="1590" customFormat="false" ht="15" hidden="false" customHeight="false" outlineLevel="0" collapsed="false">
      <c r="H1590" s="26"/>
      <c r="I1590" s="27" t="str">
        <f aca="false">IF(A1590="","",IF(H1590&lt;&gt;"",UPPER(TRIM(H1590)),IFERROR(CHOOSE(VALUE(E1590)+1,"A","B","C","D"),IF(OR(LEFT(UPPER(TRIM(E1590)),1)="F",UPPER(TRIM(E1590))="A"),"A",IF(OR(LEFT(UPPER(TRIM(E1590)),1)="M",UPPER(TRIM(E1590))="B"),"B",IF(OR(LEFT(UPPER(TRIM(E1590)),2)="SL",UPPER(TRIM(E1590))="C"),"C",IF(OR(LEFT(UPPER(TRIM(E1590)),1)="D",UPPER(TRIM(E1590))="D"),"D","")))))))</f>
        <v/>
      </c>
      <c r="J1590" s="27" t="str">
        <f aca="false">IF(I1590="","",IF(AND(I1590="D",Settings!$B$6&lt;&gt;"Yes"),"",IFERROR(INDEX(Settings!$C$9:$C$12,MATCH(I1590,Settings!$A$9:$A$12,0)),"")))</f>
        <v/>
      </c>
      <c r="K1590" s="27" t="str">
        <f aca="false">IF(J1590="","",COUNTIF($I$2:I1590,I1590))</f>
        <v/>
      </c>
      <c r="L1590" s="27" t="str">
        <f aca="false">IF(J1590="","",CHOOSE(Q1590+1,"Tue","Wed","Thu","Fri"))</f>
        <v/>
      </c>
      <c r="M1590" s="27" t="str">
        <f aca="false">IF(J1590="","",IF(J1590=1,"Every week",R1590+1&amp;" of "&amp;J1590))</f>
        <v/>
      </c>
      <c r="N1590" s="28" t="str">
        <f aca="false">IF(J1590="","",Settings!$B$4+R1590*7+Q1590)</f>
        <v/>
      </c>
      <c r="O1590" s="28" t="str">
        <f aca="true">IF(J1590="","",N1590+MAX(0,ROUNDUP((TODAY()-N1590)/(J1590*7),0))*J1590*7)</f>
        <v/>
      </c>
      <c r="P1590" s="27" t="str">
        <f aca="false">IF(J1590="","",MOD(K1590-1,J1590*4))</f>
        <v/>
      </c>
      <c r="Q1590" s="27" t="str">
        <f aca="false">IF(J1590="","",MOD(P1590,4))</f>
        <v/>
      </c>
      <c r="R1590" s="27" t="str">
        <f aca="false">IF(J1590="","",INT(P1590/4))</f>
        <v/>
      </c>
      <c r="S1590" s="27" t="str">
        <f aca="false">IF(J1590="","",IF(AND('Daily Count Sheet'!$H$3=Q1590,MOD('Daily Count Sheet'!$I$3,J1590)=R1590),1,""))</f>
        <v/>
      </c>
      <c r="T1590" s="27" t="str">
        <f aca="false">IF(S1590=1,COUNTIF($S$2:S1590,1),"")</f>
        <v/>
      </c>
    </row>
    <row r="1591" customFormat="false" ht="15" hidden="false" customHeight="false" outlineLevel="0" collapsed="false">
      <c r="H1591" s="26"/>
      <c r="I1591" s="27" t="str">
        <f aca="false">IF(A1591="","",IF(H1591&lt;&gt;"",UPPER(TRIM(H1591)),IFERROR(CHOOSE(VALUE(E1591)+1,"A","B","C","D"),IF(OR(LEFT(UPPER(TRIM(E1591)),1)="F",UPPER(TRIM(E1591))="A"),"A",IF(OR(LEFT(UPPER(TRIM(E1591)),1)="M",UPPER(TRIM(E1591))="B"),"B",IF(OR(LEFT(UPPER(TRIM(E1591)),2)="SL",UPPER(TRIM(E1591))="C"),"C",IF(OR(LEFT(UPPER(TRIM(E1591)),1)="D",UPPER(TRIM(E1591))="D"),"D","")))))))</f>
        <v/>
      </c>
      <c r="J1591" s="27" t="str">
        <f aca="false">IF(I1591="","",IF(AND(I1591="D",Settings!$B$6&lt;&gt;"Yes"),"",IFERROR(INDEX(Settings!$C$9:$C$12,MATCH(I1591,Settings!$A$9:$A$12,0)),"")))</f>
        <v/>
      </c>
      <c r="K1591" s="27" t="str">
        <f aca="false">IF(J1591="","",COUNTIF($I$2:I1591,I1591))</f>
        <v/>
      </c>
      <c r="L1591" s="27" t="str">
        <f aca="false">IF(J1591="","",CHOOSE(Q1591+1,"Tue","Wed","Thu","Fri"))</f>
        <v/>
      </c>
      <c r="M1591" s="27" t="str">
        <f aca="false">IF(J1591="","",IF(J1591=1,"Every week",R1591+1&amp;" of "&amp;J1591))</f>
        <v/>
      </c>
      <c r="N1591" s="28" t="str">
        <f aca="false">IF(J1591="","",Settings!$B$4+R1591*7+Q1591)</f>
        <v/>
      </c>
      <c r="O1591" s="28" t="str">
        <f aca="true">IF(J1591="","",N1591+MAX(0,ROUNDUP((TODAY()-N1591)/(J1591*7),0))*J1591*7)</f>
        <v/>
      </c>
      <c r="P1591" s="27" t="str">
        <f aca="false">IF(J1591="","",MOD(K1591-1,J1591*4))</f>
        <v/>
      </c>
      <c r="Q1591" s="27" t="str">
        <f aca="false">IF(J1591="","",MOD(P1591,4))</f>
        <v/>
      </c>
      <c r="R1591" s="27" t="str">
        <f aca="false">IF(J1591="","",INT(P1591/4))</f>
        <v/>
      </c>
      <c r="S1591" s="27" t="str">
        <f aca="false">IF(J1591="","",IF(AND('Daily Count Sheet'!$H$3=Q1591,MOD('Daily Count Sheet'!$I$3,J1591)=R1591),1,""))</f>
        <v/>
      </c>
      <c r="T1591" s="27" t="str">
        <f aca="false">IF(S1591=1,COUNTIF($S$2:S1591,1),"")</f>
        <v/>
      </c>
    </row>
    <row r="1592" customFormat="false" ht="15" hidden="false" customHeight="false" outlineLevel="0" collapsed="false">
      <c r="H1592" s="26"/>
      <c r="I1592" s="27" t="str">
        <f aca="false">IF(A1592="","",IF(H1592&lt;&gt;"",UPPER(TRIM(H1592)),IFERROR(CHOOSE(VALUE(E1592)+1,"A","B","C","D"),IF(OR(LEFT(UPPER(TRIM(E1592)),1)="F",UPPER(TRIM(E1592))="A"),"A",IF(OR(LEFT(UPPER(TRIM(E1592)),1)="M",UPPER(TRIM(E1592))="B"),"B",IF(OR(LEFT(UPPER(TRIM(E1592)),2)="SL",UPPER(TRIM(E1592))="C"),"C",IF(OR(LEFT(UPPER(TRIM(E1592)),1)="D",UPPER(TRIM(E1592))="D"),"D","")))))))</f>
        <v/>
      </c>
      <c r="J1592" s="27" t="str">
        <f aca="false">IF(I1592="","",IF(AND(I1592="D",Settings!$B$6&lt;&gt;"Yes"),"",IFERROR(INDEX(Settings!$C$9:$C$12,MATCH(I1592,Settings!$A$9:$A$12,0)),"")))</f>
        <v/>
      </c>
      <c r="K1592" s="27" t="str">
        <f aca="false">IF(J1592="","",COUNTIF($I$2:I1592,I1592))</f>
        <v/>
      </c>
      <c r="L1592" s="27" t="str">
        <f aca="false">IF(J1592="","",CHOOSE(Q1592+1,"Tue","Wed","Thu","Fri"))</f>
        <v/>
      </c>
      <c r="M1592" s="27" t="str">
        <f aca="false">IF(J1592="","",IF(J1592=1,"Every week",R1592+1&amp;" of "&amp;J1592))</f>
        <v/>
      </c>
      <c r="N1592" s="28" t="str">
        <f aca="false">IF(J1592="","",Settings!$B$4+R1592*7+Q1592)</f>
        <v/>
      </c>
      <c r="O1592" s="28" t="str">
        <f aca="true">IF(J1592="","",N1592+MAX(0,ROUNDUP((TODAY()-N1592)/(J1592*7),0))*J1592*7)</f>
        <v/>
      </c>
      <c r="P1592" s="27" t="str">
        <f aca="false">IF(J1592="","",MOD(K1592-1,J1592*4))</f>
        <v/>
      </c>
      <c r="Q1592" s="27" t="str">
        <f aca="false">IF(J1592="","",MOD(P1592,4))</f>
        <v/>
      </c>
      <c r="R1592" s="27" t="str">
        <f aca="false">IF(J1592="","",INT(P1592/4))</f>
        <v/>
      </c>
      <c r="S1592" s="27" t="str">
        <f aca="false">IF(J1592="","",IF(AND('Daily Count Sheet'!$H$3=Q1592,MOD('Daily Count Sheet'!$I$3,J1592)=R1592),1,""))</f>
        <v/>
      </c>
      <c r="T1592" s="27" t="str">
        <f aca="false">IF(S1592=1,COUNTIF($S$2:S1592,1),"")</f>
        <v/>
      </c>
    </row>
    <row r="1593" customFormat="false" ht="15" hidden="false" customHeight="false" outlineLevel="0" collapsed="false">
      <c r="H1593" s="26"/>
      <c r="I1593" s="27" t="str">
        <f aca="false">IF(A1593="","",IF(H1593&lt;&gt;"",UPPER(TRIM(H1593)),IFERROR(CHOOSE(VALUE(E1593)+1,"A","B","C","D"),IF(OR(LEFT(UPPER(TRIM(E1593)),1)="F",UPPER(TRIM(E1593))="A"),"A",IF(OR(LEFT(UPPER(TRIM(E1593)),1)="M",UPPER(TRIM(E1593))="B"),"B",IF(OR(LEFT(UPPER(TRIM(E1593)),2)="SL",UPPER(TRIM(E1593))="C"),"C",IF(OR(LEFT(UPPER(TRIM(E1593)),1)="D",UPPER(TRIM(E1593))="D"),"D","")))))))</f>
        <v/>
      </c>
      <c r="J1593" s="27" t="str">
        <f aca="false">IF(I1593="","",IF(AND(I1593="D",Settings!$B$6&lt;&gt;"Yes"),"",IFERROR(INDEX(Settings!$C$9:$C$12,MATCH(I1593,Settings!$A$9:$A$12,0)),"")))</f>
        <v/>
      </c>
      <c r="K1593" s="27" t="str">
        <f aca="false">IF(J1593="","",COUNTIF($I$2:I1593,I1593))</f>
        <v/>
      </c>
      <c r="L1593" s="27" t="str">
        <f aca="false">IF(J1593="","",CHOOSE(Q1593+1,"Tue","Wed","Thu","Fri"))</f>
        <v/>
      </c>
      <c r="M1593" s="27" t="str">
        <f aca="false">IF(J1593="","",IF(J1593=1,"Every week",R1593+1&amp;" of "&amp;J1593))</f>
        <v/>
      </c>
      <c r="N1593" s="28" t="str">
        <f aca="false">IF(J1593="","",Settings!$B$4+R1593*7+Q1593)</f>
        <v/>
      </c>
      <c r="O1593" s="28" t="str">
        <f aca="true">IF(J1593="","",N1593+MAX(0,ROUNDUP((TODAY()-N1593)/(J1593*7),0))*J1593*7)</f>
        <v/>
      </c>
      <c r="P1593" s="27" t="str">
        <f aca="false">IF(J1593="","",MOD(K1593-1,J1593*4))</f>
        <v/>
      </c>
      <c r="Q1593" s="27" t="str">
        <f aca="false">IF(J1593="","",MOD(P1593,4))</f>
        <v/>
      </c>
      <c r="R1593" s="27" t="str">
        <f aca="false">IF(J1593="","",INT(P1593/4))</f>
        <v/>
      </c>
      <c r="S1593" s="27" t="str">
        <f aca="false">IF(J1593="","",IF(AND('Daily Count Sheet'!$H$3=Q1593,MOD('Daily Count Sheet'!$I$3,J1593)=R1593),1,""))</f>
        <v/>
      </c>
      <c r="T1593" s="27" t="str">
        <f aca="false">IF(S1593=1,COUNTIF($S$2:S1593,1),"")</f>
        <v/>
      </c>
    </row>
    <row r="1594" customFormat="false" ht="15" hidden="false" customHeight="false" outlineLevel="0" collapsed="false">
      <c r="H1594" s="26"/>
      <c r="I1594" s="27" t="str">
        <f aca="false">IF(A1594="","",IF(H1594&lt;&gt;"",UPPER(TRIM(H1594)),IFERROR(CHOOSE(VALUE(E1594)+1,"A","B","C","D"),IF(OR(LEFT(UPPER(TRIM(E1594)),1)="F",UPPER(TRIM(E1594))="A"),"A",IF(OR(LEFT(UPPER(TRIM(E1594)),1)="M",UPPER(TRIM(E1594))="B"),"B",IF(OR(LEFT(UPPER(TRIM(E1594)),2)="SL",UPPER(TRIM(E1594))="C"),"C",IF(OR(LEFT(UPPER(TRIM(E1594)),1)="D",UPPER(TRIM(E1594))="D"),"D","")))))))</f>
        <v/>
      </c>
      <c r="J1594" s="27" t="str">
        <f aca="false">IF(I1594="","",IF(AND(I1594="D",Settings!$B$6&lt;&gt;"Yes"),"",IFERROR(INDEX(Settings!$C$9:$C$12,MATCH(I1594,Settings!$A$9:$A$12,0)),"")))</f>
        <v/>
      </c>
      <c r="K1594" s="27" t="str">
        <f aca="false">IF(J1594="","",COUNTIF($I$2:I1594,I1594))</f>
        <v/>
      </c>
      <c r="L1594" s="27" t="str">
        <f aca="false">IF(J1594="","",CHOOSE(Q1594+1,"Tue","Wed","Thu","Fri"))</f>
        <v/>
      </c>
      <c r="M1594" s="27" t="str">
        <f aca="false">IF(J1594="","",IF(J1594=1,"Every week",R1594+1&amp;" of "&amp;J1594))</f>
        <v/>
      </c>
      <c r="N1594" s="28" t="str">
        <f aca="false">IF(J1594="","",Settings!$B$4+R1594*7+Q1594)</f>
        <v/>
      </c>
      <c r="O1594" s="28" t="str">
        <f aca="true">IF(J1594="","",N1594+MAX(0,ROUNDUP((TODAY()-N1594)/(J1594*7),0))*J1594*7)</f>
        <v/>
      </c>
      <c r="P1594" s="27" t="str">
        <f aca="false">IF(J1594="","",MOD(K1594-1,J1594*4))</f>
        <v/>
      </c>
      <c r="Q1594" s="27" t="str">
        <f aca="false">IF(J1594="","",MOD(P1594,4))</f>
        <v/>
      </c>
      <c r="R1594" s="27" t="str">
        <f aca="false">IF(J1594="","",INT(P1594/4))</f>
        <v/>
      </c>
      <c r="S1594" s="27" t="str">
        <f aca="false">IF(J1594="","",IF(AND('Daily Count Sheet'!$H$3=Q1594,MOD('Daily Count Sheet'!$I$3,J1594)=R1594),1,""))</f>
        <v/>
      </c>
      <c r="T1594" s="27" t="str">
        <f aca="false">IF(S1594=1,COUNTIF($S$2:S1594,1),"")</f>
        <v/>
      </c>
    </row>
    <row r="1595" customFormat="false" ht="15" hidden="false" customHeight="false" outlineLevel="0" collapsed="false">
      <c r="H1595" s="26"/>
      <c r="I1595" s="27" t="str">
        <f aca="false">IF(A1595="","",IF(H1595&lt;&gt;"",UPPER(TRIM(H1595)),IFERROR(CHOOSE(VALUE(E1595)+1,"A","B","C","D"),IF(OR(LEFT(UPPER(TRIM(E1595)),1)="F",UPPER(TRIM(E1595))="A"),"A",IF(OR(LEFT(UPPER(TRIM(E1595)),1)="M",UPPER(TRIM(E1595))="B"),"B",IF(OR(LEFT(UPPER(TRIM(E1595)),2)="SL",UPPER(TRIM(E1595))="C"),"C",IF(OR(LEFT(UPPER(TRIM(E1595)),1)="D",UPPER(TRIM(E1595))="D"),"D","")))))))</f>
        <v/>
      </c>
      <c r="J1595" s="27" t="str">
        <f aca="false">IF(I1595="","",IF(AND(I1595="D",Settings!$B$6&lt;&gt;"Yes"),"",IFERROR(INDEX(Settings!$C$9:$C$12,MATCH(I1595,Settings!$A$9:$A$12,0)),"")))</f>
        <v/>
      </c>
      <c r="K1595" s="27" t="str">
        <f aca="false">IF(J1595="","",COUNTIF($I$2:I1595,I1595))</f>
        <v/>
      </c>
      <c r="L1595" s="27" t="str">
        <f aca="false">IF(J1595="","",CHOOSE(Q1595+1,"Tue","Wed","Thu","Fri"))</f>
        <v/>
      </c>
      <c r="M1595" s="27" t="str">
        <f aca="false">IF(J1595="","",IF(J1595=1,"Every week",R1595+1&amp;" of "&amp;J1595))</f>
        <v/>
      </c>
      <c r="N1595" s="28" t="str">
        <f aca="false">IF(J1595="","",Settings!$B$4+R1595*7+Q1595)</f>
        <v/>
      </c>
      <c r="O1595" s="28" t="str">
        <f aca="true">IF(J1595="","",N1595+MAX(0,ROUNDUP((TODAY()-N1595)/(J1595*7),0))*J1595*7)</f>
        <v/>
      </c>
      <c r="P1595" s="27" t="str">
        <f aca="false">IF(J1595="","",MOD(K1595-1,J1595*4))</f>
        <v/>
      </c>
      <c r="Q1595" s="27" t="str">
        <f aca="false">IF(J1595="","",MOD(P1595,4))</f>
        <v/>
      </c>
      <c r="R1595" s="27" t="str">
        <f aca="false">IF(J1595="","",INT(P1595/4))</f>
        <v/>
      </c>
      <c r="S1595" s="27" t="str">
        <f aca="false">IF(J1595="","",IF(AND('Daily Count Sheet'!$H$3=Q1595,MOD('Daily Count Sheet'!$I$3,J1595)=R1595),1,""))</f>
        <v/>
      </c>
      <c r="T1595" s="27" t="str">
        <f aca="false">IF(S1595=1,COUNTIF($S$2:S1595,1),"")</f>
        <v/>
      </c>
    </row>
    <row r="1596" customFormat="false" ht="15" hidden="false" customHeight="false" outlineLevel="0" collapsed="false">
      <c r="H1596" s="26"/>
      <c r="I1596" s="27" t="str">
        <f aca="false">IF(A1596="","",IF(H1596&lt;&gt;"",UPPER(TRIM(H1596)),IFERROR(CHOOSE(VALUE(E1596)+1,"A","B","C","D"),IF(OR(LEFT(UPPER(TRIM(E1596)),1)="F",UPPER(TRIM(E1596))="A"),"A",IF(OR(LEFT(UPPER(TRIM(E1596)),1)="M",UPPER(TRIM(E1596))="B"),"B",IF(OR(LEFT(UPPER(TRIM(E1596)),2)="SL",UPPER(TRIM(E1596))="C"),"C",IF(OR(LEFT(UPPER(TRIM(E1596)),1)="D",UPPER(TRIM(E1596))="D"),"D","")))))))</f>
        <v/>
      </c>
      <c r="J1596" s="27" t="str">
        <f aca="false">IF(I1596="","",IF(AND(I1596="D",Settings!$B$6&lt;&gt;"Yes"),"",IFERROR(INDEX(Settings!$C$9:$C$12,MATCH(I1596,Settings!$A$9:$A$12,0)),"")))</f>
        <v/>
      </c>
      <c r="K1596" s="27" t="str">
        <f aca="false">IF(J1596="","",COUNTIF($I$2:I1596,I1596))</f>
        <v/>
      </c>
      <c r="L1596" s="27" t="str">
        <f aca="false">IF(J1596="","",CHOOSE(Q1596+1,"Tue","Wed","Thu","Fri"))</f>
        <v/>
      </c>
      <c r="M1596" s="27" t="str">
        <f aca="false">IF(J1596="","",IF(J1596=1,"Every week",R1596+1&amp;" of "&amp;J1596))</f>
        <v/>
      </c>
      <c r="N1596" s="28" t="str">
        <f aca="false">IF(J1596="","",Settings!$B$4+R1596*7+Q1596)</f>
        <v/>
      </c>
      <c r="O1596" s="28" t="str">
        <f aca="true">IF(J1596="","",N1596+MAX(0,ROUNDUP((TODAY()-N1596)/(J1596*7),0))*J1596*7)</f>
        <v/>
      </c>
      <c r="P1596" s="27" t="str">
        <f aca="false">IF(J1596="","",MOD(K1596-1,J1596*4))</f>
        <v/>
      </c>
      <c r="Q1596" s="27" t="str">
        <f aca="false">IF(J1596="","",MOD(P1596,4))</f>
        <v/>
      </c>
      <c r="R1596" s="27" t="str">
        <f aca="false">IF(J1596="","",INT(P1596/4))</f>
        <v/>
      </c>
      <c r="S1596" s="27" t="str">
        <f aca="false">IF(J1596="","",IF(AND('Daily Count Sheet'!$H$3=Q1596,MOD('Daily Count Sheet'!$I$3,J1596)=R1596),1,""))</f>
        <v/>
      </c>
      <c r="T1596" s="27" t="str">
        <f aca="false">IF(S1596=1,COUNTIF($S$2:S1596,1),"")</f>
        <v/>
      </c>
    </row>
    <row r="1597" customFormat="false" ht="15" hidden="false" customHeight="false" outlineLevel="0" collapsed="false">
      <c r="H1597" s="26"/>
      <c r="I1597" s="27" t="str">
        <f aca="false">IF(A1597="","",IF(H1597&lt;&gt;"",UPPER(TRIM(H1597)),IFERROR(CHOOSE(VALUE(E1597)+1,"A","B","C","D"),IF(OR(LEFT(UPPER(TRIM(E1597)),1)="F",UPPER(TRIM(E1597))="A"),"A",IF(OR(LEFT(UPPER(TRIM(E1597)),1)="M",UPPER(TRIM(E1597))="B"),"B",IF(OR(LEFT(UPPER(TRIM(E1597)),2)="SL",UPPER(TRIM(E1597))="C"),"C",IF(OR(LEFT(UPPER(TRIM(E1597)),1)="D",UPPER(TRIM(E1597))="D"),"D","")))))))</f>
        <v/>
      </c>
      <c r="J1597" s="27" t="str">
        <f aca="false">IF(I1597="","",IF(AND(I1597="D",Settings!$B$6&lt;&gt;"Yes"),"",IFERROR(INDEX(Settings!$C$9:$C$12,MATCH(I1597,Settings!$A$9:$A$12,0)),"")))</f>
        <v/>
      </c>
      <c r="K1597" s="27" t="str">
        <f aca="false">IF(J1597="","",COUNTIF($I$2:I1597,I1597))</f>
        <v/>
      </c>
      <c r="L1597" s="27" t="str">
        <f aca="false">IF(J1597="","",CHOOSE(Q1597+1,"Tue","Wed","Thu","Fri"))</f>
        <v/>
      </c>
      <c r="M1597" s="27" t="str">
        <f aca="false">IF(J1597="","",IF(J1597=1,"Every week",R1597+1&amp;" of "&amp;J1597))</f>
        <v/>
      </c>
      <c r="N1597" s="28" t="str">
        <f aca="false">IF(J1597="","",Settings!$B$4+R1597*7+Q1597)</f>
        <v/>
      </c>
      <c r="O1597" s="28" t="str">
        <f aca="true">IF(J1597="","",N1597+MAX(0,ROUNDUP((TODAY()-N1597)/(J1597*7),0))*J1597*7)</f>
        <v/>
      </c>
      <c r="P1597" s="27" t="str">
        <f aca="false">IF(J1597="","",MOD(K1597-1,J1597*4))</f>
        <v/>
      </c>
      <c r="Q1597" s="27" t="str">
        <f aca="false">IF(J1597="","",MOD(P1597,4))</f>
        <v/>
      </c>
      <c r="R1597" s="27" t="str">
        <f aca="false">IF(J1597="","",INT(P1597/4))</f>
        <v/>
      </c>
      <c r="S1597" s="27" t="str">
        <f aca="false">IF(J1597="","",IF(AND('Daily Count Sheet'!$H$3=Q1597,MOD('Daily Count Sheet'!$I$3,J1597)=R1597),1,""))</f>
        <v/>
      </c>
      <c r="T1597" s="27" t="str">
        <f aca="false">IF(S1597=1,COUNTIF($S$2:S1597,1),"")</f>
        <v/>
      </c>
    </row>
    <row r="1598" customFormat="false" ht="15" hidden="false" customHeight="false" outlineLevel="0" collapsed="false">
      <c r="H1598" s="26"/>
      <c r="I1598" s="27" t="str">
        <f aca="false">IF(A1598="","",IF(H1598&lt;&gt;"",UPPER(TRIM(H1598)),IFERROR(CHOOSE(VALUE(E1598)+1,"A","B","C","D"),IF(OR(LEFT(UPPER(TRIM(E1598)),1)="F",UPPER(TRIM(E1598))="A"),"A",IF(OR(LEFT(UPPER(TRIM(E1598)),1)="M",UPPER(TRIM(E1598))="B"),"B",IF(OR(LEFT(UPPER(TRIM(E1598)),2)="SL",UPPER(TRIM(E1598))="C"),"C",IF(OR(LEFT(UPPER(TRIM(E1598)),1)="D",UPPER(TRIM(E1598))="D"),"D","")))))))</f>
        <v/>
      </c>
      <c r="J1598" s="27" t="str">
        <f aca="false">IF(I1598="","",IF(AND(I1598="D",Settings!$B$6&lt;&gt;"Yes"),"",IFERROR(INDEX(Settings!$C$9:$C$12,MATCH(I1598,Settings!$A$9:$A$12,0)),"")))</f>
        <v/>
      </c>
      <c r="K1598" s="27" t="str">
        <f aca="false">IF(J1598="","",COUNTIF($I$2:I1598,I1598))</f>
        <v/>
      </c>
      <c r="L1598" s="27" t="str">
        <f aca="false">IF(J1598="","",CHOOSE(Q1598+1,"Tue","Wed","Thu","Fri"))</f>
        <v/>
      </c>
      <c r="M1598" s="27" t="str">
        <f aca="false">IF(J1598="","",IF(J1598=1,"Every week",R1598+1&amp;" of "&amp;J1598))</f>
        <v/>
      </c>
      <c r="N1598" s="28" t="str">
        <f aca="false">IF(J1598="","",Settings!$B$4+R1598*7+Q1598)</f>
        <v/>
      </c>
      <c r="O1598" s="28" t="str">
        <f aca="true">IF(J1598="","",N1598+MAX(0,ROUNDUP((TODAY()-N1598)/(J1598*7),0))*J1598*7)</f>
        <v/>
      </c>
      <c r="P1598" s="27" t="str">
        <f aca="false">IF(J1598="","",MOD(K1598-1,J1598*4))</f>
        <v/>
      </c>
      <c r="Q1598" s="27" t="str">
        <f aca="false">IF(J1598="","",MOD(P1598,4))</f>
        <v/>
      </c>
      <c r="R1598" s="27" t="str">
        <f aca="false">IF(J1598="","",INT(P1598/4))</f>
        <v/>
      </c>
      <c r="S1598" s="27" t="str">
        <f aca="false">IF(J1598="","",IF(AND('Daily Count Sheet'!$H$3=Q1598,MOD('Daily Count Sheet'!$I$3,J1598)=R1598),1,""))</f>
        <v/>
      </c>
      <c r="T1598" s="27" t="str">
        <f aca="false">IF(S1598=1,COUNTIF($S$2:S1598,1),"")</f>
        <v/>
      </c>
    </row>
    <row r="1599" customFormat="false" ht="15" hidden="false" customHeight="false" outlineLevel="0" collapsed="false">
      <c r="H1599" s="26"/>
      <c r="I1599" s="27" t="str">
        <f aca="false">IF(A1599="","",IF(H1599&lt;&gt;"",UPPER(TRIM(H1599)),IFERROR(CHOOSE(VALUE(E1599)+1,"A","B","C","D"),IF(OR(LEFT(UPPER(TRIM(E1599)),1)="F",UPPER(TRIM(E1599))="A"),"A",IF(OR(LEFT(UPPER(TRIM(E1599)),1)="M",UPPER(TRIM(E1599))="B"),"B",IF(OR(LEFT(UPPER(TRIM(E1599)),2)="SL",UPPER(TRIM(E1599))="C"),"C",IF(OR(LEFT(UPPER(TRIM(E1599)),1)="D",UPPER(TRIM(E1599))="D"),"D","")))))))</f>
        <v/>
      </c>
      <c r="J1599" s="27" t="str">
        <f aca="false">IF(I1599="","",IF(AND(I1599="D",Settings!$B$6&lt;&gt;"Yes"),"",IFERROR(INDEX(Settings!$C$9:$C$12,MATCH(I1599,Settings!$A$9:$A$12,0)),"")))</f>
        <v/>
      </c>
      <c r="K1599" s="27" t="str">
        <f aca="false">IF(J1599="","",COUNTIF($I$2:I1599,I1599))</f>
        <v/>
      </c>
      <c r="L1599" s="27" t="str">
        <f aca="false">IF(J1599="","",CHOOSE(Q1599+1,"Tue","Wed","Thu","Fri"))</f>
        <v/>
      </c>
      <c r="M1599" s="27" t="str">
        <f aca="false">IF(J1599="","",IF(J1599=1,"Every week",R1599+1&amp;" of "&amp;J1599))</f>
        <v/>
      </c>
      <c r="N1599" s="28" t="str">
        <f aca="false">IF(J1599="","",Settings!$B$4+R1599*7+Q1599)</f>
        <v/>
      </c>
      <c r="O1599" s="28" t="str">
        <f aca="true">IF(J1599="","",N1599+MAX(0,ROUNDUP((TODAY()-N1599)/(J1599*7),0))*J1599*7)</f>
        <v/>
      </c>
      <c r="P1599" s="27" t="str">
        <f aca="false">IF(J1599="","",MOD(K1599-1,J1599*4))</f>
        <v/>
      </c>
      <c r="Q1599" s="27" t="str">
        <f aca="false">IF(J1599="","",MOD(P1599,4))</f>
        <v/>
      </c>
      <c r="R1599" s="27" t="str">
        <f aca="false">IF(J1599="","",INT(P1599/4))</f>
        <v/>
      </c>
      <c r="S1599" s="27" t="str">
        <f aca="false">IF(J1599="","",IF(AND('Daily Count Sheet'!$H$3=Q1599,MOD('Daily Count Sheet'!$I$3,J1599)=R1599),1,""))</f>
        <v/>
      </c>
      <c r="T1599" s="27" t="str">
        <f aca="false">IF(S1599=1,COUNTIF($S$2:S1599,1),"")</f>
        <v/>
      </c>
    </row>
    <row r="1600" customFormat="false" ht="15" hidden="false" customHeight="false" outlineLevel="0" collapsed="false">
      <c r="H1600" s="26"/>
      <c r="I1600" s="27" t="str">
        <f aca="false">IF(A1600="","",IF(H1600&lt;&gt;"",UPPER(TRIM(H1600)),IFERROR(CHOOSE(VALUE(E1600)+1,"A","B","C","D"),IF(OR(LEFT(UPPER(TRIM(E1600)),1)="F",UPPER(TRIM(E1600))="A"),"A",IF(OR(LEFT(UPPER(TRIM(E1600)),1)="M",UPPER(TRIM(E1600))="B"),"B",IF(OR(LEFT(UPPER(TRIM(E1600)),2)="SL",UPPER(TRIM(E1600))="C"),"C",IF(OR(LEFT(UPPER(TRIM(E1600)),1)="D",UPPER(TRIM(E1600))="D"),"D","")))))))</f>
        <v/>
      </c>
      <c r="J1600" s="27" t="str">
        <f aca="false">IF(I1600="","",IF(AND(I1600="D",Settings!$B$6&lt;&gt;"Yes"),"",IFERROR(INDEX(Settings!$C$9:$C$12,MATCH(I1600,Settings!$A$9:$A$12,0)),"")))</f>
        <v/>
      </c>
      <c r="K1600" s="27" t="str">
        <f aca="false">IF(J1600="","",COUNTIF($I$2:I1600,I1600))</f>
        <v/>
      </c>
      <c r="L1600" s="27" t="str">
        <f aca="false">IF(J1600="","",CHOOSE(Q1600+1,"Tue","Wed","Thu","Fri"))</f>
        <v/>
      </c>
      <c r="M1600" s="27" t="str">
        <f aca="false">IF(J1600="","",IF(J1600=1,"Every week",R1600+1&amp;" of "&amp;J1600))</f>
        <v/>
      </c>
      <c r="N1600" s="28" t="str">
        <f aca="false">IF(J1600="","",Settings!$B$4+R1600*7+Q1600)</f>
        <v/>
      </c>
      <c r="O1600" s="28" t="str">
        <f aca="true">IF(J1600="","",N1600+MAX(0,ROUNDUP((TODAY()-N1600)/(J1600*7),0))*J1600*7)</f>
        <v/>
      </c>
      <c r="P1600" s="27" t="str">
        <f aca="false">IF(J1600="","",MOD(K1600-1,J1600*4))</f>
        <v/>
      </c>
      <c r="Q1600" s="27" t="str">
        <f aca="false">IF(J1600="","",MOD(P1600,4))</f>
        <v/>
      </c>
      <c r="R1600" s="27" t="str">
        <f aca="false">IF(J1600="","",INT(P1600/4))</f>
        <v/>
      </c>
      <c r="S1600" s="27" t="str">
        <f aca="false">IF(J1600="","",IF(AND('Daily Count Sheet'!$H$3=Q1600,MOD('Daily Count Sheet'!$I$3,J1600)=R1600),1,""))</f>
        <v/>
      </c>
      <c r="T1600" s="27" t="str">
        <f aca="false">IF(S1600=1,COUNTIF($S$2:S1600,1),"")</f>
        <v/>
      </c>
    </row>
    <row r="1601" customFormat="false" ht="15" hidden="false" customHeight="false" outlineLevel="0" collapsed="false">
      <c r="H1601" s="26"/>
      <c r="I1601" s="27" t="str">
        <f aca="false">IF(A1601="","",IF(H1601&lt;&gt;"",UPPER(TRIM(H1601)),IFERROR(CHOOSE(VALUE(E1601)+1,"A","B","C","D"),IF(OR(LEFT(UPPER(TRIM(E1601)),1)="F",UPPER(TRIM(E1601))="A"),"A",IF(OR(LEFT(UPPER(TRIM(E1601)),1)="M",UPPER(TRIM(E1601))="B"),"B",IF(OR(LEFT(UPPER(TRIM(E1601)),2)="SL",UPPER(TRIM(E1601))="C"),"C",IF(OR(LEFT(UPPER(TRIM(E1601)),1)="D",UPPER(TRIM(E1601))="D"),"D","")))))))</f>
        <v/>
      </c>
      <c r="J1601" s="27" t="str">
        <f aca="false">IF(I1601="","",IF(AND(I1601="D",Settings!$B$6&lt;&gt;"Yes"),"",IFERROR(INDEX(Settings!$C$9:$C$12,MATCH(I1601,Settings!$A$9:$A$12,0)),"")))</f>
        <v/>
      </c>
      <c r="K1601" s="27" t="str">
        <f aca="false">IF(J1601="","",COUNTIF($I$2:I1601,I1601))</f>
        <v/>
      </c>
      <c r="L1601" s="27" t="str">
        <f aca="false">IF(J1601="","",CHOOSE(Q1601+1,"Tue","Wed","Thu","Fri"))</f>
        <v/>
      </c>
      <c r="M1601" s="27" t="str">
        <f aca="false">IF(J1601="","",IF(J1601=1,"Every week",R1601+1&amp;" of "&amp;J1601))</f>
        <v/>
      </c>
      <c r="N1601" s="28" t="str">
        <f aca="false">IF(J1601="","",Settings!$B$4+R1601*7+Q1601)</f>
        <v/>
      </c>
      <c r="O1601" s="28" t="str">
        <f aca="true">IF(J1601="","",N1601+MAX(0,ROUNDUP((TODAY()-N1601)/(J1601*7),0))*J1601*7)</f>
        <v/>
      </c>
      <c r="P1601" s="27" t="str">
        <f aca="false">IF(J1601="","",MOD(K1601-1,J1601*4))</f>
        <v/>
      </c>
      <c r="Q1601" s="27" t="str">
        <f aca="false">IF(J1601="","",MOD(P1601,4))</f>
        <v/>
      </c>
      <c r="R1601" s="27" t="str">
        <f aca="false">IF(J1601="","",INT(P1601/4))</f>
        <v/>
      </c>
      <c r="S1601" s="27" t="str">
        <f aca="false">IF(J1601="","",IF(AND('Daily Count Sheet'!$H$3=Q1601,MOD('Daily Count Sheet'!$I$3,J1601)=R1601),1,""))</f>
        <v/>
      </c>
      <c r="T1601" s="27" t="str">
        <f aca="false">IF(S1601=1,COUNTIF($S$2:S1601,1),"")</f>
        <v/>
      </c>
    </row>
    <row r="1602" customFormat="false" ht="15" hidden="false" customHeight="false" outlineLevel="0" collapsed="false">
      <c r="H1602" s="26"/>
      <c r="I1602" s="27" t="str">
        <f aca="false">IF(A1602="","",IF(H1602&lt;&gt;"",UPPER(TRIM(H1602)),IFERROR(CHOOSE(VALUE(E1602)+1,"A","B","C","D"),IF(OR(LEFT(UPPER(TRIM(E1602)),1)="F",UPPER(TRIM(E1602))="A"),"A",IF(OR(LEFT(UPPER(TRIM(E1602)),1)="M",UPPER(TRIM(E1602))="B"),"B",IF(OR(LEFT(UPPER(TRIM(E1602)),2)="SL",UPPER(TRIM(E1602))="C"),"C",IF(OR(LEFT(UPPER(TRIM(E1602)),1)="D",UPPER(TRIM(E1602))="D"),"D","")))))))</f>
        <v/>
      </c>
      <c r="J1602" s="27" t="str">
        <f aca="false">IF(I1602="","",IF(AND(I1602="D",Settings!$B$6&lt;&gt;"Yes"),"",IFERROR(INDEX(Settings!$C$9:$C$12,MATCH(I1602,Settings!$A$9:$A$12,0)),"")))</f>
        <v/>
      </c>
      <c r="K1602" s="27" t="str">
        <f aca="false">IF(J1602="","",COUNTIF($I$2:I1602,I1602))</f>
        <v/>
      </c>
      <c r="L1602" s="27" t="str">
        <f aca="false">IF(J1602="","",CHOOSE(Q1602+1,"Tue","Wed","Thu","Fri"))</f>
        <v/>
      </c>
      <c r="M1602" s="27" t="str">
        <f aca="false">IF(J1602="","",IF(J1602=1,"Every week",R1602+1&amp;" of "&amp;J1602))</f>
        <v/>
      </c>
      <c r="N1602" s="28" t="str">
        <f aca="false">IF(J1602="","",Settings!$B$4+R1602*7+Q1602)</f>
        <v/>
      </c>
      <c r="O1602" s="28" t="str">
        <f aca="true">IF(J1602="","",N1602+MAX(0,ROUNDUP((TODAY()-N1602)/(J1602*7),0))*J1602*7)</f>
        <v/>
      </c>
      <c r="P1602" s="27" t="str">
        <f aca="false">IF(J1602="","",MOD(K1602-1,J1602*4))</f>
        <v/>
      </c>
      <c r="Q1602" s="27" t="str">
        <f aca="false">IF(J1602="","",MOD(P1602,4))</f>
        <v/>
      </c>
      <c r="R1602" s="27" t="str">
        <f aca="false">IF(J1602="","",INT(P1602/4))</f>
        <v/>
      </c>
      <c r="S1602" s="27" t="str">
        <f aca="false">IF(J1602="","",IF(AND('Daily Count Sheet'!$H$3=Q1602,MOD('Daily Count Sheet'!$I$3,J1602)=R1602),1,""))</f>
        <v/>
      </c>
      <c r="T1602" s="27" t="str">
        <f aca="false">IF(S1602=1,COUNTIF($S$2:S1602,1),"")</f>
        <v/>
      </c>
    </row>
    <row r="1603" customFormat="false" ht="15" hidden="false" customHeight="false" outlineLevel="0" collapsed="false">
      <c r="H1603" s="26"/>
      <c r="I1603" s="27" t="str">
        <f aca="false">IF(A1603="","",IF(H1603&lt;&gt;"",UPPER(TRIM(H1603)),IFERROR(CHOOSE(VALUE(E1603)+1,"A","B","C","D"),IF(OR(LEFT(UPPER(TRIM(E1603)),1)="F",UPPER(TRIM(E1603))="A"),"A",IF(OR(LEFT(UPPER(TRIM(E1603)),1)="M",UPPER(TRIM(E1603))="B"),"B",IF(OR(LEFT(UPPER(TRIM(E1603)),2)="SL",UPPER(TRIM(E1603))="C"),"C",IF(OR(LEFT(UPPER(TRIM(E1603)),1)="D",UPPER(TRIM(E1603))="D"),"D","")))))))</f>
        <v/>
      </c>
      <c r="J1603" s="27" t="str">
        <f aca="false">IF(I1603="","",IF(AND(I1603="D",Settings!$B$6&lt;&gt;"Yes"),"",IFERROR(INDEX(Settings!$C$9:$C$12,MATCH(I1603,Settings!$A$9:$A$12,0)),"")))</f>
        <v/>
      </c>
      <c r="K1603" s="27" t="str">
        <f aca="false">IF(J1603="","",COUNTIF($I$2:I1603,I1603))</f>
        <v/>
      </c>
      <c r="L1603" s="27" t="str">
        <f aca="false">IF(J1603="","",CHOOSE(Q1603+1,"Tue","Wed","Thu","Fri"))</f>
        <v/>
      </c>
      <c r="M1603" s="27" t="str">
        <f aca="false">IF(J1603="","",IF(J1603=1,"Every week",R1603+1&amp;" of "&amp;J1603))</f>
        <v/>
      </c>
      <c r="N1603" s="28" t="str">
        <f aca="false">IF(J1603="","",Settings!$B$4+R1603*7+Q1603)</f>
        <v/>
      </c>
      <c r="O1603" s="28" t="str">
        <f aca="true">IF(J1603="","",N1603+MAX(0,ROUNDUP((TODAY()-N1603)/(J1603*7),0))*J1603*7)</f>
        <v/>
      </c>
      <c r="P1603" s="27" t="str">
        <f aca="false">IF(J1603="","",MOD(K1603-1,J1603*4))</f>
        <v/>
      </c>
      <c r="Q1603" s="27" t="str">
        <f aca="false">IF(J1603="","",MOD(P1603,4))</f>
        <v/>
      </c>
      <c r="R1603" s="27" t="str">
        <f aca="false">IF(J1603="","",INT(P1603/4))</f>
        <v/>
      </c>
      <c r="S1603" s="27" t="str">
        <f aca="false">IF(J1603="","",IF(AND('Daily Count Sheet'!$H$3=Q1603,MOD('Daily Count Sheet'!$I$3,J1603)=R1603),1,""))</f>
        <v/>
      </c>
      <c r="T1603" s="27" t="str">
        <f aca="false">IF(S1603=1,COUNTIF($S$2:S1603,1),"")</f>
        <v/>
      </c>
    </row>
    <row r="1604" customFormat="false" ht="15" hidden="false" customHeight="false" outlineLevel="0" collapsed="false">
      <c r="H1604" s="26"/>
      <c r="I1604" s="27" t="str">
        <f aca="false">IF(A1604="","",IF(H1604&lt;&gt;"",UPPER(TRIM(H1604)),IFERROR(CHOOSE(VALUE(E1604)+1,"A","B","C","D"),IF(OR(LEFT(UPPER(TRIM(E1604)),1)="F",UPPER(TRIM(E1604))="A"),"A",IF(OR(LEFT(UPPER(TRIM(E1604)),1)="M",UPPER(TRIM(E1604))="B"),"B",IF(OR(LEFT(UPPER(TRIM(E1604)),2)="SL",UPPER(TRIM(E1604))="C"),"C",IF(OR(LEFT(UPPER(TRIM(E1604)),1)="D",UPPER(TRIM(E1604))="D"),"D","")))))))</f>
        <v/>
      </c>
      <c r="J1604" s="27" t="str">
        <f aca="false">IF(I1604="","",IF(AND(I1604="D",Settings!$B$6&lt;&gt;"Yes"),"",IFERROR(INDEX(Settings!$C$9:$C$12,MATCH(I1604,Settings!$A$9:$A$12,0)),"")))</f>
        <v/>
      </c>
      <c r="K1604" s="27" t="str">
        <f aca="false">IF(J1604="","",COUNTIF($I$2:I1604,I1604))</f>
        <v/>
      </c>
      <c r="L1604" s="27" t="str">
        <f aca="false">IF(J1604="","",CHOOSE(Q1604+1,"Tue","Wed","Thu","Fri"))</f>
        <v/>
      </c>
      <c r="M1604" s="27" t="str">
        <f aca="false">IF(J1604="","",IF(J1604=1,"Every week",R1604+1&amp;" of "&amp;J1604))</f>
        <v/>
      </c>
      <c r="N1604" s="28" t="str">
        <f aca="false">IF(J1604="","",Settings!$B$4+R1604*7+Q1604)</f>
        <v/>
      </c>
      <c r="O1604" s="28" t="str">
        <f aca="true">IF(J1604="","",N1604+MAX(0,ROUNDUP((TODAY()-N1604)/(J1604*7),0))*J1604*7)</f>
        <v/>
      </c>
      <c r="P1604" s="27" t="str">
        <f aca="false">IF(J1604="","",MOD(K1604-1,J1604*4))</f>
        <v/>
      </c>
      <c r="Q1604" s="27" t="str">
        <f aca="false">IF(J1604="","",MOD(P1604,4))</f>
        <v/>
      </c>
      <c r="R1604" s="27" t="str">
        <f aca="false">IF(J1604="","",INT(P1604/4))</f>
        <v/>
      </c>
      <c r="S1604" s="27" t="str">
        <f aca="false">IF(J1604="","",IF(AND('Daily Count Sheet'!$H$3=Q1604,MOD('Daily Count Sheet'!$I$3,J1604)=R1604),1,""))</f>
        <v/>
      </c>
      <c r="T1604" s="27" t="str">
        <f aca="false">IF(S1604=1,COUNTIF($S$2:S1604,1),"")</f>
        <v/>
      </c>
    </row>
    <row r="1605" customFormat="false" ht="15" hidden="false" customHeight="false" outlineLevel="0" collapsed="false">
      <c r="H1605" s="26"/>
      <c r="I1605" s="27" t="str">
        <f aca="false">IF(A1605="","",IF(H1605&lt;&gt;"",UPPER(TRIM(H1605)),IFERROR(CHOOSE(VALUE(E1605)+1,"A","B","C","D"),IF(OR(LEFT(UPPER(TRIM(E1605)),1)="F",UPPER(TRIM(E1605))="A"),"A",IF(OR(LEFT(UPPER(TRIM(E1605)),1)="M",UPPER(TRIM(E1605))="B"),"B",IF(OR(LEFT(UPPER(TRIM(E1605)),2)="SL",UPPER(TRIM(E1605))="C"),"C",IF(OR(LEFT(UPPER(TRIM(E1605)),1)="D",UPPER(TRIM(E1605))="D"),"D","")))))))</f>
        <v/>
      </c>
      <c r="J1605" s="27" t="str">
        <f aca="false">IF(I1605="","",IF(AND(I1605="D",Settings!$B$6&lt;&gt;"Yes"),"",IFERROR(INDEX(Settings!$C$9:$C$12,MATCH(I1605,Settings!$A$9:$A$12,0)),"")))</f>
        <v/>
      </c>
      <c r="K1605" s="27" t="str">
        <f aca="false">IF(J1605="","",COUNTIF($I$2:I1605,I1605))</f>
        <v/>
      </c>
      <c r="L1605" s="27" t="str">
        <f aca="false">IF(J1605="","",CHOOSE(Q1605+1,"Tue","Wed","Thu","Fri"))</f>
        <v/>
      </c>
      <c r="M1605" s="27" t="str">
        <f aca="false">IF(J1605="","",IF(J1605=1,"Every week",R1605+1&amp;" of "&amp;J1605))</f>
        <v/>
      </c>
      <c r="N1605" s="28" t="str">
        <f aca="false">IF(J1605="","",Settings!$B$4+R1605*7+Q1605)</f>
        <v/>
      </c>
      <c r="O1605" s="28" t="str">
        <f aca="true">IF(J1605="","",N1605+MAX(0,ROUNDUP((TODAY()-N1605)/(J1605*7),0))*J1605*7)</f>
        <v/>
      </c>
      <c r="P1605" s="27" t="str">
        <f aca="false">IF(J1605="","",MOD(K1605-1,J1605*4))</f>
        <v/>
      </c>
      <c r="Q1605" s="27" t="str">
        <f aca="false">IF(J1605="","",MOD(P1605,4))</f>
        <v/>
      </c>
      <c r="R1605" s="27" t="str">
        <f aca="false">IF(J1605="","",INT(P1605/4))</f>
        <v/>
      </c>
      <c r="S1605" s="27" t="str">
        <f aca="false">IF(J1605="","",IF(AND('Daily Count Sheet'!$H$3=Q1605,MOD('Daily Count Sheet'!$I$3,J1605)=R1605),1,""))</f>
        <v/>
      </c>
      <c r="T1605" s="27" t="str">
        <f aca="false">IF(S1605=1,COUNTIF($S$2:S1605,1),"")</f>
        <v/>
      </c>
    </row>
    <row r="1606" customFormat="false" ht="15" hidden="false" customHeight="false" outlineLevel="0" collapsed="false">
      <c r="H1606" s="26"/>
      <c r="I1606" s="27" t="str">
        <f aca="false">IF(A1606="","",IF(H1606&lt;&gt;"",UPPER(TRIM(H1606)),IFERROR(CHOOSE(VALUE(E1606)+1,"A","B","C","D"),IF(OR(LEFT(UPPER(TRIM(E1606)),1)="F",UPPER(TRIM(E1606))="A"),"A",IF(OR(LEFT(UPPER(TRIM(E1606)),1)="M",UPPER(TRIM(E1606))="B"),"B",IF(OR(LEFT(UPPER(TRIM(E1606)),2)="SL",UPPER(TRIM(E1606))="C"),"C",IF(OR(LEFT(UPPER(TRIM(E1606)),1)="D",UPPER(TRIM(E1606))="D"),"D","")))))))</f>
        <v/>
      </c>
      <c r="J1606" s="27" t="str">
        <f aca="false">IF(I1606="","",IF(AND(I1606="D",Settings!$B$6&lt;&gt;"Yes"),"",IFERROR(INDEX(Settings!$C$9:$C$12,MATCH(I1606,Settings!$A$9:$A$12,0)),"")))</f>
        <v/>
      </c>
      <c r="K1606" s="27" t="str">
        <f aca="false">IF(J1606="","",COUNTIF($I$2:I1606,I1606))</f>
        <v/>
      </c>
      <c r="L1606" s="27" t="str">
        <f aca="false">IF(J1606="","",CHOOSE(Q1606+1,"Tue","Wed","Thu","Fri"))</f>
        <v/>
      </c>
      <c r="M1606" s="27" t="str">
        <f aca="false">IF(J1606="","",IF(J1606=1,"Every week",R1606+1&amp;" of "&amp;J1606))</f>
        <v/>
      </c>
      <c r="N1606" s="28" t="str">
        <f aca="false">IF(J1606="","",Settings!$B$4+R1606*7+Q1606)</f>
        <v/>
      </c>
      <c r="O1606" s="28" t="str">
        <f aca="true">IF(J1606="","",N1606+MAX(0,ROUNDUP((TODAY()-N1606)/(J1606*7),0))*J1606*7)</f>
        <v/>
      </c>
      <c r="P1606" s="27" t="str">
        <f aca="false">IF(J1606="","",MOD(K1606-1,J1606*4))</f>
        <v/>
      </c>
      <c r="Q1606" s="27" t="str">
        <f aca="false">IF(J1606="","",MOD(P1606,4))</f>
        <v/>
      </c>
      <c r="R1606" s="27" t="str">
        <f aca="false">IF(J1606="","",INT(P1606/4))</f>
        <v/>
      </c>
      <c r="S1606" s="27" t="str">
        <f aca="false">IF(J1606="","",IF(AND('Daily Count Sheet'!$H$3=Q1606,MOD('Daily Count Sheet'!$I$3,J1606)=R1606),1,""))</f>
        <v/>
      </c>
      <c r="T1606" s="27" t="str">
        <f aca="false">IF(S1606=1,COUNTIF($S$2:S1606,1),"")</f>
        <v/>
      </c>
    </row>
    <row r="1607" customFormat="false" ht="15" hidden="false" customHeight="false" outlineLevel="0" collapsed="false">
      <c r="H1607" s="26"/>
      <c r="I1607" s="27" t="str">
        <f aca="false">IF(A1607="","",IF(H1607&lt;&gt;"",UPPER(TRIM(H1607)),IFERROR(CHOOSE(VALUE(E1607)+1,"A","B","C","D"),IF(OR(LEFT(UPPER(TRIM(E1607)),1)="F",UPPER(TRIM(E1607))="A"),"A",IF(OR(LEFT(UPPER(TRIM(E1607)),1)="M",UPPER(TRIM(E1607))="B"),"B",IF(OR(LEFT(UPPER(TRIM(E1607)),2)="SL",UPPER(TRIM(E1607))="C"),"C",IF(OR(LEFT(UPPER(TRIM(E1607)),1)="D",UPPER(TRIM(E1607))="D"),"D","")))))))</f>
        <v/>
      </c>
      <c r="J1607" s="27" t="str">
        <f aca="false">IF(I1607="","",IF(AND(I1607="D",Settings!$B$6&lt;&gt;"Yes"),"",IFERROR(INDEX(Settings!$C$9:$C$12,MATCH(I1607,Settings!$A$9:$A$12,0)),"")))</f>
        <v/>
      </c>
      <c r="K1607" s="27" t="str">
        <f aca="false">IF(J1607="","",COUNTIF($I$2:I1607,I1607))</f>
        <v/>
      </c>
      <c r="L1607" s="27" t="str">
        <f aca="false">IF(J1607="","",CHOOSE(Q1607+1,"Tue","Wed","Thu","Fri"))</f>
        <v/>
      </c>
      <c r="M1607" s="27" t="str">
        <f aca="false">IF(J1607="","",IF(J1607=1,"Every week",R1607+1&amp;" of "&amp;J1607))</f>
        <v/>
      </c>
      <c r="N1607" s="28" t="str">
        <f aca="false">IF(J1607="","",Settings!$B$4+R1607*7+Q1607)</f>
        <v/>
      </c>
      <c r="O1607" s="28" t="str">
        <f aca="true">IF(J1607="","",N1607+MAX(0,ROUNDUP((TODAY()-N1607)/(J1607*7),0))*J1607*7)</f>
        <v/>
      </c>
      <c r="P1607" s="27" t="str">
        <f aca="false">IF(J1607="","",MOD(K1607-1,J1607*4))</f>
        <v/>
      </c>
      <c r="Q1607" s="27" t="str">
        <f aca="false">IF(J1607="","",MOD(P1607,4))</f>
        <v/>
      </c>
      <c r="R1607" s="27" t="str">
        <f aca="false">IF(J1607="","",INT(P1607/4))</f>
        <v/>
      </c>
      <c r="S1607" s="27" t="str">
        <f aca="false">IF(J1607="","",IF(AND('Daily Count Sheet'!$H$3=Q1607,MOD('Daily Count Sheet'!$I$3,J1607)=R1607),1,""))</f>
        <v/>
      </c>
      <c r="T1607" s="27" t="str">
        <f aca="false">IF(S1607=1,COUNTIF($S$2:S1607,1),"")</f>
        <v/>
      </c>
    </row>
    <row r="1608" customFormat="false" ht="15" hidden="false" customHeight="false" outlineLevel="0" collapsed="false">
      <c r="H1608" s="26"/>
      <c r="I1608" s="27" t="str">
        <f aca="false">IF(A1608="","",IF(H1608&lt;&gt;"",UPPER(TRIM(H1608)),IFERROR(CHOOSE(VALUE(E1608)+1,"A","B","C","D"),IF(OR(LEFT(UPPER(TRIM(E1608)),1)="F",UPPER(TRIM(E1608))="A"),"A",IF(OR(LEFT(UPPER(TRIM(E1608)),1)="M",UPPER(TRIM(E1608))="B"),"B",IF(OR(LEFT(UPPER(TRIM(E1608)),2)="SL",UPPER(TRIM(E1608))="C"),"C",IF(OR(LEFT(UPPER(TRIM(E1608)),1)="D",UPPER(TRIM(E1608))="D"),"D","")))))))</f>
        <v/>
      </c>
      <c r="J1608" s="27" t="str">
        <f aca="false">IF(I1608="","",IF(AND(I1608="D",Settings!$B$6&lt;&gt;"Yes"),"",IFERROR(INDEX(Settings!$C$9:$C$12,MATCH(I1608,Settings!$A$9:$A$12,0)),"")))</f>
        <v/>
      </c>
      <c r="K1608" s="27" t="str">
        <f aca="false">IF(J1608="","",COUNTIF($I$2:I1608,I1608))</f>
        <v/>
      </c>
      <c r="L1608" s="27" t="str">
        <f aca="false">IF(J1608="","",CHOOSE(Q1608+1,"Tue","Wed","Thu","Fri"))</f>
        <v/>
      </c>
      <c r="M1608" s="27" t="str">
        <f aca="false">IF(J1608="","",IF(J1608=1,"Every week",R1608+1&amp;" of "&amp;J1608))</f>
        <v/>
      </c>
      <c r="N1608" s="28" t="str">
        <f aca="false">IF(J1608="","",Settings!$B$4+R1608*7+Q1608)</f>
        <v/>
      </c>
      <c r="O1608" s="28" t="str">
        <f aca="true">IF(J1608="","",N1608+MAX(0,ROUNDUP((TODAY()-N1608)/(J1608*7),0))*J1608*7)</f>
        <v/>
      </c>
      <c r="P1608" s="27" t="str">
        <f aca="false">IF(J1608="","",MOD(K1608-1,J1608*4))</f>
        <v/>
      </c>
      <c r="Q1608" s="27" t="str">
        <f aca="false">IF(J1608="","",MOD(P1608,4))</f>
        <v/>
      </c>
      <c r="R1608" s="27" t="str">
        <f aca="false">IF(J1608="","",INT(P1608/4))</f>
        <v/>
      </c>
      <c r="S1608" s="27" t="str">
        <f aca="false">IF(J1608="","",IF(AND('Daily Count Sheet'!$H$3=Q1608,MOD('Daily Count Sheet'!$I$3,J1608)=R1608),1,""))</f>
        <v/>
      </c>
      <c r="T1608" s="27" t="str">
        <f aca="false">IF(S1608=1,COUNTIF($S$2:S1608,1),"")</f>
        <v/>
      </c>
    </row>
    <row r="1609" customFormat="false" ht="15" hidden="false" customHeight="false" outlineLevel="0" collapsed="false">
      <c r="H1609" s="26"/>
      <c r="I1609" s="27" t="str">
        <f aca="false">IF(A1609="","",IF(H1609&lt;&gt;"",UPPER(TRIM(H1609)),IFERROR(CHOOSE(VALUE(E1609)+1,"A","B","C","D"),IF(OR(LEFT(UPPER(TRIM(E1609)),1)="F",UPPER(TRIM(E1609))="A"),"A",IF(OR(LEFT(UPPER(TRIM(E1609)),1)="M",UPPER(TRIM(E1609))="B"),"B",IF(OR(LEFT(UPPER(TRIM(E1609)),2)="SL",UPPER(TRIM(E1609))="C"),"C",IF(OR(LEFT(UPPER(TRIM(E1609)),1)="D",UPPER(TRIM(E1609))="D"),"D","")))))))</f>
        <v/>
      </c>
      <c r="J1609" s="27" t="str">
        <f aca="false">IF(I1609="","",IF(AND(I1609="D",Settings!$B$6&lt;&gt;"Yes"),"",IFERROR(INDEX(Settings!$C$9:$C$12,MATCH(I1609,Settings!$A$9:$A$12,0)),"")))</f>
        <v/>
      </c>
      <c r="K1609" s="27" t="str">
        <f aca="false">IF(J1609="","",COUNTIF($I$2:I1609,I1609))</f>
        <v/>
      </c>
      <c r="L1609" s="27" t="str">
        <f aca="false">IF(J1609="","",CHOOSE(Q1609+1,"Tue","Wed","Thu","Fri"))</f>
        <v/>
      </c>
      <c r="M1609" s="27" t="str">
        <f aca="false">IF(J1609="","",IF(J1609=1,"Every week",R1609+1&amp;" of "&amp;J1609))</f>
        <v/>
      </c>
      <c r="N1609" s="28" t="str">
        <f aca="false">IF(J1609="","",Settings!$B$4+R1609*7+Q1609)</f>
        <v/>
      </c>
      <c r="O1609" s="28" t="str">
        <f aca="true">IF(J1609="","",N1609+MAX(0,ROUNDUP((TODAY()-N1609)/(J1609*7),0))*J1609*7)</f>
        <v/>
      </c>
      <c r="P1609" s="27" t="str">
        <f aca="false">IF(J1609="","",MOD(K1609-1,J1609*4))</f>
        <v/>
      </c>
      <c r="Q1609" s="27" t="str">
        <f aca="false">IF(J1609="","",MOD(P1609,4))</f>
        <v/>
      </c>
      <c r="R1609" s="27" t="str">
        <f aca="false">IF(J1609="","",INT(P1609/4))</f>
        <v/>
      </c>
      <c r="S1609" s="27" t="str">
        <f aca="false">IF(J1609="","",IF(AND('Daily Count Sheet'!$H$3=Q1609,MOD('Daily Count Sheet'!$I$3,J1609)=R1609),1,""))</f>
        <v/>
      </c>
      <c r="T1609" s="27" t="str">
        <f aca="false">IF(S1609=1,COUNTIF($S$2:S1609,1),"")</f>
        <v/>
      </c>
    </row>
    <row r="1610" customFormat="false" ht="15" hidden="false" customHeight="false" outlineLevel="0" collapsed="false">
      <c r="H1610" s="26"/>
      <c r="I1610" s="27" t="str">
        <f aca="false">IF(A1610="","",IF(H1610&lt;&gt;"",UPPER(TRIM(H1610)),IFERROR(CHOOSE(VALUE(E1610)+1,"A","B","C","D"),IF(OR(LEFT(UPPER(TRIM(E1610)),1)="F",UPPER(TRIM(E1610))="A"),"A",IF(OR(LEFT(UPPER(TRIM(E1610)),1)="M",UPPER(TRIM(E1610))="B"),"B",IF(OR(LEFT(UPPER(TRIM(E1610)),2)="SL",UPPER(TRIM(E1610))="C"),"C",IF(OR(LEFT(UPPER(TRIM(E1610)),1)="D",UPPER(TRIM(E1610))="D"),"D","")))))))</f>
        <v/>
      </c>
      <c r="J1610" s="27" t="str">
        <f aca="false">IF(I1610="","",IF(AND(I1610="D",Settings!$B$6&lt;&gt;"Yes"),"",IFERROR(INDEX(Settings!$C$9:$C$12,MATCH(I1610,Settings!$A$9:$A$12,0)),"")))</f>
        <v/>
      </c>
      <c r="K1610" s="27" t="str">
        <f aca="false">IF(J1610="","",COUNTIF($I$2:I1610,I1610))</f>
        <v/>
      </c>
      <c r="L1610" s="27" t="str">
        <f aca="false">IF(J1610="","",CHOOSE(Q1610+1,"Tue","Wed","Thu","Fri"))</f>
        <v/>
      </c>
      <c r="M1610" s="27" t="str">
        <f aca="false">IF(J1610="","",IF(J1610=1,"Every week",R1610+1&amp;" of "&amp;J1610))</f>
        <v/>
      </c>
      <c r="N1610" s="28" t="str">
        <f aca="false">IF(J1610="","",Settings!$B$4+R1610*7+Q1610)</f>
        <v/>
      </c>
      <c r="O1610" s="28" t="str">
        <f aca="true">IF(J1610="","",N1610+MAX(0,ROUNDUP((TODAY()-N1610)/(J1610*7),0))*J1610*7)</f>
        <v/>
      </c>
      <c r="P1610" s="27" t="str">
        <f aca="false">IF(J1610="","",MOD(K1610-1,J1610*4))</f>
        <v/>
      </c>
      <c r="Q1610" s="27" t="str">
        <f aca="false">IF(J1610="","",MOD(P1610,4))</f>
        <v/>
      </c>
      <c r="R1610" s="27" t="str">
        <f aca="false">IF(J1610="","",INT(P1610/4))</f>
        <v/>
      </c>
      <c r="S1610" s="27" t="str">
        <f aca="false">IF(J1610="","",IF(AND('Daily Count Sheet'!$H$3=Q1610,MOD('Daily Count Sheet'!$I$3,J1610)=R1610),1,""))</f>
        <v/>
      </c>
      <c r="T1610" s="27" t="str">
        <f aca="false">IF(S1610=1,COUNTIF($S$2:S1610,1),"")</f>
        <v/>
      </c>
    </row>
    <row r="1611" customFormat="false" ht="15" hidden="false" customHeight="false" outlineLevel="0" collapsed="false">
      <c r="H1611" s="26"/>
      <c r="I1611" s="27" t="str">
        <f aca="false">IF(A1611="","",IF(H1611&lt;&gt;"",UPPER(TRIM(H1611)),IFERROR(CHOOSE(VALUE(E1611)+1,"A","B","C","D"),IF(OR(LEFT(UPPER(TRIM(E1611)),1)="F",UPPER(TRIM(E1611))="A"),"A",IF(OR(LEFT(UPPER(TRIM(E1611)),1)="M",UPPER(TRIM(E1611))="B"),"B",IF(OR(LEFT(UPPER(TRIM(E1611)),2)="SL",UPPER(TRIM(E1611))="C"),"C",IF(OR(LEFT(UPPER(TRIM(E1611)),1)="D",UPPER(TRIM(E1611))="D"),"D","")))))))</f>
        <v/>
      </c>
      <c r="J1611" s="27" t="str">
        <f aca="false">IF(I1611="","",IF(AND(I1611="D",Settings!$B$6&lt;&gt;"Yes"),"",IFERROR(INDEX(Settings!$C$9:$C$12,MATCH(I1611,Settings!$A$9:$A$12,0)),"")))</f>
        <v/>
      </c>
      <c r="K1611" s="27" t="str">
        <f aca="false">IF(J1611="","",COUNTIF($I$2:I1611,I1611))</f>
        <v/>
      </c>
      <c r="L1611" s="27" t="str">
        <f aca="false">IF(J1611="","",CHOOSE(Q1611+1,"Tue","Wed","Thu","Fri"))</f>
        <v/>
      </c>
      <c r="M1611" s="27" t="str">
        <f aca="false">IF(J1611="","",IF(J1611=1,"Every week",R1611+1&amp;" of "&amp;J1611))</f>
        <v/>
      </c>
      <c r="N1611" s="28" t="str">
        <f aca="false">IF(J1611="","",Settings!$B$4+R1611*7+Q1611)</f>
        <v/>
      </c>
      <c r="O1611" s="28" t="str">
        <f aca="true">IF(J1611="","",N1611+MAX(0,ROUNDUP((TODAY()-N1611)/(J1611*7),0))*J1611*7)</f>
        <v/>
      </c>
      <c r="P1611" s="27" t="str">
        <f aca="false">IF(J1611="","",MOD(K1611-1,J1611*4))</f>
        <v/>
      </c>
      <c r="Q1611" s="27" t="str">
        <f aca="false">IF(J1611="","",MOD(P1611,4))</f>
        <v/>
      </c>
      <c r="R1611" s="27" t="str">
        <f aca="false">IF(J1611="","",INT(P1611/4))</f>
        <v/>
      </c>
      <c r="S1611" s="27" t="str">
        <f aca="false">IF(J1611="","",IF(AND('Daily Count Sheet'!$H$3=Q1611,MOD('Daily Count Sheet'!$I$3,J1611)=R1611),1,""))</f>
        <v/>
      </c>
      <c r="T1611" s="27" t="str">
        <f aca="false">IF(S1611=1,COUNTIF($S$2:S1611,1),"")</f>
        <v/>
      </c>
    </row>
    <row r="1612" customFormat="false" ht="15" hidden="false" customHeight="false" outlineLevel="0" collapsed="false">
      <c r="H1612" s="26"/>
      <c r="I1612" s="27" t="str">
        <f aca="false">IF(A1612="","",IF(H1612&lt;&gt;"",UPPER(TRIM(H1612)),IFERROR(CHOOSE(VALUE(E1612)+1,"A","B","C","D"),IF(OR(LEFT(UPPER(TRIM(E1612)),1)="F",UPPER(TRIM(E1612))="A"),"A",IF(OR(LEFT(UPPER(TRIM(E1612)),1)="M",UPPER(TRIM(E1612))="B"),"B",IF(OR(LEFT(UPPER(TRIM(E1612)),2)="SL",UPPER(TRIM(E1612))="C"),"C",IF(OR(LEFT(UPPER(TRIM(E1612)),1)="D",UPPER(TRIM(E1612))="D"),"D","")))))))</f>
        <v/>
      </c>
      <c r="J1612" s="27" t="str">
        <f aca="false">IF(I1612="","",IF(AND(I1612="D",Settings!$B$6&lt;&gt;"Yes"),"",IFERROR(INDEX(Settings!$C$9:$C$12,MATCH(I1612,Settings!$A$9:$A$12,0)),"")))</f>
        <v/>
      </c>
      <c r="K1612" s="27" t="str">
        <f aca="false">IF(J1612="","",COUNTIF($I$2:I1612,I1612))</f>
        <v/>
      </c>
      <c r="L1612" s="27" t="str">
        <f aca="false">IF(J1612="","",CHOOSE(Q1612+1,"Tue","Wed","Thu","Fri"))</f>
        <v/>
      </c>
      <c r="M1612" s="27" t="str">
        <f aca="false">IF(J1612="","",IF(J1612=1,"Every week",R1612+1&amp;" of "&amp;J1612))</f>
        <v/>
      </c>
      <c r="N1612" s="28" t="str">
        <f aca="false">IF(J1612="","",Settings!$B$4+R1612*7+Q1612)</f>
        <v/>
      </c>
      <c r="O1612" s="28" t="str">
        <f aca="true">IF(J1612="","",N1612+MAX(0,ROUNDUP((TODAY()-N1612)/(J1612*7),0))*J1612*7)</f>
        <v/>
      </c>
      <c r="P1612" s="27" t="str">
        <f aca="false">IF(J1612="","",MOD(K1612-1,J1612*4))</f>
        <v/>
      </c>
      <c r="Q1612" s="27" t="str">
        <f aca="false">IF(J1612="","",MOD(P1612,4))</f>
        <v/>
      </c>
      <c r="R1612" s="27" t="str">
        <f aca="false">IF(J1612="","",INT(P1612/4))</f>
        <v/>
      </c>
      <c r="S1612" s="27" t="str">
        <f aca="false">IF(J1612="","",IF(AND('Daily Count Sheet'!$H$3=Q1612,MOD('Daily Count Sheet'!$I$3,J1612)=R1612),1,""))</f>
        <v/>
      </c>
      <c r="T1612" s="27" t="str">
        <f aca="false">IF(S1612=1,COUNTIF($S$2:S1612,1),"")</f>
        <v/>
      </c>
    </row>
    <row r="1613" customFormat="false" ht="15" hidden="false" customHeight="false" outlineLevel="0" collapsed="false">
      <c r="H1613" s="26"/>
      <c r="I1613" s="27" t="str">
        <f aca="false">IF(A1613="","",IF(H1613&lt;&gt;"",UPPER(TRIM(H1613)),IFERROR(CHOOSE(VALUE(E1613)+1,"A","B","C","D"),IF(OR(LEFT(UPPER(TRIM(E1613)),1)="F",UPPER(TRIM(E1613))="A"),"A",IF(OR(LEFT(UPPER(TRIM(E1613)),1)="M",UPPER(TRIM(E1613))="B"),"B",IF(OR(LEFT(UPPER(TRIM(E1613)),2)="SL",UPPER(TRIM(E1613))="C"),"C",IF(OR(LEFT(UPPER(TRIM(E1613)),1)="D",UPPER(TRIM(E1613))="D"),"D","")))))))</f>
        <v/>
      </c>
      <c r="J1613" s="27" t="str">
        <f aca="false">IF(I1613="","",IF(AND(I1613="D",Settings!$B$6&lt;&gt;"Yes"),"",IFERROR(INDEX(Settings!$C$9:$C$12,MATCH(I1613,Settings!$A$9:$A$12,0)),"")))</f>
        <v/>
      </c>
      <c r="K1613" s="27" t="str">
        <f aca="false">IF(J1613="","",COUNTIF($I$2:I1613,I1613))</f>
        <v/>
      </c>
      <c r="L1613" s="27" t="str">
        <f aca="false">IF(J1613="","",CHOOSE(Q1613+1,"Tue","Wed","Thu","Fri"))</f>
        <v/>
      </c>
      <c r="M1613" s="27" t="str">
        <f aca="false">IF(J1613="","",IF(J1613=1,"Every week",R1613+1&amp;" of "&amp;J1613))</f>
        <v/>
      </c>
      <c r="N1613" s="28" t="str">
        <f aca="false">IF(J1613="","",Settings!$B$4+R1613*7+Q1613)</f>
        <v/>
      </c>
      <c r="O1613" s="28" t="str">
        <f aca="true">IF(J1613="","",N1613+MAX(0,ROUNDUP((TODAY()-N1613)/(J1613*7),0))*J1613*7)</f>
        <v/>
      </c>
      <c r="P1613" s="27" t="str">
        <f aca="false">IF(J1613="","",MOD(K1613-1,J1613*4))</f>
        <v/>
      </c>
      <c r="Q1613" s="27" t="str">
        <f aca="false">IF(J1613="","",MOD(P1613,4))</f>
        <v/>
      </c>
      <c r="R1613" s="27" t="str">
        <f aca="false">IF(J1613="","",INT(P1613/4))</f>
        <v/>
      </c>
      <c r="S1613" s="27" t="str">
        <f aca="false">IF(J1613="","",IF(AND('Daily Count Sheet'!$H$3=Q1613,MOD('Daily Count Sheet'!$I$3,J1613)=R1613),1,""))</f>
        <v/>
      </c>
      <c r="T1613" s="27" t="str">
        <f aca="false">IF(S1613=1,COUNTIF($S$2:S1613,1),"")</f>
        <v/>
      </c>
    </row>
    <row r="1614" customFormat="false" ht="15" hidden="false" customHeight="false" outlineLevel="0" collapsed="false">
      <c r="H1614" s="26"/>
      <c r="I1614" s="27" t="str">
        <f aca="false">IF(A1614="","",IF(H1614&lt;&gt;"",UPPER(TRIM(H1614)),IFERROR(CHOOSE(VALUE(E1614)+1,"A","B","C","D"),IF(OR(LEFT(UPPER(TRIM(E1614)),1)="F",UPPER(TRIM(E1614))="A"),"A",IF(OR(LEFT(UPPER(TRIM(E1614)),1)="M",UPPER(TRIM(E1614))="B"),"B",IF(OR(LEFT(UPPER(TRIM(E1614)),2)="SL",UPPER(TRIM(E1614))="C"),"C",IF(OR(LEFT(UPPER(TRIM(E1614)),1)="D",UPPER(TRIM(E1614))="D"),"D","")))))))</f>
        <v/>
      </c>
      <c r="J1614" s="27" t="str">
        <f aca="false">IF(I1614="","",IF(AND(I1614="D",Settings!$B$6&lt;&gt;"Yes"),"",IFERROR(INDEX(Settings!$C$9:$C$12,MATCH(I1614,Settings!$A$9:$A$12,0)),"")))</f>
        <v/>
      </c>
      <c r="K1614" s="27" t="str">
        <f aca="false">IF(J1614="","",COUNTIF($I$2:I1614,I1614))</f>
        <v/>
      </c>
      <c r="L1614" s="27" t="str">
        <f aca="false">IF(J1614="","",CHOOSE(Q1614+1,"Tue","Wed","Thu","Fri"))</f>
        <v/>
      </c>
      <c r="M1614" s="27" t="str">
        <f aca="false">IF(J1614="","",IF(J1614=1,"Every week",R1614+1&amp;" of "&amp;J1614))</f>
        <v/>
      </c>
      <c r="N1614" s="28" t="str">
        <f aca="false">IF(J1614="","",Settings!$B$4+R1614*7+Q1614)</f>
        <v/>
      </c>
      <c r="O1614" s="28" t="str">
        <f aca="true">IF(J1614="","",N1614+MAX(0,ROUNDUP((TODAY()-N1614)/(J1614*7),0))*J1614*7)</f>
        <v/>
      </c>
      <c r="P1614" s="27" t="str">
        <f aca="false">IF(J1614="","",MOD(K1614-1,J1614*4))</f>
        <v/>
      </c>
      <c r="Q1614" s="27" t="str">
        <f aca="false">IF(J1614="","",MOD(P1614,4))</f>
        <v/>
      </c>
      <c r="R1614" s="27" t="str">
        <f aca="false">IF(J1614="","",INT(P1614/4))</f>
        <v/>
      </c>
      <c r="S1614" s="27" t="str">
        <f aca="false">IF(J1614="","",IF(AND('Daily Count Sheet'!$H$3=Q1614,MOD('Daily Count Sheet'!$I$3,J1614)=R1614),1,""))</f>
        <v/>
      </c>
      <c r="T1614" s="27" t="str">
        <f aca="false">IF(S1614=1,COUNTIF($S$2:S1614,1),"")</f>
        <v/>
      </c>
    </row>
    <row r="1615" customFormat="false" ht="15" hidden="false" customHeight="false" outlineLevel="0" collapsed="false">
      <c r="H1615" s="26"/>
      <c r="I1615" s="27" t="str">
        <f aca="false">IF(A1615="","",IF(H1615&lt;&gt;"",UPPER(TRIM(H1615)),IFERROR(CHOOSE(VALUE(E1615)+1,"A","B","C","D"),IF(OR(LEFT(UPPER(TRIM(E1615)),1)="F",UPPER(TRIM(E1615))="A"),"A",IF(OR(LEFT(UPPER(TRIM(E1615)),1)="M",UPPER(TRIM(E1615))="B"),"B",IF(OR(LEFT(UPPER(TRIM(E1615)),2)="SL",UPPER(TRIM(E1615))="C"),"C",IF(OR(LEFT(UPPER(TRIM(E1615)),1)="D",UPPER(TRIM(E1615))="D"),"D","")))))))</f>
        <v/>
      </c>
      <c r="J1615" s="27" t="str">
        <f aca="false">IF(I1615="","",IF(AND(I1615="D",Settings!$B$6&lt;&gt;"Yes"),"",IFERROR(INDEX(Settings!$C$9:$C$12,MATCH(I1615,Settings!$A$9:$A$12,0)),"")))</f>
        <v/>
      </c>
      <c r="K1615" s="27" t="str">
        <f aca="false">IF(J1615="","",COUNTIF($I$2:I1615,I1615))</f>
        <v/>
      </c>
      <c r="L1615" s="27" t="str">
        <f aca="false">IF(J1615="","",CHOOSE(Q1615+1,"Tue","Wed","Thu","Fri"))</f>
        <v/>
      </c>
      <c r="M1615" s="27" t="str">
        <f aca="false">IF(J1615="","",IF(J1615=1,"Every week",R1615+1&amp;" of "&amp;J1615))</f>
        <v/>
      </c>
      <c r="N1615" s="28" t="str">
        <f aca="false">IF(J1615="","",Settings!$B$4+R1615*7+Q1615)</f>
        <v/>
      </c>
      <c r="O1615" s="28" t="str">
        <f aca="true">IF(J1615="","",N1615+MAX(0,ROUNDUP((TODAY()-N1615)/(J1615*7),0))*J1615*7)</f>
        <v/>
      </c>
      <c r="P1615" s="27" t="str">
        <f aca="false">IF(J1615="","",MOD(K1615-1,J1615*4))</f>
        <v/>
      </c>
      <c r="Q1615" s="27" t="str">
        <f aca="false">IF(J1615="","",MOD(P1615,4))</f>
        <v/>
      </c>
      <c r="R1615" s="27" t="str">
        <f aca="false">IF(J1615="","",INT(P1615/4))</f>
        <v/>
      </c>
      <c r="S1615" s="27" t="str">
        <f aca="false">IF(J1615="","",IF(AND('Daily Count Sheet'!$H$3=Q1615,MOD('Daily Count Sheet'!$I$3,J1615)=R1615),1,""))</f>
        <v/>
      </c>
      <c r="T1615" s="27" t="str">
        <f aca="false">IF(S1615=1,COUNTIF($S$2:S1615,1),"")</f>
        <v/>
      </c>
    </row>
    <row r="1616" customFormat="false" ht="15" hidden="false" customHeight="false" outlineLevel="0" collapsed="false">
      <c r="H1616" s="26"/>
      <c r="I1616" s="27" t="str">
        <f aca="false">IF(A1616="","",IF(H1616&lt;&gt;"",UPPER(TRIM(H1616)),IFERROR(CHOOSE(VALUE(E1616)+1,"A","B","C","D"),IF(OR(LEFT(UPPER(TRIM(E1616)),1)="F",UPPER(TRIM(E1616))="A"),"A",IF(OR(LEFT(UPPER(TRIM(E1616)),1)="M",UPPER(TRIM(E1616))="B"),"B",IF(OR(LEFT(UPPER(TRIM(E1616)),2)="SL",UPPER(TRIM(E1616))="C"),"C",IF(OR(LEFT(UPPER(TRIM(E1616)),1)="D",UPPER(TRIM(E1616))="D"),"D","")))))))</f>
        <v/>
      </c>
      <c r="J1616" s="27" t="str">
        <f aca="false">IF(I1616="","",IF(AND(I1616="D",Settings!$B$6&lt;&gt;"Yes"),"",IFERROR(INDEX(Settings!$C$9:$C$12,MATCH(I1616,Settings!$A$9:$A$12,0)),"")))</f>
        <v/>
      </c>
      <c r="K1616" s="27" t="str">
        <f aca="false">IF(J1616="","",COUNTIF($I$2:I1616,I1616))</f>
        <v/>
      </c>
      <c r="L1616" s="27" t="str">
        <f aca="false">IF(J1616="","",CHOOSE(Q1616+1,"Tue","Wed","Thu","Fri"))</f>
        <v/>
      </c>
      <c r="M1616" s="27" t="str">
        <f aca="false">IF(J1616="","",IF(J1616=1,"Every week",R1616+1&amp;" of "&amp;J1616))</f>
        <v/>
      </c>
      <c r="N1616" s="28" t="str">
        <f aca="false">IF(J1616="","",Settings!$B$4+R1616*7+Q1616)</f>
        <v/>
      </c>
      <c r="O1616" s="28" t="str">
        <f aca="true">IF(J1616="","",N1616+MAX(0,ROUNDUP((TODAY()-N1616)/(J1616*7),0))*J1616*7)</f>
        <v/>
      </c>
      <c r="P1616" s="27" t="str">
        <f aca="false">IF(J1616="","",MOD(K1616-1,J1616*4))</f>
        <v/>
      </c>
      <c r="Q1616" s="27" t="str">
        <f aca="false">IF(J1616="","",MOD(P1616,4))</f>
        <v/>
      </c>
      <c r="R1616" s="27" t="str">
        <f aca="false">IF(J1616="","",INT(P1616/4))</f>
        <v/>
      </c>
      <c r="S1616" s="27" t="str">
        <f aca="false">IF(J1616="","",IF(AND('Daily Count Sheet'!$H$3=Q1616,MOD('Daily Count Sheet'!$I$3,J1616)=R1616),1,""))</f>
        <v/>
      </c>
      <c r="T1616" s="27" t="str">
        <f aca="false">IF(S1616=1,COUNTIF($S$2:S1616,1),"")</f>
        <v/>
      </c>
    </row>
    <row r="1617" customFormat="false" ht="15" hidden="false" customHeight="false" outlineLevel="0" collapsed="false">
      <c r="H1617" s="26"/>
      <c r="I1617" s="27" t="str">
        <f aca="false">IF(A1617="","",IF(H1617&lt;&gt;"",UPPER(TRIM(H1617)),IFERROR(CHOOSE(VALUE(E1617)+1,"A","B","C","D"),IF(OR(LEFT(UPPER(TRIM(E1617)),1)="F",UPPER(TRIM(E1617))="A"),"A",IF(OR(LEFT(UPPER(TRIM(E1617)),1)="M",UPPER(TRIM(E1617))="B"),"B",IF(OR(LEFT(UPPER(TRIM(E1617)),2)="SL",UPPER(TRIM(E1617))="C"),"C",IF(OR(LEFT(UPPER(TRIM(E1617)),1)="D",UPPER(TRIM(E1617))="D"),"D","")))))))</f>
        <v/>
      </c>
      <c r="J1617" s="27" t="str">
        <f aca="false">IF(I1617="","",IF(AND(I1617="D",Settings!$B$6&lt;&gt;"Yes"),"",IFERROR(INDEX(Settings!$C$9:$C$12,MATCH(I1617,Settings!$A$9:$A$12,0)),"")))</f>
        <v/>
      </c>
      <c r="K1617" s="27" t="str">
        <f aca="false">IF(J1617="","",COUNTIF($I$2:I1617,I1617))</f>
        <v/>
      </c>
      <c r="L1617" s="27" t="str">
        <f aca="false">IF(J1617="","",CHOOSE(Q1617+1,"Tue","Wed","Thu","Fri"))</f>
        <v/>
      </c>
      <c r="M1617" s="27" t="str">
        <f aca="false">IF(J1617="","",IF(J1617=1,"Every week",R1617+1&amp;" of "&amp;J1617))</f>
        <v/>
      </c>
      <c r="N1617" s="28" t="str">
        <f aca="false">IF(J1617="","",Settings!$B$4+R1617*7+Q1617)</f>
        <v/>
      </c>
      <c r="O1617" s="28" t="str">
        <f aca="true">IF(J1617="","",N1617+MAX(0,ROUNDUP((TODAY()-N1617)/(J1617*7),0))*J1617*7)</f>
        <v/>
      </c>
      <c r="P1617" s="27" t="str">
        <f aca="false">IF(J1617="","",MOD(K1617-1,J1617*4))</f>
        <v/>
      </c>
      <c r="Q1617" s="27" t="str">
        <f aca="false">IF(J1617="","",MOD(P1617,4))</f>
        <v/>
      </c>
      <c r="R1617" s="27" t="str">
        <f aca="false">IF(J1617="","",INT(P1617/4))</f>
        <v/>
      </c>
      <c r="S1617" s="27" t="str">
        <f aca="false">IF(J1617="","",IF(AND('Daily Count Sheet'!$H$3=Q1617,MOD('Daily Count Sheet'!$I$3,J1617)=R1617),1,""))</f>
        <v/>
      </c>
      <c r="T1617" s="27" t="str">
        <f aca="false">IF(S1617=1,COUNTIF($S$2:S1617,1),"")</f>
        <v/>
      </c>
    </row>
    <row r="1618" customFormat="false" ht="15" hidden="false" customHeight="false" outlineLevel="0" collapsed="false">
      <c r="H1618" s="26"/>
      <c r="I1618" s="27" t="str">
        <f aca="false">IF(A1618="","",IF(H1618&lt;&gt;"",UPPER(TRIM(H1618)),IFERROR(CHOOSE(VALUE(E1618)+1,"A","B","C","D"),IF(OR(LEFT(UPPER(TRIM(E1618)),1)="F",UPPER(TRIM(E1618))="A"),"A",IF(OR(LEFT(UPPER(TRIM(E1618)),1)="M",UPPER(TRIM(E1618))="B"),"B",IF(OR(LEFT(UPPER(TRIM(E1618)),2)="SL",UPPER(TRIM(E1618))="C"),"C",IF(OR(LEFT(UPPER(TRIM(E1618)),1)="D",UPPER(TRIM(E1618))="D"),"D","")))))))</f>
        <v/>
      </c>
      <c r="J1618" s="27" t="str">
        <f aca="false">IF(I1618="","",IF(AND(I1618="D",Settings!$B$6&lt;&gt;"Yes"),"",IFERROR(INDEX(Settings!$C$9:$C$12,MATCH(I1618,Settings!$A$9:$A$12,0)),"")))</f>
        <v/>
      </c>
      <c r="K1618" s="27" t="str">
        <f aca="false">IF(J1618="","",COUNTIF($I$2:I1618,I1618))</f>
        <v/>
      </c>
      <c r="L1618" s="27" t="str">
        <f aca="false">IF(J1618="","",CHOOSE(Q1618+1,"Tue","Wed","Thu","Fri"))</f>
        <v/>
      </c>
      <c r="M1618" s="27" t="str">
        <f aca="false">IF(J1618="","",IF(J1618=1,"Every week",R1618+1&amp;" of "&amp;J1618))</f>
        <v/>
      </c>
      <c r="N1618" s="28" t="str">
        <f aca="false">IF(J1618="","",Settings!$B$4+R1618*7+Q1618)</f>
        <v/>
      </c>
      <c r="O1618" s="28" t="str">
        <f aca="true">IF(J1618="","",N1618+MAX(0,ROUNDUP((TODAY()-N1618)/(J1618*7),0))*J1618*7)</f>
        <v/>
      </c>
      <c r="P1618" s="27" t="str">
        <f aca="false">IF(J1618="","",MOD(K1618-1,J1618*4))</f>
        <v/>
      </c>
      <c r="Q1618" s="27" t="str">
        <f aca="false">IF(J1618="","",MOD(P1618,4))</f>
        <v/>
      </c>
      <c r="R1618" s="27" t="str">
        <f aca="false">IF(J1618="","",INT(P1618/4))</f>
        <v/>
      </c>
      <c r="S1618" s="27" t="str">
        <f aca="false">IF(J1618="","",IF(AND('Daily Count Sheet'!$H$3=Q1618,MOD('Daily Count Sheet'!$I$3,J1618)=R1618),1,""))</f>
        <v/>
      </c>
      <c r="T1618" s="27" t="str">
        <f aca="false">IF(S1618=1,COUNTIF($S$2:S1618,1),"")</f>
        <v/>
      </c>
    </row>
    <row r="1619" customFormat="false" ht="15" hidden="false" customHeight="false" outlineLevel="0" collapsed="false">
      <c r="H1619" s="26"/>
      <c r="I1619" s="27" t="str">
        <f aca="false">IF(A1619="","",IF(H1619&lt;&gt;"",UPPER(TRIM(H1619)),IFERROR(CHOOSE(VALUE(E1619)+1,"A","B","C","D"),IF(OR(LEFT(UPPER(TRIM(E1619)),1)="F",UPPER(TRIM(E1619))="A"),"A",IF(OR(LEFT(UPPER(TRIM(E1619)),1)="M",UPPER(TRIM(E1619))="B"),"B",IF(OR(LEFT(UPPER(TRIM(E1619)),2)="SL",UPPER(TRIM(E1619))="C"),"C",IF(OR(LEFT(UPPER(TRIM(E1619)),1)="D",UPPER(TRIM(E1619))="D"),"D","")))))))</f>
        <v/>
      </c>
      <c r="J1619" s="27" t="str">
        <f aca="false">IF(I1619="","",IF(AND(I1619="D",Settings!$B$6&lt;&gt;"Yes"),"",IFERROR(INDEX(Settings!$C$9:$C$12,MATCH(I1619,Settings!$A$9:$A$12,0)),"")))</f>
        <v/>
      </c>
      <c r="K1619" s="27" t="str">
        <f aca="false">IF(J1619="","",COUNTIF($I$2:I1619,I1619))</f>
        <v/>
      </c>
      <c r="L1619" s="27" t="str">
        <f aca="false">IF(J1619="","",CHOOSE(Q1619+1,"Tue","Wed","Thu","Fri"))</f>
        <v/>
      </c>
      <c r="M1619" s="27" t="str">
        <f aca="false">IF(J1619="","",IF(J1619=1,"Every week",R1619+1&amp;" of "&amp;J1619))</f>
        <v/>
      </c>
      <c r="N1619" s="28" t="str">
        <f aca="false">IF(J1619="","",Settings!$B$4+R1619*7+Q1619)</f>
        <v/>
      </c>
      <c r="O1619" s="28" t="str">
        <f aca="true">IF(J1619="","",N1619+MAX(0,ROUNDUP((TODAY()-N1619)/(J1619*7),0))*J1619*7)</f>
        <v/>
      </c>
      <c r="P1619" s="27" t="str">
        <f aca="false">IF(J1619="","",MOD(K1619-1,J1619*4))</f>
        <v/>
      </c>
      <c r="Q1619" s="27" t="str">
        <f aca="false">IF(J1619="","",MOD(P1619,4))</f>
        <v/>
      </c>
      <c r="R1619" s="27" t="str">
        <f aca="false">IF(J1619="","",INT(P1619/4))</f>
        <v/>
      </c>
      <c r="S1619" s="27" t="str">
        <f aca="false">IF(J1619="","",IF(AND('Daily Count Sheet'!$H$3=Q1619,MOD('Daily Count Sheet'!$I$3,J1619)=R1619),1,""))</f>
        <v/>
      </c>
      <c r="T1619" s="27" t="str">
        <f aca="false">IF(S1619=1,COUNTIF($S$2:S1619,1),"")</f>
        <v/>
      </c>
    </row>
    <row r="1620" customFormat="false" ht="15" hidden="false" customHeight="false" outlineLevel="0" collapsed="false">
      <c r="H1620" s="26"/>
      <c r="I1620" s="27" t="str">
        <f aca="false">IF(A1620="","",IF(H1620&lt;&gt;"",UPPER(TRIM(H1620)),IFERROR(CHOOSE(VALUE(E1620)+1,"A","B","C","D"),IF(OR(LEFT(UPPER(TRIM(E1620)),1)="F",UPPER(TRIM(E1620))="A"),"A",IF(OR(LEFT(UPPER(TRIM(E1620)),1)="M",UPPER(TRIM(E1620))="B"),"B",IF(OR(LEFT(UPPER(TRIM(E1620)),2)="SL",UPPER(TRIM(E1620))="C"),"C",IF(OR(LEFT(UPPER(TRIM(E1620)),1)="D",UPPER(TRIM(E1620))="D"),"D","")))))))</f>
        <v/>
      </c>
      <c r="J1620" s="27" t="str">
        <f aca="false">IF(I1620="","",IF(AND(I1620="D",Settings!$B$6&lt;&gt;"Yes"),"",IFERROR(INDEX(Settings!$C$9:$C$12,MATCH(I1620,Settings!$A$9:$A$12,0)),"")))</f>
        <v/>
      </c>
      <c r="K1620" s="27" t="str">
        <f aca="false">IF(J1620="","",COUNTIF($I$2:I1620,I1620))</f>
        <v/>
      </c>
      <c r="L1620" s="27" t="str">
        <f aca="false">IF(J1620="","",CHOOSE(Q1620+1,"Tue","Wed","Thu","Fri"))</f>
        <v/>
      </c>
      <c r="M1620" s="27" t="str">
        <f aca="false">IF(J1620="","",IF(J1620=1,"Every week",R1620+1&amp;" of "&amp;J1620))</f>
        <v/>
      </c>
      <c r="N1620" s="28" t="str">
        <f aca="false">IF(J1620="","",Settings!$B$4+R1620*7+Q1620)</f>
        <v/>
      </c>
      <c r="O1620" s="28" t="str">
        <f aca="true">IF(J1620="","",N1620+MAX(0,ROUNDUP((TODAY()-N1620)/(J1620*7),0))*J1620*7)</f>
        <v/>
      </c>
      <c r="P1620" s="27" t="str">
        <f aca="false">IF(J1620="","",MOD(K1620-1,J1620*4))</f>
        <v/>
      </c>
      <c r="Q1620" s="27" t="str">
        <f aca="false">IF(J1620="","",MOD(P1620,4))</f>
        <v/>
      </c>
      <c r="R1620" s="27" t="str">
        <f aca="false">IF(J1620="","",INT(P1620/4))</f>
        <v/>
      </c>
      <c r="S1620" s="27" t="str">
        <f aca="false">IF(J1620="","",IF(AND('Daily Count Sheet'!$H$3=Q1620,MOD('Daily Count Sheet'!$I$3,J1620)=R1620),1,""))</f>
        <v/>
      </c>
      <c r="T1620" s="27" t="str">
        <f aca="false">IF(S1620=1,COUNTIF($S$2:S1620,1),"")</f>
        <v/>
      </c>
    </row>
    <row r="1621" customFormat="false" ht="15" hidden="false" customHeight="false" outlineLevel="0" collapsed="false">
      <c r="H1621" s="26"/>
      <c r="I1621" s="27" t="str">
        <f aca="false">IF(A1621="","",IF(H1621&lt;&gt;"",UPPER(TRIM(H1621)),IFERROR(CHOOSE(VALUE(E1621)+1,"A","B","C","D"),IF(OR(LEFT(UPPER(TRIM(E1621)),1)="F",UPPER(TRIM(E1621))="A"),"A",IF(OR(LEFT(UPPER(TRIM(E1621)),1)="M",UPPER(TRIM(E1621))="B"),"B",IF(OR(LEFT(UPPER(TRIM(E1621)),2)="SL",UPPER(TRIM(E1621))="C"),"C",IF(OR(LEFT(UPPER(TRIM(E1621)),1)="D",UPPER(TRIM(E1621))="D"),"D","")))))))</f>
        <v/>
      </c>
      <c r="J1621" s="27" t="str">
        <f aca="false">IF(I1621="","",IF(AND(I1621="D",Settings!$B$6&lt;&gt;"Yes"),"",IFERROR(INDEX(Settings!$C$9:$C$12,MATCH(I1621,Settings!$A$9:$A$12,0)),"")))</f>
        <v/>
      </c>
      <c r="K1621" s="27" t="str">
        <f aca="false">IF(J1621="","",COUNTIF($I$2:I1621,I1621))</f>
        <v/>
      </c>
      <c r="L1621" s="27" t="str">
        <f aca="false">IF(J1621="","",CHOOSE(Q1621+1,"Tue","Wed","Thu","Fri"))</f>
        <v/>
      </c>
      <c r="M1621" s="27" t="str">
        <f aca="false">IF(J1621="","",IF(J1621=1,"Every week",R1621+1&amp;" of "&amp;J1621))</f>
        <v/>
      </c>
      <c r="N1621" s="28" t="str">
        <f aca="false">IF(J1621="","",Settings!$B$4+R1621*7+Q1621)</f>
        <v/>
      </c>
      <c r="O1621" s="28" t="str">
        <f aca="true">IF(J1621="","",N1621+MAX(0,ROUNDUP((TODAY()-N1621)/(J1621*7),0))*J1621*7)</f>
        <v/>
      </c>
      <c r="P1621" s="27" t="str">
        <f aca="false">IF(J1621="","",MOD(K1621-1,J1621*4))</f>
        <v/>
      </c>
      <c r="Q1621" s="27" t="str">
        <f aca="false">IF(J1621="","",MOD(P1621,4))</f>
        <v/>
      </c>
      <c r="R1621" s="27" t="str">
        <f aca="false">IF(J1621="","",INT(P1621/4))</f>
        <v/>
      </c>
      <c r="S1621" s="27" t="str">
        <f aca="false">IF(J1621="","",IF(AND('Daily Count Sheet'!$H$3=Q1621,MOD('Daily Count Sheet'!$I$3,J1621)=R1621),1,""))</f>
        <v/>
      </c>
      <c r="T1621" s="27" t="str">
        <f aca="false">IF(S1621=1,COUNTIF($S$2:S1621,1),"")</f>
        <v/>
      </c>
    </row>
    <row r="1622" customFormat="false" ht="15" hidden="false" customHeight="false" outlineLevel="0" collapsed="false">
      <c r="H1622" s="26"/>
      <c r="I1622" s="27" t="str">
        <f aca="false">IF(A1622="","",IF(H1622&lt;&gt;"",UPPER(TRIM(H1622)),IFERROR(CHOOSE(VALUE(E1622)+1,"A","B","C","D"),IF(OR(LEFT(UPPER(TRIM(E1622)),1)="F",UPPER(TRIM(E1622))="A"),"A",IF(OR(LEFT(UPPER(TRIM(E1622)),1)="M",UPPER(TRIM(E1622))="B"),"B",IF(OR(LEFT(UPPER(TRIM(E1622)),2)="SL",UPPER(TRIM(E1622))="C"),"C",IF(OR(LEFT(UPPER(TRIM(E1622)),1)="D",UPPER(TRIM(E1622))="D"),"D","")))))))</f>
        <v/>
      </c>
      <c r="J1622" s="27" t="str">
        <f aca="false">IF(I1622="","",IF(AND(I1622="D",Settings!$B$6&lt;&gt;"Yes"),"",IFERROR(INDEX(Settings!$C$9:$C$12,MATCH(I1622,Settings!$A$9:$A$12,0)),"")))</f>
        <v/>
      </c>
      <c r="K1622" s="27" t="str">
        <f aca="false">IF(J1622="","",COUNTIF($I$2:I1622,I1622))</f>
        <v/>
      </c>
      <c r="L1622" s="27" t="str">
        <f aca="false">IF(J1622="","",CHOOSE(Q1622+1,"Tue","Wed","Thu","Fri"))</f>
        <v/>
      </c>
      <c r="M1622" s="27" t="str">
        <f aca="false">IF(J1622="","",IF(J1622=1,"Every week",R1622+1&amp;" of "&amp;J1622))</f>
        <v/>
      </c>
      <c r="N1622" s="28" t="str">
        <f aca="false">IF(J1622="","",Settings!$B$4+R1622*7+Q1622)</f>
        <v/>
      </c>
      <c r="O1622" s="28" t="str">
        <f aca="true">IF(J1622="","",N1622+MAX(0,ROUNDUP((TODAY()-N1622)/(J1622*7),0))*J1622*7)</f>
        <v/>
      </c>
      <c r="P1622" s="27" t="str">
        <f aca="false">IF(J1622="","",MOD(K1622-1,J1622*4))</f>
        <v/>
      </c>
      <c r="Q1622" s="27" t="str">
        <f aca="false">IF(J1622="","",MOD(P1622,4))</f>
        <v/>
      </c>
      <c r="R1622" s="27" t="str">
        <f aca="false">IF(J1622="","",INT(P1622/4))</f>
        <v/>
      </c>
      <c r="S1622" s="27" t="str">
        <f aca="false">IF(J1622="","",IF(AND('Daily Count Sheet'!$H$3=Q1622,MOD('Daily Count Sheet'!$I$3,J1622)=R1622),1,""))</f>
        <v/>
      </c>
      <c r="T1622" s="27" t="str">
        <f aca="false">IF(S1622=1,COUNTIF($S$2:S1622,1),"")</f>
        <v/>
      </c>
    </row>
    <row r="1623" customFormat="false" ht="15" hidden="false" customHeight="false" outlineLevel="0" collapsed="false">
      <c r="H1623" s="26"/>
      <c r="I1623" s="27" t="str">
        <f aca="false">IF(A1623="","",IF(H1623&lt;&gt;"",UPPER(TRIM(H1623)),IFERROR(CHOOSE(VALUE(E1623)+1,"A","B","C","D"),IF(OR(LEFT(UPPER(TRIM(E1623)),1)="F",UPPER(TRIM(E1623))="A"),"A",IF(OR(LEFT(UPPER(TRIM(E1623)),1)="M",UPPER(TRIM(E1623))="B"),"B",IF(OR(LEFT(UPPER(TRIM(E1623)),2)="SL",UPPER(TRIM(E1623))="C"),"C",IF(OR(LEFT(UPPER(TRIM(E1623)),1)="D",UPPER(TRIM(E1623))="D"),"D","")))))))</f>
        <v/>
      </c>
      <c r="J1623" s="27" t="str">
        <f aca="false">IF(I1623="","",IF(AND(I1623="D",Settings!$B$6&lt;&gt;"Yes"),"",IFERROR(INDEX(Settings!$C$9:$C$12,MATCH(I1623,Settings!$A$9:$A$12,0)),"")))</f>
        <v/>
      </c>
      <c r="K1623" s="27" t="str">
        <f aca="false">IF(J1623="","",COUNTIF($I$2:I1623,I1623))</f>
        <v/>
      </c>
      <c r="L1623" s="27" t="str">
        <f aca="false">IF(J1623="","",CHOOSE(Q1623+1,"Tue","Wed","Thu","Fri"))</f>
        <v/>
      </c>
      <c r="M1623" s="27" t="str">
        <f aca="false">IF(J1623="","",IF(J1623=1,"Every week",R1623+1&amp;" of "&amp;J1623))</f>
        <v/>
      </c>
      <c r="N1623" s="28" t="str">
        <f aca="false">IF(J1623="","",Settings!$B$4+R1623*7+Q1623)</f>
        <v/>
      </c>
      <c r="O1623" s="28" t="str">
        <f aca="true">IF(J1623="","",N1623+MAX(0,ROUNDUP((TODAY()-N1623)/(J1623*7),0))*J1623*7)</f>
        <v/>
      </c>
      <c r="P1623" s="27" t="str">
        <f aca="false">IF(J1623="","",MOD(K1623-1,J1623*4))</f>
        <v/>
      </c>
      <c r="Q1623" s="27" t="str">
        <f aca="false">IF(J1623="","",MOD(P1623,4))</f>
        <v/>
      </c>
      <c r="R1623" s="27" t="str">
        <f aca="false">IF(J1623="","",INT(P1623/4))</f>
        <v/>
      </c>
      <c r="S1623" s="27" t="str">
        <f aca="false">IF(J1623="","",IF(AND('Daily Count Sheet'!$H$3=Q1623,MOD('Daily Count Sheet'!$I$3,J1623)=R1623),1,""))</f>
        <v/>
      </c>
      <c r="T1623" s="27" t="str">
        <f aca="false">IF(S1623=1,COUNTIF($S$2:S1623,1),"")</f>
        <v/>
      </c>
    </row>
    <row r="1624" customFormat="false" ht="15" hidden="false" customHeight="false" outlineLevel="0" collapsed="false">
      <c r="H1624" s="26"/>
      <c r="I1624" s="27" t="str">
        <f aca="false">IF(A1624="","",IF(H1624&lt;&gt;"",UPPER(TRIM(H1624)),IFERROR(CHOOSE(VALUE(E1624)+1,"A","B","C","D"),IF(OR(LEFT(UPPER(TRIM(E1624)),1)="F",UPPER(TRIM(E1624))="A"),"A",IF(OR(LEFT(UPPER(TRIM(E1624)),1)="M",UPPER(TRIM(E1624))="B"),"B",IF(OR(LEFT(UPPER(TRIM(E1624)),2)="SL",UPPER(TRIM(E1624))="C"),"C",IF(OR(LEFT(UPPER(TRIM(E1624)),1)="D",UPPER(TRIM(E1624))="D"),"D","")))))))</f>
        <v/>
      </c>
      <c r="J1624" s="27" t="str">
        <f aca="false">IF(I1624="","",IF(AND(I1624="D",Settings!$B$6&lt;&gt;"Yes"),"",IFERROR(INDEX(Settings!$C$9:$C$12,MATCH(I1624,Settings!$A$9:$A$12,0)),"")))</f>
        <v/>
      </c>
      <c r="K1624" s="27" t="str">
        <f aca="false">IF(J1624="","",COUNTIF($I$2:I1624,I1624))</f>
        <v/>
      </c>
      <c r="L1624" s="27" t="str">
        <f aca="false">IF(J1624="","",CHOOSE(Q1624+1,"Tue","Wed","Thu","Fri"))</f>
        <v/>
      </c>
      <c r="M1624" s="27" t="str">
        <f aca="false">IF(J1624="","",IF(J1624=1,"Every week",R1624+1&amp;" of "&amp;J1624))</f>
        <v/>
      </c>
      <c r="N1624" s="28" t="str">
        <f aca="false">IF(J1624="","",Settings!$B$4+R1624*7+Q1624)</f>
        <v/>
      </c>
      <c r="O1624" s="28" t="str">
        <f aca="true">IF(J1624="","",N1624+MAX(0,ROUNDUP((TODAY()-N1624)/(J1624*7),0))*J1624*7)</f>
        <v/>
      </c>
      <c r="P1624" s="27" t="str">
        <f aca="false">IF(J1624="","",MOD(K1624-1,J1624*4))</f>
        <v/>
      </c>
      <c r="Q1624" s="27" t="str">
        <f aca="false">IF(J1624="","",MOD(P1624,4))</f>
        <v/>
      </c>
      <c r="R1624" s="27" t="str">
        <f aca="false">IF(J1624="","",INT(P1624/4))</f>
        <v/>
      </c>
      <c r="S1624" s="27" t="str">
        <f aca="false">IF(J1624="","",IF(AND('Daily Count Sheet'!$H$3=Q1624,MOD('Daily Count Sheet'!$I$3,J1624)=R1624),1,""))</f>
        <v/>
      </c>
      <c r="T1624" s="27" t="str">
        <f aca="false">IF(S1624=1,COUNTIF($S$2:S1624,1),"")</f>
        <v/>
      </c>
    </row>
    <row r="1625" customFormat="false" ht="15" hidden="false" customHeight="false" outlineLevel="0" collapsed="false">
      <c r="H1625" s="26"/>
      <c r="I1625" s="27" t="str">
        <f aca="false">IF(A1625="","",IF(H1625&lt;&gt;"",UPPER(TRIM(H1625)),IFERROR(CHOOSE(VALUE(E1625)+1,"A","B","C","D"),IF(OR(LEFT(UPPER(TRIM(E1625)),1)="F",UPPER(TRIM(E1625))="A"),"A",IF(OR(LEFT(UPPER(TRIM(E1625)),1)="M",UPPER(TRIM(E1625))="B"),"B",IF(OR(LEFT(UPPER(TRIM(E1625)),2)="SL",UPPER(TRIM(E1625))="C"),"C",IF(OR(LEFT(UPPER(TRIM(E1625)),1)="D",UPPER(TRIM(E1625))="D"),"D","")))))))</f>
        <v/>
      </c>
      <c r="J1625" s="27" t="str">
        <f aca="false">IF(I1625="","",IF(AND(I1625="D",Settings!$B$6&lt;&gt;"Yes"),"",IFERROR(INDEX(Settings!$C$9:$C$12,MATCH(I1625,Settings!$A$9:$A$12,0)),"")))</f>
        <v/>
      </c>
      <c r="K1625" s="27" t="str">
        <f aca="false">IF(J1625="","",COUNTIF($I$2:I1625,I1625))</f>
        <v/>
      </c>
      <c r="L1625" s="27" t="str">
        <f aca="false">IF(J1625="","",CHOOSE(Q1625+1,"Tue","Wed","Thu","Fri"))</f>
        <v/>
      </c>
      <c r="M1625" s="27" t="str">
        <f aca="false">IF(J1625="","",IF(J1625=1,"Every week",R1625+1&amp;" of "&amp;J1625))</f>
        <v/>
      </c>
      <c r="N1625" s="28" t="str">
        <f aca="false">IF(J1625="","",Settings!$B$4+R1625*7+Q1625)</f>
        <v/>
      </c>
      <c r="O1625" s="28" t="str">
        <f aca="true">IF(J1625="","",N1625+MAX(0,ROUNDUP((TODAY()-N1625)/(J1625*7),0))*J1625*7)</f>
        <v/>
      </c>
      <c r="P1625" s="27" t="str">
        <f aca="false">IF(J1625="","",MOD(K1625-1,J1625*4))</f>
        <v/>
      </c>
      <c r="Q1625" s="27" t="str">
        <f aca="false">IF(J1625="","",MOD(P1625,4))</f>
        <v/>
      </c>
      <c r="R1625" s="27" t="str">
        <f aca="false">IF(J1625="","",INT(P1625/4))</f>
        <v/>
      </c>
      <c r="S1625" s="27" t="str">
        <f aca="false">IF(J1625="","",IF(AND('Daily Count Sheet'!$H$3=Q1625,MOD('Daily Count Sheet'!$I$3,J1625)=R1625),1,""))</f>
        <v/>
      </c>
      <c r="T1625" s="27" t="str">
        <f aca="false">IF(S1625=1,COUNTIF($S$2:S1625,1),"")</f>
        <v/>
      </c>
    </row>
    <row r="1626" customFormat="false" ht="15" hidden="false" customHeight="false" outlineLevel="0" collapsed="false">
      <c r="H1626" s="26"/>
      <c r="I1626" s="27" t="str">
        <f aca="false">IF(A1626="","",IF(H1626&lt;&gt;"",UPPER(TRIM(H1626)),IFERROR(CHOOSE(VALUE(E1626)+1,"A","B","C","D"),IF(OR(LEFT(UPPER(TRIM(E1626)),1)="F",UPPER(TRIM(E1626))="A"),"A",IF(OR(LEFT(UPPER(TRIM(E1626)),1)="M",UPPER(TRIM(E1626))="B"),"B",IF(OR(LEFT(UPPER(TRIM(E1626)),2)="SL",UPPER(TRIM(E1626))="C"),"C",IF(OR(LEFT(UPPER(TRIM(E1626)),1)="D",UPPER(TRIM(E1626))="D"),"D","")))))))</f>
        <v/>
      </c>
      <c r="J1626" s="27" t="str">
        <f aca="false">IF(I1626="","",IF(AND(I1626="D",Settings!$B$6&lt;&gt;"Yes"),"",IFERROR(INDEX(Settings!$C$9:$C$12,MATCH(I1626,Settings!$A$9:$A$12,0)),"")))</f>
        <v/>
      </c>
      <c r="K1626" s="27" t="str">
        <f aca="false">IF(J1626="","",COUNTIF($I$2:I1626,I1626))</f>
        <v/>
      </c>
      <c r="L1626" s="27" t="str">
        <f aca="false">IF(J1626="","",CHOOSE(Q1626+1,"Tue","Wed","Thu","Fri"))</f>
        <v/>
      </c>
      <c r="M1626" s="27" t="str">
        <f aca="false">IF(J1626="","",IF(J1626=1,"Every week",R1626+1&amp;" of "&amp;J1626))</f>
        <v/>
      </c>
      <c r="N1626" s="28" t="str">
        <f aca="false">IF(J1626="","",Settings!$B$4+R1626*7+Q1626)</f>
        <v/>
      </c>
      <c r="O1626" s="28" t="str">
        <f aca="true">IF(J1626="","",N1626+MAX(0,ROUNDUP((TODAY()-N1626)/(J1626*7),0))*J1626*7)</f>
        <v/>
      </c>
      <c r="P1626" s="27" t="str">
        <f aca="false">IF(J1626="","",MOD(K1626-1,J1626*4))</f>
        <v/>
      </c>
      <c r="Q1626" s="27" t="str">
        <f aca="false">IF(J1626="","",MOD(P1626,4))</f>
        <v/>
      </c>
      <c r="R1626" s="27" t="str">
        <f aca="false">IF(J1626="","",INT(P1626/4))</f>
        <v/>
      </c>
      <c r="S1626" s="27" t="str">
        <f aca="false">IF(J1626="","",IF(AND('Daily Count Sheet'!$H$3=Q1626,MOD('Daily Count Sheet'!$I$3,J1626)=R1626),1,""))</f>
        <v/>
      </c>
      <c r="T1626" s="27" t="str">
        <f aca="false">IF(S1626=1,COUNTIF($S$2:S1626,1),"")</f>
        <v/>
      </c>
    </row>
    <row r="1627" customFormat="false" ht="15" hidden="false" customHeight="false" outlineLevel="0" collapsed="false">
      <c r="H1627" s="26"/>
      <c r="I1627" s="27" t="str">
        <f aca="false">IF(A1627="","",IF(H1627&lt;&gt;"",UPPER(TRIM(H1627)),IFERROR(CHOOSE(VALUE(E1627)+1,"A","B","C","D"),IF(OR(LEFT(UPPER(TRIM(E1627)),1)="F",UPPER(TRIM(E1627))="A"),"A",IF(OR(LEFT(UPPER(TRIM(E1627)),1)="M",UPPER(TRIM(E1627))="B"),"B",IF(OR(LEFT(UPPER(TRIM(E1627)),2)="SL",UPPER(TRIM(E1627))="C"),"C",IF(OR(LEFT(UPPER(TRIM(E1627)),1)="D",UPPER(TRIM(E1627))="D"),"D","")))))))</f>
        <v/>
      </c>
      <c r="J1627" s="27" t="str">
        <f aca="false">IF(I1627="","",IF(AND(I1627="D",Settings!$B$6&lt;&gt;"Yes"),"",IFERROR(INDEX(Settings!$C$9:$C$12,MATCH(I1627,Settings!$A$9:$A$12,0)),"")))</f>
        <v/>
      </c>
      <c r="K1627" s="27" t="str">
        <f aca="false">IF(J1627="","",COUNTIF($I$2:I1627,I1627))</f>
        <v/>
      </c>
      <c r="L1627" s="27" t="str">
        <f aca="false">IF(J1627="","",CHOOSE(Q1627+1,"Tue","Wed","Thu","Fri"))</f>
        <v/>
      </c>
      <c r="M1627" s="27" t="str">
        <f aca="false">IF(J1627="","",IF(J1627=1,"Every week",R1627+1&amp;" of "&amp;J1627))</f>
        <v/>
      </c>
      <c r="N1627" s="28" t="str">
        <f aca="false">IF(J1627="","",Settings!$B$4+R1627*7+Q1627)</f>
        <v/>
      </c>
      <c r="O1627" s="28" t="str">
        <f aca="true">IF(J1627="","",N1627+MAX(0,ROUNDUP((TODAY()-N1627)/(J1627*7),0))*J1627*7)</f>
        <v/>
      </c>
      <c r="P1627" s="27" t="str">
        <f aca="false">IF(J1627="","",MOD(K1627-1,J1627*4))</f>
        <v/>
      </c>
      <c r="Q1627" s="27" t="str">
        <f aca="false">IF(J1627="","",MOD(P1627,4))</f>
        <v/>
      </c>
      <c r="R1627" s="27" t="str">
        <f aca="false">IF(J1627="","",INT(P1627/4))</f>
        <v/>
      </c>
      <c r="S1627" s="27" t="str">
        <f aca="false">IF(J1627="","",IF(AND('Daily Count Sheet'!$H$3=Q1627,MOD('Daily Count Sheet'!$I$3,J1627)=R1627),1,""))</f>
        <v/>
      </c>
      <c r="T1627" s="27" t="str">
        <f aca="false">IF(S1627=1,COUNTIF($S$2:S1627,1),"")</f>
        <v/>
      </c>
    </row>
    <row r="1628" customFormat="false" ht="15" hidden="false" customHeight="false" outlineLevel="0" collapsed="false">
      <c r="H1628" s="26"/>
      <c r="I1628" s="27" t="str">
        <f aca="false">IF(A1628="","",IF(H1628&lt;&gt;"",UPPER(TRIM(H1628)),IFERROR(CHOOSE(VALUE(E1628)+1,"A","B","C","D"),IF(OR(LEFT(UPPER(TRIM(E1628)),1)="F",UPPER(TRIM(E1628))="A"),"A",IF(OR(LEFT(UPPER(TRIM(E1628)),1)="M",UPPER(TRIM(E1628))="B"),"B",IF(OR(LEFT(UPPER(TRIM(E1628)),2)="SL",UPPER(TRIM(E1628))="C"),"C",IF(OR(LEFT(UPPER(TRIM(E1628)),1)="D",UPPER(TRIM(E1628))="D"),"D","")))))))</f>
        <v/>
      </c>
      <c r="J1628" s="27" t="str">
        <f aca="false">IF(I1628="","",IF(AND(I1628="D",Settings!$B$6&lt;&gt;"Yes"),"",IFERROR(INDEX(Settings!$C$9:$C$12,MATCH(I1628,Settings!$A$9:$A$12,0)),"")))</f>
        <v/>
      </c>
      <c r="K1628" s="27" t="str">
        <f aca="false">IF(J1628="","",COUNTIF($I$2:I1628,I1628))</f>
        <v/>
      </c>
      <c r="L1628" s="27" t="str">
        <f aca="false">IF(J1628="","",CHOOSE(Q1628+1,"Tue","Wed","Thu","Fri"))</f>
        <v/>
      </c>
      <c r="M1628" s="27" t="str">
        <f aca="false">IF(J1628="","",IF(J1628=1,"Every week",R1628+1&amp;" of "&amp;J1628))</f>
        <v/>
      </c>
      <c r="N1628" s="28" t="str">
        <f aca="false">IF(J1628="","",Settings!$B$4+R1628*7+Q1628)</f>
        <v/>
      </c>
      <c r="O1628" s="28" t="str">
        <f aca="true">IF(J1628="","",N1628+MAX(0,ROUNDUP((TODAY()-N1628)/(J1628*7),0))*J1628*7)</f>
        <v/>
      </c>
      <c r="P1628" s="27" t="str">
        <f aca="false">IF(J1628="","",MOD(K1628-1,J1628*4))</f>
        <v/>
      </c>
      <c r="Q1628" s="27" t="str">
        <f aca="false">IF(J1628="","",MOD(P1628,4))</f>
        <v/>
      </c>
      <c r="R1628" s="27" t="str">
        <f aca="false">IF(J1628="","",INT(P1628/4))</f>
        <v/>
      </c>
      <c r="S1628" s="27" t="str">
        <f aca="false">IF(J1628="","",IF(AND('Daily Count Sheet'!$H$3=Q1628,MOD('Daily Count Sheet'!$I$3,J1628)=R1628),1,""))</f>
        <v/>
      </c>
      <c r="T1628" s="27" t="str">
        <f aca="false">IF(S1628=1,COUNTIF($S$2:S1628,1),"")</f>
        <v/>
      </c>
    </row>
    <row r="1629" customFormat="false" ht="15" hidden="false" customHeight="false" outlineLevel="0" collapsed="false">
      <c r="H1629" s="26"/>
      <c r="I1629" s="27" t="str">
        <f aca="false">IF(A1629="","",IF(H1629&lt;&gt;"",UPPER(TRIM(H1629)),IFERROR(CHOOSE(VALUE(E1629)+1,"A","B","C","D"),IF(OR(LEFT(UPPER(TRIM(E1629)),1)="F",UPPER(TRIM(E1629))="A"),"A",IF(OR(LEFT(UPPER(TRIM(E1629)),1)="M",UPPER(TRIM(E1629))="B"),"B",IF(OR(LEFT(UPPER(TRIM(E1629)),2)="SL",UPPER(TRIM(E1629))="C"),"C",IF(OR(LEFT(UPPER(TRIM(E1629)),1)="D",UPPER(TRIM(E1629))="D"),"D","")))))))</f>
        <v/>
      </c>
      <c r="J1629" s="27" t="str">
        <f aca="false">IF(I1629="","",IF(AND(I1629="D",Settings!$B$6&lt;&gt;"Yes"),"",IFERROR(INDEX(Settings!$C$9:$C$12,MATCH(I1629,Settings!$A$9:$A$12,0)),"")))</f>
        <v/>
      </c>
      <c r="K1629" s="27" t="str">
        <f aca="false">IF(J1629="","",COUNTIF($I$2:I1629,I1629))</f>
        <v/>
      </c>
      <c r="L1629" s="27" t="str">
        <f aca="false">IF(J1629="","",CHOOSE(Q1629+1,"Tue","Wed","Thu","Fri"))</f>
        <v/>
      </c>
      <c r="M1629" s="27" t="str">
        <f aca="false">IF(J1629="","",IF(J1629=1,"Every week",R1629+1&amp;" of "&amp;J1629))</f>
        <v/>
      </c>
      <c r="N1629" s="28" t="str">
        <f aca="false">IF(J1629="","",Settings!$B$4+R1629*7+Q1629)</f>
        <v/>
      </c>
      <c r="O1629" s="28" t="str">
        <f aca="true">IF(J1629="","",N1629+MAX(0,ROUNDUP((TODAY()-N1629)/(J1629*7),0))*J1629*7)</f>
        <v/>
      </c>
      <c r="P1629" s="27" t="str">
        <f aca="false">IF(J1629="","",MOD(K1629-1,J1629*4))</f>
        <v/>
      </c>
      <c r="Q1629" s="27" t="str">
        <f aca="false">IF(J1629="","",MOD(P1629,4))</f>
        <v/>
      </c>
      <c r="R1629" s="27" t="str">
        <f aca="false">IF(J1629="","",INT(P1629/4))</f>
        <v/>
      </c>
      <c r="S1629" s="27" t="str">
        <f aca="false">IF(J1629="","",IF(AND('Daily Count Sheet'!$H$3=Q1629,MOD('Daily Count Sheet'!$I$3,J1629)=R1629),1,""))</f>
        <v/>
      </c>
      <c r="T1629" s="27" t="str">
        <f aca="false">IF(S1629=1,COUNTIF($S$2:S1629,1),"")</f>
        <v/>
      </c>
    </row>
    <row r="1630" customFormat="false" ht="15" hidden="false" customHeight="false" outlineLevel="0" collapsed="false">
      <c r="H1630" s="26"/>
      <c r="I1630" s="27" t="str">
        <f aca="false">IF(A1630="","",IF(H1630&lt;&gt;"",UPPER(TRIM(H1630)),IFERROR(CHOOSE(VALUE(E1630)+1,"A","B","C","D"),IF(OR(LEFT(UPPER(TRIM(E1630)),1)="F",UPPER(TRIM(E1630))="A"),"A",IF(OR(LEFT(UPPER(TRIM(E1630)),1)="M",UPPER(TRIM(E1630))="B"),"B",IF(OR(LEFT(UPPER(TRIM(E1630)),2)="SL",UPPER(TRIM(E1630))="C"),"C",IF(OR(LEFT(UPPER(TRIM(E1630)),1)="D",UPPER(TRIM(E1630))="D"),"D","")))))))</f>
        <v/>
      </c>
      <c r="J1630" s="27" t="str">
        <f aca="false">IF(I1630="","",IF(AND(I1630="D",Settings!$B$6&lt;&gt;"Yes"),"",IFERROR(INDEX(Settings!$C$9:$C$12,MATCH(I1630,Settings!$A$9:$A$12,0)),"")))</f>
        <v/>
      </c>
      <c r="K1630" s="27" t="str">
        <f aca="false">IF(J1630="","",COUNTIF($I$2:I1630,I1630))</f>
        <v/>
      </c>
      <c r="L1630" s="27" t="str">
        <f aca="false">IF(J1630="","",CHOOSE(Q1630+1,"Tue","Wed","Thu","Fri"))</f>
        <v/>
      </c>
      <c r="M1630" s="27" t="str">
        <f aca="false">IF(J1630="","",IF(J1630=1,"Every week",R1630+1&amp;" of "&amp;J1630))</f>
        <v/>
      </c>
      <c r="N1630" s="28" t="str">
        <f aca="false">IF(J1630="","",Settings!$B$4+R1630*7+Q1630)</f>
        <v/>
      </c>
      <c r="O1630" s="28" t="str">
        <f aca="true">IF(J1630="","",N1630+MAX(0,ROUNDUP((TODAY()-N1630)/(J1630*7),0))*J1630*7)</f>
        <v/>
      </c>
      <c r="P1630" s="27" t="str">
        <f aca="false">IF(J1630="","",MOD(K1630-1,J1630*4))</f>
        <v/>
      </c>
      <c r="Q1630" s="27" t="str">
        <f aca="false">IF(J1630="","",MOD(P1630,4))</f>
        <v/>
      </c>
      <c r="R1630" s="27" t="str">
        <f aca="false">IF(J1630="","",INT(P1630/4))</f>
        <v/>
      </c>
      <c r="S1630" s="27" t="str">
        <f aca="false">IF(J1630="","",IF(AND('Daily Count Sheet'!$H$3=Q1630,MOD('Daily Count Sheet'!$I$3,J1630)=R1630),1,""))</f>
        <v/>
      </c>
      <c r="T1630" s="27" t="str">
        <f aca="false">IF(S1630=1,COUNTIF($S$2:S1630,1),"")</f>
        <v/>
      </c>
    </row>
    <row r="1631" customFormat="false" ht="15" hidden="false" customHeight="false" outlineLevel="0" collapsed="false">
      <c r="H1631" s="26"/>
      <c r="I1631" s="27" t="str">
        <f aca="false">IF(A1631="","",IF(H1631&lt;&gt;"",UPPER(TRIM(H1631)),IFERROR(CHOOSE(VALUE(E1631)+1,"A","B","C","D"),IF(OR(LEFT(UPPER(TRIM(E1631)),1)="F",UPPER(TRIM(E1631))="A"),"A",IF(OR(LEFT(UPPER(TRIM(E1631)),1)="M",UPPER(TRIM(E1631))="B"),"B",IF(OR(LEFT(UPPER(TRIM(E1631)),2)="SL",UPPER(TRIM(E1631))="C"),"C",IF(OR(LEFT(UPPER(TRIM(E1631)),1)="D",UPPER(TRIM(E1631))="D"),"D","")))))))</f>
        <v/>
      </c>
      <c r="J1631" s="27" t="str">
        <f aca="false">IF(I1631="","",IF(AND(I1631="D",Settings!$B$6&lt;&gt;"Yes"),"",IFERROR(INDEX(Settings!$C$9:$C$12,MATCH(I1631,Settings!$A$9:$A$12,0)),"")))</f>
        <v/>
      </c>
      <c r="K1631" s="27" t="str">
        <f aca="false">IF(J1631="","",COUNTIF($I$2:I1631,I1631))</f>
        <v/>
      </c>
      <c r="L1631" s="27" t="str">
        <f aca="false">IF(J1631="","",CHOOSE(Q1631+1,"Tue","Wed","Thu","Fri"))</f>
        <v/>
      </c>
      <c r="M1631" s="27" t="str">
        <f aca="false">IF(J1631="","",IF(J1631=1,"Every week",R1631+1&amp;" of "&amp;J1631))</f>
        <v/>
      </c>
      <c r="N1631" s="28" t="str">
        <f aca="false">IF(J1631="","",Settings!$B$4+R1631*7+Q1631)</f>
        <v/>
      </c>
      <c r="O1631" s="28" t="str">
        <f aca="true">IF(J1631="","",N1631+MAX(0,ROUNDUP((TODAY()-N1631)/(J1631*7),0))*J1631*7)</f>
        <v/>
      </c>
      <c r="P1631" s="27" t="str">
        <f aca="false">IF(J1631="","",MOD(K1631-1,J1631*4))</f>
        <v/>
      </c>
      <c r="Q1631" s="27" t="str">
        <f aca="false">IF(J1631="","",MOD(P1631,4))</f>
        <v/>
      </c>
      <c r="R1631" s="27" t="str">
        <f aca="false">IF(J1631="","",INT(P1631/4))</f>
        <v/>
      </c>
      <c r="S1631" s="27" t="str">
        <f aca="false">IF(J1631="","",IF(AND('Daily Count Sheet'!$H$3=Q1631,MOD('Daily Count Sheet'!$I$3,J1631)=R1631),1,""))</f>
        <v/>
      </c>
      <c r="T1631" s="27" t="str">
        <f aca="false">IF(S1631=1,COUNTIF($S$2:S1631,1),"")</f>
        <v/>
      </c>
    </row>
    <row r="1632" customFormat="false" ht="15" hidden="false" customHeight="false" outlineLevel="0" collapsed="false">
      <c r="H1632" s="26"/>
      <c r="I1632" s="27" t="str">
        <f aca="false">IF(A1632="","",IF(H1632&lt;&gt;"",UPPER(TRIM(H1632)),IFERROR(CHOOSE(VALUE(E1632)+1,"A","B","C","D"),IF(OR(LEFT(UPPER(TRIM(E1632)),1)="F",UPPER(TRIM(E1632))="A"),"A",IF(OR(LEFT(UPPER(TRIM(E1632)),1)="M",UPPER(TRIM(E1632))="B"),"B",IF(OR(LEFT(UPPER(TRIM(E1632)),2)="SL",UPPER(TRIM(E1632))="C"),"C",IF(OR(LEFT(UPPER(TRIM(E1632)),1)="D",UPPER(TRIM(E1632))="D"),"D","")))))))</f>
        <v/>
      </c>
      <c r="J1632" s="27" t="str">
        <f aca="false">IF(I1632="","",IF(AND(I1632="D",Settings!$B$6&lt;&gt;"Yes"),"",IFERROR(INDEX(Settings!$C$9:$C$12,MATCH(I1632,Settings!$A$9:$A$12,0)),"")))</f>
        <v/>
      </c>
      <c r="K1632" s="27" t="str">
        <f aca="false">IF(J1632="","",COUNTIF($I$2:I1632,I1632))</f>
        <v/>
      </c>
      <c r="L1632" s="27" t="str">
        <f aca="false">IF(J1632="","",CHOOSE(Q1632+1,"Tue","Wed","Thu","Fri"))</f>
        <v/>
      </c>
      <c r="M1632" s="27" t="str">
        <f aca="false">IF(J1632="","",IF(J1632=1,"Every week",R1632+1&amp;" of "&amp;J1632))</f>
        <v/>
      </c>
      <c r="N1632" s="28" t="str">
        <f aca="false">IF(J1632="","",Settings!$B$4+R1632*7+Q1632)</f>
        <v/>
      </c>
      <c r="O1632" s="28" t="str">
        <f aca="true">IF(J1632="","",N1632+MAX(0,ROUNDUP((TODAY()-N1632)/(J1632*7),0))*J1632*7)</f>
        <v/>
      </c>
      <c r="P1632" s="27" t="str">
        <f aca="false">IF(J1632="","",MOD(K1632-1,J1632*4))</f>
        <v/>
      </c>
      <c r="Q1632" s="27" t="str">
        <f aca="false">IF(J1632="","",MOD(P1632,4))</f>
        <v/>
      </c>
      <c r="R1632" s="27" t="str">
        <f aca="false">IF(J1632="","",INT(P1632/4))</f>
        <v/>
      </c>
      <c r="S1632" s="27" t="str">
        <f aca="false">IF(J1632="","",IF(AND('Daily Count Sheet'!$H$3=Q1632,MOD('Daily Count Sheet'!$I$3,J1632)=R1632),1,""))</f>
        <v/>
      </c>
      <c r="T1632" s="27" t="str">
        <f aca="false">IF(S1632=1,COUNTIF($S$2:S1632,1),"")</f>
        <v/>
      </c>
    </row>
    <row r="1633" customFormat="false" ht="15" hidden="false" customHeight="false" outlineLevel="0" collapsed="false">
      <c r="H1633" s="26"/>
      <c r="I1633" s="27" t="str">
        <f aca="false">IF(A1633="","",IF(H1633&lt;&gt;"",UPPER(TRIM(H1633)),IFERROR(CHOOSE(VALUE(E1633)+1,"A","B","C","D"),IF(OR(LEFT(UPPER(TRIM(E1633)),1)="F",UPPER(TRIM(E1633))="A"),"A",IF(OR(LEFT(UPPER(TRIM(E1633)),1)="M",UPPER(TRIM(E1633))="B"),"B",IF(OR(LEFT(UPPER(TRIM(E1633)),2)="SL",UPPER(TRIM(E1633))="C"),"C",IF(OR(LEFT(UPPER(TRIM(E1633)),1)="D",UPPER(TRIM(E1633))="D"),"D","")))))))</f>
        <v/>
      </c>
      <c r="J1633" s="27" t="str">
        <f aca="false">IF(I1633="","",IF(AND(I1633="D",Settings!$B$6&lt;&gt;"Yes"),"",IFERROR(INDEX(Settings!$C$9:$C$12,MATCH(I1633,Settings!$A$9:$A$12,0)),"")))</f>
        <v/>
      </c>
      <c r="K1633" s="27" t="str">
        <f aca="false">IF(J1633="","",COUNTIF($I$2:I1633,I1633))</f>
        <v/>
      </c>
      <c r="L1633" s="27" t="str">
        <f aca="false">IF(J1633="","",CHOOSE(Q1633+1,"Tue","Wed","Thu","Fri"))</f>
        <v/>
      </c>
      <c r="M1633" s="27" t="str">
        <f aca="false">IF(J1633="","",IF(J1633=1,"Every week",R1633+1&amp;" of "&amp;J1633))</f>
        <v/>
      </c>
      <c r="N1633" s="28" t="str">
        <f aca="false">IF(J1633="","",Settings!$B$4+R1633*7+Q1633)</f>
        <v/>
      </c>
      <c r="O1633" s="28" t="str">
        <f aca="true">IF(J1633="","",N1633+MAX(0,ROUNDUP((TODAY()-N1633)/(J1633*7),0))*J1633*7)</f>
        <v/>
      </c>
      <c r="P1633" s="27" t="str">
        <f aca="false">IF(J1633="","",MOD(K1633-1,J1633*4))</f>
        <v/>
      </c>
      <c r="Q1633" s="27" t="str">
        <f aca="false">IF(J1633="","",MOD(P1633,4))</f>
        <v/>
      </c>
      <c r="R1633" s="27" t="str">
        <f aca="false">IF(J1633="","",INT(P1633/4))</f>
        <v/>
      </c>
      <c r="S1633" s="27" t="str">
        <f aca="false">IF(J1633="","",IF(AND('Daily Count Sheet'!$H$3=Q1633,MOD('Daily Count Sheet'!$I$3,J1633)=R1633),1,""))</f>
        <v/>
      </c>
      <c r="T1633" s="27" t="str">
        <f aca="false">IF(S1633=1,COUNTIF($S$2:S1633,1),"")</f>
        <v/>
      </c>
    </row>
    <row r="1634" customFormat="false" ht="15" hidden="false" customHeight="false" outlineLevel="0" collapsed="false">
      <c r="H1634" s="26"/>
      <c r="I1634" s="27" t="str">
        <f aca="false">IF(A1634="","",IF(H1634&lt;&gt;"",UPPER(TRIM(H1634)),IFERROR(CHOOSE(VALUE(E1634)+1,"A","B","C","D"),IF(OR(LEFT(UPPER(TRIM(E1634)),1)="F",UPPER(TRIM(E1634))="A"),"A",IF(OR(LEFT(UPPER(TRIM(E1634)),1)="M",UPPER(TRIM(E1634))="B"),"B",IF(OR(LEFT(UPPER(TRIM(E1634)),2)="SL",UPPER(TRIM(E1634))="C"),"C",IF(OR(LEFT(UPPER(TRIM(E1634)),1)="D",UPPER(TRIM(E1634))="D"),"D","")))))))</f>
        <v/>
      </c>
      <c r="J1634" s="27" t="str">
        <f aca="false">IF(I1634="","",IF(AND(I1634="D",Settings!$B$6&lt;&gt;"Yes"),"",IFERROR(INDEX(Settings!$C$9:$C$12,MATCH(I1634,Settings!$A$9:$A$12,0)),"")))</f>
        <v/>
      </c>
      <c r="K1634" s="27" t="str">
        <f aca="false">IF(J1634="","",COUNTIF($I$2:I1634,I1634))</f>
        <v/>
      </c>
      <c r="L1634" s="27" t="str">
        <f aca="false">IF(J1634="","",CHOOSE(Q1634+1,"Tue","Wed","Thu","Fri"))</f>
        <v/>
      </c>
      <c r="M1634" s="27" t="str">
        <f aca="false">IF(J1634="","",IF(J1634=1,"Every week",R1634+1&amp;" of "&amp;J1634))</f>
        <v/>
      </c>
      <c r="N1634" s="28" t="str">
        <f aca="false">IF(J1634="","",Settings!$B$4+R1634*7+Q1634)</f>
        <v/>
      </c>
      <c r="O1634" s="28" t="str">
        <f aca="true">IF(J1634="","",N1634+MAX(0,ROUNDUP((TODAY()-N1634)/(J1634*7),0))*J1634*7)</f>
        <v/>
      </c>
      <c r="P1634" s="27" t="str">
        <f aca="false">IF(J1634="","",MOD(K1634-1,J1634*4))</f>
        <v/>
      </c>
      <c r="Q1634" s="27" t="str">
        <f aca="false">IF(J1634="","",MOD(P1634,4))</f>
        <v/>
      </c>
      <c r="R1634" s="27" t="str">
        <f aca="false">IF(J1634="","",INT(P1634/4))</f>
        <v/>
      </c>
      <c r="S1634" s="27" t="str">
        <f aca="false">IF(J1634="","",IF(AND('Daily Count Sheet'!$H$3=Q1634,MOD('Daily Count Sheet'!$I$3,J1634)=R1634),1,""))</f>
        <v/>
      </c>
      <c r="T1634" s="27" t="str">
        <f aca="false">IF(S1634=1,COUNTIF($S$2:S1634,1),"")</f>
        <v/>
      </c>
    </row>
    <row r="1635" customFormat="false" ht="15" hidden="false" customHeight="false" outlineLevel="0" collapsed="false">
      <c r="H1635" s="26"/>
      <c r="I1635" s="27" t="str">
        <f aca="false">IF(A1635="","",IF(H1635&lt;&gt;"",UPPER(TRIM(H1635)),IFERROR(CHOOSE(VALUE(E1635)+1,"A","B","C","D"),IF(OR(LEFT(UPPER(TRIM(E1635)),1)="F",UPPER(TRIM(E1635))="A"),"A",IF(OR(LEFT(UPPER(TRIM(E1635)),1)="M",UPPER(TRIM(E1635))="B"),"B",IF(OR(LEFT(UPPER(TRIM(E1635)),2)="SL",UPPER(TRIM(E1635))="C"),"C",IF(OR(LEFT(UPPER(TRIM(E1635)),1)="D",UPPER(TRIM(E1635))="D"),"D","")))))))</f>
        <v/>
      </c>
      <c r="J1635" s="27" t="str">
        <f aca="false">IF(I1635="","",IF(AND(I1635="D",Settings!$B$6&lt;&gt;"Yes"),"",IFERROR(INDEX(Settings!$C$9:$C$12,MATCH(I1635,Settings!$A$9:$A$12,0)),"")))</f>
        <v/>
      </c>
      <c r="K1635" s="27" t="str">
        <f aca="false">IF(J1635="","",COUNTIF($I$2:I1635,I1635))</f>
        <v/>
      </c>
      <c r="L1635" s="27" t="str">
        <f aca="false">IF(J1635="","",CHOOSE(Q1635+1,"Tue","Wed","Thu","Fri"))</f>
        <v/>
      </c>
      <c r="M1635" s="27" t="str">
        <f aca="false">IF(J1635="","",IF(J1635=1,"Every week",R1635+1&amp;" of "&amp;J1635))</f>
        <v/>
      </c>
      <c r="N1635" s="28" t="str">
        <f aca="false">IF(J1635="","",Settings!$B$4+R1635*7+Q1635)</f>
        <v/>
      </c>
      <c r="O1635" s="28" t="str">
        <f aca="true">IF(J1635="","",N1635+MAX(0,ROUNDUP((TODAY()-N1635)/(J1635*7),0))*J1635*7)</f>
        <v/>
      </c>
      <c r="P1635" s="27" t="str">
        <f aca="false">IF(J1635="","",MOD(K1635-1,J1635*4))</f>
        <v/>
      </c>
      <c r="Q1635" s="27" t="str">
        <f aca="false">IF(J1635="","",MOD(P1635,4))</f>
        <v/>
      </c>
      <c r="R1635" s="27" t="str">
        <f aca="false">IF(J1635="","",INT(P1635/4))</f>
        <v/>
      </c>
      <c r="S1635" s="27" t="str">
        <f aca="false">IF(J1635="","",IF(AND('Daily Count Sheet'!$H$3=Q1635,MOD('Daily Count Sheet'!$I$3,J1635)=R1635),1,""))</f>
        <v/>
      </c>
      <c r="T1635" s="27" t="str">
        <f aca="false">IF(S1635=1,COUNTIF($S$2:S1635,1),"")</f>
        <v/>
      </c>
    </row>
    <row r="1636" customFormat="false" ht="15" hidden="false" customHeight="false" outlineLevel="0" collapsed="false">
      <c r="H1636" s="26"/>
      <c r="I1636" s="27" t="str">
        <f aca="false">IF(A1636="","",IF(H1636&lt;&gt;"",UPPER(TRIM(H1636)),IFERROR(CHOOSE(VALUE(E1636)+1,"A","B","C","D"),IF(OR(LEFT(UPPER(TRIM(E1636)),1)="F",UPPER(TRIM(E1636))="A"),"A",IF(OR(LEFT(UPPER(TRIM(E1636)),1)="M",UPPER(TRIM(E1636))="B"),"B",IF(OR(LEFT(UPPER(TRIM(E1636)),2)="SL",UPPER(TRIM(E1636))="C"),"C",IF(OR(LEFT(UPPER(TRIM(E1636)),1)="D",UPPER(TRIM(E1636))="D"),"D","")))))))</f>
        <v/>
      </c>
      <c r="J1636" s="27" t="str">
        <f aca="false">IF(I1636="","",IF(AND(I1636="D",Settings!$B$6&lt;&gt;"Yes"),"",IFERROR(INDEX(Settings!$C$9:$C$12,MATCH(I1636,Settings!$A$9:$A$12,0)),"")))</f>
        <v/>
      </c>
      <c r="K1636" s="27" t="str">
        <f aca="false">IF(J1636="","",COUNTIF($I$2:I1636,I1636))</f>
        <v/>
      </c>
      <c r="L1636" s="27" t="str">
        <f aca="false">IF(J1636="","",CHOOSE(Q1636+1,"Tue","Wed","Thu","Fri"))</f>
        <v/>
      </c>
      <c r="M1636" s="27" t="str">
        <f aca="false">IF(J1636="","",IF(J1636=1,"Every week",R1636+1&amp;" of "&amp;J1636))</f>
        <v/>
      </c>
      <c r="N1636" s="28" t="str">
        <f aca="false">IF(J1636="","",Settings!$B$4+R1636*7+Q1636)</f>
        <v/>
      </c>
      <c r="O1636" s="28" t="str">
        <f aca="true">IF(J1636="","",N1636+MAX(0,ROUNDUP((TODAY()-N1636)/(J1636*7),0))*J1636*7)</f>
        <v/>
      </c>
      <c r="P1636" s="27" t="str">
        <f aca="false">IF(J1636="","",MOD(K1636-1,J1636*4))</f>
        <v/>
      </c>
      <c r="Q1636" s="27" t="str">
        <f aca="false">IF(J1636="","",MOD(P1636,4))</f>
        <v/>
      </c>
      <c r="R1636" s="27" t="str">
        <f aca="false">IF(J1636="","",INT(P1636/4))</f>
        <v/>
      </c>
      <c r="S1636" s="27" t="str">
        <f aca="false">IF(J1636="","",IF(AND('Daily Count Sheet'!$H$3=Q1636,MOD('Daily Count Sheet'!$I$3,J1636)=R1636),1,""))</f>
        <v/>
      </c>
      <c r="T1636" s="27" t="str">
        <f aca="false">IF(S1636=1,COUNTIF($S$2:S1636,1),"")</f>
        <v/>
      </c>
    </row>
    <row r="1637" customFormat="false" ht="15" hidden="false" customHeight="false" outlineLevel="0" collapsed="false">
      <c r="H1637" s="26"/>
      <c r="I1637" s="27" t="str">
        <f aca="false">IF(A1637="","",IF(H1637&lt;&gt;"",UPPER(TRIM(H1637)),IFERROR(CHOOSE(VALUE(E1637)+1,"A","B","C","D"),IF(OR(LEFT(UPPER(TRIM(E1637)),1)="F",UPPER(TRIM(E1637))="A"),"A",IF(OR(LEFT(UPPER(TRIM(E1637)),1)="M",UPPER(TRIM(E1637))="B"),"B",IF(OR(LEFT(UPPER(TRIM(E1637)),2)="SL",UPPER(TRIM(E1637))="C"),"C",IF(OR(LEFT(UPPER(TRIM(E1637)),1)="D",UPPER(TRIM(E1637))="D"),"D","")))))))</f>
        <v/>
      </c>
      <c r="J1637" s="27" t="str">
        <f aca="false">IF(I1637="","",IF(AND(I1637="D",Settings!$B$6&lt;&gt;"Yes"),"",IFERROR(INDEX(Settings!$C$9:$C$12,MATCH(I1637,Settings!$A$9:$A$12,0)),"")))</f>
        <v/>
      </c>
      <c r="K1637" s="27" t="str">
        <f aca="false">IF(J1637="","",COUNTIF($I$2:I1637,I1637))</f>
        <v/>
      </c>
      <c r="L1637" s="27" t="str">
        <f aca="false">IF(J1637="","",CHOOSE(Q1637+1,"Tue","Wed","Thu","Fri"))</f>
        <v/>
      </c>
      <c r="M1637" s="27" t="str">
        <f aca="false">IF(J1637="","",IF(J1637=1,"Every week",R1637+1&amp;" of "&amp;J1637))</f>
        <v/>
      </c>
      <c r="N1637" s="28" t="str">
        <f aca="false">IF(J1637="","",Settings!$B$4+R1637*7+Q1637)</f>
        <v/>
      </c>
      <c r="O1637" s="28" t="str">
        <f aca="true">IF(J1637="","",N1637+MAX(0,ROUNDUP((TODAY()-N1637)/(J1637*7),0))*J1637*7)</f>
        <v/>
      </c>
      <c r="P1637" s="27" t="str">
        <f aca="false">IF(J1637="","",MOD(K1637-1,J1637*4))</f>
        <v/>
      </c>
      <c r="Q1637" s="27" t="str">
        <f aca="false">IF(J1637="","",MOD(P1637,4))</f>
        <v/>
      </c>
      <c r="R1637" s="27" t="str">
        <f aca="false">IF(J1637="","",INT(P1637/4))</f>
        <v/>
      </c>
      <c r="S1637" s="27" t="str">
        <f aca="false">IF(J1637="","",IF(AND('Daily Count Sheet'!$H$3=Q1637,MOD('Daily Count Sheet'!$I$3,J1637)=R1637),1,""))</f>
        <v/>
      </c>
      <c r="T1637" s="27" t="str">
        <f aca="false">IF(S1637=1,COUNTIF($S$2:S1637,1),"")</f>
        <v/>
      </c>
    </row>
    <row r="1638" customFormat="false" ht="15" hidden="false" customHeight="false" outlineLevel="0" collapsed="false">
      <c r="H1638" s="26"/>
      <c r="I1638" s="27" t="str">
        <f aca="false">IF(A1638="","",IF(H1638&lt;&gt;"",UPPER(TRIM(H1638)),IFERROR(CHOOSE(VALUE(E1638)+1,"A","B","C","D"),IF(OR(LEFT(UPPER(TRIM(E1638)),1)="F",UPPER(TRIM(E1638))="A"),"A",IF(OR(LEFT(UPPER(TRIM(E1638)),1)="M",UPPER(TRIM(E1638))="B"),"B",IF(OR(LEFT(UPPER(TRIM(E1638)),2)="SL",UPPER(TRIM(E1638))="C"),"C",IF(OR(LEFT(UPPER(TRIM(E1638)),1)="D",UPPER(TRIM(E1638))="D"),"D","")))))))</f>
        <v/>
      </c>
      <c r="J1638" s="27" t="str">
        <f aca="false">IF(I1638="","",IF(AND(I1638="D",Settings!$B$6&lt;&gt;"Yes"),"",IFERROR(INDEX(Settings!$C$9:$C$12,MATCH(I1638,Settings!$A$9:$A$12,0)),"")))</f>
        <v/>
      </c>
      <c r="K1638" s="27" t="str">
        <f aca="false">IF(J1638="","",COUNTIF($I$2:I1638,I1638))</f>
        <v/>
      </c>
      <c r="L1638" s="27" t="str">
        <f aca="false">IF(J1638="","",CHOOSE(Q1638+1,"Tue","Wed","Thu","Fri"))</f>
        <v/>
      </c>
      <c r="M1638" s="27" t="str">
        <f aca="false">IF(J1638="","",IF(J1638=1,"Every week",R1638+1&amp;" of "&amp;J1638))</f>
        <v/>
      </c>
      <c r="N1638" s="28" t="str">
        <f aca="false">IF(J1638="","",Settings!$B$4+R1638*7+Q1638)</f>
        <v/>
      </c>
      <c r="O1638" s="28" t="str">
        <f aca="true">IF(J1638="","",N1638+MAX(0,ROUNDUP((TODAY()-N1638)/(J1638*7),0))*J1638*7)</f>
        <v/>
      </c>
      <c r="P1638" s="27" t="str">
        <f aca="false">IF(J1638="","",MOD(K1638-1,J1638*4))</f>
        <v/>
      </c>
      <c r="Q1638" s="27" t="str">
        <f aca="false">IF(J1638="","",MOD(P1638,4))</f>
        <v/>
      </c>
      <c r="R1638" s="27" t="str">
        <f aca="false">IF(J1638="","",INT(P1638/4))</f>
        <v/>
      </c>
      <c r="S1638" s="27" t="str">
        <f aca="false">IF(J1638="","",IF(AND('Daily Count Sheet'!$H$3=Q1638,MOD('Daily Count Sheet'!$I$3,J1638)=R1638),1,""))</f>
        <v/>
      </c>
      <c r="T1638" s="27" t="str">
        <f aca="false">IF(S1638=1,COUNTIF($S$2:S1638,1),"")</f>
        <v/>
      </c>
    </row>
    <row r="1639" customFormat="false" ht="15" hidden="false" customHeight="false" outlineLevel="0" collapsed="false">
      <c r="H1639" s="26"/>
      <c r="I1639" s="27" t="str">
        <f aca="false">IF(A1639="","",IF(H1639&lt;&gt;"",UPPER(TRIM(H1639)),IFERROR(CHOOSE(VALUE(E1639)+1,"A","B","C","D"),IF(OR(LEFT(UPPER(TRIM(E1639)),1)="F",UPPER(TRIM(E1639))="A"),"A",IF(OR(LEFT(UPPER(TRIM(E1639)),1)="M",UPPER(TRIM(E1639))="B"),"B",IF(OR(LEFT(UPPER(TRIM(E1639)),2)="SL",UPPER(TRIM(E1639))="C"),"C",IF(OR(LEFT(UPPER(TRIM(E1639)),1)="D",UPPER(TRIM(E1639))="D"),"D","")))))))</f>
        <v/>
      </c>
      <c r="J1639" s="27" t="str">
        <f aca="false">IF(I1639="","",IF(AND(I1639="D",Settings!$B$6&lt;&gt;"Yes"),"",IFERROR(INDEX(Settings!$C$9:$C$12,MATCH(I1639,Settings!$A$9:$A$12,0)),"")))</f>
        <v/>
      </c>
      <c r="K1639" s="27" t="str">
        <f aca="false">IF(J1639="","",COUNTIF($I$2:I1639,I1639))</f>
        <v/>
      </c>
      <c r="L1639" s="27" t="str">
        <f aca="false">IF(J1639="","",CHOOSE(Q1639+1,"Tue","Wed","Thu","Fri"))</f>
        <v/>
      </c>
      <c r="M1639" s="27" t="str">
        <f aca="false">IF(J1639="","",IF(J1639=1,"Every week",R1639+1&amp;" of "&amp;J1639))</f>
        <v/>
      </c>
      <c r="N1639" s="28" t="str">
        <f aca="false">IF(J1639="","",Settings!$B$4+R1639*7+Q1639)</f>
        <v/>
      </c>
      <c r="O1639" s="28" t="str">
        <f aca="true">IF(J1639="","",N1639+MAX(0,ROUNDUP((TODAY()-N1639)/(J1639*7),0))*J1639*7)</f>
        <v/>
      </c>
      <c r="P1639" s="27" t="str">
        <f aca="false">IF(J1639="","",MOD(K1639-1,J1639*4))</f>
        <v/>
      </c>
      <c r="Q1639" s="27" t="str">
        <f aca="false">IF(J1639="","",MOD(P1639,4))</f>
        <v/>
      </c>
      <c r="R1639" s="27" t="str">
        <f aca="false">IF(J1639="","",INT(P1639/4))</f>
        <v/>
      </c>
      <c r="S1639" s="27" t="str">
        <f aca="false">IF(J1639="","",IF(AND('Daily Count Sheet'!$H$3=Q1639,MOD('Daily Count Sheet'!$I$3,J1639)=R1639),1,""))</f>
        <v/>
      </c>
      <c r="T1639" s="27" t="str">
        <f aca="false">IF(S1639=1,COUNTIF($S$2:S1639,1),"")</f>
        <v/>
      </c>
    </row>
    <row r="1640" customFormat="false" ht="15" hidden="false" customHeight="false" outlineLevel="0" collapsed="false">
      <c r="H1640" s="26"/>
      <c r="I1640" s="27" t="str">
        <f aca="false">IF(A1640="","",IF(H1640&lt;&gt;"",UPPER(TRIM(H1640)),IFERROR(CHOOSE(VALUE(E1640)+1,"A","B","C","D"),IF(OR(LEFT(UPPER(TRIM(E1640)),1)="F",UPPER(TRIM(E1640))="A"),"A",IF(OR(LEFT(UPPER(TRIM(E1640)),1)="M",UPPER(TRIM(E1640))="B"),"B",IF(OR(LEFT(UPPER(TRIM(E1640)),2)="SL",UPPER(TRIM(E1640))="C"),"C",IF(OR(LEFT(UPPER(TRIM(E1640)),1)="D",UPPER(TRIM(E1640))="D"),"D","")))))))</f>
        <v/>
      </c>
      <c r="J1640" s="27" t="str">
        <f aca="false">IF(I1640="","",IF(AND(I1640="D",Settings!$B$6&lt;&gt;"Yes"),"",IFERROR(INDEX(Settings!$C$9:$C$12,MATCH(I1640,Settings!$A$9:$A$12,0)),"")))</f>
        <v/>
      </c>
      <c r="K1640" s="27" t="str">
        <f aca="false">IF(J1640="","",COUNTIF($I$2:I1640,I1640))</f>
        <v/>
      </c>
      <c r="L1640" s="27" t="str">
        <f aca="false">IF(J1640="","",CHOOSE(Q1640+1,"Tue","Wed","Thu","Fri"))</f>
        <v/>
      </c>
      <c r="M1640" s="27" t="str">
        <f aca="false">IF(J1640="","",IF(J1640=1,"Every week",R1640+1&amp;" of "&amp;J1640))</f>
        <v/>
      </c>
      <c r="N1640" s="28" t="str">
        <f aca="false">IF(J1640="","",Settings!$B$4+R1640*7+Q1640)</f>
        <v/>
      </c>
      <c r="O1640" s="28" t="str">
        <f aca="true">IF(J1640="","",N1640+MAX(0,ROUNDUP((TODAY()-N1640)/(J1640*7),0))*J1640*7)</f>
        <v/>
      </c>
      <c r="P1640" s="27" t="str">
        <f aca="false">IF(J1640="","",MOD(K1640-1,J1640*4))</f>
        <v/>
      </c>
      <c r="Q1640" s="27" t="str">
        <f aca="false">IF(J1640="","",MOD(P1640,4))</f>
        <v/>
      </c>
      <c r="R1640" s="27" t="str">
        <f aca="false">IF(J1640="","",INT(P1640/4))</f>
        <v/>
      </c>
      <c r="S1640" s="27" t="str">
        <f aca="false">IF(J1640="","",IF(AND('Daily Count Sheet'!$H$3=Q1640,MOD('Daily Count Sheet'!$I$3,J1640)=R1640),1,""))</f>
        <v/>
      </c>
      <c r="T1640" s="27" t="str">
        <f aca="false">IF(S1640=1,COUNTIF($S$2:S1640,1),"")</f>
        <v/>
      </c>
    </row>
    <row r="1641" customFormat="false" ht="15" hidden="false" customHeight="false" outlineLevel="0" collapsed="false">
      <c r="H1641" s="26"/>
      <c r="I1641" s="27" t="str">
        <f aca="false">IF(A1641="","",IF(H1641&lt;&gt;"",UPPER(TRIM(H1641)),IFERROR(CHOOSE(VALUE(E1641)+1,"A","B","C","D"),IF(OR(LEFT(UPPER(TRIM(E1641)),1)="F",UPPER(TRIM(E1641))="A"),"A",IF(OR(LEFT(UPPER(TRIM(E1641)),1)="M",UPPER(TRIM(E1641))="B"),"B",IF(OR(LEFT(UPPER(TRIM(E1641)),2)="SL",UPPER(TRIM(E1641))="C"),"C",IF(OR(LEFT(UPPER(TRIM(E1641)),1)="D",UPPER(TRIM(E1641))="D"),"D","")))))))</f>
        <v/>
      </c>
      <c r="J1641" s="27" t="str">
        <f aca="false">IF(I1641="","",IF(AND(I1641="D",Settings!$B$6&lt;&gt;"Yes"),"",IFERROR(INDEX(Settings!$C$9:$C$12,MATCH(I1641,Settings!$A$9:$A$12,0)),"")))</f>
        <v/>
      </c>
      <c r="K1641" s="27" t="str">
        <f aca="false">IF(J1641="","",COUNTIF($I$2:I1641,I1641))</f>
        <v/>
      </c>
      <c r="L1641" s="27" t="str">
        <f aca="false">IF(J1641="","",CHOOSE(Q1641+1,"Tue","Wed","Thu","Fri"))</f>
        <v/>
      </c>
      <c r="M1641" s="27" t="str">
        <f aca="false">IF(J1641="","",IF(J1641=1,"Every week",R1641+1&amp;" of "&amp;J1641))</f>
        <v/>
      </c>
      <c r="N1641" s="28" t="str">
        <f aca="false">IF(J1641="","",Settings!$B$4+R1641*7+Q1641)</f>
        <v/>
      </c>
      <c r="O1641" s="28" t="str">
        <f aca="true">IF(J1641="","",N1641+MAX(0,ROUNDUP((TODAY()-N1641)/(J1641*7),0))*J1641*7)</f>
        <v/>
      </c>
      <c r="P1641" s="27" t="str">
        <f aca="false">IF(J1641="","",MOD(K1641-1,J1641*4))</f>
        <v/>
      </c>
      <c r="Q1641" s="27" t="str">
        <f aca="false">IF(J1641="","",MOD(P1641,4))</f>
        <v/>
      </c>
      <c r="R1641" s="27" t="str">
        <f aca="false">IF(J1641="","",INT(P1641/4))</f>
        <v/>
      </c>
      <c r="S1641" s="27" t="str">
        <f aca="false">IF(J1641="","",IF(AND('Daily Count Sheet'!$H$3=Q1641,MOD('Daily Count Sheet'!$I$3,J1641)=R1641),1,""))</f>
        <v/>
      </c>
      <c r="T1641" s="27" t="str">
        <f aca="false">IF(S1641=1,COUNTIF($S$2:S1641,1),"")</f>
        <v/>
      </c>
    </row>
    <row r="1642" customFormat="false" ht="15" hidden="false" customHeight="false" outlineLevel="0" collapsed="false">
      <c r="H1642" s="26"/>
      <c r="I1642" s="27" t="str">
        <f aca="false">IF(A1642="","",IF(H1642&lt;&gt;"",UPPER(TRIM(H1642)),IFERROR(CHOOSE(VALUE(E1642)+1,"A","B","C","D"),IF(OR(LEFT(UPPER(TRIM(E1642)),1)="F",UPPER(TRIM(E1642))="A"),"A",IF(OR(LEFT(UPPER(TRIM(E1642)),1)="M",UPPER(TRIM(E1642))="B"),"B",IF(OR(LEFT(UPPER(TRIM(E1642)),2)="SL",UPPER(TRIM(E1642))="C"),"C",IF(OR(LEFT(UPPER(TRIM(E1642)),1)="D",UPPER(TRIM(E1642))="D"),"D","")))))))</f>
        <v/>
      </c>
      <c r="J1642" s="27" t="str">
        <f aca="false">IF(I1642="","",IF(AND(I1642="D",Settings!$B$6&lt;&gt;"Yes"),"",IFERROR(INDEX(Settings!$C$9:$C$12,MATCH(I1642,Settings!$A$9:$A$12,0)),"")))</f>
        <v/>
      </c>
      <c r="K1642" s="27" t="str">
        <f aca="false">IF(J1642="","",COUNTIF($I$2:I1642,I1642))</f>
        <v/>
      </c>
      <c r="L1642" s="27" t="str">
        <f aca="false">IF(J1642="","",CHOOSE(Q1642+1,"Tue","Wed","Thu","Fri"))</f>
        <v/>
      </c>
      <c r="M1642" s="27" t="str">
        <f aca="false">IF(J1642="","",IF(J1642=1,"Every week",R1642+1&amp;" of "&amp;J1642))</f>
        <v/>
      </c>
      <c r="N1642" s="28" t="str">
        <f aca="false">IF(J1642="","",Settings!$B$4+R1642*7+Q1642)</f>
        <v/>
      </c>
      <c r="O1642" s="28" t="str">
        <f aca="true">IF(J1642="","",N1642+MAX(0,ROUNDUP((TODAY()-N1642)/(J1642*7),0))*J1642*7)</f>
        <v/>
      </c>
      <c r="P1642" s="27" t="str">
        <f aca="false">IF(J1642="","",MOD(K1642-1,J1642*4))</f>
        <v/>
      </c>
      <c r="Q1642" s="27" t="str">
        <f aca="false">IF(J1642="","",MOD(P1642,4))</f>
        <v/>
      </c>
      <c r="R1642" s="27" t="str">
        <f aca="false">IF(J1642="","",INT(P1642/4))</f>
        <v/>
      </c>
      <c r="S1642" s="27" t="str">
        <f aca="false">IF(J1642="","",IF(AND('Daily Count Sheet'!$H$3=Q1642,MOD('Daily Count Sheet'!$I$3,J1642)=R1642),1,""))</f>
        <v/>
      </c>
      <c r="T1642" s="27" t="str">
        <f aca="false">IF(S1642=1,COUNTIF($S$2:S1642,1),"")</f>
        <v/>
      </c>
    </row>
    <row r="1643" customFormat="false" ht="15" hidden="false" customHeight="false" outlineLevel="0" collapsed="false">
      <c r="H1643" s="26"/>
      <c r="I1643" s="27" t="str">
        <f aca="false">IF(A1643="","",IF(H1643&lt;&gt;"",UPPER(TRIM(H1643)),IFERROR(CHOOSE(VALUE(E1643)+1,"A","B","C","D"),IF(OR(LEFT(UPPER(TRIM(E1643)),1)="F",UPPER(TRIM(E1643))="A"),"A",IF(OR(LEFT(UPPER(TRIM(E1643)),1)="M",UPPER(TRIM(E1643))="B"),"B",IF(OR(LEFT(UPPER(TRIM(E1643)),2)="SL",UPPER(TRIM(E1643))="C"),"C",IF(OR(LEFT(UPPER(TRIM(E1643)),1)="D",UPPER(TRIM(E1643))="D"),"D","")))))))</f>
        <v/>
      </c>
      <c r="J1643" s="27" t="str">
        <f aca="false">IF(I1643="","",IF(AND(I1643="D",Settings!$B$6&lt;&gt;"Yes"),"",IFERROR(INDEX(Settings!$C$9:$C$12,MATCH(I1643,Settings!$A$9:$A$12,0)),"")))</f>
        <v/>
      </c>
      <c r="K1643" s="27" t="str">
        <f aca="false">IF(J1643="","",COUNTIF($I$2:I1643,I1643))</f>
        <v/>
      </c>
      <c r="L1643" s="27" t="str">
        <f aca="false">IF(J1643="","",CHOOSE(Q1643+1,"Tue","Wed","Thu","Fri"))</f>
        <v/>
      </c>
      <c r="M1643" s="27" t="str">
        <f aca="false">IF(J1643="","",IF(J1643=1,"Every week",R1643+1&amp;" of "&amp;J1643))</f>
        <v/>
      </c>
      <c r="N1643" s="28" t="str">
        <f aca="false">IF(J1643="","",Settings!$B$4+R1643*7+Q1643)</f>
        <v/>
      </c>
      <c r="O1643" s="28" t="str">
        <f aca="true">IF(J1643="","",N1643+MAX(0,ROUNDUP((TODAY()-N1643)/(J1643*7),0))*J1643*7)</f>
        <v/>
      </c>
      <c r="P1643" s="27" t="str">
        <f aca="false">IF(J1643="","",MOD(K1643-1,J1643*4))</f>
        <v/>
      </c>
      <c r="Q1643" s="27" t="str">
        <f aca="false">IF(J1643="","",MOD(P1643,4))</f>
        <v/>
      </c>
      <c r="R1643" s="27" t="str">
        <f aca="false">IF(J1643="","",INT(P1643/4))</f>
        <v/>
      </c>
      <c r="S1643" s="27" t="str">
        <f aca="false">IF(J1643="","",IF(AND('Daily Count Sheet'!$H$3=Q1643,MOD('Daily Count Sheet'!$I$3,J1643)=R1643),1,""))</f>
        <v/>
      </c>
      <c r="T1643" s="27" t="str">
        <f aca="false">IF(S1643=1,COUNTIF($S$2:S1643,1),"")</f>
        <v/>
      </c>
    </row>
    <row r="1644" customFormat="false" ht="15" hidden="false" customHeight="false" outlineLevel="0" collapsed="false">
      <c r="H1644" s="26"/>
      <c r="I1644" s="27" t="str">
        <f aca="false">IF(A1644="","",IF(H1644&lt;&gt;"",UPPER(TRIM(H1644)),IFERROR(CHOOSE(VALUE(E1644)+1,"A","B","C","D"),IF(OR(LEFT(UPPER(TRIM(E1644)),1)="F",UPPER(TRIM(E1644))="A"),"A",IF(OR(LEFT(UPPER(TRIM(E1644)),1)="M",UPPER(TRIM(E1644))="B"),"B",IF(OR(LEFT(UPPER(TRIM(E1644)),2)="SL",UPPER(TRIM(E1644))="C"),"C",IF(OR(LEFT(UPPER(TRIM(E1644)),1)="D",UPPER(TRIM(E1644))="D"),"D","")))))))</f>
        <v/>
      </c>
      <c r="J1644" s="27" t="str">
        <f aca="false">IF(I1644="","",IF(AND(I1644="D",Settings!$B$6&lt;&gt;"Yes"),"",IFERROR(INDEX(Settings!$C$9:$C$12,MATCH(I1644,Settings!$A$9:$A$12,0)),"")))</f>
        <v/>
      </c>
      <c r="K1644" s="27" t="str">
        <f aca="false">IF(J1644="","",COUNTIF($I$2:I1644,I1644))</f>
        <v/>
      </c>
      <c r="L1644" s="27" t="str">
        <f aca="false">IF(J1644="","",CHOOSE(Q1644+1,"Tue","Wed","Thu","Fri"))</f>
        <v/>
      </c>
      <c r="M1644" s="27" t="str">
        <f aca="false">IF(J1644="","",IF(J1644=1,"Every week",R1644+1&amp;" of "&amp;J1644))</f>
        <v/>
      </c>
      <c r="N1644" s="28" t="str">
        <f aca="false">IF(J1644="","",Settings!$B$4+R1644*7+Q1644)</f>
        <v/>
      </c>
      <c r="O1644" s="28" t="str">
        <f aca="true">IF(J1644="","",N1644+MAX(0,ROUNDUP((TODAY()-N1644)/(J1644*7),0))*J1644*7)</f>
        <v/>
      </c>
      <c r="P1644" s="27" t="str">
        <f aca="false">IF(J1644="","",MOD(K1644-1,J1644*4))</f>
        <v/>
      </c>
      <c r="Q1644" s="27" t="str">
        <f aca="false">IF(J1644="","",MOD(P1644,4))</f>
        <v/>
      </c>
      <c r="R1644" s="27" t="str">
        <f aca="false">IF(J1644="","",INT(P1644/4))</f>
        <v/>
      </c>
      <c r="S1644" s="27" t="str">
        <f aca="false">IF(J1644="","",IF(AND('Daily Count Sheet'!$H$3=Q1644,MOD('Daily Count Sheet'!$I$3,J1644)=R1644),1,""))</f>
        <v/>
      </c>
      <c r="T1644" s="27" t="str">
        <f aca="false">IF(S1644=1,COUNTIF($S$2:S1644,1),"")</f>
        <v/>
      </c>
    </row>
    <row r="1645" customFormat="false" ht="15" hidden="false" customHeight="false" outlineLevel="0" collapsed="false">
      <c r="H1645" s="26"/>
      <c r="I1645" s="27" t="str">
        <f aca="false">IF(A1645="","",IF(H1645&lt;&gt;"",UPPER(TRIM(H1645)),IFERROR(CHOOSE(VALUE(E1645)+1,"A","B","C","D"),IF(OR(LEFT(UPPER(TRIM(E1645)),1)="F",UPPER(TRIM(E1645))="A"),"A",IF(OR(LEFT(UPPER(TRIM(E1645)),1)="M",UPPER(TRIM(E1645))="B"),"B",IF(OR(LEFT(UPPER(TRIM(E1645)),2)="SL",UPPER(TRIM(E1645))="C"),"C",IF(OR(LEFT(UPPER(TRIM(E1645)),1)="D",UPPER(TRIM(E1645))="D"),"D","")))))))</f>
        <v/>
      </c>
      <c r="J1645" s="27" t="str">
        <f aca="false">IF(I1645="","",IF(AND(I1645="D",Settings!$B$6&lt;&gt;"Yes"),"",IFERROR(INDEX(Settings!$C$9:$C$12,MATCH(I1645,Settings!$A$9:$A$12,0)),"")))</f>
        <v/>
      </c>
      <c r="K1645" s="27" t="str">
        <f aca="false">IF(J1645="","",COUNTIF($I$2:I1645,I1645))</f>
        <v/>
      </c>
      <c r="L1645" s="27" t="str">
        <f aca="false">IF(J1645="","",CHOOSE(Q1645+1,"Tue","Wed","Thu","Fri"))</f>
        <v/>
      </c>
      <c r="M1645" s="27" t="str">
        <f aca="false">IF(J1645="","",IF(J1645=1,"Every week",R1645+1&amp;" of "&amp;J1645))</f>
        <v/>
      </c>
      <c r="N1645" s="28" t="str">
        <f aca="false">IF(J1645="","",Settings!$B$4+R1645*7+Q1645)</f>
        <v/>
      </c>
      <c r="O1645" s="28" t="str">
        <f aca="true">IF(J1645="","",N1645+MAX(0,ROUNDUP((TODAY()-N1645)/(J1645*7),0))*J1645*7)</f>
        <v/>
      </c>
      <c r="P1645" s="27" t="str">
        <f aca="false">IF(J1645="","",MOD(K1645-1,J1645*4))</f>
        <v/>
      </c>
      <c r="Q1645" s="27" t="str">
        <f aca="false">IF(J1645="","",MOD(P1645,4))</f>
        <v/>
      </c>
      <c r="R1645" s="27" t="str">
        <f aca="false">IF(J1645="","",INT(P1645/4))</f>
        <v/>
      </c>
      <c r="S1645" s="27" t="str">
        <f aca="false">IF(J1645="","",IF(AND('Daily Count Sheet'!$H$3=Q1645,MOD('Daily Count Sheet'!$I$3,J1645)=R1645),1,""))</f>
        <v/>
      </c>
      <c r="T1645" s="27" t="str">
        <f aca="false">IF(S1645=1,COUNTIF($S$2:S1645,1),"")</f>
        <v/>
      </c>
    </row>
    <row r="1646" customFormat="false" ht="15" hidden="false" customHeight="false" outlineLevel="0" collapsed="false">
      <c r="H1646" s="26"/>
      <c r="I1646" s="27" t="str">
        <f aca="false">IF(A1646="","",IF(H1646&lt;&gt;"",UPPER(TRIM(H1646)),IFERROR(CHOOSE(VALUE(E1646)+1,"A","B","C","D"),IF(OR(LEFT(UPPER(TRIM(E1646)),1)="F",UPPER(TRIM(E1646))="A"),"A",IF(OR(LEFT(UPPER(TRIM(E1646)),1)="M",UPPER(TRIM(E1646))="B"),"B",IF(OR(LEFT(UPPER(TRIM(E1646)),2)="SL",UPPER(TRIM(E1646))="C"),"C",IF(OR(LEFT(UPPER(TRIM(E1646)),1)="D",UPPER(TRIM(E1646))="D"),"D","")))))))</f>
        <v/>
      </c>
      <c r="J1646" s="27" t="str">
        <f aca="false">IF(I1646="","",IF(AND(I1646="D",Settings!$B$6&lt;&gt;"Yes"),"",IFERROR(INDEX(Settings!$C$9:$C$12,MATCH(I1646,Settings!$A$9:$A$12,0)),"")))</f>
        <v/>
      </c>
      <c r="K1646" s="27" t="str">
        <f aca="false">IF(J1646="","",COUNTIF($I$2:I1646,I1646))</f>
        <v/>
      </c>
      <c r="L1646" s="27" t="str">
        <f aca="false">IF(J1646="","",CHOOSE(Q1646+1,"Tue","Wed","Thu","Fri"))</f>
        <v/>
      </c>
      <c r="M1646" s="27" t="str">
        <f aca="false">IF(J1646="","",IF(J1646=1,"Every week",R1646+1&amp;" of "&amp;J1646))</f>
        <v/>
      </c>
      <c r="N1646" s="28" t="str">
        <f aca="false">IF(J1646="","",Settings!$B$4+R1646*7+Q1646)</f>
        <v/>
      </c>
      <c r="O1646" s="28" t="str">
        <f aca="true">IF(J1646="","",N1646+MAX(0,ROUNDUP((TODAY()-N1646)/(J1646*7),0))*J1646*7)</f>
        <v/>
      </c>
      <c r="P1646" s="27" t="str">
        <f aca="false">IF(J1646="","",MOD(K1646-1,J1646*4))</f>
        <v/>
      </c>
      <c r="Q1646" s="27" t="str">
        <f aca="false">IF(J1646="","",MOD(P1646,4))</f>
        <v/>
      </c>
      <c r="R1646" s="27" t="str">
        <f aca="false">IF(J1646="","",INT(P1646/4))</f>
        <v/>
      </c>
      <c r="S1646" s="27" t="str">
        <f aca="false">IF(J1646="","",IF(AND('Daily Count Sheet'!$H$3=Q1646,MOD('Daily Count Sheet'!$I$3,J1646)=R1646),1,""))</f>
        <v/>
      </c>
      <c r="T1646" s="27" t="str">
        <f aca="false">IF(S1646=1,COUNTIF($S$2:S1646,1),"")</f>
        <v/>
      </c>
    </row>
    <row r="1647" customFormat="false" ht="15" hidden="false" customHeight="false" outlineLevel="0" collapsed="false">
      <c r="H1647" s="26"/>
      <c r="I1647" s="27" t="str">
        <f aca="false">IF(A1647="","",IF(H1647&lt;&gt;"",UPPER(TRIM(H1647)),IFERROR(CHOOSE(VALUE(E1647)+1,"A","B","C","D"),IF(OR(LEFT(UPPER(TRIM(E1647)),1)="F",UPPER(TRIM(E1647))="A"),"A",IF(OR(LEFT(UPPER(TRIM(E1647)),1)="M",UPPER(TRIM(E1647))="B"),"B",IF(OR(LEFT(UPPER(TRIM(E1647)),2)="SL",UPPER(TRIM(E1647))="C"),"C",IF(OR(LEFT(UPPER(TRIM(E1647)),1)="D",UPPER(TRIM(E1647))="D"),"D","")))))))</f>
        <v/>
      </c>
      <c r="J1647" s="27" t="str">
        <f aca="false">IF(I1647="","",IF(AND(I1647="D",Settings!$B$6&lt;&gt;"Yes"),"",IFERROR(INDEX(Settings!$C$9:$C$12,MATCH(I1647,Settings!$A$9:$A$12,0)),"")))</f>
        <v/>
      </c>
      <c r="K1647" s="27" t="str">
        <f aca="false">IF(J1647="","",COUNTIF($I$2:I1647,I1647))</f>
        <v/>
      </c>
      <c r="L1647" s="27" t="str">
        <f aca="false">IF(J1647="","",CHOOSE(Q1647+1,"Tue","Wed","Thu","Fri"))</f>
        <v/>
      </c>
      <c r="M1647" s="27" t="str">
        <f aca="false">IF(J1647="","",IF(J1647=1,"Every week",R1647+1&amp;" of "&amp;J1647))</f>
        <v/>
      </c>
      <c r="N1647" s="28" t="str">
        <f aca="false">IF(J1647="","",Settings!$B$4+R1647*7+Q1647)</f>
        <v/>
      </c>
      <c r="O1647" s="28" t="str">
        <f aca="true">IF(J1647="","",N1647+MAX(0,ROUNDUP((TODAY()-N1647)/(J1647*7),0))*J1647*7)</f>
        <v/>
      </c>
      <c r="P1647" s="27" t="str">
        <f aca="false">IF(J1647="","",MOD(K1647-1,J1647*4))</f>
        <v/>
      </c>
      <c r="Q1647" s="27" t="str">
        <f aca="false">IF(J1647="","",MOD(P1647,4))</f>
        <v/>
      </c>
      <c r="R1647" s="27" t="str">
        <f aca="false">IF(J1647="","",INT(P1647/4))</f>
        <v/>
      </c>
      <c r="S1647" s="27" t="str">
        <f aca="false">IF(J1647="","",IF(AND('Daily Count Sheet'!$H$3=Q1647,MOD('Daily Count Sheet'!$I$3,J1647)=R1647),1,""))</f>
        <v/>
      </c>
      <c r="T1647" s="27" t="str">
        <f aca="false">IF(S1647=1,COUNTIF($S$2:S1647,1),"")</f>
        <v/>
      </c>
    </row>
    <row r="1648" customFormat="false" ht="15" hidden="false" customHeight="false" outlineLevel="0" collapsed="false">
      <c r="H1648" s="26"/>
      <c r="I1648" s="27" t="str">
        <f aca="false">IF(A1648="","",IF(H1648&lt;&gt;"",UPPER(TRIM(H1648)),IFERROR(CHOOSE(VALUE(E1648)+1,"A","B","C","D"),IF(OR(LEFT(UPPER(TRIM(E1648)),1)="F",UPPER(TRIM(E1648))="A"),"A",IF(OR(LEFT(UPPER(TRIM(E1648)),1)="M",UPPER(TRIM(E1648))="B"),"B",IF(OR(LEFT(UPPER(TRIM(E1648)),2)="SL",UPPER(TRIM(E1648))="C"),"C",IF(OR(LEFT(UPPER(TRIM(E1648)),1)="D",UPPER(TRIM(E1648))="D"),"D","")))))))</f>
        <v/>
      </c>
      <c r="J1648" s="27" t="str">
        <f aca="false">IF(I1648="","",IF(AND(I1648="D",Settings!$B$6&lt;&gt;"Yes"),"",IFERROR(INDEX(Settings!$C$9:$C$12,MATCH(I1648,Settings!$A$9:$A$12,0)),"")))</f>
        <v/>
      </c>
      <c r="K1648" s="27" t="str">
        <f aca="false">IF(J1648="","",COUNTIF($I$2:I1648,I1648))</f>
        <v/>
      </c>
      <c r="L1648" s="27" t="str">
        <f aca="false">IF(J1648="","",CHOOSE(Q1648+1,"Tue","Wed","Thu","Fri"))</f>
        <v/>
      </c>
      <c r="M1648" s="27" t="str">
        <f aca="false">IF(J1648="","",IF(J1648=1,"Every week",R1648+1&amp;" of "&amp;J1648))</f>
        <v/>
      </c>
      <c r="N1648" s="28" t="str">
        <f aca="false">IF(J1648="","",Settings!$B$4+R1648*7+Q1648)</f>
        <v/>
      </c>
      <c r="O1648" s="28" t="str">
        <f aca="true">IF(J1648="","",N1648+MAX(0,ROUNDUP((TODAY()-N1648)/(J1648*7),0))*J1648*7)</f>
        <v/>
      </c>
      <c r="P1648" s="27" t="str">
        <f aca="false">IF(J1648="","",MOD(K1648-1,J1648*4))</f>
        <v/>
      </c>
      <c r="Q1648" s="27" t="str">
        <f aca="false">IF(J1648="","",MOD(P1648,4))</f>
        <v/>
      </c>
      <c r="R1648" s="27" t="str">
        <f aca="false">IF(J1648="","",INT(P1648/4))</f>
        <v/>
      </c>
      <c r="S1648" s="27" t="str">
        <f aca="false">IF(J1648="","",IF(AND('Daily Count Sheet'!$H$3=Q1648,MOD('Daily Count Sheet'!$I$3,J1648)=R1648),1,""))</f>
        <v/>
      </c>
      <c r="T1648" s="27" t="str">
        <f aca="false">IF(S1648=1,COUNTIF($S$2:S1648,1),"")</f>
        <v/>
      </c>
    </row>
    <row r="1649" customFormat="false" ht="15" hidden="false" customHeight="false" outlineLevel="0" collapsed="false">
      <c r="H1649" s="26"/>
      <c r="I1649" s="27" t="str">
        <f aca="false">IF(A1649="","",IF(H1649&lt;&gt;"",UPPER(TRIM(H1649)),IFERROR(CHOOSE(VALUE(E1649)+1,"A","B","C","D"),IF(OR(LEFT(UPPER(TRIM(E1649)),1)="F",UPPER(TRIM(E1649))="A"),"A",IF(OR(LEFT(UPPER(TRIM(E1649)),1)="M",UPPER(TRIM(E1649))="B"),"B",IF(OR(LEFT(UPPER(TRIM(E1649)),2)="SL",UPPER(TRIM(E1649))="C"),"C",IF(OR(LEFT(UPPER(TRIM(E1649)),1)="D",UPPER(TRIM(E1649))="D"),"D","")))))))</f>
        <v/>
      </c>
      <c r="J1649" s="27" t="str">
        <f aca="false">IF(I1649="","",IF(AND(I1649="D",Settings!$B$6&lt;&gt;"Yes"),"",IFERROR(INDEX(Settings!$C$9:$C$12,MATCH(I1649,Settings!$A$9:$A$12,0)),"")))</f>
        <v/>
      </c>
      <c r="K1649" s="27" t="str">
        <f aca="false">IF(J1649="","",COUNTIF($I$2:I1649,I1649))</f>
        <v/>
      </c>
      <c r="L1649" s="27" t="str">
        <f aca="false">IF(J1649="","",CHOOSE(Q1649+1,"Tue","Wed","Thu","Fri"))</f>
        <v/>
      </c>
      <c r="M1649" s="27" t="str">
        <f aca="false">IF(J1649="","",IF(J1649=1,"Every week",R1649+1&amp;" of "&amp;J1649))</f>
        <v/>
      </c>
      <c r="N1649" s="28" t="str">
        <f aca="false">IF(J1649="","",Settings!$B$4+R1649*7+Q1649)</f>
        <v/>
      </c>
      <c r="O1649" s="28" t="str">
        <f aca="true">IF(J1649="","",N1649+MAX(0,ROUNDUP((TODAY()-N1649)/(J1649*7),0))*J1649*7)</f>
        <v/>
      </c>
      <c r="P1649" s="27" t="str">
        <f aca="false">IF(J1649="","",MOD(K1649-1,J1649*4))</f>
        <v/>
      </c>
      <c r="Q1649" s="27" t="str">
        <f aca="false">IF(J1649="","",MOD(P1649,4))</f>
        <v/>
      </c>
      <c r="R1649" s="27" t="str">
        <f aca="false">IF(J1649="","",INT(P1649/4))</f>
        <v/>
      </c>
      <c r="S1649" s="27" t="str">
        <f aca="false">IF(J1649="","",IF(AND('Daily Count Sheet'!$H$3=Q1649,MOD('Daily Count Sheet'!$I$3,J1649)=R1649),1,""))</f>
        <v/>
      </c>
      <c r="T1649" s="27" t="str">
        <f aca="false">IF(S1649=1,COUNTIF($S$2:S1649,1),"")</f>
        <v/>
      </c>
    </row>
    <row r="1650" customFormat="false" ht="15" hidden="false" customHeight="false" outlineLevel="0" collapsed="false">
      <c r="H1650" s="26"/>
      <c r="I1650" s="27" t="str">
        <f aca="false">IF(A1650="","",IF(H1650&lt;&gt;"",UPPER(TRIM(H1650)),IFERROR(CHOOSE(VALUE(E1650)+1,"A","B","C","D"),IF(OR(LEFT(UPPER(TRIM(E1650)),1)="F",UPPER(TRIM(E1650))="A"),"A",IF(OR(LEFT(UPPER(TRIM(E1650)),1)="M",UPPER(TRIM(E1650))="B"),"B",IF(OR(LEFT(UPPER(TRIM(E1650)),2)="SL",UPPER(TRIM(E1650))="C"),"C",IF(OR(LEFT(UPPER(TRIM(E1650)),1)="D",UPPER(TRIM(E1650))="D"),"D","")))))))</f>
        <v/>
      </c>
      <c r="J1650" s="27" t="str">
        <f aca="false">IF(I1650="","",IF(AND(I1650="D",Settings!$B$6&lt;&gt;"Yes"),"",IFERROR(INDEX(Settings!$C$9:$C$12,MATCH(I1650,Settings!$A$9:$A$12,0)),"")))</f>
        <v/>
      </c>
      <c r="K1650" s="27" t="str">
        <f aca="false">IF(J1650="","",COUNTIF($I$2:I1650,I1650))</f>
        <v/>
      </c>
      <c r="L1650" s="27" t="str">
        <f aca="false">IF(J1650="","",CHOOSE(Q1650+1,"Tue","Wed","Thu","Fri"))</f>
        <v/>
      </c>
      <c r="M1650" s="27" t="str">
        <f aca="false">IF(J1650="","",IF(J1650=1,"Every week",R1650+1&amp;" of "&amp;J1650))</f>
        <v/>
      </c>
      <c r="N1650" s="28" t="str">
        <f aca="false">IF(J1650="","",Settings!$B$4+R1650*7+Q1650)</f>
        <v/>
      </c>
      <c r="O1650" s="28" t="str">
        <f aca="true">IF(J1650="","",N1650+MAX(0,ROUNDUP((TODAY()-N1650)/(J1650*7),0))*J1650*7)</f>
        <v/>
      </c>
      <c r="P1650" s="27" t="str">
        <f aca="false">IF(J1650="","",MOD(K1650-1,J1650*4))</f>
        <v/>
      </c>
      <c r="Q1650" s="27" t="str">
        <f aca="false">IF(J1650="","",MOD(P1650,4))</f>
        <v/>
      </c>
      <c r="R1650" s="27" t="str">
        <f aca="false">IF(J1650="","",INT(P1650/4))</f>
        <v/>
      </c>
      <c r="S1650" s="27" t="str">
        <f aca="false">IF(J1650="","",IF(AND('Daily Count Sheet'!$H$3=Q1650,MOD('Daily Count Sheet'!$I$3,J1650)=R1650),1,""))</f>
        <v/>
      </c>
      <c r="T1650" s="27" t="str">
        <f aca="false">IF(S1650=1,COUNTIF($S$2:S1650,1),"")</f>
        <v/>
      </c>
    </row>
    <row r="1651" customFormat="false" ht="15" hidden="false" customHeight="false" outlineLevel="0" collapsed="false">
      <c r="H1651" s="26"/>
      <c r="I1651" s="27" t="str">
        <f aca="false">IF(A1651="","",IF(H1651&lt;&gt;"",UPPER(TRIM(H1651)),IFERROR(CHOOSE(VALUE(E1651)+1,"A","B","C","D"),IF(OR(LEFT(UPPER(TRIM(E1651)),1)="F",UPPER(TRIM(E1651))="A"),"A",IF(OR(LEFT(UPPER(TRIM(E1651)),1)="M",UPPER(TRIM(E1651))="B"),"B",IF(OR(LEFT(UPPER(TRIM(E1651)),2)="SL",UPPER(TRIM(E1651))="C"),"C",IF(OR(LEFT(UPPER(TRIM(E1651)),1)="D",UPPER(TRIM(E1651))="D"),"D","")))))))</f>
        <v/>
      </c>
      <c r="J1651" s="27" t="str">
        <f aca="false">IF(I1651="","",IF(AND(I1651="D",Settings!$B$6&lt;&gt;"Yes"),"",IFERROR(INDEX(Settings!$C$9:$C$12,MATCH(I1651,Settings!$A$9:$A$12,0)),"")))</f>
        <v/>
      </c>
      <c r="K1651" s="27" t="str">
        <f aca="false">IF(J1651="","",COUNTIF($I$2:I1651,I1651))</f>
        <v/>
      </c>
      <c r="L1651" s="27" t="str">
        <f aca="false">IF(J1651="","",CHOOSE(Q1651+1,"Tue","Wed","Thu","Fri"))</f>
        <v/>
      </c>
      <c r="M1651" s="27" t="str">
        <f aca="false">IF(J1651="","",IF(J1651=1,"Every week",R1651+1&amp;" of "&amp;J1651))</f>
        <v/>
      </c>
      <c r="N1651" s="28" t="str">
        <f aca="false">IF(J1651="","",Settings!$B$4+R1651*7+Q1651)</f>
        <v/>
      </c>
      <c r="O1651" s="28" t="str">
        <f aca="true">IF(J1651="","",N1651+MAX(0,ROUNDUP((TODAY()-N1651)/(J1651*7),0))*J1651*7)</f>
        <v/>
      </c>
      <c r="P1651" s="27" t="str">
        <f aca="false">IF(J1651="","",MOD(K1651-1,J1651*4))</f>
        <v/>
      </c>
      <c r="Q1651" s="27" t="str">
        <f aca="false">IF(J1651="","",MOD(P1651,4))</f>
        <v/>
      </c>
      <c r="R1651" s="27" t="str">
        <f aca="false">IF(J1651="","",INT(P1651/4))</f>
        <v/>
      </c>
      <c r="S1651" s="27" t="str">
        <f aca="false">IF(J1651="","",IF(AND('Daily Count Sheet'!$H$3=Q1651,MOD('Daily Count Sheet'!$I$3,J1651)=R1651),1,""))</f>
        <v/>
      </c>
      <c r="T1651" s="27" t="str">
        <f aca="false">IF(S1651=1,COUNTIF($S$2:S1651,1),"")</f>
        <v/>
      </c>
    </row>
    <row r="1652" customFormat="false" ht="15" hidden="false" customHeight="false" outlineLevel="0" collapsed="false">
      <c r="H1652" s="26"/>
      <c r="I1652" s="27" t="str">
        <f aca="false">IF(A1652="","",IF(H1652&lt;&gt;"",UPPER(TRIM(H1652)),IFERROR(CHOOSE(VALUE(E1652)+1,"A","B","C","D"),IF(OR(LEFT(UPPER(TRIM(E1652)),1)="F",UPPER(TRIM(E1652))="A"),"A",IF(OR(LEFT(UPPER(TRIM(E1652)),1)="M",UPPER(TRIM(E1652))="B"),"B",IF(OR(LEFT(UPPER(TRIM(E1652)),2)="SL",UPPER(TRIM(E1652))="C"),"C",IF(OR(LEFT(UPPER(TRIM(E1652)),1)="D",UPPER(TRIM(E1652))="D"),"D","")))))))</f>
        <v/>
      </c>
      <c r="J1652" s="27" t="str">
        <f aca="false">IF(I1652="","",IF(AND(I1652="D",Settings!$B$6&lt;&gt;"Yes"),"",IFERROR(INDEX(Settings!$C$9:$C$12,MATCH(I1652,Settings!$A$9:$A$12,0)),"")))</f>
        <v/>
      </c>
      <c r="K1652" s="27" t="str">
        <f aca="false">IF(J1652="","",COUNTIF($I$2:I1652,I1652))</f>
        <v/>
      </c>
      <c r="L1652" s="27" t="str">
        <f aca="false">IF(J1652="","",CHOOSE(Q1652+1,"Tue","Wed","Thu","Fri"))</f>
        <v/>
      </c>
      <c r="M1652" s="27" t="str">
        <f aca="false">IF(J1652="","",IF(J1652=1,"Every week",R1652+1&amp;" of "&amp;J1652))</f>
        <v/>
      </c>
      <c r="N1652" s="28" t="str">
        <f aca="false">IF(J1652="","",Settings!$B$4+R1652*7+Q1652)</f>
        <v/>
      </c>
      <c r="O1652" s="28" t="str">
        <f aca="true">IF(J1652="","",N1652+MAX(0,ROUNDUP((TODAY()-N1652)/(J1652*7),0))*J1652*7)</f>
        <v/>
      </c>
      <c r="P1652" s="27" t="str">
        <f aca="false">IF(J1652="","",MOD(K1652-1,J1652*4))</f>
        <v/>
      </c>
      <c r="Q1652" s="27" t="str">
        <f aca="false">IF(J1652="","",MOD(P1652,4))</f>
        <v/>
      </c>
      <c r="R1652" s="27" t="str">
        <f aca="false">IF(J1652="","",INT(P1652/4))</f>
        <v/>
      </c>
      <c r="S1652" s="27" t="str">
        <f aca="false">IF(J1652="","",IF(AND('Daily Count Sheet'!$H$3=Q1652,MOD('Daily Count Sheet'!$I$3,J1652)=R1652),1,""))</f>
        <v/>
      </c>
      <c r="T1652" s="27" t="str">
        <f aca="false">IF(S1652=1,COUNTIF($S$2:S1652,1),"")</f>
        <v/>
      </c>
    </row>
    <row r="1653" customFormat="false" ht="15" hidden="false" customHeight="false" outlineLevel="0" collapsed="false">
      <c r="H1653" s="26"/>
      <c r="I1653" s="27" t="str">
        <f aca="false">IF(A1653="","",IF(H1653&lt;&gt;"",UPPER(TRIM(H1653)),IFERROR(CHOOSE(VALUE(E1653)+1,"A","B","C","D"),IF(OR(LEFT(UPPER(TRIM(E1653)),1)="F",UPPER(TRIM(E1653))="A"),"A",IF(OR(LEFT(UPPER(TRIM(E1653)),1)="M",UPPER(TRIM(E1653))="B"),"B",IF(OR(LEFT(UPPER(TRIM(E1653)),2)="SL",UPPER(TRIM(E1653))="C"),"C",IF(OR(LEFT(UPPER(TRIM(E1653)),1)="D",UPPER(TRIM(E1653))="D"),"D","")))))))</f>
        <v/>
      </c>
      <c r="J1653" s="27" t="str">
        <f aca="false">IF(I1653="","",IF(AND(I1653="D",Settings!$B$6&lt;&gt;"Yes"),"",IFERROR(INDEX(Settings!$C$9:$C$12,MATCH(I1653,Settings!$A$9:$A$12,0)),"")))</f>
        <v/>
      </c>
      <c r="K1653" s="27" t="str">
        <f aca="false">IF(J1653="","",COUNTIF($I$2:I1653,I1653))</f>
        <v/>
      </c>
      <c r="L1653" s="27" t="str">
        <f aca="false">IF(J1653="","",CHOOSE(Q1653+1,"Tue","Wed","Thu","Fri"))</f>
        <v/>
      </c>
      <c r="M1653" s="27" t="str">
        <f aca="false">IF(J1653="","",IF(J1653=1,"Every week",R1653+1&amp;" of "&amp;J1653))</f>
        <v/>
      </c>
      <c r="N1653" s="28" t="str">
        <f aca="false">IF(J1653="","",Settings!$B$4+R1653*7+Q1653)</f>
        <v/>
      </c>
      <c r="O1653" s="28" t="str">
        <f aca="true">IF(J1653="","",N1653+MAX(0,ROUNDUP((TODAY()-N1653)/(J1653*7),0))*J1653*7)</f>
        <v/>
      </c>
      <c r="P1653" s="27" t="str">
        <f aca="false">IF(J1653="","",MOD(K1653-1,J1653*4))</f>
        <v/>
      </c>
      <c r="Q1653" s="27" t="str">
        <f aca="false">IF(J1653="","",MOD(P1653,4))</f>
        <v/>
      </c>
      <c r="R1653" s="27" t="str">
        <f aca="false">IF(J1653="","",INT(P1653/4))</f>
        <v/>
      </c>
      <c r="S1653" s="27" t="str">
        <f aca="false">IF(J1653="","",IF(AND('Daily Count Sheet'!$H$3=Q1653,MOD('Daily Count Sheet'!$I$3,J1653)=R1653),1,""))</f>
        <v/>
      </c>
      <c r="T1653" s="27" t="str">
        <f aca="false">IF(S1653=1,COUNTIF($S$2:S1653,1),"")</f>
        <v/>
      </c>
    </row>
    <row r="1654" customFormat="false" ht="15" hidden="false" customHeight="false" outlineLevel="0" collapsed="false">
      <c r="H1654" s="26"/>
      <c r="I1654" s="27" t="str">
        <f aca="false">IF(A1654="","",IF(H1654&lt;&gt;"",UPPER(TRIM(H1654)),IFERROR(CHOOSE(VALUE(E1654)+1,"A","B","C","D"),IF(OR(LEFT(UPPER(TRIM(E1654)),1)="F",UPPER(TRIM(E1654))="A"),"A",IF(OR(LEFT(UPPER(TRIM(E1654)),1)="M",UPPER(TRIM(E1654))="B"),"B",IF(OR(LEFT(UPPER(TRIM(E1654)),2)="SL",UPPER(TRIM(E1654))="C"),"C",IF(OR(LEFT(UPPER(TRIM(E1654)),1)="D",UPPER(TRIM(E1654))="D"),"D","")))))))</f>
        <v/>
      </c>
      <c r="J1654" s="27" t="str">
        <f aca="false">IF(I1654="","",IF(AND(I1654="D",Settings!$B$6&lt;&gt;"Yes"),"",IFERROR(INDEX(Settings!$C$9:$C$12,MATCH(I1654,Settings!$A$9:$A$12,0)),"")))</f>
        <v/>
      </c>
      <c r="K1654" s="27" t="str">
        <f aca="false">IF(J1654="","",COUNTIF($I$2:I1654,I1654))</f>
        <v/>
      </c>
      <c r="L1654" s="27" t="str">
        <f aca="false">IF(J1654="","",CHOOSE(Q1654+1,"Tue","Wed","Thu","Fri"))</f>
        <v/>
      </c>
      <c r="M1654" s="27" t="str">
        <f aca="false">IF(J1654="","",IF(J1654=1,"Every week",R1654+1&amp;" of "&amp;J1654))</f>
        <v/>
      </c>
      <c r="N1654" s="28" t="str">
        <f aca="false">IF(J1654="","",Settings!$B$4+R1654*7+Q1654)</f>
        <v/>
      </c>
      <c r="O1654" s="28" t="str">
        <f aca="true">IF(J1654="","",N1654+MAX(0,ROUNDUP((TODAY()-N1654)/(J1654*7),0))*J1654*7)</f>
        <v/>
      </c>
      <c r="P1654" s="27" t="str">
        <f aca="false">IF(J1654="","",MOD(K1654-1,J1654*4))</f>
        <v/>
      </c>
      <c r="Q1654" s="27" t="str">
        <f aca="false">IF(J1654="","",MOD(P1654,4))</f>
        <v/>
      </c>
      <c r="R1654" s="27" t="str">
        <f aca="false">IF(J1654="","",INT(P1654/4))</f>
        <v/>
      </c>
      <c r="S1654" s="27" t="str">
        <f aca="false">IF(J1654="","",IF(AND('Daily Count Sheet'!$H$3=Q1654,MOD('Daily Count Sheet'!$I$3,J1654)=R1654),1,""))</f>
        <v/>
      </c>
      <c r="T1654" s="27" t="str">
        <f aca="false">IF(S1654=1,COUNTIF($S$2:S1654,1),"")</f>
        <v/>
      </c>
    </row>
    <row r="1655" customFormat="false" ht="15" hidden="false" customHeight="false" outlineLevel="0" collapsed="false">
      <c r="H1655" s="26"/>
      <c r="I1655" s="27" t="str">
        <f aca="false">IF(A1655="","",IF(H1655&lt;&gt;"",UPPER(TRIM(H1655)),IFERROR(CHOOSE(VALUE(E1655)+1,"A","B","C","D"),IF(OR(LEFT(UPPER(TRIM(E1655)),1)="F",UPPER(TRIM(E1655))="A"),"A",IF(OR(LEFT(UPPER(TRIM(E1655)),1)="M",UPPER(TRIM(E1655))="B"),"B",IF(OR(LEFT(UPPER(TRIM(E1655)),2)="SL",UPPER(TRIM(E1655))="C"),"C",IF(OR(LEFT(UPPER(TRIM(E1655)),1)="D",UPPER(TRIM(E1655))="D"),"D","")))))))</f>
        <v/>
      </c>
      <c r="J1655" s="27" t="str">
        <f aca="false">IF(I1655="","",IF(AND(I1655="D",Settings!$B$6&lt;&gt;"Yes"),"",IFERROR(INDEX(Settings!$C$9:$C$12,MATCH(I1655,Settings!$A$9:$A$12,0)),"")))</f>
        <v/>
      </c>
      <c r="K1655" s="27" t="str">
        <f aca="false">IF(J1655="","",COUNTIF($I$2:I1655,I1655))</f>
        <v/>
      </c>
      <c r="L1655" s="27" t="str">
        <f aca="false">IF(J1655="","",CHOOSE(Q1655+1,"Tue","Wed","Thu","Fri"))</f>
        <v/>
      </c>
      <c r="M1655" s="27" t="str">
        <f aca="false">IF(J1655="","",IF(J1655=1,"Every week",R1655+1&amp;" of "&amp;J1655))</f>
        <v/>
      </c>
      <c r="N1655" s="28" t="str">
        <f aca="false">IF(J1655="","",Settings!$B$4+R1655*7+Q1655)</f>
        <v/>
      </c>
      <c r="O1655" s="28" t="str">
        <f aca="true">IF(J1655="","",N1655+MAX(0,ROUNDUP((TODAY()-N1655)/(J1655*7),0))*J1655*7)</f>
        <v/>
      </c>
      <c r="P1655" s="27" t="str">
        <f aca="false">IF(J1655="","",MOD(K1655-1,J1655*4))</f>
        <v/>
      </c>
      <c r="Q1655" s="27" t="str">
        <f aca="false">IF(J1655="","",MOD(P1655,4))</f>
        <v/>
      </c>
      <c r="R1655" s="27" t="str">
        <f aca="false">IF(J1655="","",INT(P1655/4))</f>
        <v/>
      </c>
      <c r="S1655" s="27" t="str">
        <f aca="false">IF(J1655="","",IF(AND('Daily Count Sheet'!$H$3=Q1655,MOD('Daily Count Sheet'!$I$3,J1655)=R1655),1,""))</f>
        <v/>
      </c>
      <c r="T1655" s="27" t="str">
        <f aca="false">IF(S1655=1,COUNTIF($S$2:S1655,1),"")</f>
        <v/>
      </c>
    </row>
    <row r="1656" customFormat="false" ht="15" hidden="false" customHeight="false" outlineLevel="0" collapsed="false">
      <c r="H1656" s="26"/>
      <c r="I1656" s="27" t="str">
        <f aca="false">IF(A1656="","",IF(H1656&lt;&gt;"",UPPER(TRIM(H1656)),IFERROR(CHOOSE(VALUE(E1656)+1,"A","B","C","D"),IF(OR(LEFT(UPPER(TRIM(E1656)),1)="F",UPPER(TRIM(E1656))="A"),"A",IF(OR(LEFT(UPPER(TRIM(E1656)),1)="M",UPPER(TRIM(E1656))="B"),"B",IF(OR(LEFT(UPPER(TRIM(E1656)),2)="SL",UPPER(TRIM(E1656))="C"),"C",IF(OR(LEFT(UPPER(TRIM(E1656)),1)="D",UPPER(TRIM(E1656))="D"),"D","")))))))</f>
        <v/>
      </c>
      <c r="J1656" s="27" t="str">
        <f aca="false">IF(I1656="","",IF(AND(I1656="D",Settings!$B$6&lt;&gt;"Yes"),"",IFERROR(INDEX(Settings!$C$9:$C$12,MATCH(I1656,Settings!$A$9:$A$12,0)),"")))</f>
        <v/>
      </c>
      <c r="K1656" s="27" t="str">
        <f aca="false">IF(J1656="","",COUNTIF($I$2:I1656,I1656))</f>
        <v/>
      </c>
      <c r="L1656" s="27" t="str">
        <f aca="false">IF(J1656="","",CHOOSE(Q1656+1,"Tue","Wed","Thu","Fri"))</f>
        <v/>
      </c>
      <c r="M1656" s="27" t="str">
        <f aca="false">IF(J1656="","",IF(J1656=1,"Every week",R1656+1&amp;" of "&amp;J1656))</f>
        <v/>
      </c>
      <c r="N1656" s="28" t="str">
        <f aca="false">IF(J1656="","",Settings!$B$4+R1656*7+Q1656)</f>
        <v/>
      </c>
      <c r="O1656" s="28" t="str">
        <f aca="true">IF(J1656="","",N1656+MAX(0,ROUNDUP((TODAY()-N1656)/(J1656*7),0))*J1656*7)</f>
        <v/>
      </c>
      <c r="P1656" s="27" t="str">
        <f aca="false">IF(J1656="","",MOD(K1656-1,J1656*4))</f>
        <v/>
      </c>
      <c r="Q1656" s="27" t="str">
        <f aca="false">IF(J1656="","",MOD(P1656,4))</f>
        <v/>
      </c>
      <c r="R1656" s="27" t="str">
        <f aca="false">IF(J1656="","",INT(P1656/4))</f>
        <v/>
      </c>
      <c r="S1656" s="27" t="str">
        <f aca="false">IF(J1656="","",IF(AND('Daily Count Sheet'!$H$3=Q1656,MOD('Daily Count Sheet'!$I$3,J1656)=R1656),1,""))</f>
        <v/>
      </c>
      <c r="T1656" s="27" t="str">
        <f aca="false">IF(S1656=1,COUNTIF($S$2:S1656,1),"")</f>
        <v/>
      </c>
    </row>
    <row r="1657" customFormat="false" ht="15" hidden="false" customHeight="false" outlineLevel="0" collapsed="false">
      <c r="H1657" s="26"/>
      <c r="I1657" s="27" t="str">
        <f aca="false">IF(A1657="","",IF(H1657&lt;&gt;"",UPPER(TRIM(H1657)),IFERROR(CHOOSE(VALUE(E1657)+1,"A","B","C","D"),IF(OR(LEFT(UPPER(TRIM(E1657)),1)="F",UPPER(TRIM(E1657))="A"),"A",IF(OR(LEFT(UPPER(TRIM(E1657)),1)="M",UPPER(TRIM(E1657))="B"),"B",IF(OR(LEFT(UPPER(TRIM(E1657)),2)="SL",UPPER(TRIM(E1657))="C"),"C",IF(OR(LEFT(UPPER(TRIM(E1657)),1)="D",UPPER(TRIM(E1657))="D"),"D","")))))))</f>
        <v/>
      </c>
      <c r="J1657" s="27" t="str">
        <f aca="false">IF(I1657="","",IF(AND(I1657="D",Settings!$B$6&lt;&gt;"Yes"),"",IFERROR(INDEX(Settings!$C$9:$C$12,MATCH(I1657,Settings!$A$9:$A$12,0)),"")))</f>
        <v/>
      </c>
      <c r="K1657" s="27" t="str">
        <f aca="false">IF(J1657="","",COUNTIF($I$2:I1657,I1657))</f>
        <v/>
      </c>
      <c r="L1657" s="27" t="str">
        <f aca="false">IF(J1657="","",CHOOSE(Q1657+1,"Tue","Wed","Thu","Fri"))</f>
        <v/>
      </c>
      <c r="M1657" s="27" t="str">
        <f aca="false">IF(J1657="","",IF(J1657=1,"Every week",R1657+1&amp;" of "&amp;J1657))</f>
        <v/>
      </c>
      <c r="N1657" s="28" t="str">
        <f aca="false">IF(J1657="","",Settings!$B$4+R1657*7+Q1657)</f>
        <v/>
      </c>
      <c r="O1657" s="28" t="str">
        <f aca="true">IF(J1657="","",N1657+MAX(0,ROUNDUP((TODAY()-N1657)/(J1657*7),0))*J1657*7)</f>
        <v/>
      </c>
      <c r="P1657" s="27" t="str">
        <f aca="false">IF(J1657="","",MOD(K1657-1,J1657*4))</f>
        <v/>
      </c>
      <c r="Q1657" s="27" t="str">
        <f aca="false">IF(J1657="","",MOD(P1657,4))</f>
        <v/>
      </c>
      <c r="R1657" s="27" t="str">
        <f aca="false">IF(J1657="","",INT(P1657/4))</f>
        <v/>
      </c>
      <c r="S1657" s="27" t="str">
        <f aca="false">IF(J1657="","",IF(AND('Daily Count Sheet'!$H$3=Q1657,MOD('Daily Count Sheet'!$I$3,J1657)=R1657),1,""))</f>
        <v/>
      </c>
      <c r="T1657" s="27" t="str">
        <f aca="false">IF(S1657=1,COUNTIF($S$2:S1657,1),"")</f>
        <v/>
      </c>
    </row>
    <row r="1658" customFormat="false" ht="15" hidden="false" customHeight="false" outlineLevel="0" collapsed="false">
      <c r="H1658" s="26"/>
      <c r="I1658" s="27" t="str">
        <f aca="false">IF(A1658="","",IF(H1658&lt;&gt;"",UPPER(TRIM(H1658)),IFERROR(CHOOSE(VALUE(E1658)+1,"A","B","C","D"),IF(OR(LEFT(UPPER(TRIM(E1658)),1)="F",UPPER(TRIM(E1658))="A"),"A",IF(OR(LEFT(UPPER(TRIM(E1658)),1)="M",UPPER(TRIM(E1658))="B"),"B",IF(OR(LEFT(UPPER(TRIM(E1658)),2)="SL",UPPER(TRIM(E1658))="C"),"C",IF(OR(LEFT(UPPER(TRIM(E1658)),1)="D",UPPER(TRIM(E1658))="D"),"D","")))))))</f>
        <v/>
      </c>
      <c r="J1658" s="27" t="str">
        <f aca="false">IF(I1658="","",IF(AND(I1658="D",Settings!$B$6&lt;&gt;"Yes"),"",IFERROR(INDEX(Settings!$C$9:$C$12,MATCH(I1658,Settings!$A$9:$A$12,0)),"")))</f>
        <v/>
      </c>
      <c r="K1658" s="27" t="str">
        <f aca="false">IF(J1658="","",COUNTIF($I$2:I1658,I1658))</f>
        <v/>
      </c>
      <c r="L1658" s="27" t="str">
        <f aca="false">IF(J1658="","",CHOOSE(Q1658+1,"Tue","Wed","Thu","Fri"))</f>
        <v/>
      </c>
      <c r="M1658" s="27" t="str">
        <f aca="false">IF(J1658="","",IF(J1658=1,"Every week",R1658+1&amp;" of "&amp;J1658))</f>
        <v/>
      </c>
      <c r="N1658" s="28" t="str">
        <f aca="false">IF(J1658="","",Settings!$B$4+R1658*7+Q1658)</f>
        <v/>
      </c>
      <c r="O1658" s="28" t="str">
        <f aca="true">IF(J1658="","",N1658+MAX(0,ROUNDUP((TODAY()-N1658)/(J1658*7),0))*J1658*7)</f>
        <v/>
      </c>
      <c r="P1658" s="27" t="str">
        <f aca="false">IF(J1658="","",MOD(K1658-1,J1658*4))</f>
        <v/>
      </c>
      <c r="Q1658" s="27" t="str">
        <f aca="false">IF(J1658="","",MOD(P1658,4))</f>
        <v/>
      </c>
      <c r="R1658" s="27" t="str">
        <f aca="false">IF(J1658="","",INT(P1658/4))</f>
        <v/>
      </c>
      <c r="S1658" s="27" t="str">
        <f aca="false">IF(J1658="","",IF(AND('Daily Count Sheet'!$H$3=Q1658,MOD('Daily Count Sheet'!$I$3,J1658)=R1658),1,""))</f>
        <v/>
      </c>
      <c r="T1658" s="27" t="str">
        <f aca="false">IF(S1658=1,COUNTIF($S$2:S1658,1),"")</f>
        <v/>
      </c>
    </row>
    <row r="1659" customFormat="false" ht="15" hidden="false" customHeight="false" outlineLevel="0" collapsed="false">
      <c r="H1659" s="26"/>
      <c r="I1659" s="27" t="str">
        <f aca="false">IF(A1659="","",IF(H1659&lt;&gt;"",UPPER(TRIM(H1659)),IFERROR(CHOOSE(VALUE(E1659)+1,"A","B","C","D"),IF(OR(LEFT(UPPER(TRIM(E1659)),1)="F",UPPER(TRIM(E1659))="A"),"A",IF(OR(LEFT(UPPER(TRIM(E1659)),1)="M",UPPER(TRIM(E1659))="B"),"B",IF(OR(LEFT(UPPER(TRIM(E1659)),2)="SL",UPPER(TRIM(E1659))="C"),"C",IF(OR(LEFT(UPPER(TRIM(E1659)),1)="D",UPPER(TRIM(E1659))="D"),"D","")))))))</f>
        <v/>
      </c>
      <c r="J1659" s="27" t="str">
        <f aca="false">IF(I1659="","",IF(AND(I1659="D",Settings!$B$6&lt;&gt;"Yes"),"",IFERROR(INDEX(Settings!$C$9:$C$12,MATCH(I1659,Settings!$A$9:$A$12,0)),"")))</f>
        <v/>
      </c>
      <c r="K1659" s="27" t="str">
        <f aca="false">IF(J1659="","",COUNTIF($I$2:I1659,I1659))</f>
        <v/>
      </c>
      <c r="L1659" s="27" t="str">
        <f aca="false">IF(J1659="","",CHOOSE(Q1659+1,"Tue","Wed","Thu","Fri"))</f>
        <v/>
      </c>
      <c r="M1659" s="27" t="str">
        <f aca="false">IF(J1659="","",IF(J1659=1,"Every week",R1659+1&amp;" of "&amp;J1659))</f>
        <v/>
      </c>
      <c r="N1659" s="28" t="str">
        <f aca="false">IF(J1659="","",Settings!$B$4+R1659*7+Q1659)</f>
        <v/>
      </c>
      <c r="O1659" s="28" t="str">
        <f aca="true">IF(J1659="","",N1659+MAX(0,ROUNDUP((TODAY()-N1659)/(J1659*7),0))*J1659*7)</f>
        <v/>
      </c>
      <c r="P1659" s="27" t="str">
        <f aca="false">IF(J1659="","",MOD(K1659-1,J1659*4))</f>
        <v/>
      </c>
      <c r="Q1659" s="27" t="str">
        <f aca="false">IF(J1659="","",MOD(P1659,4))</f>
        <v/>
      </c>
      <c r="R1659" s="27" t="str">
        <f aca="false">IF(J1659="","",INT(P1659/4))</f>
        <v/>
      </c>
      <c r="S1659" s="27" t="str">
        <f aca="false">IF(J1659="","",IF(AND('Daily Count Sheet'!$H$3=Q1659,MOD('Daily Count Sheet'!$I$3,J1659)=R1659),1,""))</f>
        <v/>
      </c>
      <c r="T1659" s="27" t="str">
        <f aca="false">IF(S1659=1,COUNTIF($S$2:S1659,1),"")</f>
        <v/>
      </c>
    </row>
    <row r="1660" customFormat="false" ht="15" hidden="false" customHeight="false" outlineLevel="0" collapsed="false">
      <c r="H1660" s="26"/>
      <c r="I1660" s="27" t="str">
        <f aca="false">IF(A1660="","",IF(H1660&lt;&gt;"",UPPER(TRIM(H1660)),IFERROR(CHOOSE(VALUE(E1660)+1,"A","B","C","D"),IF(OR(LEFT(UPPER(TRIM(E1660)),1)="F",UPPER(TRIM(E1660))="A"),"A",IF(OR(LEFT(UPPER(TRIM(E1660)),1)="M",UPPER(TRIM(E1660))="B"),"B",IF(OR(LEFT(UPPER(TRIM(E1660)),2)="SL",UPPER(TRIM(E1660))="C"),"C",IF(OR(LEFT(UPPER(TRIM(E1660)),1)="D",UPPER(TRIM(E1660))="D"),"D","")))))))</f>
        <v/>
      </c>
      <c r="J1660" s="27" t="str">
        <f aca="false">IF(I1660="","",IF(AND(I1660="D",Settings!$B$6&lt;&gt;"Yes"),"",IFERROR(INDEX(Settings!$C$9:$C$12,MATCH(I1660,Settings!$A$9:$A$12,0)),"")))</f>
        <v/>
      </c>
      <c r="K1660" s="27" t="str">
        <f aca="false">IF(J1660="","",COUNTIF($I$2:I1660,I1660))</f>
        <v/>
      </c>
      <c r="L1660" s="27" t="str">
        <f aca="false">IF(J1660="","",CHOOSE(Q1660+1,"Tue","Wed","Thu","Fri"))</f>
        <v/>
      </c>
      <c r="M1660" s="27" t="str">
        <f aca="false">IF(J1660="","",IF(J1660=1,"Every week",R1660+1&amp;" of "&amp;J1660))</f>
        <v/>
      </c>
      <c r="N1660" s="28" t="str">
        <f aca="false">IF(J1660="","",Settings!$B$4+R1660*7+Q1660)</f>
        <v/>
      </c>
      <c r="O1660" s="28" t="str">
        <f aca="true">IF(J1660="","",N1660+MAX(0,ROUNDUP((TODAY()-N1660)/(J1660*7),0))*J1660*7)</f>
        <v/>
      </c>
      <c r="P1660" s="27" t="str">
        <f aca="false">IF(J1660="","",MOD(K1660-1,J1660*4))</f>
        <v/>
      </c>
      <c r="Q1660" s="27" t="str">
        <f aca="false">IF(J1660="","",MOD(P1660,4))</f>
        <v/>
      </c>
      <c r="R1660" s="27" t="str">
        <f aca="false">IF(J1660="","",INT(P1660/4))</f>
        <v/>
      </c>
      <c r="S1660" s="27" t="str">
        <f aca="false">IF(J1660="","",IF(AND('Daily Count Sheet'!$H$3=Q1660,MOD('Daily Count Sheet'!$I$3,J1660)=R1660),1,""))</f>
        <v/>
      </c>
      <c r="T1660" s="27" t="str">
        <f aca="false">IF(S1660=1,COUNTIF($S$2:S1660,1),"")</f>
        <v/>
      </c>
    </row>
    <row r="1661" customFormat="false" ht="15" hidden="false" customHeight="false" outlineLevel="0" collapsed="false">
      <c r="H1661" s="26"/>
      <c r="I1661" s="27" t="str">
        <f aca="false">IF(A1661="","",IF(H1661&lt;&gt;"",UPPER(TRIM(H1661)),IFERROR(CHOOSE(VALUE(E1661)+1,"A","B","C","D"),IF(OR(LEFT(UPPER(TRIM(E1661)),1)="F",UPPER(TRIM(E1661))="A"),"A",IF(OR(LEFT(UPPER(TRIM(E1661)),1)="M",UPPER(TRIM(E1661))="B"),"B",IF(OR(LEFT(UPPER(TRIM(E1661)),2)="SL",UPPER(TRIM(E1661))="C"),"C",IF(OR(LEFT(UPPER(TRIM(E1661)),1)="D",UPPER(TRIM(E1661))="D"),"D","")))))))</f>
        <v/>
      </c>
      <c r="J1661" s="27" t="str">
        <f aca="false">IF(I1661="","",IF(AND(I1661="D",Settings!$B$6&lt;&gt;"Yes"),"",IFERROR(INDEX(Settings!$C$9:$C$12,MATCH(I1661,Settings!$A$9:$A$12,0)),"")))</f>
        <v/>
      </c>
      <c r="K1661" s="27" t="str">
        <f aca="false">IF(J1661="","",COUNTIF($I$2:I1661,I1661))</f>
        <v/>
      </c>
      <c r="L1661" s="27" t="str">
        <f aca="false">IF(J1661="","",CHOOSE(Q1661+1,"Tue","Wed","Thu","Fri"))</f>
        <v/>
      </c>
      <c r="M1661" s="27" t="str">
        <f aca="false">IF(J1661="","",IF(J1661=1,"Every week",R1661+1&amp;" of "&amp;J1661))</f>
        <v/>
      </c>
      <c r="N1661" s="28" t="str">
        <f aca="false">IF(J1661="","",Settings!$B$4+R1661*7+Q1661)</f>
        <v/>
      </c>
      <c r="O1661" s="28" t="str">
        <f aca="true">IF(J1661="","",N1661+MAX(0,ROUNDUP((TODAY()-N1661)/(J1661*7),0))*J1661*7)</f>
        <v/>
      </c>
      <c r="P1661" s="27" t="str">
        <f aca="false">IF(J1661="","",MOD(K1661-1,J1661*4))</f>
        <v/>
      </c>
      <c r="Q1661" s="27" t="str">
        <f aca="false">IF(J1661="","",MOD(P1661,4))</f>
        <v/>
      </c>
      <c r="R1661" s="27" t="str">
        <f aca="false">IF(J1661="","",INT(P1661/4))</f>
        <v/>
      </c>
      <c r="S1661" s="27" t="str">
        <f aca="false">IF(J1661="","",IF(AND('Daily Count Sheet'!$H$3=Q1661,MOD('Daily Count Sheet'!$I$3,J1661)=R1661),1,""))</f>
        <v/>
      </c>
      <c r="T1661" s="27" t="str">
        <f aca="false">IF(S1661=1,COUNTIF($S$2:S1661,1),"")</f>
        <v/>
      </c>
    </row>
    <row r="1662" customFormat="false" ht="15" hidden="false" customHeight="false" outlineLevel="0" collapsed="false">
      <c r="H1662" s="26"/>
      <c r="I1662" s="27" t="str">
        <f aca="false">IF(A1662="","",IF(H1662&lt;&gt;"",UPPER(TRIM(H1662)),IFERROR(CHOOSE(VALUE(E1662)+1,"A","B","C","D"),IF(OR(LEFT(UPPER(TRIM(E1662)),1)="F",UPPER(TRIM(E1662))="A"),"A",IF(OR(LEFT(UPPER(TRIM(E1662)),1)="M",UPPER(TRIM(E1662))="B"),"B",IF(OR(LEFT(UPPER(TRIM(E1662)),2)="SL",UPPER(TRIM(E1662))="C"),"C",IF(OR(LEFT(UPPER(TRIM(E1662)),1)="D",UPPER(TRIM(E1662))="D"),"D","")))))))</f>
        <v/>
      </c>
      <c r="J1662" s="27" t="str">
        <f aca="false">IF(I1662="","",IF(AND(I1662="D",Settings!$B$6&lt;&gt;"Yes"),"",IFERROR(INDEX(Settings!$C$9:$C$12,MATCH(I1662,Settings!$A$9:$A$12,0)),"")))</f>
        <v/>
      </c>
      <c r="K1662" s="27" t="str">
        <f aca="false">IF(J1662="","",COUNTIF($I$2:I1662,I1662))</f>
        <v/>
      </c>
      <c r="L1662" s="27" t="str">
        <f aca="false">IF(J1662="","",CHOOSE(Q1662+1,"Tue","Wed","Thu","Fri"))</f>
        <v/>
      </c>
      <c r="M1662" s="27" t="str">
        <f aca="false">IF(J1662="","",IF(J1662=1,"Every week",R1662+1&amp;" of "&amp;J1662))</f>
        <v/>
      </c>
      <c r="N1662" s="28" t="str">
        <f aca="false">IF(J1662="","",Settings!$B$4+R1662*7+Q1662)</f>
        <v/>
      </c>
      <c r="O1662" s="28" t="str">
        <f aca="true">IF(J1662="","",N1662+MAX(0,ROUNDUP((TODAY()-N1662)/(J1662*7),0))*J1662*7)</f>
        <v/>
      </c>
      <c r="P1662" s="27" t="str">
        <f aca="false">IF(J1662="","",MOD(K1662-1,J1662*4))</f>
        <v/>
      </c>
      <c r="Q1662" s="27" t="str">
        <f aca="false">IF(J1662="","",MOD(P1662,4))</f>
        <v/>
      </c>
      <c r="R1662" s="27" t="str">
        <f aca="false">IF(J1662="","",INT(P1662/4))</f>
        <v/>
      </c>
      <c r="S1662" s="27" t="str">
        <f aca="false">IF(J1662="","",IF(AND('Daily Count Sheet'!$H$3=Q1662,MOD('Daily Count Sheet'!$I$3,J1662)=R1662),1,""))</f>
        <v/>
      </c>
      <c r="T1662" s="27" t="str">
        <f aca="false">IF(S1662=1,COUNTIF($S$2:S1662,1),"")</f>
        <v/>
      </c>
    </row>
    <row r="1663" customFormat="false" ht="15" hidden="false" customHeight="false" outlineLevel="0" collapsed="false">
      <c r="H1663" s="26"/>
      <c r="I1663" s="27" t="str">
        <f aca="false">IF(A1663="","",IF(H1663&lt;&gt;"",UPPER(TRIM(H1663)),IFERROR(CHOOSE(VALUE(E1663)+1,"A","B","C","D"),IF(OR(LEFT(UPPER(TRIM(E1663)),1)="F",UPPER(TRIM(E1663))="A"),"A",IF(OR(LEFT(UPPER(TRIM(E1663)),1)="M",UPPER(TRIM(E1663))="B"),"B",IF(OR(LEFT(UPPER(TRIM(E1663)),2)="SL",UPPER(TRIM(E1663))="C"),"C",IF(OR(LEFT(UPPER(TRIM(E1663)),1)="D",UPPER(TRIM(E1663))="D"),"D","")))))))</f>
        <v/>
      </c>
      <c r="J1663" s="27" t="str">
        <f aca="false">IF(I1663="","",IF(AND(I1663="D",Settings!$B$6&lt;&gt;"Yes"),"",IFERROR(INDEX(Settings!$C$9:$C$12,MATCH(I1663,Settings!$A$9:$A$12,0)),"")))</f>
        <v/>
      </c>
      <c r="K1663" s="27" t="str">
        <f aca="false">IF(J1663="","",COUNTIF($I$2:I1663,I1663))</f>
        <v/>
      </c>
      <c r="L1663" s="27" t="str">
        <f aca="false">IF(J1663="","",CHOOSE(Q1663+1,"Tue","Wed","Thu","Fri"))</f>
        <v/>
      </c>
      <c r="M1663" s="27" t="str">
        <f aca="false">IF(J1663="","",IF(J1663=1,"Every week",R1663+1&amp;" of "&amp;J1663))</f>
        <v/>
      </c>
      <c r="N1663" s="28" t="str">
        <f aca="false">IF(J1663="","",Settings!$B$4+R1663*7+Q1663)</f>
        <v/>
      </c>
      <c r="O1663" s="28" t="str">
        <f aca="true">IF(J1663="","",N1663+MAX(0,ROUNDUP((TODAY()-N1663)/(J1663*7),0))*J1663*7)</f>
        <v/>
      </c>
      <c r="P1663" s="27" t="str">
        <f aca="false">IF(J1663="","",MOD(K1663-1,J1663*4))</f>
        <v/>
      </c>
      <c r="Q1663" s="27" t="str">
        <f aca="false">IF(J1663="","",MOD(P1663,4))</f>
        <v/>
      </c>
      <c r="R1663" s="27" t="str">
        <f aca="false">IF(J1663="","",INT(P1663/4))</f>
        <v/>
      </c>
      <c r="S1663" s="27" t="str">
        <f aca="false">IF(J1663="","",IF(AND('Daily Count Sheet'!$H$3=Q1663,MOD('Daily Count Sheet'!$I$3,J1663)=R1663),1,""))</f>
        <v/>
      </c>
      <c r="T1663" s="27" t="str">
        <f aca="false">IF(S1663=1,COUNTIF($S$2:S1663,1),"")</f>
        <v/>
      </c>
    </row>
    <row r="1664" customFormat="false" ht="15" hidden="false" customHeight="false" outlineLevel="0" collapsed="false">
      <c r="H1664" s="26"/>
      <c r="I1664" s="27" t="str">
        <f aca="false">IF(A1664="","",IF(H1664&lt;&gt;"",UPPER(TRIM(H1664)),IFERROR(CHOOSE(VALUE(E1664)+1,"A","B","C","D"),IF(OR(LEFT(UPPER(TRIM(E1664)),1)="F",UPPER(TRIM(E1664))="A"),"A",IF(OR(LEFT(UPPER(TRIM(E1664)),1)="M",UPPER(TRIM(E1664))="B"),"B",IF(OR(LEFT(UPPER(TRIM(E1664)),2)="SL",UPPER(TRIM(E1664))="C"),"C",IF(OR(LEFT(UPPER(TRIM(E1664)),1)="D",UPPER(TRIM(E1664))="D"),"D","")))))))</f>
        <v/>
      </c>
      <c r="J1664" s="27" t="str">
        <f aca="false">IF(I1664="","",IF(AND(I1664="D",Settings!$B$6&lt;&gt;"Yes"),"",IFERROR(INDEX(Settings!$C$9:$C$12,MATCH(I1664,Settings!$A$9:$A$12,0)),"")))</f>
        <v/>
      </c>
      <c r="K1664" s="27" t="str">
        <f aca="false">IF(J1664="","",COUNTIF($I$2:I1664,I1664))</f>
        <v/>
      </c>
      <c r="L1664" s="27" t="str">
        <f aca="false">IF(J1664="","",CHOOSE(Q1664+1,"Tue","Wed","Thu","Fri"))</f>
        <v/>
      </c>
      <c r="M1664" s="27" t="str">
        <f aca="false">IF(J1664="","",IF(J1664=1,"Every week",R1664+1&amp;" of "&amp;J1664))</f>
        <v/>
      </c>
      <c r="N1664" s="28" t="str">
        <f aca="false">IF(J1664="","",Settings!$B$4+R1664*7+Q1664)</f>
        <v/>
      </c>
      <c r="O1664" s="28" t="str">
        <f aca="true">IF(J1664="","",N1664+MAX(0,ROUNDUP((TODAY()-N1664)/(J1664*7),0))*J1664*7)</f>
        <v/>
      </c>
      <c r="P1664" s="27" t="str">
        <f aca="false">IF(J1664="","",MOD(K1664-1,J1664*4))</f>
        <v/>
      </c>
      <c r="Q1664" s="27" t="str">
        <f aca="false">IF(J1664="","",MOD(P1664,4))</f>
        <v/>
      </c>
      <c r="R1664" s="27" t="str">
        <f aca="false">IF(J1664="","",INT(P1664/4))</f>
        <v/>
      </c>
      <c r="S1664" s="27" t="str">
        <f aca="false">IF(J1664="","",IF(AND('Daily Count Sheet'!$H$3=Q1664,MOD('Daily Count Sheet'!$I$3,J1664)=R1664),1,""))</f>
        <v/>
      </c>
      <c r="T1664" s="27" t="str">
        <f aca="false">IF(S1664=1,COUNTIF($S$2:S1664,1),"")</f>
        <v/>
      </c>
    </row>
    <row r="1665" customFormat="false" ht="15" hidden="false" customHeight="false" outlineLevel="0" collapsed="false">
      <c r="H1665" s="26"/>
      <c r="I1665" s="27" t="str">
        <f aca="false">IF(A1665="","",IF(H1665&lt;&gt;"",UPPER(TRIM(H1665)),IFERROR(CHOOSE(VALUE(E1665)+1,"A","B","C","D"),IF(OR(LEFT(UPPER(TRIM(E1665)),1)="F",UPPER(TRIM(E1665))="A"),"A",IF(OR(LEFT(UPPER(TRIM(E1665)),1)="M",UPPER(TRIM(E1665))="B"),"B",IF(OR(LEFT(UPPER(TRIM(E1665)),2)="SL",UPPER(TRIM(E1665))="C"),"C",IF(OR(LEFT(UPPER(TRIM(E1665)),1)="D",UPPER(TRIM(E1665))="D"),"D","")))))))</f>
        <v/>
      </c>
      <c r="J1665" s="27" t="str">
        <f aca="false">IF(I1665="","",IF(AND(I1665="D",Settings!$B$6&lt;&gt;"Yes"),"",IFERROR(INDEX(Settings!$C$9:$C$12,MATCH(I1665,Settings!$A$9:$A$12,0)),"")))</f>
        <v/>
      </c>
      <c r="K1665" s="27" t="str">
        <f aca="false">IF(J1665="","",COUNTIF($I$2:I1665,I1665))</f>
        <v/>
      </c>
      <c r="L1665" s="27" t="str">
        <f aca="false">IF(J1665="","",CHOOSE(Q1665+1,"Tue","Wed","Thu","Fri"))</f>
        <v/>
      </c>
      <c r="M1665" s="27" t="str">
        <f aca="false">IF(J1665="","",IF(J1665=1,"Every week",R1665+1&amp;" of "&amp;J1665))</f>
        <v/>
      </c>
      <c r="N1665" s="28" t="str">
        <f aca="false">IF(J1665="","",Settings!$B$4+R1665*7+Q1665)</f>
        <v/>
      </c>
      <c r="O1665" s="28" t="str">
        <f aca="true">IF(J1665="","",N1665+MAX(0,ROUNDUP((TODAY()-N1665)/(J1665*7),0))*J1665*7)</f>
        <v/>
      </c>
      <c r="P1665" s="27" t="str">
        <f aca="false">IF(J1665="","",MOD(K1665-1,J1665*4))</f>
        <v/>
      </c>
      <c r="Q1665" s="27" t="str">
        <f aca="false">IF(J1665="","",MOD(P1665,4))</f>
        <v/>
      </c>
      <c r="R1665" s="27" t="str">
        <f aca="false">IF(J1665="","",INT(P1665/4))</f>
        <v/>
      </c>
      <c r="S1665" s="27" t="str">
        <f aca="false">IF(J1665="","",IF(AND('Daily Count Sheet'!$H$3=Q1665,MOD('Daily Count Sheet'!$I$3,J1665)=R1665),1,""))</f>
        <v/>
      </c>
      <c r="T1665" s="27" t="str">
        <f aca="false">IF(S1665=1,COUNTIF($S$2:S1665,1),"")</f>
        <v/>
      </c>
    </row>
    <row r="1666" customFormat="false" ht="15" hidden="false" customHeight="false" outlineLevel="0" collapsed="false">
      <c r="H1666" s="26"/>
      <c r="I1666" s="27" t="str">
        <f aca="false">IF(A1666="","",IF(H1666&lt;&gt;"",UPPER(TRIM(H1666)),IFERROR(CHOOSE(VALUE(E1666)+1,"A","B","C","D"),IF(OR(LEFT(UPPER(TRIM(E1666)),1)="F",UPPER(TRIM(E1666))="A"),"A",IF(OR(LEFT(UPPER(TRIM(E1666)),1)="M",UPPER(TRIM(E1666))="B"),"B",IF(OR(LEFT(UPPER(TRIM(E1666)),2)="SL",UPPER(TRIM(E1666))="C"),"C",IF(OR(LEFT(UPPER(TRIM(E1666)),1)="D",UPPER(TRIM(E1666))="D"),"D","")))))))</f>
        <v/>
      </c>
      <c r="J1666" s="27" t="str">
        <f aca="false">IF(I1666="","",IF(AND(I1666="D",Settings!$B$6&lt;&gt;"Yes"),"",IFERROR(INDEX(Settings!$C$9:$C$12,MATCH(I1666,Settings!$A$9:$A$12,0)),"")))</f>
        <v/>
      </c>
      <c r="K1666" s="27" t="str">
        <f aca="false">IF(J1666="","",COUNTIF($I$2:I1666,I1666))</f>
        <v/>
      </c>
      <c r="L1666" s="27" t="str">
        <f aca="false">IF(J1666="","",CHOOSE(Q1666+1,"Tue","Wed","Thu","Fri"))</f>
        <v/>
      </c>
      <c r="M1666" s="27" t="str">
        <f aca="false">IF(J1666="","",IF(J1666=1,"Every week",R1666+1&amp;" of "&amp;J1666))</f>
        <v/>
      </c>
      <c r="N1666" s="28" t="str">
        <f aca="false">IF(J1666="","",Settings!$B$4+R1666*7+Q1666)</f>
        <v/>
      </c>
      <c r="O1666" s="28" t="str">
        <f aca="true">IF(J1666="","",N1666+MAX(0,ROUNDUP((TODAY()-N1666)/(J1666*7),0))*J1666*7)</f>
        <v/>
      </c>
      <c r="P1666" s="27" t="str">
        <f aca="false">IF(J1666="","",MOD(K1666-1,J1666*4))</f>
        <v/>
      </c>
      <c r="Q1666" s="27" t="str">
        <f aca="false">IF(J1666="","",MOD(P1666,4))</f>
        <v/>
      </c>
      <c r="R1666" s="27" t="str">
        <f aca="false">IF(J1666="","",INT(P1666/4))</f>
        <v/>
      </c>
      <c r="S1666" s="27" t="str">
        <f aca="false">IF(J1666="","",IF(AND('Daily Count Sheet'!$H$3=Q1666,MOD('Daily Count Sheet'!$I$3,J1666)=R1666),1,""))</f>
        <v/>
      </c>
      <c r="T1666" s="27" t="str">
        <f aca="false">IF(S1666=1,COUNTIF($S$2:S1666,1),"")</f>
        <v/>
      </c>
    </row>
    <row r="1667" customFormat="false" ht="15" hidden="false" customHeight="false" outlineLevel="0" collapsed="false">
      <c r="H1667" s="26"/>
      <c r="I1667" s="27" t="str">
        <f aca="false">IF(A1667="","",IF(H1667&lt;&gt;"",UPPER(TRIM(H1667)),IFERROR(CHOOSE(VALUE(E1667)+1,"A","B","C","D"),IF(OR(LEFT(UPPER(TRIM(E1667)),1)="F",UPPER(TRIM(E1667))="A"),"A",IF(OR(LEFT(UPPER(TRIM(E1667)),1)="M",UPPER(TRIM(E1667))="B"),"B",IF(OR(LEFT(UPPER(TRIM(E1667)),2)="SL",UPPER(TRIM(E1667))="C"),"C",IF(OR(LEFT(UPPER(TRIM(E1667)),1)="D",UPPER(TRIM(E1667))="D"),"D","")))))))</f>
        <v/>
      </c>
      <c r="J1667" s="27" t="str">
        <f aca="false">IF(I1667="","",IF(AND(I1667="D",Settings!$B$6&lt;&gt;"Yes"),"",IFERROR(INDEX(Settings!$C$9:$C$12,MATCH(I1667,Settings!$A$9:$A$12,0)),"")))</f>
        <v/>
      </c>
      <c r="K1667" s="27" t="str">
        <f aca="false">IF(J1667="","",COUNTIF($I$2:I1667,I1667))</f>
        <v/>
      </c>
      <c r="L1667" s="27" t="str">
        <f aca="false">IF(J1667="","",CHOOSE(Q1667+1,"Tue","Wed","Thu","Fri"))</f>
        <v/>
      </c>
      <c r="M1667" s="27" t="str">
        <f aca="false">IF(J1667="","",IF(J1667=1,"Every week",R1667+1&amp;" of "&amp;J1667))</f>
        <v/>
      </c>
      <c r="N1667" s="28" t="str">
        <f aca="false">IF(J1667="","",Settings!$B$4+R1667*7+Q1667)</f>
        <v/>
      </c>
      <c r="O1667" s="28" t="str">
        <f aca="true">IF(J1667="","",N1667+MAX(0,ROUNDUP((TODAY()-N1667)/(J1667*7),0))*J1667*7)</f>
        <v/>
      </c>
      <c r="P1667" s="27" t="str">
        <f aca="false">IF(J1667="","",MOD(K1667-1,J1667*4))</f>
        <v/>
      </c>
      <c r="Q1667" s="27" t="str">
        <f aca="false">IF(J1667="","",MOD(P1667,4))</f>
        <v/>
      </c>
      <c r="R1667" s="27" t="str">
        <f aca="false">IF(J1667="","",INT(P1667/4))</f>
        <v/>
      </c>
      <c r="S1667" s="27" t="str">
        <f aca="false">IF(J1667="","",IF(AND('Daily Count Sheet'!$H$3=Q1667,MOD('Daily Count Sheet'!$I$3,J1667)=R1667),1,""))</f>
        <v/>
      </c>
      <c r="T1667" s="27" t="str">
        <f aca="false">IF(S1667=1,COUNTIF($S$2:S1667,1),"")</f>
        <v/>
      </c>
    </row>
    <row r="1668" customFormat="false" ht="15" hidden="false" customHeight="false" outlineLevel="0" collapsed="false">
      <c r="H1668" s="26"/>
      <c r="I1668" s="27" t="str">
        <f aca="false">IF(A1668="","",IF(H1668&lt;&gt;"",UPPER(TRIM(H1668)),IFERROR(CHOOSE(VALUE(E1668)+1,"A","B","C","D"),IF(OR(LEFT(UPPER(TRIM(E1668)),1)="F",UPPER(TRIM(E1668))="A"),"A",IF(OR(LEFT(UPPER(TRIM(E1668)),1)="M",UPPER(TRIM(E1668))="B"),"B",IF(OR(LEFT(UPPER(TRIM(E1668)),2)="SL",UPPER(TRIM(E1668))="C"),"C",IF(OR(LEFT(UPPER(TRIM(E1668)),1)="D",UPPER(TRIM(E1668))="D"),"D","")))))))</f>
        <v/>
      </c>
      <c r="J1668" s="27" t="str">
        <f aca="false">IF(I1668="","",IF(AND(I1668="D",Settings!$B$6&lt;&gt;"Yes"),"",IFERROR(INDEX(Settings!$C$9:$C$12,MATCH(I1668,Settings!$A$9:$A$12,0)),"")))</f>
        <v/>
      </c>
      <c r="K1668" s="27" t="str">
        <f aca="false">IF(J1668="","",COUNTIF($I$2:I1668,I1668))</f>
        <v/>
      </c>
      <c r="L1668" s="27" t="str">
        <f aca="false">IF(J1668="","",CHOOSE(Q1668+1,"Tue","Wed","Thu","Fri"))</f>
        <v/>
      </c>
      <c r="M1668" s="27" t="str">
        <f aca="false">IF(J1668="","",IF(J1668=1,"Every week",R1668+1&amp;" of "&amp;J1668))</f>
        <v/>
      </c>
      <c r="N1668" s="28" t="str">
        <f aca="false">IF(J1668="","",Settings!$B$4+R1668*7+Q1668)</f>
        <v/>
      </c>
      <c r="O1668" s="28" t="str">
        <f aca="true">IF(J1668="","",N1668+MAX(0,ROUNDUP((TODAY()-N1668)/(J1668*7),0))*J1668*7)</f>
        <v/>
      </c>
      <c r="P1668" s="27" t="str">
        <f aca="false">IF(J1668="","",MOD(K1668-1,J1668*4))</f>
        <v/>
      </c>
      <c r="Q1668" s="27" t="str">
        <f aca="false">IF(J1668="","",MOD(P1668,4))</f>
        <v/>
      </c>
      <c r="R1668" s="27" t="str">
        <f aca="false">IF(J1668="","",INT(P1668/4))</f>
        <v/>
      </c>
      <c r="S1668" s="27" t="str">
        <f aca="false">IF(J1668="","",IF(AND('Daily Count Sheet'!$H$3=Q1668,MOD('Daily Count Sheet'!$I$3,J1668)=R1668),1,""))</f>
        <v/>
      </c>
      <c r="T1668" s="27" t="str">
        <f aca="false">IF(S1668=1,COUNTIF($S$2:S1668,1),"")</f>
        <v/>
      </c>
    </row>
    <row r="1669" customFormat="false" ht="15" hidden="false" customHeight="false" outlineLevel="0" collapsed="false">
      <c r="H1669" s="26"/>
      <c r="I1669" s="27" t="str">
        <f aca="false">IF(A1669="","",IF(H1669&lt;&gt;"",UPPER(TRIM(H1669)),IFERROR(CHOOSE(VALUE(E1669)+1,"A","B","C","D"),IF(OR(LEFT(UPPER(TRIM(E1669)),1)="F",UPPER(TRIM(E1669))="A"),"A",IF(OR(LEFT(UPPER(TRIM(E1669)),1)="M",UPPER(TRIM(E1669))="B"),"B",IF(OR(LEFT(UPPER(TRIM(E1669)),2)="SL",UPPER(TRIM(E1669))="C"),"C",IF(OR(LEFT(UPPER(TRIM(E1669)),1)="D",UPPER(TRIM(E1669))="D"),"D","")))))))</f>
        <v/>
      </c>
      <c r="J1669" s="27" t="str">
        <f aca="false">IF(I1669="","",IF(AND(I1669="D",Settings!$B$6&lt;&gt;"Yes"),"",IFERROR(INDEX(Settings!$C$9:$C$12,MATCH(I1669,Settings!$A$9:$A$12,0)),"")))</f>
        <v/>
      </c>
      <c r="K1669" s="27" t="str">
        <f aca="false">IF(J1669="","",COUNTIF($I$2:I1669,I1669))</f>
        <v/>
      </c>
      <c r="L1669" s="27" t="str">
        <f aca="false">IF(J1669="","",CHOOSE(Q1669+1,"Tue","Wed","Thu","Fri"))</f>
        <v/>
      </c>
      <c r="M1669" s="27" t="str">
        <f aca="false">IF(J1669="","",IF(J1669=1,"Every week",R1669+1&amp;" of "&amp;J1669))</f>
        <v/>
      </c>
      <c r="N1669" s="28" t="str">
        <f aca="false">IF(J1669="","",Settings!$B$4+R1669*7+Q1669)</f>
        <v/>
      </c>
      <c r="O1669" s="28" t="str">
        <f aca="true">IF(J1669="","",N1669+MAX(0,ROUNDUP((TODAY()-N1669)/(J1669*7),0))*J1669*7)</f>
        <v/>
      </c>
      <c r="P1669" s="27" t="str">
        <f aca="false">IF(J1669="","",MOD(K1669-1,J1669*4))</f>
        <v/>
      </c>
      <c r="Q1669" s="27" t="str">
        <f aca="false">IF(J1669="","",MOD(P1669,4))</f>
        <v/>
      </c>
      <c r="R1669" s="27" t="str">
        <f aca="false">IF(J1669="","",INT(P1669/4))</f>
        <v/>
      </c>
      <c r="S1669" s="27" t="str">
        <f aca="false">IF(J1669="","",IF(AND('Daily Count Sheet'!$H$3=Q1669,MOD('Daily Count Sheet'!$I$3,J1669)=R1669),1,""))</f>
        <v/>
      </c>
      <c r="T1669" s="27" t="str">
        <f aca="false">IF(S1669=1,COUNTIF($S$2:S1669,1),"")</f>
        <v/>
      </c>
    </row>
    <row r="1670" customFormat="false" ht="15" hidden="false" customHeight="false" outlineLevel="0" collapsed="false">
      <c r="H1670" s="26"/>
      <c r="I1670" s="27" t="str">
        <f aca="false">IF(A1670="","",IF(H1670&lt;&gt;"",UPPER(TRIM(H1670)),IFERROR(CHOOSE(VALUE(E1670)+1,"A","B","C","D"),IF(OR(LEFT(UPPER(TRIM(E1670)),1)="F",UPPER(TRIM(E1670))="A"),"A",IF(OR(LEFT(UPPER(TRIM(E1670)),1)="M",UPPER(TRIM(E1670))="B"),"B",IF(OR(LEFT(UPPER(TRIM(E1670)),2)="SL",UPPER(TRIM(E1670))="C"),"C",IF(OR(LEFT(UPPER(TRIM(E1670)),1)="D",UPPER(TRIM(E1670))="D"),"D","")))))))</f>
        <v/>
      </c>
      <c r="J1670" s="27" t="str">
        <f aca="false">IF(I1670="","",IF(AND(I1670="D",Settings!$B$6&lt;&gt;"Yes"),"",IFERROR(INDEX(Settings!$C$9:$C$12,MATCH(I1670,Settings!$A$9:$A$12,0)),"")))</f>
        <v/>
      </c>
      <c r="K1670" s="27" t="str">
        <f aca="false">IF(J1670="","",COUNTIF($I$2:I1670,I1670))</f>
        <v/>
      </c>
      <c r="L1670" s="27" t="str">
        <f aca="false">IF(J1670="","",CHOOSE(Q1670+1,"Tue","Wed","Thu","Fri"))</f>
        <v/>
      </c>
      <c r="M1670" s="27" t="str">
        <f aca="false">IF(J1670="","",IF(J1670=1,"Every week",R1670+1&amp;" of "&amp;J1670))</f>
        <v/>
      </c>
      <c r="N1670" s="28" t="str">
        <f aca="false">IF(J1670="","",Settings!$B$4+R1670*7+Q1670)</f>
        <v/>
      </c>
      <c r="O1670" s="28" t="str">
        <f aca="true">IF(J1670="","",N1670+MAX(0,ROUNDUP((TODAY()-N1670)/(J1670*7),0))*J1670*7)</f>
        <v/>
      </c>
      <c r="P1670" s="27" t="str">
        <f aca="false">IF(J1670="","",MOD(K1670-1,J1670*4))</f>
        <v/>
      </c>
      <c r="Q1670" s="27" t="str">
        <f aca="false">IF(J1670="","",MOD(P1670,4))</f>
        <v/>
      </c>
      <c r="R1670" s="27" t="str">
        <f aca="false">IF(J1670="","",INT(P1670/4))</f>
        <v/>
      </c>
      <c r="S1670" s="27" t="str">
        <f aca="false">IF(J1670="","",IF(AND('Daily Count Sheet'!$H$3=Q1670,MOD('Daily Count Sheet'!$I$3,J1670)=R1670),1,""))</f>
        <v/>
      </c>
      <c r="T1670" s="27" t="str">
        <f aca="false">IF(S1670=1,COUNTIF($S$2:S1670,1),"")</f>
        <v/>
      </c>
    </row>
    <row r="1671" customFormat="false" ht="15" hidden="false" customHeight="false" outlineLevel="0" collapsed="false">
      <c r="H1671" s="26"/>
      <c r="I1671" s="27" t="str">
        <f aca="false">IF(A1671="","",IF(H1671&lt;&gt;"",UPPER(TRIM(H1671)),IFERROR(CHOOSE(VALUE(E1671)+1,"A","B","C","D"),IF(OR(LEFT(UPPER(TRIM(E1671)),1)="F",UPPER(TRIM(E1671))="A"),"A",IF(OR(LEFT(UPPER(TRIM(E1671)),1)="M",UPPER(TRIM(E1671))="B"),"B",IF(OR(LEFT(UPPER(TRIM(E1671)),2)="SL",UPPER(TRIM(E1671))="C"),"C",IF(OR(LEFT(UPPER(TRIM(E1671)),1)="D",UPPER(TRIM(E1671))="D"),"D","")))))))</f>
        <v/>
      </c>
      <c r="J1671" s="27" t="str">
        <f aca="false">IF(I1671="","",IF(AND(I1671="D",Settings!$B$6&lt;&gt;"Yes"),"",IFERROR(INDEX(Settings!$C$9:$C$12,MATCH(I1671,Settings!$A$9:$A$12,0)),"")))</f>
        <v/>
      </c>
      <c r="K1671" s="27" t="str">
        <f aca="false">IF(J1671="","",COUNTIF($I$2:I1671,I1671))</f>
        <v/>
      </c>
      <c r="L1671" s="27" t="str">
        <f aca="false">IF(J1671="","",CHOOSE(Q1671+1,"Tue","Wed","Thu","Fri"))</f>
        <v/>
      </c>
      <c r="M1671" s="27" t="str">
        <f aca="false">IF(J1671="","",IF(J1671=1,"Every week",R1671+1&amp;" of "&amp;J1671))</f>
        <v/>
      </c>
      <c r="N1671" s="28" t="str">
        <f aca="false">IF(J1671="","",Settings!$B$4+R1671*7+Q1671)</f>
        <v/>
      </c>
      <c r="O1671" s="28" t="str">
        <f aca="true">IF(J1671="","",N1671+MAX(0,ROUNDUP((TODAY()-N1671)/(J1671*7),0))*J1671*7)</f>
        <v/>
      </c>
      <c r="P1671" s="27" t="str">
        <f aca="false">IF(J1671="","",MOD(K1671-1,J1671*4))</f>
        <v/>
      </c>
      <c r="Q1671" s="27" t="str">
        <f aca="false">IF(J1671="","",MOD(P1671,4))</f>
        <v/>
      </c>
      <c r="R1671" s="27" t="str">
        <f aca="false">IF(J1671="","",INT(P1671/4))</f>
        <v/>
      </c>
      <c r="S1671" s="27" t="str">
        <f aca="false">IF(J1671="","",IF(AND('Daily Count Sheet'!$H$3=Q1671,MOD('Daily Count Sheet'!$I$3,J1671)=R1671),1,""))</f>
        <v/>
      </c>
      <c r="T1671" s="27" t="str">
        <f aca="false">IF(S1671=1,COUNTIF($S$2:S1671,1),"")</f>
        <v/>
      </c>
    </row>
    <row r="1672" customFormat="false" ht="15" hidden="false" customHeight="false" outlineLevel="0" collapsed="false">
      <c r="H1672" s="26"/>
      <c r="I1672" s="27" t="str">
        <f aca="false">IF(A1672="","",IF(H1672&lt;&gt;"",UPPER(TRIM(H1672)),IFERROR(CHOOSE(VALUE(E1672)+1,"A","B","C","D"),IF(OR(LEFT(UPPER(TRIM(E1672)),1)="F",UPPER(TRIM(E1672))="A"),"A",IF(OR(LEFT(UPPER(TRIM(E1672)),1)="M",UPPER(TRIM(E1672))="B"),"B",IF(OR(LEFT(UPPER(TRIM(E1672)),2)="SL",UPPER(TRIM(E1672))="C"),"C",IF(OR(LEFT(UPPER(TRIM(E1672)),1)="D",UPPER(TRIM(E1672))="D"),"D","")))))))</f>
        <v/>
      </c>
      <c r="J1672" s="27" t="str">
        <f aca="false">IF(I1672="","",IF(AND(I1672="D",Settings!$B$6&lt;&gt;"Yes"),"",IFERROR(INDEX(Settings!$C$9:$C$12,MATCH(I1672,Settings!$A$9:$A$12,0)),"")))</f>
        <v/>
      </c>
      <c r="K1672" s="27" t="str">
        <f aca="false">IF(J1672="","",COUNTIF($I$2:I1672,I1672))</f>
        <v/>
      </c>
      <c r="L1672" s="27" t="str">
        <f aca="false">IF(J1672="","",CHOOSE(Q1672+1,"Tue","Wed","Thu","Fri"))</f>
        <v/>
      </c>
      <c r="M1672" s="27" t="str">
        <f aca="false">IF(J1672="","",IF(J1672=1,"Every week",R1672+1&amp;" of "&amp;J1672))</f>
        <v/>
      </c>
      <c r="N1672" s="28" t="str">
        <f aca="false">IF(J1672="","",Settings!$B$4+R1672*7+Q1672)</f>
        <v/>
      </c>
      <c r="O1672" s="28" t="str">
        <f aca="true">IF(J1672="","",N1672+MAX(0,ROUNDUP((TODAY()-N1672)/(J1672*7),0))*J1672*7)</f>
        <v/>
      </c>
      <c r="P1672" s="27" t="str">
        <f aca="false">IF(J1672="","",MOD(K1672-1,J1672*4))</f>
        <v/>
      </c>
      <c r="Q1672" s="27" t="str">
        <f aca="false">IF(J1672="","",MOD(P1672,4))</f>
        <v/>
      </c>
      <c r="R1672" s="27" t="str">
        <f aca="false">IF(J1672="","",INT(P1672/4))</f>
        <v/>
      </c>
      <c r="S1672" s="27" t="str">
        <f aca="false">IF(J1672="","",IF(AND('Daily Count Sheet'!$H$3=Q1672,MOD('Daily Count Sheet'!$I$3,J1672)=R1672),1,""))</f>
        <v/>
      </c>
      <c r="T1672" s="27" t="str">
        <f aca="false">IF(S1672=1,COUNTIF($S$2:S1672,1),"")</f>
        <v/>
      </c>
    </row>
    <row r="1673" customFormat="false" ht="15" hidden="false" customHeight="false" outlineLevel="0" collapsed="false">
      <c r="H1673" s="26"/>
      <c r="I1673" s="27" t="str">
        <f aca="false">IF(A1673="","",IF(H1673&lt;&gt;"",UPPER(TRIM(H1673)),IFERROR(CHOOSE(VALUE(E1673)+1,"A","B","C","D"),IF(OR(LEFT(UPPER(TRIM(E1673)),1)="F",UPPER(TRIM(E1673))="A"),"A",IF(OR(LEFT(UPPER(TRIM(E1673)),1)="M",UPPER(TRIM(E1673))="B"),"B",IF(OR(LEFT(UPPER(TRIM(E1673)),2)="SL",UPPER(TRIM(E1673))="C"),"C",IF(OR(LEFT(UPPER(TRIM(E1673)),1)="D",UPPER(TRIM(E1673))="D"),"D","")))))))</f>
        <v/>
      </c>
      <c r="J1673" s="27" t="str">
        <f aca="false">IF(I1673="","",IF(AND(I1673="D",Settings!$B$6&lt;&gt;"Yes"),"",IFERROR(INDEX(Settings!$C$9:$C$12,MATCH(I1673,Settings!$A$9:$A$12,0)),"")))</f>
        <v/>
      </c>
      <c r="K1673" s="27" t="str">
        <f aca="false">IF(J1673="","",COUNTIF($I$2:I1673,I1673))</f>
        <v/>
      </c>
      <c r="L1673" s="27" t="str">
        <f aca="false">IF(J1673="","",CHOOSE(Q1673+1,"Tue","Wed","Thu","Fri"))</f>
        <v/>
      </c>
      <c r="M1673" s="27" t="str">
        <f aca="false">IF(J1673="","",IF(J1673=1,"Every week",R1673+1&amp;" of "&amp;J1673))</f>
        <v/>
      </c>
      <c r="N1673" s="28" t="str">
        <f aca="false">IF(J1673="","",Settings!$B$4+R1673*7+Q1673)</f>
        <v/>
      </c>
      <c r="O1673" s="28" t="str">
        <f aca="true">IF(J1673="","",N1673+MAX(0,ROUNDUP((TODAY()-N1673)/(J1673*7),0))*J1673*7)</f>
        <v/>
      </c>
      <c r="P1673" s="27" t="str">
        <f aca="false">IF(J1673="","",MOD(K1673-1,J1673*4))</f>
        <v/>
      </c>
      <c r="Q1673" s="27" t="str">
        <f aca="false">IF(J1673="","",MOD(P1673,4))</f>
        <v/>
      </c>
      <c r="R1673" s="27" t="str">
        <f aca="false">IF(J1673="","",INT(P1673/4))</f>
        <v/>
      </c>
      <c r="S1673" s="27" t="str">
        <f aca="false">IF(J1673="","",IF(AND('Daily Count Sheet'!$H$3=Q1673,MOD('Daily Count Sheet'!$I$3,J1673)=R1673),1,""))</f>
        <v/>
      </c>
      <c r="T1673" s="27" t="str">
        <f aca="false">IF(S1673=1,COUNTIF($S$2:S1673,1),"")</f>
        <v/>
      </c>
    </row>
    <row r="1674" customFormat="false" ht="15" hidden="false" customHeight="false" outlineLevel="0" collapsed="false">
      <c r="H1674" s="26"/>
      <c r="I1674" s="27" t="str">
        <f aca="false">IF(A1674="","",IF(H1674&lt;&gt;"",UPPER(TRIM(H1674)),IFERROR(CHOOSE(VALUE(E1674)+1,"A","B","C","D"),IF(OR(LEFT(UPPER(TRIM(E1674)),1)="F",UPPER(TRIM(E1674))="A"),"A",IF(OR(LEFT(UPPER(TRIM(E1674)),1)="M",UPPER(TRIM(E1674))="B"),"B",IF(OR(LEFT(UPPER(TRIM(E1674)),2)="SL",UPPER(TRIM(E1674))="C"),"C",IF(OR(LEFT(UPPER(TRIM(E1674)),1)="D",UPPER(TRIM(E1674))="D"),"D","")))))))</f>
        <v/>
      </c>
      <c r="J1674" s="27" t="str">
        <f aca="false">IF(I1674="","",IF(AND(I1674="D",Settings!$B$6&lt;&gt;"Yes"),"",IFERROR(INDEX(Settings!$C$9:$C$12,MATCH(I1674,Settings!$A$9:$A$12,0)),"")))</f>
        <v/>
      </c>
      <c r="K1674" s="27" t="str">
        <f aca="false">IF(J1674="","",COUNTIF($I$2:I1674,I1674))</f>
        <v/>
      </c>
      <c r="L1674" s="27" t="str">
        <f aca="false">IF(J1674="","",CHOOSE(Q1674+1,"Tue","Wed","Thu","Fri"))</f>
        <v/>
      </c>
      <c r="M1674" s="27" t="str">
        <f aca="false">IF(J1674="","",IF(J1674=1,"Every week",R1674+1&amp;" of "&amp;J1674))</f>
        <v/>
      </c>
      <c r="N1674" s="28" t="str">
        <f aca="false">IF(J1674="","",Settings!$B$4+R1674*7+Q1674)</f>
        <v/>
      </c>
      <c r="O1674" s="28" t="str">
        <f aca="true">IF(J1674="","",N1674+MAX(0,ROUNDUP((TODAY()-N1674)/(J1674*7),0))*J1674*7)</f>
        <v/>
      </c>
      <c r="P1674" s="27" t="str">
        <f aca="false">IF(J1674="","",MOD(K1674-1,J1674*4))</f>
        <v/>
      </c>
      <c r="Q1674" s="27" t="str">
        <f aca="false">IF(J1674="","",MOD(P1674,4))</f>
        <v/>
      </c>
      <c r="R1674" s="27" t="str">
        <f aca="false">IF(J1674="","",INT(P1674/4))</f>
        <v/>
      </c>
      <c r="S1674" s="27" t="str">
        <f aca="false">IF(J1674="","",IF(AND('Daily Count Sheet'!$H$3=Q1674,MOD('Daily Count Sheet'!$I$3,J1674)=R1674),1,""))</f>
        <v/>
      </c>
      <c r="T1674" s="27" t="str">
        <f aca="false">IF(S1674=1,COUNTIF($S$2:S1674,1),"")</f>
        <v/>
      </c>
    </row>
    <row r="1675" customFormat="false" ht="15" hidden="false" customHeight="false" outlineLevel="0" collapsed="false">
      <c r="H1675" s="26"/>
      <c r="I1675" s="27" t="str">
        <f aca="false">IF(A1675="","",IF(H1675&lt;&gt;"",UPPER(TRIM(H1675)),IFERROR(CHOOSE(VALUE(E1675)+1,"A","B","C","D"),IF(OR(LEFT(UPPER(TRIM(E1675)),1)="F",UPPER(TRIM(E1675))="A"),"A",IF(OR(LEFT(UPPER(TRIM(E1675)),1)="M",UPPER(TRIM(E1675))="B"),"B",IF(OR(LEFT(UPPER(TRIM(E1675)),2)="SL",UPPER(TRIM(E1675))="C"),"C",IF(OR(LEFT(UPPER(TRIM(E1675)),1)="D",UPPER(TRIM(E1675))="D"),"D","")))))))</f>
        <v/>
      </c>
      <c r="J1675" s="27" t="str">
        <f aca="false">IF(I1675="","",IF(AND(I1675="D",Settings!$B$6&lt;&gt;"Yes"),"",IFERROR(INDEX(Settings!$C$9:$C$12,MATCH(I1675,Settings!$A$9:$A$12,0)),"")))</f>
        <v/>
      </c>
      <c r="K1675" s="27" t="str">
        <f aca="false">IF(J1675="","",COUNTIF($I$2:I1675,I1675))</f>
        <v/>
      </c>
      <c r="L1675" s="27" t="str">
        <f aca="false">IF(J1675="","",CHOOSE(Q1675+1,"Tue","Wed","Thu","Fri"))</f>
        <v/>
      </c>
      <c r="M1675" s="27" t="str">
        <f aca="false">IF(J1675="","",IF(J1675=1,"Every week",R1675+1&amp;" of "&amp;J1675))</f>
        <v/>
      </c>
      <c r="N1675" s="28" t="str">
        <f aca="false">IF(J1675="","",Settings!$B$4+R1675*7+Q1675)</f>
        <v/>
      </c>
      <c r="O1675" s="28" t="str">
        <f aca="true">IF(J1675="","",N1675+MAX(0,ROUNDUP((TODAY()-N1675)/(J1675*7),0))*J1675*7)</f>
        <v/>
      </c>
      <c r="P1675" s="27" t="str">
        <f aca="false">IF(J1675="","",MOD(K1675-1,J1675*4))</f>
        <v/>
      </c>
      <c r="Q1675" s="27" t="str">
        <f aca="false">IF(J1675="","",MOD(P1675,4))</f>
        <v/>
      </c>
      <c r="R1675" s="27" t="str">
        <f aca="false">IF(J1675="","",INT(P1675/4))</f>
        <v/>
      </c>
      <c r="S1675" s="27" t="str">
        <f aca="false">IF(J1675="","",IF(AND('Daily Count Sheet'!$H$3=Q1675,MOD('Daily Count Sheet'!$I$3,J1675)=R1675),1,""))</f>
        <v/>
      </c>
      <c r="T1675" s="27" t="str">
        <f aca="false">IF(S1675=1,COUNTIF($S$2:S1675,1),"")</f>
        <v/>
      </c>
    </row>
    <row r="1676" customFormat="false" ht="15" hidden="false" customHeight="false" outlineLevel="0" collapsed="false">
      <c r="H1676" s="26"/>
      <c r="I1676" s="27" t="str">
        <f aca="false">IF(A1676="","",IF(H1676&lt;&gt;"",UPPER(TRIM(H1676)),IFERROR(CHOOSE(VALUE(E1676)+1,"A","B","C","D"),IF(OR(LEFT(UPPER(TRIM(E1676)),1)="F",UPPER(TRIM(E1676))="A"),"A",IF(OR(LEFT(UPPER(TRIM(E1676)),1)="M",UPPER(TRIM(E1676))="B"),"B",IF(OR(LEFT(UPPER(TRIM(E1676)),2)="SL",UPPER(TRIM(E1676))="C"),"C",IF(OR(LEFT(UPPER(TRIM(E1676)),1)="D",UPPER(TRIM(E1676))="D"),"D","")))))))</f>
        <v/>
      </c>
      <c r="J1676" s="27" t="str">
        <f aca="false">IF(I1676="","",IF(AND(I1676="D",Settings!$B$6&lt;&gt;"Yes"),"",IFERROR(INDEX(Settings!$C$9:$C$12,MATCH(I1676,Settings!$A$9:$A$12,0)),"")))</f>
        <v/>
      </c>
      <c r="K1676" s="27" t="str">
        <f aca="false">IF(J1676="","",COUNTIF($I$2:I1676,I1676))</f>
        <v/>
      </c>
      <c r="L1676" s="27" t="str">
        <f aca="false">IF(J1676="","",CHOOSE(Q1676+1,"Tue","Wed","Thu","Fri"))</f>
        <v/>
      </c>
      <c r="M1676" s="27" t="str">
        <f aca="false">IF(J1676="","",IF(J1676=1,"Every week",R1676+1&amp;" of "&amp;J1676))</f>
        <v/>
      </c>
      <c r="N1676" s="28" t="str">
        <f aca="false">IF(J1676="","",Settings!$B$4+R1676*7+Q1676)</f>
        <v/>
      </c>
      <c r="O1676" s="28" t="str">
        <f aca="true">IF(J1676="","",N1676+MAX(0,ROUNDUP((TODAY()-N1676)/(J1676*7),0))*J1676*7)</f>
        <v/>
      </c>
      <c r="P1676" s="27" t="str">
        <f aca="false">IF(J1676="","",MOD(K1676-1,J1676*4))</f>
        <v/>
      </c>
      <c r="Q1676" s="27" t="str">
        <f aca="false">IF(J1676="","",MOD(P1676,4))</f>
        <v/>
      </c>
      <c r="R1676" s="27" t="str">
        <f aca="false">IF(J1676="","",INT(P1676/4))</f>
        <v/>
      </c>
      <c r="S1676" s="27" t="str">
        <f aca="false">IF(J1676="","",IF(AND('Daily Count Sheet'!$H$3=Q1676,MOD('Daily Count Sheet'!$I$3,J1676)=R1676),1,""))</f>
        <v/>
      </c>
      <c r="T1676" s="27" t="str">
        <f aca="false">IF(S1676=1,COUNTIF($S$2:S1676,1),"")</f>
        <v/>
      </c>
    </row>
    <row r="1677" customFormat="false" ht="15" hidden="false" customHeight="false" outlineLevel="0" collapsed="false">
      <c r="H1677" s="26"/>
      <c r="I1677" s="27" t="str">
        <f aca="false">IF(A1677="","",IF(H1677&lt;&gt;"",UPPER(TRIM(H1677)),IFERROR(CHOOSE(VALUE(E1677)+1,"A","B","C","D"),IF(OR(LEFT(UPPER(TRIM(E1677)),1)="F",UPPER(TRIM(E1677))="A"),"A",IF(OR(LEFT(UPPER(TRIM(E1677)),1)="M",UPPER(TRIM(E1677))="B"),"B",IF(OR(LEFT(UPPER(TRIM(E1677)),2)="SL",UPPER(TRIM(E1677))="C"),"C",IF(OR(LEFT(UPPER(TRIM(E1677)),1)="D",UPPER(TRIM(E1677))="D"),"D","")))))))</f>
        <v/>
      </c>
      <c r="J1677" s="27" t="str">
        <f aca="false">IF(I1677="","",IF(AND(I1677="D",Settings!$B$6&lt;&gt;"Yes"),"",IFERROR(INDEX(Settings!$C$9:$C$12,MATCH(I1677,Settings!$A$9:$A$12,0)),"")))</f>
        <v/>
      </c>
      <c r="K1677" s="27" t="str">
        <f aca="false">IF(J1677="","",COUNTIF($I$2:I1677,I1677))</f>
        <v/>
      </c>
      <c r="L1677" s="27" t="str">
        <f aca="false">IF(J1677="","",CHOOSE(Q1677+1,"Tue","Wed","Thu","Fri"))</f>
        <v/>
      </c>
      <c r="M1677" s="27" t="str">
        <f aca="false">IF(J1677="","",IF(J1677=1,"Every week",R1677+1&amp;" of "&amp;J1677))</f>
        <v/>
      </c>
      <c r="N1677" s="28" t="str">
        <f aca="false">IF(J1677="","",Settings!$B$4+R1677*7+Q1677)</f>
        <v/>
      </c>
      <c r="O1677" s="28" t="str">
        <f aca="true">IF(J1677="","",N1677+MAX(0,ROUNDUP((TODAY()-N1677)/(J1677*7),0))*J1677*7)</f>
        <v/>
      </c>
      <c r="P1677" s="27" t="str">
        <f aca="false">IF(J1677="","",MOD(K1677-1,J1677*4))</f>
        <v/>
      </c>
      <c r="Q1677" s="27" t="str">
        <f aca="false">IF(J1677="","",MOD(P1677,4))</f>
        <v/>
      </c>
      <c r="R1677" s="27" t="str">
        <f aca="false">IF(J1677="","",INT(P1677/4))</f>
        <v/>
      </c>
      <c r="S1677" s="27" t="str">
        <f aca="false">IF(J1677="","",IF(AND('Daily Count Sheet'!$H$3=Q1677,MOD('Daily Count Sheet'!$I$3,J1677)=R1677),1,""))</f>
        <v/>
      </c>
      <c r="T1677" s="27" t="str">
        <f aca="false">IF(S1677=1,COUNTIF($S$2:S1677,1),"")</f>
        <v/>
      </c>
    </row>
    <row r="1678" customFormat="false" ht="15" hidden="false" customHeight="false" outlineLevel="0" collapsed="false">
      <c r="H1678" s="26"/>
      <c r="I1678" s="27" t="str">
        <f aca="false">IF(A1678="","",IF(H1678&lt;&gt;"",UPPER(TRIM(H1678)),IFERROR(CHOOSE(VALUE(E1678)+1,"A","B","C","D"),IF(OR(LEFT(UPPER(TRIM(E1678)),1)="F",UPPER(TRIM(E1678))="A"),"A",IF(OR(LEFT(UPPER(TRIM(E1678)),1)="M",UPPER(TRIM(E1678))="B"),"B",IF(OR(LEFT(UPPER(TRIM(E1678)),2)="SL",UPPER(TRIM(E1678))="C"),"C",IF(OR(LEFT(UPPER(TRIM(E1678)),1)="D",UPPER(TRIM(E1678))="D"),"D","")))))))</f>
        <v/>
      </c>
      <c r="J1678" s="27" t="str">
        <f aca="false">IF(I1678="","",IF(AND(I1678="D",Settings!$B$6&lt;&gt;"Yes"),"",IFERROR(INDEX(Settings!$C$9:$C$12,MATCH(I1678,Settings!$A$9:$A$12,0)),"")))</f>
        <v/>
      </c>
      <c r="K1678" s="27" t="str">
        <f aca="false">IF(J1678="","",COUNTIF($I$2:I1678,I1678))</f>
        <v/>
      </c>
      <c r="L1678" s="27" t="str">
        <f aca="false">IF(J1678="","",CHOOSE(Q1678+1,"Tue","Wed","Thu","Fri"))</f>
        <v/>
      </c>
      <c r="M1678" s="27" t="str">
        <f aca="false">IF(J1678="","",IF(J1678=1,"Every week",R1678+1&amp;" of "&amp;J1678))</f>
        <v/>
      </c>
      <c r="N1678" s="28" t="str">
        <f aca="false">IF(J1678="","",Settings!$B$4+R1678*7+Q1678)</f>
        <v/>
      </c>
      <c r="O1678" s="28" t="str">
        <f aca="true">IF(J1678="","",N1678+MAX(0,ROUNDUP((TODAY()-N1678)/(J1678*7),0))*J1678*7)</f>
        <v/>
      </c>
      <c r="P1678" s="27" t="str">
        <f aca="false">IF(J1678="","",MOD(K1678-1,J1678*4))</f>
        <v/>
      </c>
      <c r="Q1678" s="27" t="str">
        <f aca="false">IF(J1678="","",MOD(P1678,4))</f>
        <v/>
      </c>
      <c r="R1678" s="27" t="str">
        <f aca="false">IF(J1678="","",INT(P1678/4))</f>
        <v/>
      </c>
      <c r="S1678" s="27" t="str">
        <f aca="false">IF(J1678="","",IF(AND('Daily Count Sheet'!$H$3=Q1678,MOD('Daily Count Sheet'!$I$3,J1678)=R1678),1,""))</f>
        <v/>
      </c>
      <c r="T1678" s="27" t="str">
        <f aca="false">IF(S1678=1,COUNTIF($S$2:S1678,1),"")</f>
        <v/>
      </c>
    </row>
    <row r="1679" customFormat="false" ht="15" hidden="false" customHeight="false" outlineLevel="0" collapsed="false">
      <c r="H1679" s="26"/>
      <c r="I1679" s="27" t="str">
        <f aca="false">IF(A1679="","",IF(H1679&lt;&gt;"",UPPER(TRIM(H1679)),IFERROR(CHOOSE(VALUE(E1679)+1,"A","B","C","D"),IF(OR(LEFT(UPPER(TRIM(E1679)),1)="F",UPPER(TRIM(E1679))="A"),"A",IF(OR(LEFT(UPPER(TRIM(E1679)),1)="M",UPPER(TRIM(E1679))="B"),"B",IF(OR(LEFT(UPPER(TRIM(E1679)),2)="SL",UPPER(TRIM(E1679))="C"),"C",IF(OR(LEFT(UPPER(TRIM(E1679)),1)="D",UPPER(TRIM(E1679))="D"),"D","")))))))</f>
        <v/>
      </c>
      <c r="J1679" s="27" t="str">
        <f aca="false">IF(I1679="","",IF(AND(I1679="D",Settings!$B$6&lt;&gt;"Yes"),"",IFERROR(INDEX(Settings!$C$9:$C$12,MATCH(I1679,Settings!$A$9:$A$12,0)),"")))</f>
        <v/>
      </c>
      <c r="K1679" s="27" t="str">
        <f aca="false">IF(J1679="","",COUNTIF($I$2:I1679,I1679))</f>
        <v/>
      </c>
      <c r="L1679" s="27" t="str">
        <f aca="false">IF(J1679="","",CHOOSE(Q1679+1,"Tue","Wed","Thu","Fri"))</f>
        <v/>
      </c>
      <c r="M1679" s="27" t="str">
        <f aca="false">IF(J1679="","",IF(J1679=1,"Every week",R1679+1&amp;" of "&amp;J1679))</f>
        <v/>
      </c>
      <c r="N1679" s="28" t="str">
        <f aca="false">IF(J1679="","",Settings!$B$4+R1679*7+Q1679)</f>
        <v/>
      </c>
      <c r="O1679" s="28" t="str">
        <f aca="true">IF(J1679="","",N1679+MAX(0,ROUNDUP((TODAY()-N1679)/(J1679*7),0))*J1679*7)</f>
        <v/>
      </c>
      <c r="P1679" s="27" t="str">
        <f aca="false">IF(J1679="","",MOD(K1679-1,J1679*4))</f>
        <v/>
      </c>
      <c r="Q1679" s="27" t="str">
        <f aca="false">IF(J1679="","",MOD(P1679,4))</f>
        <v/>
      </c>
      <c r="R1679" s="27" t="str">
        <f aca="false">IF(J1679="","",INT(P1679/4))</f>
        <v/>
      </c>
      <c r="S1679" s="27" t="str">
        <f aca="false">IF(J1679="","",IF(AND('Daily Count Sheet'!$H$3=Q1679,MOD('Daily Count Sheet'!$I$3,J1679)=R1679),1,""))</f>
        <v/>
      </c>
      <c r="T1679" s="27" t="str">
        <f aca="false">IF(S1679=1,COUNTIF($S$2:S1679,1),"")</f>
        <v/>
      </c>
    </row>
    <row r="1680" customFormat="false" ht="15" hidden="false" customHeight="false" outlineLevel="0" collapsed="false">
      <c r="H1680" s="26"/>
      <c r="I1680" s="27" t="str">
        <f aca="false">IF(A1680="","",IF(H1680&lt;&gt;"",UPPER(TRIM(H1680)),IFERROR(CHOOSE(VALUE(E1680)+1,"A","B","C","D"),IF(OR(LEFT(UPPER(TRIM(E1680)),1)="F",UPPER(TRIM(E1680))="A"),"A",IF(OR(LEFT(UPPER(TRIM(E1680)),1)="M",UPPER(TRIM(E1680))="B"),"B",IF(OR(LEFT(UPPER(TRIM(E1680)),2)="SL",UPPER(TRIM(E1680))="C"),"C",IF(OR(LEFT(UPPER(TRIM(E1680)),1)="D",UPPER(TRIM(E1680))="D"),"D","")))))))</f>
        <v/>
      </c>
      <c r="J1680" s="27" t="str">
        <f aca="false">IF(I1680="","",IF(AND(I1680="D",Settings!$B$6&lt;&gt;"Yes"),"",IFERROR(INDEX(Settings!$C$9:$C$12,MATCH(I1680,Settings!$A$9:$A$12,0)),"")))</f>
        <v/>
      </c>
      <c r="K1680" s="27" t="str">
        <f aca="false">IF(J1680="","",COUNTIF($I$2:I1680,I1680))</f>
        <v/>
      </c>
      <c r="L1680" s="27" t="str">
        <f aca="false">IF(J1680="","",CHOOSE(Q1680+1,"Tue","Wed","Thu","Fri"))</f>
        <v/>
      </c>
      <c r="M1680" s="27" t="str">
        <f aca="false">IF(J1680="","",IF(J1680=1,"Every week",R1680+1&amp;" of "&amp;J1680))</f>
        <v/>
      </c>
      <c r="N1680" s="28" t="str">
        <f aca="false">IF(J1680="","",Settings!$B$4+R1680*7+Q1680)</f>
        <v/>
      </c>
      <c r="O1680" s="28" t="str">
        <f aca="true">IF(J1680="","",N1680+MAX(0,ROUNDUP((TODAY()-N1680)/(J1680*7),0))*J1680*7)</f>
        <v/>
      </c>
      <c r="P1680" s="27" t="str">
        <f aca="false">IF(J1680="","",MOD(K1680-1,J1680*4))</f>
        <v/>
      </c>
      <c r="Q1680" s="27" t="str">
        <f aca="false">IF(J1680="","",MOD(P1680,4))</f>
        <v/>
      </c>
      <c r="R1680" s="27" t="str">
        <f aca="false">IF(J1680="","",INT(P1680/4))</f>
        <v/>
      </c>
      <c r="S1680" s="27" t="str">
        <f aca="false">IF(J1680="","",IF(AND('Daily Count Sheet'!$H$3=Q1680,MOD('Daily Count Sheet'!$I$3,J1680)=R1680),1,""))</f>
        <v/>
      </c>
      <c r="T1680" s="27" t="str">
        <f aca="false">IF(S1680=1,COUNTIF($S$2:S1680,1),"")</f>
        <v/>
      </c>
    </row>
    <row r="1681" customFormat="false" ht="15" hidden="false" customHeight="false" outlineLevel="0" collapsed="false">
      <c r="H1681" s="26"/>
      <c r="I1681" s="27" t="str">
        <f aca="false">IF(A1681="","",IF(H1681&lt;&gt;"",UPPER(TRIM(H1681)),IFERROR(CHOOSE(VALUE(E1681)+1,"A","B","C","D"),IF(OR(LEFT(UPPER(TRIM(E1681)),1)="F",UPPER(TRIM(E1681))="A"),"A",IF(OR(LEFT(UPPER(TRIM(E1681)),1)="M",UPPER(TRIM(E1681))="B"),"B",IF(OR(LEFT(UPPER(TRIM(E1681)),2)="SL",UPPER(TRIM(E1681))="C"),"C",IF(OR(LEFT(UPPER(TRIM(E1681)),1)="D",UPPER(TRIM(E1681))="D"),"D","")))))))</f>
        <v/>
      </c>
      <c r="J1681" s="27" t="str">
        <f aca="false">IF(I1681="","",IF(AND(I1681="D",Settings!$B$6&lt;&gt;"Yes"),"",IFERROR(INDEX(Settings!$C$9:$C$12,MATCH(I1681,Settings!$A$9:$A$12,0)),"")))</f>
        <v/>
      </c>
      <c r="K1681" s="27" t="str">
        <f aca="false">IF(J1681="","",COUNTIF($I$2:I1681,I1681))</f>
        <v/>
      </c>
      <c r="L1681" s="27" t="str">
        <f aca="false">IF(J1681="","",CHOOSE(Q1681+1,"Tue","Wed","Thu","Fri"))</f>
        <v/>
      </c>
      <c r="M1681" s="27" t="str">
        <f aca="false">IF(J1681="","",IF(J1681=1,"Every week",R1681+1&amp;" of "&amp;J1681))</f>
        <v/>
      </c>
      <c r="N1681" s="28" t="str">
        <f aca="false">IF(J1681="","",Settings!$B$4+R1681*7+Q1681)</f>
        <v/>
      </c>
      <c r="O1681" s="28" t="str">
        <f aca="true">IF(J1681="","",N1681+MAX(0,ROUNDUP((TODAY()-N1681)/(J1681*7),0))*J1681*7)</f>
        <v/>
      </c>
      <c r="P1681" s="27" t="str">
        <f aca="false">IF(J1681="","",MOD(K1681-1,J1681*4))</f>
        <v/>
      </c>
      <c r="Q1681" s="27" t="str">
        <f aca="false">IF(J1681="","",MOD(P1681,4))</f>
        <v/>
      </c>
      <c r="R1681" s="27" t="str">
        <f aca="false">IF(J1681="","",INT(P1681/4))</f>
        <v/>
      </c>
      <c r="S1681" s="27" t="str">
        <f aca="false">IF(J1681="","",IF(AND('Daily Count Sheet'!$H$3=Q1681,MOD('Daily Count Sheet'!$I$3,J1681)=R1681),1,""))</f>
        <v/>
      </c>
      <c r="T1681" s="27" t="str">
        <f aca="false">IF(S1681=1,COUNTIF($S$2:S1681,1),"")</f>
        <v/>
      </c>
    </row>
    <row r="1682" customFormat="false" ht="15" hidden="false" customHeight="false" outlineLevel="0" collapsed="false">
      <c r="H1682" s="26"/>
      <c r="I1682" s="27" t="str">
        <f aca="false">IF(A1682="","",IF(H1682&lt;&gt;"",UPPER(TRIM(H1682)),IFERROR(CHOOSE(VALUE(E1682)+1,"A","B","C","D"),IF(OR(LEFT(UPPER(TRIM(E1682)),1)="F",UPPER(TRIM(E1682))="A"),"A",IF(OR(LEFT(UPPER(TRIM(E1682)),1)="M",UPPER(TRIM(E1682))="B"),"B",IF(OR(LEFT(UPPER(TRIM(E1682)),2)="SL",UPPER(TRIM(E1682))="C"),"C",IF(OR(LEFT(UPPER(TRIM(E1682)),1)="D",UPPER(TRIM(E1682))="D"),"D","")))))))</f>
        <v/>
      </c>
      <c r="J1682" s="27" t="str">
        <f aca="false">IF(I1682="","",IF(AND(I1682="D",Settings!$B$6&lt;&gt;"Yes"),"",IFERROR(INDEX(Settings!$C$9:$C$12,MATCH(I1682,Settings!$A$9:$A$12,0)),"")))</f>
        <v/>
      </c>
      <c r="K1682" s="27" t="str">
        <f aca="false">IF(J1682="","",COUNTIF($I$2:I1682,I1682))</f>
        <v/>
      </c>
      <c r="L1682" s="27" t="str">
        <f aca="false">IF(J1682="","",CHOOSE(Q1682+1,"Tue","Wed","Thu","Fri"))</f>
        <v/>
      </c>
      <c r="M1682" s="27" t="str">
        <f aca="false">IF(J1682="","",IF(J1682=1,"Every week",R1682+1&amp;" of "&amp;J1682))</f>
        <v/>
      </c>
      <c r="N1682" s="28" t="str">
        <f aca="false">IF(J1682="","",Settings!$B$4+R1682*7+Q1682)</f>
        <v/>
      </c>
      <c r="O1682" s="28" t="str">
        <f aca="true">IF(J1682="","",N1682+MAX(0,ROUNDUP((TODAY()-N1682)/(J1682*7),0))*J1682*7)</f>
        <v/>
      </c>
      <c r="P1682" s="27" t="str">
        <f aca="false">IF(J1682="","",MOD(K1682-1,J1682*4))</f>
        <v/>
      </c>
      <c r="Q1682" s="27" t="str">
        <f aca="false">IF(J1682="","",MOD(P1682,4))</f>
        <v/>
      </c>
      <c r="R1682" s="27" t="str">
        <f aca="false">IF(J1682="","",INT(P1682/4))</f>
        <v/>
      </c>
      <c r="S1682" s="27" t="str">
        <f aca="false">IF(J1682="","",IF(AND('Daily Count Sheet'!$H$3=Q1682,MOD('Daily Count Sheet'!$I$3,J1682)=R1682),1,""))</f>
        <v/>
      </c>
      <c r="T1682" s="27" t="str">
        <f aca="false">IF(S1682=1,COUNTIF($S$2:S1682,1),"")</f>
        <v/>
      </c>
    </row>
    <row r="1683" customFormat="false" ht="15" hidden="false" customHeight="false" outlineLevel="0" collapsed="false">
      <c r="H1683" s="26"/>
      <c r="I1683" s="27" t="str">
        <f aca="false">IF(A1683="","",IF(H1683&lt;&gt;"",UPPER(TRIM(H1683)),IFERROR(CHOOSE(VALUE(E1683)+1,"A","B","C","D"),IF(OR(LEFT(UPPER(TRIM(E1683)),1)="F",UPPER(TRIM(E1683))="A"),"A",IF(OR(LEFT(UPPER(TRIM(E1683)),1)="M",UPPER(TRIM(E1683))="B"),"B",IF(OR(LEFT(UPPER(TRIM(E1683)),2)="SL",UPPER(TRIM(E1683))="C"),"C",IF(OR(LEFT(UPPER(TRIM(E1683)),1)="D",UPPER(TRIM(E1683))="D"),"D","")))))))</f>
        <v/>
      </c>
      <c r="J1683" s="27" t="str">
        <f aca="false">IF(I1683="","",IF(AND(I1683="D",Settings!$B$6&lt;&gt;"Yes"),"",IFERROR(INDEX(Settings!$C$9:$C$12,MATCH(I1683,Settings!$A$9:$A$12,0)),"")))</f>
        <v/>
      </c>
      <c r="K1683" s="27" t="str">
        <f aca="false">IF(J1683="","",COUNTIF($I$2:I1683,I1683))</f>
        <v/>
      </c>
      <c r="L1683" s="27" t="str">
        <f aca="false">IF(J1683="","",CHOOSE(Q1683+1,"Tue","Wed","Thu","Fri"))</f>
        <v/>
      </c>
      <c r="M1683" s="27" t="str">
        <f aca="false">IF(J1683="","",IF(J1683=1,"Every week",R1683+1&amp;" of "&amp;J1683))</f>
        <v/>
      </c>
      <c r="N1683" s="28" t="str">
        <f aca="false">IF(J1683="","",Settings!$B$4+R1683*7+Q1683)</f>
        <v/>
      </c>
      <c r="O1683" s="28" t="str">
        <f aca="true">IF(J1683="","",N1683+MAX(0,ROUNDUP((TODAY()-N1683)/(J1683*7),0))*J1683*7)</f>
        <v/>
      </c>
      <c r="P1683" s="27" t="str">
        <f aca="false">IF(J1683="","",MOD(K1683-1,J1683*4))</f>
        <v/>
      </c>
      <c r="Q1683" s="27" t="str">
        <f aca="false">IF(J1683="","",MOD(P1683,4))</f>
        <v/>
      </c>
      <c r="R1683" s="27" t="str">
        <f aca="false">IF(J1683="","",INT(P1683/4))</f>
        <v/>
      </c>
      <c r="S1683" s="27" t="str">
        <f aca="false">IF(J1683="","",IF(AND('Daily Count Sheet'!$H$3=Q1683,MOD('Daily Count Sheet'!$I$3,J1683)=R1683),1,""))</f>
        <v/>
      </c>
      <c r="T1683" s="27" t="str">
        <f aca="false">IF(S1683=1,COUNTIF($S$2:S1683,1),"")</f>
        <v/>
      </c>
    </row>
    <row r="1684" customFormat="false" ht="15" hidden="false" customHeight="false" outlineLevel="0" collapsed="false">
      <c r="H1684" s="26"/>
      <c r="I1684" s="27" t="str">
        <f aca="false">IF(A1684="","",IF(H1684&lt;&gt;"",UPPER(TRIM(H1684)),IFERROR(CHOOSE(VALUE(E1684)+1,"A","B","C","D"),IF(OR(LEFT(UPPER(TRIM(E1684)),1)="F",UPPER(TRIM(E1684))="A"),"A",IF(OR(LEFT(UPPER(TRIM(E1684)),1)="M",UPPER(TRIM(E1684))="B"),"B",IF(OR(LEFT(UPPER(TRIM(E1684)),2)="SL",UPPER(TRIM(E1684))="C"),"C",IF(OR(LEFT(UPPER(TRIM(E1684)),1)="D",UPPER(TRIM(E1684))="D"),"D","")))))))</f>
        <v/>
      </c>
      <c r="J1684" s="27" t="str">
        <f aca="false">IF(I1684="","",IF(AND(I1684="D",Settings!$B$6&lt;&gt;"Yes"),"",IFERROR(INDEX(Settings!$C$9:$C$12,MATCH(I1684,Settings!$A$9:$A$12,0)),"")))</f>
        <v/>
      </c>
      <c r="K1684" s="27" t="str">
        <f aca="false">IF(J1684="","",COUNTIF($I$2:I1684,I1684))</f>
        <v/>
      </c>
      <c r="L1684" s="27" t="str">
        <f aca="false">IF(J1684="","",CHOOSE(Q1684+1,"Tue","Wed","Thu","Fri"))</f>
        <v/>
      </c>
      <c r="M1684" s="27" t="str">
        <f aca="false">IF(J1684="","",IF(J1684=1,"Every week",R1684+1&amp;" of "&amp;J1684))</f>
        <v/>
      </c>
      <c r="N1684" s="28" t="str">
        <f aca="false">IF(J1684="","",Settings!$B$4+R1684*7+Q1684)</f>
        <v/>
      </c>
      <c r="O1684" s="28" t="str">
        <f aca="true">IF(J1684="","",N1684+MAX(0,ROUNDUP((TODAY()-N1684)/(J1684*7),0))*J1684*7)</f>
        <v/>
      </c>
      <c r="P1684" s="27" t="str">
        <f aca="false">IF(J1684="","",MOD(K1684-1,J1684*4))</f>
        <v/>
      </c>
      <c r="Q1684" s="27" t="str">
        <f aca="false">IF(J1684="","",MOD(P1684,4))</f>
        <v/>
      </c>
      <c r="R1684" s="27" t="str">
        <f aca="false">IF(J1684="","",INT(P1684/4))</f>
        <v/>
      </c>
      <c r="S1684" s="27" t="str">
        <f aca="false">IF(J1684="","",IF(AND('Daily Count Sheet'!$H$3=Q1684,MOD('Daily Count Sheet'!$I$3,J1684)=R1684),1,""))</f>
        <v/>
      </c>
      <c r="T1684" s="27" t="str">
        <f aca="false">IF(S1684=1,COUNTIF($S$2:S1684,1),"")</f>
        <v/>
      </c>
    </row>
    <row r="1685" customFormat="false" ht="15" hidden="false" customHeight="false" outlineLevel="0" collapsed="false">
      <c r="H1685" s="26"/>
      <c r="I1685" s="27" t="str">
        <f aca="false">IF(A1685="","",IF(H1685&lt;&gt;"",UPPER(TRIM(H1685)),IFERROR(CHOOSE(VALUE(E1685)+1,"A","B","C","D"),IF(OR(LEFT(UPPER(TRIM(E1685)),1)="F",UPPER(TRIM(E1685))="A"),"A",IF(OR(LEFT(UPPER(TRIM(E1685)),1)="M",UPPER(TRIM(E1685))="B"),"B",IF(OR(LEFT(UPPER(TRIM(E1685)),2)="SL",UPPER(TRIM(E1685))="C"),"C",IF(OR(LEFT(UPPER(TRIM(E1685)),1)="D",UPPER(TRIM(E1685))="D"),"D","")))))))</f>
        <v/>
      </c>
      <c r="J1685" s="27" t="str">
        <f aca="false">IF(I1685="","",IF(AND(I1685="D",Settings!$B$6&lt;&gt;"Yes"),"",IFERROR(INDEX(Settings!$C$9:$C$12,MATCH(I1685,Settings!$A$9:$A$12,0)),"")))</f>
        <v/>
      </c>
      <c r="K1685" s="27" t="str">
        <f aca="false">IF(J1685="","",COUNTIF($I$2:I1685,I1685))</f>
        <v/>
      </c>
      <c r="L1685" s="27" t="str">
        <f aca="false">IF(J1685="","",CHOOSE(Q1685+1,"Tue","Wed","Thu","Fri"))</f>
        <v/>
      </c>
      <c r="M1685" s="27" t="str">
        <f aca="false">IF(J1685="","",IF(J1685=1,"Every week",R1685+1&amp;" of "&amp;J1685))</f>
        <v/>
      </c>
      <c r="N1685" s="28" t="str">
        <f aca="false">IF(J1685="","",Settings!$B$4+R1685*7+Q1685)</f>
        <v/>
      </c>
      <c r="O1685" s="28" t="str">
        <f aca="true">IF(J1685="","",N1685+MAX(0,ROUNDUP((TODAY()-N1685)/(J1685*7),0))*J1685*7)</f>
        <v/>
      </c>
      <c r="P1685" s="27" t="str">
        <f aca="false">IF(J1685="","",MOD(K1685-1,J1685*4))</f>
        <v/>
      </c>
      <c r="Q1685" s="27" t="str">
        <f aca="false">IF(J1685="","",MOD(P1685,4))</f>
        <v/>
      </c>
      <c r="R1685" s="27" t="str">
        <f aca="false">IF(J1685="","",INT(P1685/4))</f>
        <v/>
      </c>
      <c r="S1685" s="27" t="str">
        <f aca="false">IF(J1685="","",IF(AND('Daily Count Sheet'!$H$3=Q1685,MOD('Daily Count Sheet'!$I$3,J1685)=R1685),1,""))</f>
        <v/>
      </c>
      <c r="T1685" s="27" t="str">
        <f aca="false">IF(S1685=1,COUNTIF($S$2:S1685,1),"")</f>
        <v/>
      </c>
    </row>
    <row r="1686" customFormat="false" ht="15" hidden="false" customHeight="false" outlineLevel="0" collapsed="false">
      <c r="H1686" s="26"/>
      <c r="I1686" s="27" t="str">
        <f aca="false">IF(A1686="","",IF(H1686&lt;&gt;"",UPPER(TRIM(H1686)),IFERROR(CHOOSE(VALUE(E1686)+1,"A","B","C","D"),IF(OR(LEFT(UPPER(TRIM(E1686)),1)="F",UPPER(TRIM(E1686))="A"),"A",IF(OR(LEFT(UPPER(TRIM(E1686)),1)="M",UPPER(TRIM(E1686))="B"),"B",IF(OR(LEFT(UPPER(TRIM(E1686)),2)="SL",UPPER(TRIM(E1686))="C"),"C",IF(OR(LEFT(UPPER(TRIM(E1686)),1)="D",UPPER(TRIM(E1686))="D"),"D","")))))))</f>
        <v/>
      </c>
      <c r="J1686" s="27" t="str">
        <f aca="false">IF(I1686="","",IF(AND(I1686="D",Settings!$B$6&lt;&gt;"Yes"),"",IFERROR(INDEX(Settings!$C$9:$C$12,MATCH(I1686,Settings!$A$9:$A$12,0)),"")))</f>
        <v/>
      </c>
      <c r="K1686" s="27" t="str">
        <f aca="false">IF(J1686="","",COUNTIF($I$2:I1686,I1686))</f>
        <v/>
      </c>
      <c r="L1686" s="27" t="str">
        <f aca="false">IF(J1686="","",CHOOSE(Q1686+1,"Tue","Wed","Thu","Fri"))</f>
        <v/>
      </c>
      <c r="M1686" s="27" t="str">
        <f aca="false">IF(J1686="","",IF(J1686=1,"Every week",R1686+1&amp;" of "&amp;J1686))</f>
        <v/>
      </c>
      <c r="N1686" s="28" t="str">
        <f aca="false">IF(J1686="","",Settings!$B$4+R1686*7+Q1686)</f>
        <v/>
      </c>
      <c r="O1686" s="28" t="str">
        <f aca="true">IF(J1686="","",N1686+MAX(0,ROUNDUP((TODAY()-N1686)/(J1686*7),0))*J1686*7)</f>
        <v/>
      </c>
      <c r="P1686" s="27" t="str">
        <f aca="false">IF(J1686="","",MOD(K1686-1,J1686*4))</f>
        <v/>
      </c>
      <c r="Q1686" s="27" t="str">
        <f aca="false">IF(J1686="","",MOD(P1686,4))</f>
        <v/>
      </c>
      <c r="R1686" s="27" t="str">
        <f aca="false">IF(J1686="","",INT(P1686/4))</f>
        <v/>
      </c>
      <c r="S1686" s="27" t="str">
        <f aca="false">IF(J1686="","",IF(AND('Daily Count Sheet'!$H$3=Q1686,MOD('Daily Count Sheet'!$I$3,J1686)=R1686),1,""))</f>
        <v/>
      </c>
      <c r="T1686" s="27" t="str">
        <f aca="false">IF(S1686=1,COUNTIF($S$2:S1686,1),"")</f>
        <v/>
      </c>
    </row>
    <row r="1687" customFormat="false" ht="15" hidden="false" customHeight="false" outlineLevel="0" collapsed="false">
      <c r="H1687" s="26"/>
      <c r="I1687" s="27" t="str">
        <f aca="false">IF(A1687="","",IF(H1687&lt;&gt;"",UPPER(TRIM(H1687)),IFERROR(CHOOSE(VALUE(E1687)+1,"A","B","C","D"),IF(OR(LEFT(UPPER(TRIM(E1687)),1)="F",UPPER(TRIM(E1687))="A"),"A",IF(OR(LEFT(UPPER(TRIM(E1687)),1)="M",UPPER(TRIM(E1687))="B"),"B",IF(OR(LEFT(UPPER(TRIM(E1687)),2)="SL",UPPER(TRIM(E1687))="C"),"C",IF(OR(LEFT(UPPER(TRIM(E1687)),1)="D",UPPER(TRIM(E1687))="D"),"D","")))))))</f>
        <v/>
      </c>
      <c r="J1687" s="27" t="str">
        <f aca="false">IF(I1687="","",IF(AND(I1687="D",Settings!$B$6&lt;&gt;"Yes"),"",IFERROR(INDEX(Settings!$C$9:$C$12,MATCH(I1687,Settings!$A$9:$A$12,0)),"")))</f>
        <v/>
      </c>
      <c r="K1687" s="27" t="str">
        <f aca="false">IF(J1687="","",COUNTIF($I$2:I1687,I1687))</f>
        <v/>
      </c>
      <c r="L1687" s="27" t="str">
        <f aca="false">IF(J1687="","",CHOOSE(Q1687+1,"Tue","Wed","Thu","Fri"))</f>
        <v/>
      </c>
      <c r="M1687" s="27" t="str">
        <f aca="false">IF(J1687="","",IF(J1687=1,"Every week",R1687+1&amp;" of "&amp;J1687))</f>
        <v/>
      </c>
      <c r="N1687" s="28" t="str">
        <f aca="false">IF(J1687="","",Settings!$B$4+R1687*7+Q1687)</f>
        <v/>
      </c>
      <c r="O1687" s="28" t="str">
        <f aca="true">IF(J1687="","",N1687+MAX(0,ROUNDUP((TODAY()-N1687)/(J1687*7),0))*J1687*7)</f>
        <v/>
      </c>
      <c r="P1687" s="27" t="str">
        <f aca="false">IF(J1687="","",MOD(K1687-1,J1687*4))</f>
        <v/>
      </c>
      <c r="Q1687" s="27" t="str">
        <f aca="false">IF(J1687="","",MOD(P1687,4))</f>
        <v/>
      </c>
      <c r="R1687" s="27" t="str">
        <f aca="false">IF(J1687="","",INT(P1687/4))</f>
        <v/>
      </c>
      <c r="S1687" s="27" t="str">
        <f aca="false">IF(J1687="","",IF(AND('Daily Count Sheet'!$H$3=Q1687,MOD('Daily Count Sheet'!$I$3,J1687)=R1687),1,""))</f>
        <v/>
      </c>
      <c r="T1687" s="27" t="str">
        <f aca="false">IF(S1687=1,COUNTIF($S$2:S1687,1),"")</f>
        <v/>
      </c>
    </row>
    <row r="1688" customFormat="false" ht="15" hidden="false" customHeight="false" outlineLevel="0" collapsed="false">
      <c r="H1688" s="26"/>
      <c r="I1688" s="27" t="str">
        <f aca="false">IF(A1688="","",IF(H1688&lt;&gt;"",UPPER(TRIM(H1688)),IFERROR(CHOOSE(VALUE(E1688)+1,"A","B","C","D"),IF(OR(LEFT(UPPER(TRIM(E1688)),1)="F",UPPER(TRIM(E1688))="A"),"A",IF(OR(LEFT(UPPER(TRIM(E1688)),1)="M",UPPER(TRIM(E1688))="B"),"B",IF(OR(LEFT(UPPER(TRIM(E1688)),2)="SL",UPPER(TRIM(E1688))="C"),"C",IF(OR(LEFT(UPPER(TRIM(E1688)),1)="D",UPPER(TRIM(E1688))="D"),"D","")))))))</f>
        <v/>
      </c>
      <c r="J1688" s="27" t="str">
        <f aca="false">IF(I1688="","",IF(AND(I1688="D",Settings!$B$6&lt;&gt;"Yes"),"",IFERROR(INDEX(Settings!$C$9:$C$12,MATCH(I1688,Settings!$A$9:$A$12,0)),"")))</f>
        <v/>
      </c>
      <c r="K1688" s="27" t="str">
        <f aca="false">IF(J1688="","",COUNTIF($I$2:I1688,I1688))</f>
        <v/>
      </c>
      <c r="L1688" s="27" t="str">
        <f aca="false">IF(J1688="","",CHOOSE(Q1688+1,"Tue","Wed","Thu","Fri"))</f>
        <v/>
      </c>
      <c r="M1688" s="27" t="str">
        <f aca="false">IF(J1688="","",IF(J1688=1,"Every week",R1688+1&amp;" of "&amp;J1688))</f>
        <v/>
      </c>
      <c r="N1688" s="28" t="str">
        <f aca="false">IF(J1688="","",Settings!$B$4+R1688*7+Q1688)</f>
        <v/>
      </c>
      <c r="O1688" s="28" t="str">
        <f aca="true">IF(J1688="","",N1688+MAX(0,ROUNDUP((TODAY()-N1688)/(J1688*7),0))*J1688*7)</f>
        <v/>
      </c>
      <c r="P1688" s="27" t="str">
        <f aca="false">IF(J1688="","",MOD(K1688-1,J1688*4))</f>
        <v/>
      </c>
      <c r="Q1688" s="27" t="str">
        <f aca="false">IF(J1688="","",MOD(P1688,4))</f>
        <v/>
      </c>
      <c r="R1688" s="27" t="str">
        <f aca="false">IF(J1688="","",INT(P1688/4))</f>
        <v/>
      </c>
      <c r="S1688" s="27" t="str">
        <f aca="false">IF(J1688="","",IF(AND('Daily Count Sheet'!$H$3=Q1688,MOD('Daily Count Sheet'!$I$3,J1688)=R1688),1,""))</f>
        <v/>
      </c>
      <c r="T1688" s="27" t="str">
        <f aca="false">IF(S1688=1,COUNTIF($S$2:S1688,1),"")</f>
        <v/>
      </c>
    </row>
    <row r="1689" customFormat="false" ht="15" hidden="false" customHeight="false" outlineLevel="0" collapsed="false">
      <c r="H1689" s="26"/>
      <c r="I1689" s="27" t="str">
        <f aca="false">IF(A1689="","",IF(H1689&lt;&gt;"",UPPER(TRIM(H1689)),IFERROR(CHOOSE(VALUE(E1689)+1,"A","B","C","D"),IF(OR(LEFT(UPPER(TRIM(E1689)),1)="F",UPPER(TRIM(E1689))="A"),"A",IF(OR(LEFT(UPPER(TRIM(E1689)),1)="M",UPPER(TRIM(E1689))="B"),"B",IF(OR(LEFT(UPPER(TRIM(E1689)),2)="SL",UPPER(TRIM(E1689))="C"),"C",IF(OR(LEFT(UPPER(TRIM(E1689)),1)="D",UPPER(TRIM(E1689))="D"),"D","")))))))</f>
        <v/>
      </c>
      <c r="J1689" s="27" t="str">
        <f aca="false">IF(I1689="","",IF(AND(I1689="D",Settings!$B$6&lt;&gt;"Yes"),"",IFERROR(INDEX(Settings!$C$9:$C$12,MATCH(I1689,Settings!$A$9:$A$12,0)),"")))</f>
        <v/>
      </c>
      <c r="K1689" s="27" t="str">
        <f aca="false">IF(J1689="","",COUNTIF($I$2:I1689,I1689))</f>
        <v/>
      </c>
      <c r="L1689" s="27" t="str">
        <f aca="false">IF(J1689="","",CHOOSE(Q1689+1,"Tue","Wed","Thu","Fri"))</f>
        <v/>
      </c>
      <c r="M1689" s="27" t="str">
        <f aca="false">IF(J1689="","",IF(J1689=1,"Every week",R1689+1&amp;" of "&amp;J1689))</f>
        <v/>
      </c>
      <c r="N1689" s="28" t="str">
        <f aca="false">IF(J1689="","",Settings!$B$4+R1689*7+Q1689)</f>
        <v/>
      </c>
      <c r="O1689" s="28" t="str">
        <f aca="true">IF(J1689="","",N1689+MAX(0,ROUNDUP((TODAY()-N1689)/(J1689*7),0))*J1689*7)</f>
        <v/>
      </c>
      <c r="P1689" s="27" t="str">
        <f aca="false">IF(J1689="","",MOD(K1689-1,J1689*4))</f>
        <v/>
      </c>
      <c r="Q1689" s="27" t="str">
        <f aca="false">IF(J1689="","",MOD(P1689,4))</f>
        <v/>
      </c>
      <c r="R1689" s="27" t="str">
        <f aca="false">IF(J1689="","",INT(P1689/4))</f>
        <v/>
      </c>
      <c r="S1689" s="27" t="str">
        <f aca="false">IF(J1689="","",IF(AND('Daily Count Sheet'!$H$3=Q1689,MOD('Daily Count Sheet'!$I$3,J1689)=R1689),1,""))</f>
        <v/>
      </c>
      <c r="T1689" s="27" t="str">
        <f aca="false">IF(S1689=1,COUNTIF($S$2:S1689,1),"")</f>
        <v/>
      </c>
    </row>
    <row r="1690" customFormat="false" ht="15" hidden="false" customHeight="false" outlineLevel="0" collapsed="false">
      <c r="H1690" s="26"/>
      <c r="I1690" s="27" t="str">
        <f aca="false">IF(A1690="","",IF(H1690&lt;&gt;"",UPPER(TRIM(H1690)),IFERROR(CHOOSE(VALUE(E1690)+1,"A","B","C","D"),IF(OR(LEFT(UPPER(TRIM(E1690)),1)="F",UPPER(TRIM(E1690))="A"),"A",IF(OR(LEFT(UPPER(TRIM(E1690)),1)="M",UPPER(TRIM(E1690))="B"),"B",IF(OR(LEFT(UPPER(TRIM(E1690)),2)="SL",UPPER(TRIM(E1690))="C"),"C",IF(OR(LEFT(UPPER(TRIM(E1690)),1)="D",UPPER(TRIM(E1690))="D"),"D","")))))))</f>
        <v/>
      </c>
      <c r="J1690" s="27" t="str">
        <f aca="false">IF(I1690="","",IF(AND(I1690="D",Settings!$B$6&lt;&gt;"Yes"),"",IFERROR(INDEX(Settings!$C$9:$C$12,MATCH(I1690,Settings!$A$9:$A$12,0)),"")))</f>
        <v/>
      </c>
      <c r="K1690" s="27" t="str">
        <f aca="false">IF(J1690="","",COUNTIF($I$2:I1690,I1690))</f>
        <v/>
      </c>
      <c r="L1690" s="27" t="str">
        <f aca="false">IF(J1690="","",CHOOSE(Q1690+1,"Tue","Wed","Thu","Fri"))</f>
        <v/>
      </c>
      <c r="M1690" s="27" t="str">
        <f aca="false">IF(J1690="","",IF(J1690=1,"Every week",R1690+1&amp;" of "&amp;J1690))</f>
        <v/>
      </c>
      <c r="N1690" s="28" t="str">
        <f aca="false">IF(J1690="","",Settings!$B$4+R1690*7+Q1690)</f>
        <v/>
      </c>
      <c r="O1690" s="28" t="str">
        <f aca="true">IF(J1690="","",N1690+MAX(0,ROUNDUP((TODAY()-N1690)/(J1690*7),0))*J1690*7)</f>
        <v/>
      </c>
      <c r="P1690" s="27" t="str">
        <f aca="false">IF(J1690="","",MOD(K1690-1,J1690*4))</f>
        <v/>
      </c>
      <c r="Q1690" s="27" t="str">
        <f aca="false">IF(J1690="","",MOD(P1690,4))</f>
        <v/>
      </c>
      <c r="R1690" s="27" t="str">
        <f aca="false">IF(J1690="","",INT(P1690/4))</f>
        <v/>
      </c>
      <c r="S1690" s="27" t="str">
        <f aca="false">IF(J1690="","",IF(AND('Daily Count Sheet'!$H$3=Q1690,MOD('Daily Count Sheet'!$I$3,J1690)=R1690),1,""))</f>
        <v/>
      </c>
      <c r="T1690" s="27" t="str">
        <f aca="false">IF(S1690=1,COUNTIF($S$2:S1690,1),"")</f>
        <v/>
      </c>
    </row>
    <row r="1691" customFormat="false" ht="15" hidden="false" customHeight="false" outlineLevel="0" collapsed="false">
      <c r="H1691" s="26"/>
      <c r="I1691" s="27" t="str">
        <f aca="false">IF(A1691="","",IF(H1691&lt;&gt;"",UPPER(TRIM(H1691)),IFERROR(CHOOSE(VALUE(E1691)+1,"A","B","C","D"),IF(OR(LEFT(UPPER(TRIM(E1691)),1)="F",UPPER(TRIM(E1691))="A"),"A",IF(OR(LEFT(UPPER(TRIM(E1691)),1)="M",UPPER(TRIM(E1691))="B"),"B",IF(OR(LEFT(UPPER(TRIM(E1691)),2)="SL",UPPER(TRIM(E1691))="C"),"C",IF(OR(LEFT(UPPER(TRIM(E1691)),1)="D",UPPER(TRIM(E1691))="D"),"D","")))))))</f>
        <v/>
      </c>
      <c r="J1691" s="27" t="str">
        <f aca="false">IF(I1691="","",IF(AND(I1691="D",Settings!$B$6&lt;&gt;"Yes"),"",IFERROR(INDEX(Settings!$C$9:$C$12,MATCH(I1691,Settings!$A$9:$A$12,0)),"")))</f>
        <v/>
      </c>
      <c r="K1691" s="27" t="str">
        <f aca="false">IF(J1691="","",COUNTIF($I$2:I1691,I1691))</f>
        <v/>
      </c>
      <c r="L1691" s="27" t="str">
        <f aca="false">IF(J1691="","",CHOOSE(Q1691+1,"Tue","Wed","Thu","Fri"))</f>
        <v/>
      </c>
      <c r="M1691" s="27" t="str">
        <f aca="false">IF(J1691="","",IF(J1691=1,"Every week",R1691+1&amp;" of "&amp;J1691))</f>
        <v/>
      </c>
      <c r="N1691" s="28" t="str">
        <f aca="false">IF(J1691="","",Settings!$B$4+R1691*7+Q1691)</f>
        <v/>
      </c>
      <c r="O1691" s="28" t="str">
        <f aca="true">IF(J1691="","",N1691+MAX(0,ROUNDUP((TODAY()-N1691)/(J1691*7),0))*J1691*7)</f>
        <v/>
      </c>
      <c r="P1691" s="27" t="str">
        <f aca="false">IF(J1691="","",MOD(K1691-1,J1691*4))</f>
        <v/>
      </c>
      <c r="Q1691" s="27" t="str">
        <f aca="false">IF(J1691="","",MOD(P1691,4))</f>
        <v/>
      </c>
      <c r="R1691" s="27" t="str">
        <f aca="false">IF(J1691="","",INT(P1691/4))</f>
        <v/>
      </c>
      <c r="S1691" s="27" t="str">
        <f aca="false">IF(J1691="","",IF(AND('Daily Count Sheet'!$H$3=Q1691,MOD('Daily Count Sheet'!$I$3,J1691)=R1691),1,""))</f>
        <v/>
      </c>
      <c r="T1691" s="27" t="str">
        <f aca="false">IF(S1691=1,COUNTIF($S$2:S1691,1),"")</f>
        <v/>
      </c>
    </row>
    <row r="1692" customFormat="false" ht="15" hidden="false" customHeight="false" outlineLevel="0" collapsed="false">
      <c r="H1692" s="26"/>
      <c r="I1692" s="27" t="str">
        <f aca="false">IF(A1692="","",IF(H1692&lt;&gt;"",UPPER(TRIM(H1692)),IFERROR(CHOOSE(VALUE(E1692)+1,"A","B","C","D"),IF(OR(LEFT(UPPER(TRIM(E1692)),1)="F",UPPER(TRIM(E1692))="A"),"A",IF(OR(LEFT(UPPER(TRIM(E1692)),1)="M",UPPER(TRIM(E1692))="B"),"B",IF(OR(LEFT(UPPER(TRIM(E1692)),2)="SL",UPPER(TRIM(E1692))="C"),"C",IF(OR(LEFT(UPPER(TRIM(E1692)),1)="D",UPPER(TRIM(E1692))="D"),"D","")))))))</f>
        <v/>
      </c>
      <c r="J1692" s="27" t="str">
        <f aca="false">IF(I1692="","",IF(AND(I1692="D",Settings!$B$6&lt;&gt;"Yes"),"",IFERROR(INDEX(Settings!$C$9:$C$12,MATCH(I1692,Settings!$A$9:$A$12,0)),"")))</f>
        <v/>
      </c>
      <c r="K1692" s="27" t="str">
        <f aca="false">IF(J1692="","",COUNTIF($I$2:I1692,I1692))</f>
        <v/>
      </c>
      <c r="L1692" s="27" t="str">
        <f aca="false">IF(J1692="","",CHOOSE(Q1692+1,"Tue","Wed","Thu","Fri"))</f>
        <v/>
      </c>
      <c r="M1692" s="27" t="str">
        <f aca="false">IF(J1692="","",IF(J1692=1,"Every week",R1692+1&amp;" of "&amp;J1692))</f>
        <v/>
      </c>
      <c r="N1692" s="28" t="str">
        <f aca="false">IF(J1692="","",Settings!$B$4+R1692*7+Q1692)</f>
        <v/>
      </c>
      <c r="O1692" s="28" t="str">
        <f aca="true">IF(J1692="","",N1692+MAX(0,ROUNDUP((TODAY()-N1692)/(J1692*7),0))*J1692*7)</f>
        <v/>
      </c>
      <c r="P1692" s="27" t="str">
        <f aca="false">IF(J1692="","",MOD(K1692-1,J1692*4))</f>
        <v/>
      </c>
      <c r="Q1692" s="27" t="str">
        <f aca="false">IF(J1692="","",MOD(P1692,4))</f>
        <v/>
      </c>
      <c r="R1692" s="27" t="str">
        <f aca="false">IF(J1692="","",INT(P1692/4))</f>
        <v/>
      </c>
      <c r="S1692" s="27" t="str">
        <f aca="false">IF(J1692="","",IF(AND('Daily Count Sheet'!$H$3=Q1692,MOD('Daily Count Sheet'!$I$3,J1692)=R1692),1,""))</f>
        <v/>
      </c>
      <c r="T1692" s="27" t="str">
        <f aca="false">IF(S1692=1,COUNTIF($S$2:S1692,1),"")</f>
        <v/>
      </c>
    </row>
    <row r="1693" customFormat="false" ht="15" hidden="false" customHeight="false" outlineLevel="0" collapsed="false">
      <c r="H1693" s="26"/>
      <c r="I1693" s="27" t="str">
        <f aca="false">IF(A1693="","",IF(H1693&lt;&gt;"",UPPER(TRIM(H1693)),IFERROR(CHOOSE(VALUE(E1693)+1,"A","B","C","D"),IF(OR(LEFT(UPPER(TRIM(E1693)),1)="F",UPPER(TRIM(E1693))="A"),"A",IF(OR(LEFT(UPPER(TRIM(E1693)),1)="M",UPPER(TRIM(E1693))="B"),"B",IF(OR(LEFT(UPPER(TRIM(E1693)),2)="SL",UPPER(TRIM(E1693))="C"),"C",IF(OR(LEFT(UPPER(TRIM(E1693)),1)="D",UPPER(TRIM(E1693))="D"),"D","")))))))</f>
        <v/>
      </c>
      <c r="J1693" s="27" t="str">
        <f aca="false">IF(I1693="","",IF(AND(I1693="D",Settings!$B$6&lt;&gt;"Yes"),"",IFERROR(INDEX(Settings!$C$9:$C$12,MATCH(I1693,Settings!$A$9:$A$12,0)),"")))</f>
        <v/>
      </c>
      <c r="K1693" s="27" t="str">
        <f aca="false">IF(J1693="","",COUNTIF($I$2:I1693,I1693))</f>
        <v/>
      </c>
      <c r="L1693" s="27" t="str">
        <f aca="false">IF(J1693="","",CHOOSE(Q1693+1,"Tue","Wed","Thu","Fri"))</f>
        <v/>
      </c>
      <c r="M1693" s="27" t="str">
        <f aca="false">IF(J1693="","",IF(J1693=1,"Every week",R1693+1&amp;" of "&amp;J1693))</f>
        <v/>
      </c>
      <c r="N1693" s="28" t="str">
        <f aca="false">IF(J1693="","",Settings!$B$4+R1693*7+Q1693)</f>
        <v/>
      </c>
      <c r="O1693" s="28" t="str">
        <f aca="true">IF(J1693="","",N1693+MAX(0,ROUNDUP((TODAY()-N1693)/(J1693*7),0))*J1693*7)</f>
        <v/>
      </c>
      <c r="P1693" s="27" t="str">
        <f aca="false">IF(J1693="","",MOD(K1693-1,J1693*4))</f>
        <v/>
      </c>
      <c r="Q1693" s="27" t="str">
        <f aca="false">IF(J1693="","",MOD(P1693,4))</f>
        <v/>
      </c>
      <c r="R1693" s="27" t="str">
        <f aca="false">IF(J1693="","",INT(P1693/4))</f>
        <v/>
      </c>
      <c r="S1693" s="27" t="str">
        <f aca="false">IF(J1693="","",IF(AND('Daily Count Sheet'!$H$3=Q1693,MOD('Daily Count Sheet'!$I$3,J1693)=R1693),1,""))</f>
        <v/>
      </c>
      <c r="T1693" s="27" t="str">
        <f aca="false">IF(S1693=1,COUNTIF($S$2:S1693,1),"")</f>
        <v/>
      </c>
    </row>
    <row r="1694" customFormat="false" ht="15" hidden="false" customHeight="false" outlineLevel="0" collapsed="false">
      <c r="H1694" s="26"/>
      <c r="I1694" s="27" t="str">
        <f aca="false">IF(A1694="","",IF(H1694&lt;&gt;"",UPPER(TRIM(H1694)),IFERROR(CHOOSE(VALUE(E1694)+1,"A","B","C","D"),IF(OR(LEFT(UPPER(TRIM(E1694)),1)="F",UPPER(TRIM(E1694))="A"),"A",IF(OR(LEFT(UPPER(TRIM(E1694)),1)="M",UPPER(TRIM(E1694))="B"),"B",IF(OR(LEFT(UPPER(TRIM(E1694)),2)="SL",UPPER(TRIM(E1694))="C"),"C",IF(OR(LEFT(UPPER(TRIM(E1694)),1)="D",UPPER(TRIM(E1694))="D"),"D","")))))))</f>
        <v/>
      </c>
      <c r="J1694" s="27" t="str">
        <f aca="false">IF(I1694="","",IF(AND(I1694="D",Settings!$B$6&lt;&gt;"Yes"),"",IFERROR(INDEX(Settings!$C$9:$C$12,MATCH(I1694,Settings!$A$9:$A$12,0)),"")))</f>
        <v/>
      </c>
      <c r="K1694" s="27" t="str">
        <f aca="false">IF(J1694="","",COUNTIF($I$2:I1694,I1694))</f>
        <v/>
      </c>
      <c r="L1694" s="27" t="str">
        <f aca="false">IF(J1694="","",CHOOSE(Q1694+1,"Tue","Wed","Thu","Fri"))</f>
        <v/>
      </c>
      <c r="M1694" s="27" t="str">
        <f aca="false">IF(J1694="","",IF(J1694=1,"Every week",R1694+1&amp;" of "&amp;J1694))</f>
        <v/>
      </c>
      <c r="N1694" s="28" t="str">
        <f aca="false">IF(J1694="","",Settings!$B$4+R1694*7+Q1694)</f>
        <v/>
      </c>
      <c r="O1694" s="28" t="str">
        <f aca="true">IF(J1694="","",N1694+MAX(0,ROUNDUP((TODAY()-N1694)/(J1694*7),0))*J1694*7)</f>
        <v/>
      </c>
      <c r="P1694" s="27" t="str">
        <f aca="false">IF(J1694="","",MOD(K1694-1,J1694*4))</f>
        <v/>
      </c>
      <c r="Q1694" s="27" t="str">
        <f aca="false">IF(J1694="","",MOD(P1694,4))</f>
        <v/>
      </c>
      <c r="R1694" s="27" t="str">
        <f aca="false">IF(J1694="","",INT(P1694/4))</f>
        <v/>
      </c>
      <c r="S1694" s="27" t="str">
        <f aca="false">IF(J1694="","",IF(AND('Daily Count Sheet'!$H$3=Q1694,MOD('Daily Count Sheet'!$I$3,J1694)=R1694),1,""))</f>
        <v/>
      </c>
      <c r="T1694" s="27" t="str">
        <f aca="false">IF(S1694=1,COUNTIF($S$2:S1694,1),"")</f>
        <v/>
      </c>
    </row>
    <row r="1695" customFormat="false" ht="15" hidden="false" customHeight="false" outlineLevel="0" collapsed="false">
      <c r="H1695" s="26"/>
      <c r="I1695" s="27" t="str">
        <f aca="false">IF(A1695="","",IF(H1695&lt;&gt;"",UPPER(TRIM(H1695)),IFERROR(CHOOSE(VALUE(E1695)+1,"A","B","C","D"),IF(OR(LEFT(UPPER(TRIM(E1695)),1)="F",UPPER(TRIM(E1695))="A"),"A",IF(OR(LEFT(UPPER(TRIM(E1695)),1)="M",UPPER(TRIM(E1695))="B"),"B",IF(OR(LEFT(UPPER(TRIM(E1695)),2)="SL",UPPER(TRIM(E1695))="C"),"C",IF(OR(LEFT(UPPER(TRIM(E1695)),1)="D",UPPER(TRIM(E1695))="D"),"D","")))))))</f>
        <v/>
      </c>
      <c r="J1695" s="27" t="str">
        <f aca="false">IF(I1695="","",IF(AND(I1695="D",Settings!$B$6&lt;&gt;"Yes"),"",IFERROR(INDEX(Settings!$C$9:$C$12,MATCH(I1695,Settings!$A$9:$A$12,0)),"")))</f>
        <v/>
      </c>
      <c r="K1695" s="27" t="str">
        <f aca="false">IF(J1695="","",COUNTIF($I$2:I1695,I1695))</f>
        <v/>
      </c>
      <c r="L1695" s="27" t="str">
        <f aca="false">IF(J1695="","",CHOOSE(Q1695+1,"Tue","Wed","Thu","Fri"))</f>
        <v/>
      </c>
      <c r="M1695" s="27" t="str">
        <f aca="false">IF(J1695="","",IF(J1695=1,"Every week",R1695+1&amp;" of "&amp;J1695))</f>
        <v/>
      </c>
      <c r="N1695" s="28" t="str">
        <f aca="false">IF(J1695="","",Settings!$B$4+R1695*7+Q1695)</f>
        <v/>
      </c>
      <c r="O1695" s="28" t="str">
        <f aca="true">IF(J1695="","",N1695+MAX(0,ROUNDUP((TODAY()-N1695)/(J1695*7),0))*J1695*7)</f>
        <v/>
      </c>
      <c r="P1695" s="27" t="str">
        <f aca="false">IF(J1695="","",MOD(K1695-1,J1695*4))</f>
        <v/>
      </c>
      <c r="Q1695" s="27" t="str">
        <f aca="false">IF(J1695="","",MOD(P1695,4))</f>
        <v/>
      </c>
      <c r="R1695" s="27" t="str">
        <f aca="false">IF(J1695="","",INT(P1695/4))</f>
        <v/>
      </c>
      <c r="S1695" s="27" t="str">
        <f aca="false">IF(J1695="","",IF(AND('Daily Count Sheet'!$H$3=Q1695,MOD('Daily Count Sheet'!$I$3,J1695)=R1695),1,""))</f>
        <v/>
      </c>
      <c r="T1695" s="27" t="str">
        <f aca="false">IF(S1695=1,COUNTIF($S$2:S1695,1),"")</f>
        <v/>
      </c>
    </row>
    <row r="1696" customFormat="false" ht="15" hidden="false" customHeight="false" outlineLevel="0" collapsed="false">
      <c r="H1696" s="26"/>
      <c r="I1696" s="27" t="str">
        <f aca="false">IF(A1696="","",IF(H1696&lt;&gt;"",UPPER(TRIM(H1696)),IFERROR(CHOOSE(VALUE(E1696)+1,"A","B","C","D"),IF(OR(LEFT(UPPER(TRIM(E1696)),1)="F",UPPER(TRIM(E1696))="A"),"A",IF(OR(LEFT(UPPER(TRIM(E1696)),1)="M",UPPER(TRIM(E1696))="B"),"B",IF(OR(LEFT(UPPER(TRIM(E1696)),2)="SL",UPPER(TRIM(E1696))="C"),"C",IF(OR(LEFT(UPPER(TRIM(E1696)),1)="D",UPPER(TRIM(E1696))="D"),"D","")))))))</f>
        <v/>
      </c>
      <c r="J1696" s="27" t="str">
        <f aca="false">IF(I1696="","",IF(AND(I1696="D",Settings!$B$6&lt;&gt;"Yes"),"",IFERROR(INDEX(Settings!$C$9:$C$12,MATCH(I1696,Settings!$A$9:$A$12,0)),"")))</f>
        <v/>
      </c>
      <c r="K1696" s="27" t="str">
        <f aca="false">IF(J1696="","",COUNTIF($I$2:I1696,I1696))</f>
        <v/>
      </c>
      <c r="L1696" s="27" t="str">
        <f aca="false">IF(J1696="","",CHOOSE(Q1696+1,"Tue","Wed","Thu","Fri"))</f>
        <v/>
      </c>
      <c r="M1696" s="27" t="str">
        <f aca="false">IF(J1696="","",IF(J1696=1,"Every week",R1696+1&amp;" of "&amp;J1696))</f>
        <v/>
      </c>
      <c r="N1696" s="28" t="str">
        <f aca="false">IF(J1696="","",Settings!$B$4+R1696*7+Q1696)</f>
        <v/>
      </c>
      <c r="O1696" s="28" t="str">
        <f aca="true">IF(J1696="","",N1696+MAX(0,ROUNDUP((TODAY()-N1696)/(J1696*7),0))*J1696*7)</f>
        <v/>
      </c>
      <c r="P1696" s="27" t="str">
        <f aca="false">IF(J1696="","",MOD(K1696-1,J1696*4))</f>
        <v/>
      </c>
      <c r="Q1696" s="27" t="str">
        <f aca="false">IF(J1696="","",MOD(P1696,4))</f>
        <v/>
      </c>
      <c r="R1696" s="27" t="str">
        <f aca="false">IF(J1696="","",INT(P1696/4))</f>
        <v/>
      </c>
      <c r="S1696" s="27" t="str">
        <f aca="false">IF(J1696="","",IF(AND('Daily Count Sheet'!$H$3=Q1696,MOD('Daily Count Sheet'!$I$3,J1696)=R1696),1,""))</f>
        <v/>
      </c>
      <c r="T1696" s="27" t="str">
        <f aca="false">IF(S1696=1,COUNTIF($S$2:S1696,1),"")</f>
        <v/>
      </c>
    </row>
    <row r="1697" customFormat="false" ht="15" hidden="false" customHeight="false" outlineLevel="0" collapsed="false">
      <c r="H1697" s="26"/>
      <c r="I1697" s="27" t="str">
        <f aca="false">IF(A1697="","",IF(H1697&lt;&gt;"",UPPER(TRIM(H1697)),IFERROR(CHOOSE(VALUE(E1697)+1,"A","B","C","D"),IF(OR(LEFT(UPPER(TRIM(E1697)),1)="F",UPPER(TRIM(E1697))="A"),"A",IF(OR(LEFT(UPPER(TRIM(E1697)),1)="M",UPPER(TRIM(E1697))="B"),"B",IF(OR(LEFT(UPPER(TRIM(E1697)),2)="SL",UPPER(TRIM(E1697))="C"),"C",IF(OR(LEFT(UPPER(TRIM(E1697)),1)="D",UPPER(TRIM(E1697))="D"),"D","")))))))</f>
        <v/>
      </c>
      <c r="J1697" s="27" t="str">
        <f aca="false">IF(I1697="","",IF(AND(I1697="D",Settings!$B$6&lt;&gt;"Yes"),"",IFERROR(INDEX(Settings!$C$9:$C$12,MATCH(I1697,Settings!$A$9:$A$12,0)),"")))</f>
        <v/>
      </c>
      <c r="K1697" s="27" t="str">
        <f aca="false">IF(J1697="","",COUNTIF($I$2:I1697,I1697))</f>
        <v/>
      </c>
      <c r="L1697" s="27" t="str">
        <f aca="false">IF(J1697="","",CHOOSE(Q1697+1,"Tue","Wed","Thu","Fri"))</f>
        <v/>
      </c>
      <c r="M1697" s="27" t="str">
        <f aca="false">IF(J1697="","",IF(J1697=1,"Every week",R1697+1&amp;" of "&amp;J1697))</f>
        <v/>
      </c>
      <c r="N1697" s="28" t="str">
        <f aca="false">IF(J1697="","",Settings!$B$4+R1697*7+Q1697)</f>
        <v/>
      </c>
      <c r="O1697" s="28" t="str">
        <f aca="true">IF(J1697="","",N1697+MAX(0,ROUNDUP((TODAY()-N1697)/(J1697*7),0))*J1697*7)</f>
        <v/>
      </c>
      <c r="P1697" s="27" t="str">
        <f aca="false">IF(J1697="","",MOD(K1697-1,J1697*4))</f>
        <v/>
      </c>
      <c r="Q1697" s="27" t="str">
        <f aca="false">IF(J1697="","",MOD(P1697,4))</f>
        <v/>
      </c>
      <c r="R1697" s="27" t="str">
        <f aca="false">IF(J1697="","",INT(P1697/4))</f>
        <v/>
      </c>
      <c r="S1697" s="27" t="str">
        <f aca="false">IF(J1697="","",IF(AND('Daily Count Sheet'!$H$3=Q1697,MOD('Daily Count Sheet'!$I$3,J1697)=R1697),1,""))</f>
        <v/>
      </c>
      <c r="T1697" s="27" t="str">
        <f aca="false">IF(S1697=1,COUNTIF($S$2:S1697,1),"")</f>
        <v/>
      </c>
    </row>
    <row r="1698" customFormat="false" ht="15" hidden="false" customHeight="false" outlineLevel="0" collapsed="false">
      <c r="H1698" s="26"/>
      <c r="I1698" s="27" t="str">
        <f aca="false">IF(A1698="","",IF(H1698&lt;&gt;"",UPPER(TRIM(H1698)),IFERROR(CHOOSE(VALUE(E1698)+1,"A","B","C","D"),IF(OR(LEFT(UPPER(TRIM(E1698)),1)="F",UPPER(TRIM(E1698))="A"),"A",IF(OR(LEFT(UPPER(TRIM(E1698)),1)="M",UPPER(TRIM(E1698))="B"),"B",IF(OR(LEFT(UPPER(TRIM(E1698)),2)="SL",UPPER(TRIM(E1698))="C"),"C",IF(OR(LEFT(UPPER(TRIM(E1698)),1)="D",UPPER(TRIM(E1698))="D"),"D","")))))))</f>
        <v/>
      </c>
      <c r="J1698" s="27" t="str">
        <f aca="false">IF(I1698="","",IF(AND(I1698="D",Settings!$B$6&lt;&gt;"Yes"),"",IFERROR(INDEX(Settings!$C$9:$C$12,MATCH(I1698,Settings!$A$9:$A$12,0)),"")))</f>
        <v/>
      </c>
      <c r="K1698" s="27" t="str">
        <f aca="false">IF(J1698="","",COUNTIF($I$2:I1698,I1698))</f>
        <v/>
      </c>
      <c r="L1698" s="27" t="str">
        <f aca="false">IF(J1698="","",CHOOSE(Q1698+1,"Tue","Wed","Thu","Fri"))</f>
        <v/>
      </c>
      <c r="M1698" s="27" t="str">
        <f aca="false">IF(J1698="","",IF(J1698=1,"Every week",R1698+1&amp;" of "&amp;J1698))</f>
        <v/>
      </c>
      <c r="N1698" s="28" t="str">
        <f aca="false">IF(J1698="","",Settings!$B$4+R1698*7+Q1698)</f>
        <v/>
      </c>
      <c r="O1698" s="28" t="str">
        <f aca="true">IF(J1698="","",N1698+MAX(0,ROUNDUP((TODAY()-N1698)/(J1698*7),0))*J1698*7)</f>
        <v/>
      </c>
      <c r="P1698" s="27" t="str">
        <f aca="false">IF(J1698="","",MOD(K1698-1,J1698*4))</f>
        <v/>
      </c>
      <c r="Q1698" s="27" t="str">
        <f aca="false">IF(J1698="","",MOD(P1698,4))</f>
        <v/>
      </c>
      <c r="R1698" s="27" t="str">
        <f aca="false">IF(J1698="","",INT(P1698/4))</f>
        <v/>
      </c>
      <c r="S1698" s="27" t="str">
        <f aca="false">IF(J1698="","",IF(AND('Daily Count Sheet'!$H$3=Q1698,MOD('Daily Count Sheet'!$I$3,J1698)=R1698),1,""))</f>
        <v/>
      </c>
      <c r="T1698" s="27" t="str">
        <f aca="false">IF(S1698=1,COUNTIF($S$2:S1698,1),"")</f>
        <v/>
      </c>
    </row>
    <row r="1699" customFormat="false" ht="15" hidden="false" customHeight="false" outlineLevel="0" collapsed="false">
      <c r="H1699" s="26"/>
      <c r="I1699" s="27" t="str">
        <f aca="false">IF(A1699="","",IF(H1699&lt;&gt;"",UPPER(TRIM(H1699)),IFERROR(CHOOSE(VALUE(E1699)+1,"A","B","C","D"),IF(OR(LEFT(UPPER(TRIM(E1699)),1)="F",UPPER(TRIM(E1699))="A"),"A",IF(OR(LEFT(UPPER(TRIM(E1699)),1)="M",UPPER(TRIM(E1699))="B"),"B",IF(OR(LEFT(UPPER(TRIM(E1699)),2)="SL",UPPER(TRIM(E1699))="C"),"C",IF(OR(LEFT(UPPER(TRIM(E1699)),1)="D",UPPER(TRIM(E1699))="D"),"D","")))))))</f>
        <v/>
      </c>
      <c r="J1699" s="27" t="str">
        <f aca="false">IF(I1699="","",IF(AND(I1699="D",Settings!$B$6&lt;&gt;"Yes"),"",IFERROR(INDEX(Settings!$C$9:$C$12,MATCH(I1699,Settings!$A$9:$A$12,0)),"")))</f>
        <v/>
      </c>
      <c r="K1699" s="27" t="str">
        <f aca="false">IF(J1699="","",COUNTIF($I$2:I1699,I1699))</f>
        <v/>
      </c>
      <c r="L1699" s="27" t="str">
        <f aca="false">IF(J1699="","",CHOOSE(Q1699+1,"Tue","Wed","Thu","Fri"))</f>
        <v/>
      </c>
      <c r="M1699" s="27" t="str">
        <f aca="false">IF(J1699="","",IF(J1699=1,"Every week",R1699+1&amp;" of "&amp;J1699))</f>
        <v/>
      </c>
      <c r="N1699" s="28" t="str">
        <f aca="false">IF(J1699="","",Settings!$B$4+R1699*7+Q1699)</f>
        <v/>
      </c>
      <c r="O1699" s="28" t="str">
        <f aca="true">IF(J1699="","",N1699+MAX(0,ROUNDUP((TODAY()-N1699)/(J1699*7),0))*J1699*7)</f>
        <v/>
      </c>
      <c r="P1699" s="27" t="str">
        <f aca="false">IF(J1699="","",MOD(K1699-1,J1699*4))</f>
        <v/>
      </c>
      <c r="Q1699" s="27" t="str">
        <f aca="false">IF(J1699="","",MOD(P1699,4))</f>
        <v/>
      </c>
      <c r="R1699" s="27" t="str">
        <f aca="false">IF(J1699="","",INT(P1699/4))</f>
        <v/>
      </c>
      <c r="S1699" s="27" t="str">
        <f aca="false">IF(J1699="","",IF(AND('Daily Count Sheet'!$H$3=Q1699,MOD('Daily Count Sheet'!$I$3,J1699)=R1699),1,""))</f>
        <v/>
      </c>
      <c r="T1699" s="27" t="str">
        <f aca="false">IF(S1699=1,COUNTIF($S$2:S1699,1),"")</f>
        <v/>
      </c>
    </row>
    <row r="1700" customFormat="false" ht="15" hidden="false" customHeight="false" outlineLevel="0" collapsed="false">
      <c r="H1700" s="26"/>
      <c r="I1700" s="27" t="str">
        <f aca="false">IF(A1700="","",IF(H1700&lt;&gt;"",UPPER(TRIM(H1700)),IFERROR(CHOOSE(VALUE(E1700)+1,"A","B","C","D"),IF(OR(LEFT(UPPER(TRIM(E1700)),1)="F",UPPER(TRIM(E1700))="A"),"A",IF(OR(LEFT(UPPER(TRIM(E1700)),1)="M",UPPER(TRIM(E1700))="B"),"B",IF(OR(LEFT(UPPER(TRIM(E1700)),2)="SL",UPPER(TRIM(E1700))="C"),"C",IF(OR(LEFT(UPPER(TRIM(E1700)),1)="D",UPPER(TRIM(E1700))="D"),"D","")))))))</f>
        <v/>
      </c>
      <c r="J1700" s="27" t="str">
        <f aca="false">IF(I1700="","",IF(AND(I1700="D",Settings!$B$6&lt;&gt;"Yes"),"",IFERROR(INDEX(Settings!$C$9:$C$12,MATCH(I1700,Settings!$A$9:$A$12,0)),"")))</f>
        <v/>
      </c>
      <c r="K1700" s="27" t="str">
        <f aca="false">IF(J1700="","",COUNTIF($I$2:I1700,I1700))</f>
        <v/>
      </c>
      <c r="L1700" s="27" t="str">
        <f aca="false">IF(J1700="","",CHOOSE(Q1700+1,"Tue","Wed","Thu","Fri"))</f>
        <v/>
      </c>
      <c r="M1700" s="27" t="str">
        <f aca="false">IF(J1700="","",IF(J1700=1,"Every week",R1700+1&amp;" of "&amp;J1700))</f>
        <v/>
      </c>
      <c r="N1700" s="28" t="str">
        <f aca="false">IF(J1700="","",Settings!$B$4+R1700*7+Q1700)</f>
        <v/>
      </c>
      <c r="O1700" s="28" t="str">
        <f aca="true">IF(J1700="","",N1700+MAX(0,ROUNDUP((TODAY()-N1700)/(J1700*7),0))*J1700*7)</f>
        <v/>
      </c>
      <c r="P1700" s="27" t="str">
        <f aca="false">IF(J1700="","",MOD(K1700-1,J1700*4))</f>
        <v/>
      </c>
      <c r="Q1700" s="27" t="str">
        <f aca="false">IF(J1700="","",MOD(P1700,4))</f>
        <v/>
      </c>
      <c r="R1700" s="27" t="str">
        <f aca="false">IF(J1700="","",INT(P1700/4))</f>
        <v/>
      </c>
      <c r="S1700" s="27" t="str">
        <f aca="false">IF(J1700="","",IF(AND('Daily Count Sheet'!$H$3=Q1700,MOD('Daily Count Sheet'!$I$3,J1700)=R1700),1,""))</f>
        <v/>
      </c>
      <c r="T1700" s="27" t="str">
        <f aca="false">IF(S1700=1,COUNTIF($S$2:S1700,1),"")</f>
        <v/>
      </c>
    </row>
    <row r="1701" customFormat="false" ht="15" hidden="false" customHeight="false" outlineLevel="0" collapsed="false">
      <c r="H1701" s="26"/>
      <c r="I1701" s="27" t="str">
        <f aca="false">IF(A1701="","",IF(H1701&lt;&gt;"",UPPER(TRIM(H1701)),IFERROR(CHOOSE(VALUE(E1701)+1,"A","B","C","D"),IF(OR(LEFT(UPPER(TRIM(E1701)),1)="F",UPPER(TRIM(E1701))="A"),"A",IF(OR(LEFT(UPPER(TRIM(E1701)),1)="M",UPPER(TRIM(E1701))="B"),"B",IF(OR(LEFT(UPPER(TRIM(E1701)),2)="SL",UPPER(TRIM(E1701))="C"),"C",IF(OR(LEFT(UPPER(TRIM(E1701)),1)="D",UPPER(TRIM(E1701))="D"),"D","")))))))</f>
        <v/>
      </c>
      <c r="J1701" s="27" t="str">
        <f aca="false">IF(I1701="","",IF(AND(I1701="D",Settings!$B$6&lt;&gt;"Yes"),"",IFERROR(INDEX(Settings!$C$9:$C$12,MATCH(I1701,Settings!$A$9:$A$12,0)),"")))</f>
        <v/>
      </c>
      <c r="K1701" s="27" t="str">
        <f aca="false">IF(J1701="","",COUNTIF($I$2:I1701,I1701))</f>
        <v/>
      </c>
      <c r="L1701" s="27" t="str">
        <f aca="false">IF(J1701="","",CHOOSE(Q1701+1,"Tue","Wed","Thu","Fri"))</f>
        <v/>
      </c>
      <c r="M1701" s="27" t="str">
        <f aca="false">IF(J1701="","",IF(J1701=1,"Every week",R1701+1&amp;" of "&amp;J1701))</f>
        <v/>
      </c>
      <c r="N1701" s="28" t="str">
        <f aca="false">IF(J1701="","",Settings!$B$4+R1701*7+Q1701)</f>
        <v/>
      </c>
      <c r="O1701" s="28" t="str">
        <f aca="true">IF(J1701="","",N1701+MAX(0,ROUNDUP((TODAY()-N1701)/(J1701*7),0))*J1701*7)</f>
        <v/>
      </c>
      <c r="P1701" s="27" t="str">
        <f aca="false">IF(J1701="","",MOD(K1701-1,J1701*4))</f>
        <v/>
      </c>
      <c r="Q1701" s="27" t="str">
        <f aca="false">IF(J1701="","",MOD(P1701,4))</f>
        <v/>
      </c>
      <c r="R1701" s="27" t="str">
        <f aca="false">IF(J1701="","",INT(P1701/4))</f>
        <v/>
      </c>
      <c r="S1701" s="27" t="str">
        <f aca="false">IF(J1701="","",IF(AND('Daily Count Sheet'!$H$3=Q1701,MOD('Daily Count Sheet'!$I$3,J1701)=R1701),1,""))</f>
        <v/>
      </c>
      <c r="T1701" s="27" t="str">
        <f aca="false">IF(S1701=1,COUNTIF($S$2:S1701,1),"")</f>
        <v/>
      </c>
    </row>
    <row r="1702" customFormat="false" ht="15" hidden="false" customHeight="false" outlineLevel="0" collapsed="false">
      <c r="H1702" s="26"/>
      <c r="I1702" s="27" t="str">
        <f aca="false">IF(A1702="","",IF(H1702&lt;&gt;"",UPPER(TRIM(H1702)),IFERROR(CHOOSE(VALUE(E1702)+1,"A","B","C","D"),IF(OR(LEFT(UPPER(TRIM(E1702)),1)="F",UPPER(TRIM(E1702))="A"),"A",IF(OR(LEFT(UPPER(TRIM(E1702)),1)="M",UPPER(TRIM(E1702))="B"),"B",IF(OR(LEFT(UPPER(TRIM(E1702)),2)="SL",UPPER(TRIM(E1702))="C"),"C",IF(OR(LEFT(UPPER(TRIM(E1702)),1)="D",UPPER(TRIM(E1702))="D"),"D","")))))))</f>
        <v/>
      </c>
      <c r="J1702" s="27" t="str">
        <f aca="false">IF(I1702="","",IF(AND(I1702="D",Settings!$B$6&lt;&gt;"Yes"),"",IFERROR(INDEX(Settings!$C$9:$C$12,MATCH(I1702,Settings!$A$9:$A$12,0)),"")))</f>
        <v/>
      </c>
      <c r="K1702" s="27" t="str">
        <f aca="false">IF(J1702="","",COUNTIF($I$2:I1702,I1702))</f>
        <v/>
      </c>
      <c r="L1702" s="27" t="str">
        <f aca="false">IF(J1702="","",CHOOSE(Q1702+1,"Tue","Wed","Thu","Fri"))</f>
        <v/>
      </c>
      <c r="M1702" s="27" t="str">
        <f aca="false">IF(J1702="","",IF(J1702=1,"Every week",R1702+1&amp;" of "&amp;J1702))</f>
        <v/>
      </c>
      <c r="N1702" s="28" t="str">
        <f aca="false">IF(J1702="","",Settings!$B$4+R1702*7+Q1702)</f>
        <v/>
      </c>
      <c r="O1702" s="28" t="str">
        <f aca="true">IF(J1702="","",N1702+MAX(0,ROUNDUP((TODAY()-N1702)/(J1702*7),0))*J1702*7)</f>
        <v/>
      </c>
      <c r="P1702" s="27" t="str">
        <f aca="false">IF(J1702="","",MOD(K1702-1,J1702*4))</f>
        <v/>
      </c>
      <c r="Q1702" s="27" t="str">
        <f aca="false">IF(J1702="","",MOD(P1702,4))</f>
        <v/>
      </c>
      <c r="R1702" s="27" t="str">
        <f aca="false">IF(J1702="","",INT(P1702/4))</f>
        <v/>
      </c>
      <c r="S1702" s="27" t="str">
        <f aca="false">IF(J1702="","",IF(AND('Daily Count Sheet'!$H$3=Q1702,MOD('Daily Count Sheet'!$I$3,J1702)=R1702),1,""))</f>
        <v/>
      </c>
      <c r="T1702" s="27" t="str">
        <f aca="false">IF(S1702=1,COUNTIF($S$2:S1702,1),"")</f>
        <v/>
      </c>
    </row>
    <row r="1703" customFormat="false" ht="15" hidden="false" customHeight="false" outlineLevel="0" collapsed="false">
      <c r="H1703" s="26"/>
      <c r="I1703" s="27" t="str">
        <f aca="false">IF(A1703="","",IF(H1703&lt;&gt;"",UPPER(TRIM(H1703)),IFERROR(CHOOSE(VALUE(E1703)+1,"A","B","C","D"),IF(OR(LEFT(UPPER(TRIM(E1703)),1)="F",UPPER(TRIM(E1703))="A"),"A",IF(OR(LEFT(UPPER(TRIM(E1703)),1)="M",UPPER(TRIM(E1703))="B"),"B",IF(OR(LEFT(UPPER(TRIM(E1703)),2)="SL",UPPER(TRIM(E1703))="C"),"C",IF(OR(LEFT(UPPER(TRIM(E1703)),1)="D",UPPER(TRIM(E1703))="D"),"D","")))))))</f>
        <v/>
      </c>
      <c r="J1703" s="27" t="str">
        <f aca="false">IF(I1703="","",IF(AND(I1703="D",Settings!$B$6&lt;&gt;"Yes"),"",IFERROR(INDEX(Settings!$C$9:$C$12,MATCH(I1703,Settings!$A$9:$A$12,0)),"")))</f>
        <v/>
      </c>
      <c r="K1703" s="27" t="str">
        <f aca="false">IF(J1703="","",COUNTIF($I$2:I1703,I1703))</f>
        <v/>
      </c>
      <c r="L1703" s="27" t="str">
        <f aca="false">IF(J1703="","",CHOOSE(Q1703+1,"Tue","Wed","Thu","Fri"))</f>
        <v/>
      </c>
      <c r="M1703" s="27" t="str">
        <f aca="false">IF(J1703="","",IF(J1703=1,"Every week",R1703+1&amp;" of "&amp;J1703))</f>
        <v/>
      </c>
      <c r="N1703" s="28" t="str">
        <f aca="false">IF(J1703="","",Settings!$B$4+R1703*7+Q1703)</f>
        <v/>
      </c>
      <c r="O1703" s="28" t="str">
        <f aca="true">IF(J1703="","",N1703+MAX(0,ROUNDUP((TODAY()-N1703)/(J1703*7),0))*J1703*7)</f>
        <v/>
      </c>
      <c r="P1703" s="27" t="str">
        <f aca="false">IF(J1703="","",MOD(K1703-1,J1703*4))</f>
        <v/>
      </c>
      <c r="Q1703" s="27" t="str">
        <f aca="false">IF(J1703="","",MOD(P1703,4))</f>
        <v/>
      </c>
      <c r="R1703" s="27" t="str">
        <f aca="false">IF(J1703="","",INT(P1703/4))</f>
        <v/>
      </c>
      <c r="S1703" s="27" t="str">
        <f aca="false">IF(J1703="","",IF(AND('Daily Count Sheet'!$H$3=Q1703,MOD('Daily Count Sheet'!$I$3,J1703)=R1703),1,""))</f>
        <v/>
      </c>
      <c r="T1703" s="27" t="str">
        <f aca="false">IF(S1703=1,COUNTIF($S$2:S1703,1),"")</f>
        <v/>
      </c>
    </row>
    <row r="1704" customFormat="false" ht="15" hidden="false" customHeight="false" outlineLevel="0" collapsed="false">
      <c r="H1704" s="26"/>
      <c r="I1704" s="27" t="str">
        <f aca="false">IF(A1704="","",IF(H1704&lt;&gt;"",UPPER(TRIM(H1704)),IFERROR(CHOOSE(VALUE(E1704)+1,"A","B","C","D"),IF(OR(LEFT(UPPER(TRIM(E1704)),1)="F",UPPER(TRIM(E1704))="A"),"A",IF(OR(LEFT(UPPER(TRIM(E1704)),1)="M",UPPER(TRIM(E1704))="B"),"B",IF(OR(LEFT(UPPER(TRIM(E1704)),2)="SL",UPPER(TRIM(E1704))="C"),"C",IF(OR(LEFT(UPPER(TRIM(E1704)),1)="D",UPPER(TRIM(E1704))="D"),"D","")))))))</f>
        <v/>
      </c>
      <c r="J1704" s="27" t="str">
        <f aca="false">IF(I1704="","",IF(AND(I1704="D",Settings!$B$6&lt;&gt;"Yes"),"",IFERROR(INDEX(Settings!$C$9:$C$12,MATCH(I1704,Settings!$A$9:$A$12,0)),"")))</f>
        <v/>
      </c>
      <c r="K1704" s="27" t="str">
        <f aca="false">IF(J1704="","",COUNTIF($I$2:I1704,I1704))</f>
        <v/>
      </c>
      <c r="L1704" s="27" t="str">
        <f aca="false">IF(J1704="","",CHOOSE(Q1704+1,"Tue","Wed","Thu","Fri"))</f>
        <v/>
      </c>
      <c r="M1704" s="27" t="str">
        <f aca="false">IF(J1704="","",IF(J1704=1,"Every week",R1704+1&amp;" of "&amp;J1704))</f>
        <v/>
      </c>
      <c r="N1704" s="28" t="str">
        <f aca="false">IF(J1704="","",Settings!$B$4+R1704*7+Q1704)</f>
        <v/>
      </c>
      <c r="O1704" s="28" t="str">
        <f aca="true">IF(J1704="","",N1704+MAX(0,ROUNDUP((TODAY()-N1704)/(J1704*7),0))*J1704*7)</f>
        <v/>
      </c>
      <c r="P1704" s="27" t="str">
        <f aca="false">IF(J1704="","",MOD(K1704-1,J1704*4))</f>
        <v/>
      </c>
      <c r="Q1704" s="27" t="str">
        <f aca="false">IF(J1704="","",MOD(P1704,4))</f>
        <v/>
      </c>
      <c r="R1704" s="27" t="str">
        <f aca="false">IF(J1704="","",INT(P1704/4))</f>
        <v/>
      </c>
      <c r="S1704" s="27" t="str">
        <f aca="false">IF(J1704="","",IF(AND('Daily Count Sheet'!$H$3=Q1704,MOD('Daily Count Sheet'!$I$3,J1704)=R1704),1,""))</f>
        <v/>
      </c>
      <c r="T1704" s="27" t="str">
        <f aca="false">IF(S1704=1,COUNTIF($S$2:S1704,1),"")</f>
        <v/>
      </c>
    </row>
    <row r="1705" customFormat="false" ht="15" hidden="false" customHeight="false" outlineLevel="0" collapsed="false">
      <c r="H1705" s="26"/>
      <c r="I1705" s="27" t="str">
        <f aca="false">IF(A1705="","",IF(H1705&lt;&gt;"",UPPER(TRIM(H1705)),IFERROR(CHOOSE(VALUE(E1705)+1,"A","B","C","D"),IF(OR(LEFT(UPPER(TRIM(E1705)),1)="F",UPPER(TRIM(E1705))="A"),"A",IF(OR(LEFT(UPPER(TRIM(E1705)),1)="M",UPPER(TRIM(E1705))="B"),"B",IF(OR(LEFT(UPPER(TRIM(E1705)),2)="SL",UPPER(TRIM(E1705))="C"),"C",IF(OR(LEFT(UPPER(TRIM(E1705)),1)="D",UPPER(TRIM(E1705))="D"),"D","")))))))</f>
        <v/>
      </c>
      <c r="J1705" s="27" t="str">
        <f aca="false">IF(I1705="","",IF(AND(I1705="D",Settings!$B$6&lt;&gt;"Yes"),"",IFERROR(INDEX(Settings!$C$9:$C$12,MATCH(I1705,Settings!$A$9:$A$12,0)),"")))</f>
        <v/>
      </c>
      <c r="K1705" s="27" t="str">
        <f aca="false">IF(J1705="","",COUNTIF($I$2:I1705,I1705))</f>
        <v/>
      </c>
      <c r="L1705" s="27" t="str">
        <f aca="false">IF(J1705="","",CHOOSE(Q1705+1,"Tue","Wed","Thu","Fri"))</f>
        <v/>
      </c>
      <c r="M1705" s="27" t="str">
        <f aca="false">IF(J1705="","",IF(J1705=1,"Every week",R1705+1&amp;" of "&amp;J1705))</f>
        <v/>
      </c>
      <c r="N1705" s="28" t="str">
        <f aca="false">IF(J1705="","",Settings!$B$4+R1705*7+Q1705)</f>
        <v/>
      </c>
      <c r="O1705" s="28" t="str">
        <f aca="true">IF(J1705="","",N1705+MAX(0,ROUNDUP((TODAY()-N1705)/(J1705*7),0))*J1705*7)</f>
        <v/>
      </c>
      <c r="P1705" s="27" t="str">
        <f aca="false">IF(J1705="","",MOD(K1705-1,J1705*4))</f>
        <v/>
      </c>
      <c r="Q1705" s="27" t="str">
        <f aca="false">IF(J1705="","",MOD(P1705,4))</f>
        <v/>
      </c>
      <c r="R1705" s="27" t="str">
        <f aca="false">IF(J1705="","",INT(P1705/4))</f>
        <v/>
      </c>
      <c r="S1705" s="27" t="str">
        <f aca="false">IF(J1705="","",IF(AND('Daily Count Sheet'!$H$3=Q1705,MOD('Daily Count Sheet'!$I$3,J1705)=R1705),1,""))</f>
        <v/>
      </c>
      <c r="T1705" s="27" t="str">
        <f aca="false">IF(S1705=1,COUNTIF($S$2:S1705,1),"")</f>
        <v/>
      </c>
    </row>
    <row r="1706" customFormat="false" ht="15" hidden="false" customHeight="false" outlineLevel="0" collapsed="false">
      <c r="H1706" s="26"/>
      <c r="I1706" s="27" t="str">
        <f aca="false">IF(A1706="","",IF(H1706&lt;&gt;"",UPPER(TRIM(H1706)),IFERROR(CHOOSE(VALUE(E1706)+1,"A","B","C","D"),IF(OR(LEFT(UPPER(TRIM(E1706)),1)="F",UPPER(TRIM(E1706))="A"),"A",IF(OR(LEFT(UPPER(TRIM(E1706)),1)="M",UPPER(TRIM(E1706))="B"),"B",IF(OR(LEFT(UPPER(TRIM(E1706)),2)="SL",UPPER(TRIM(E1706))="C"),"C",IF(OR(LEFT(UPPER(TRIM(E1706)),1)="D",UPPER(TRIM(E1706))="D"),"D","")))))))</f>
        <v/>
      </c>
      <c r="J1706" s="27" t="str">
        <f aca="false">IF(I1706="","",IF(AND(I1706="D",Settings!$B$6&lt;&gt;"Yes"),"",IFERROR(INDEX(Settings!$C$9:$C$12,MATCH(I1706,Settings!$A$9:$A$12,0)),"")))</f>
        <v/>
      </c>
      <c r="K1706" s="27" t="str">
        <f aca="false">IF(J1706="","",COUNTIF($I$2:I1706,I1706))</f>
        <v/>
      </c>
      <c r="L1706" s="27" t="str">
        <f aca="false">IF(J1706="","",CHOOSE(Q1706+1,"Tue","Wed","Thu","Fri"))</f>
        <v/>
      </c>
      <c r="M1706" s="27" t="str">
        <f aca="false">IF(J1706="","",IF(J1706=1,"Every week",R1706+1&amp;" of "&amp;J1706))</f>
        <v/>
      </c>
      <c r="N1706" s="28" t="str">
        <f aca="false">IF(J1706="","",Settings!$B$4+R1706*7+Q1706)</f>
        <v/>
      </c>
      <c r="O1706" s="28" t="str">
        <f aca="true">IF(J1706="","",N1706+MAX(0,ROUNDUP((TODAY()-N1706)/(J1706*7),0))*J1706*7)</f>
        <v/>
      </c>
      <c r="P1706" s="27" t="str">
        <f aca="false">IF(J1706="","",MOD(K1706-1,J1706*4))</f>
        <v/>
      </c>
      <c r="Q1706" s="27" t="str">
        <f aca="false">IF(J1706="","",MOD(P1706,4))</f>
        <v/>
      </c>
      <c r="R1706" s="27" t="str">
        <f aca="false">IF(J1706="","",INT(P1706/4))</f>
        <v/>
      </c>
      <c r="S1706" s="27" t="str">
        <f aca="false">IF(J1706="","",IF(AND('Daily Count Sheet'!$H$3=Q1706,MOD('Daily Count Sheet'!$I$3,J1706)=R1706),1,""))</f>
        <v/>
      </c>
      <c r="T1706" s="27" t="str">
        <f aca="false">IF(S1706=1,COUNTIF($S$2:S1706,1),"")</f>
        <v/>
      </c>
    </row>
    <row r="1707" customFormat="false" ht="15" hidden="false" customHeight="false" outlineLevel="0" collapsed="false">
      <c r="H1707" s="26"/>
      <c r="I1707" s="27" t="str">
        <f aca="false">IF(A1707="","",IF(H1707&lt;&gt;"",UPPER(TRIM(H1707)),IFERROR(CHOOSE(VALUE(E1707)+1,"A","B","C","D"),IF(OR(LEFT(UPPER(TRIM(E1707)),1)="F",UPPER(TRIM(E1707))="A"),"A",IF(OR(LEFT(UPPER(TRIM(E1707)),1)="M",UPPER(TRIM(E1707))="B"),"B",IF(OR(LEFT(UPPER(TRIM(E1707)),2)="SL",UPPER(TRIM(E1707))="C"),"C",IF(OR(LEFT(UPPER(TRIM(E1707)),1)="D",UPPER(TRIM(E1707))="D"),"D","")))))))</f>
        <v/>
      </c>
      <c r="J1707" s="27" t="str">
        <f aca="false">IF(I1707="","",IF(AND(I1707="D",Settings!$B$6&lt;&gt;"Yes"),"",IFERROR(INDEX(Settings!$C$9:$C$12,MATCH(I1707,Settings!$A$9:$A$12,0)),"")))</f>
        <v/>
      </c>
      <c r="K1707" s="27" t="str">
        <f aca="false">IF(J1707="","",COUNTIF($I$2:I1707,I1707))</f>
        <v/>
      </c>
      <c r="L1707" s="27" t="str">
        <f aca="false">IF(J1707="","",CHOOSE(Q1707+1,"Tue","Wed","Thu","Fri"))</f>
        <v/>
      </c>
      <c r="M1707" s="27" t="str">
        <f aca="false">IF(J1707="","",IF(J1707=1,"Every week",R1707+1&amp;" of "&amp;J1707))</f>
        <v/>
      </c>
      <c r="N1707" s="28" t="str">
        <f aca="false">IF(J1707="","",Settings!$B$4+R1707*7+Q1707)</f>
        <v/>
      </c>
      <c r="O1707" s="28" t="str">
        <f aca="true">IF(J1707="","",N1707+MAX(0,ROUNDUP((TODAY()-N1707)/(J1707*7),0))*J1707*7)</f>
        <v/>
      </c>
      <c r="P1707" s="27" t="str">
        <f aca="false">IF(J1707="","",MOD(K1707-1,J1707*4))</f>
        <v/>
      </c>
      <c r="Q1707" s="27" t="str">
        <f aca="false">IF(J1707="","",MOD(P1707,4))</f>
        <v/>
      </c>
      <c r="R1707" s="27" t="str">
        <f aca="false">IF(J1707="","",INT(P1707/4))</f>
        <v/>
      </c>
      <c r="S1707" s="27" t="str">
        <f aca="false">IF(J1707="","",IF(AND('Daily Count Sheet'!$H$3=Q1707,MOD('Daily Count Sheet'!$I$3,J1707)=R1707),1,""))</f>
        <v/>
      </c>
      <c r="T1707" s="27" t="str">
        <f aca="false">IF(S1707=1,COUNTIF($S$2:S1707,1),"")</f>
        <v/>
      </c>
    </row>
    <row r="1708" customFormat="false" ht="15" hidden="false" customHeight="false" outlineLevel="0" collapsed="false">
      <c r="H1708" s="26"/>
      <c r="I1708" s="27" t="str">
        <f aca="false">IF(A1708="","",IF(H1708&lt;&gt;"",UPPER(TRIM(H1708)),IFERROR(CHOOSE(VALUE(E1708)+1,"A","B","C","D"),IF(OR(LEFT(UPPER(TRIM(E1708)),1)="F",UPPER(TRIM(E1708))="A"),"A",IF(OR(LEFT(UPPER(TRIM(E1708)),1)="M",UPPER(TRIM(E1708))="B"),"B",IF(OR(LEFT(UPPER(TRIM(E1708)),2)="SL",UPPER(TRIM(E1708))="C"),"C",IF(OR(LEFT(UPPER(TRIM(E1708)),1)="D",UPPER(TRIM(E1708))="D"),"D","")))))))</f>
        <v/>
      </c>
      <c r="J1708" s="27" t="str">
        <f aca="false">IF(I1708="","",IF(AND(I1708="D",Settings!$B$6&lt;&gt;"Yes"),"",IFERROR(INDEX(Settings!$C$9:$C$12,MATCH(I1708,Settings!$A$9:$A$12,0)),"")))</f>
        <v/>
      </c>
      <c r="K1708" s="27" t="str">
        <f aca="false">IF(J1708="","",COUNTIF($I$2:I1708,I1708))</f>
        <v/>
      </c>
      <c r="L1708" s="27" t="str">
        <f aca="false">IF(J1708="","",CHOOSE(Q1708+1,"Tue","Wed","Thu","Fri"))</f>
        <v/>
      </c>
      <c r="M1708" s="27" t="str">
        <f aca="false">IF(J1708="","",IF(J1708=1,"Every week",R1708+1&amp;" of "&amp;J1708))</f>
        <v/>
      </c>
      <c r="N1708" s="28" t="str">
        <f aca="false">IF(J1708="","",Settings!$B$4+R1708*7+Q1708)</f>
        <v/>
      </c>
      <c r="O1708" s="28" t="str">
        <f aca="true">IF(J1708="","",N1708+MAX(0,ROUNDUP((TODAY()-N1708)/(J1708*7),0))*J1708*7)</f>
        <v/>
      </c>
      <c r="P1708" s="27" t="str">
        <f aca="false">IF(J1708="","",MOD(K1708-1,J1708*4))</f>
        <v/>
      </c>
      <c r="Q1708" s="27" t="str">
        <f aca="false">IF(J1708="","",MOD(P1708,4))</f>
        <v/>
      </c>
      <c r="R1708" s="27" t="str">
        <f aca="false">IF(J1708="","",INT(P1708/4))</f>
        <v/>
      </c>
      <c r="S1708" s="27" t="str">
        <f aca="false">IF(J1708="","",IF(AND('Daily Count Sheet'!$H$3=Q1708,MOD('Daily Count Sheet'!$I$3,J1708)=R1708),1,""))</f>
        <v/>
      </c>
      <c r="T1708" s="27" t="str">
        <f aca="false">IF(S1708=1,COUNTIF($S$2:S1708,1),"")</f>
        <v/>
      </c>
    </row>
    <row r="1709" customFormat="false" ht="15" hidden="false" customHeight="false" outlineLevel="0" collapsed="false">
      <c r="H1709" s="26"/>
      <c r="I1709" s="27" t="str">
        <f aca="false">IF(A1709="","",IF(H1709&lt;&gt;"",UPPER(TRIM(H1709)),IFERROR(CHOOSE(VALUE(E1709)+1,"A","B","C","D"),IF(OR(LEFT(UPPER(TRIM(E1709)),1)="F",UPPER(TRIM(E1709))="A"),"A",IF(OR(LEFT(UPPER(TRIM(E1709)),1)="M",UPPER(TRIM(E1709))="B"),"B",IF(OR(LEFT(UPPER(TRIM(E1709)),2)="SL",UPPER(TRIM(E1709))="C"),"C",IF(OR(LEFT(UPPER(TRIM(E1709)),1)="D",UPPER(TRIM(E1709))="D"),"D","")))))))</f>
        <v/>
      </c>
      <c r="J1709" s="27" t="str">
        <f aca="false">IF(I1709="","",IF(AND(I1709="D",Settings!$B$6&lt;&gt;"Yes"),"",IFERROR(INDEX(Settings!$C$9:$C$12,MATCH(I1709,Settings!$A$9:$A$12,0)),"")))</f>
        <v/>
      </c>
      <c r="K1709" s="27" t="str">
        <f aca="false">IF(J1709="","",COUNTIF($I$2:I1709,I1709))</f>
        <v/>
      </c>
      <c r="L1709" s="27" t="str">
        <f aca="false">IF(J1709="","",CHOOSE(Q1709+1,"Tue","Wed","Thu","Fri"))</f>
        <v/>
      </c>
      <c r="M1709" s="27" t="str">
        <f aca="false">IF(J1709="","",IF(J1709=1,"Every week",R1709+1&amp;" of "&amp;J1709))</f>
        <v/>
      </c>
      <c r="N1709" s="28" t="str">
        <f aca="false">IF(J1709="","",Settings!$B$4+R1709*7+Q1709)</f>
        <v/>
      </c>
      <c r="O1709" s="28" t="str">
        <f aca="true">IF(J1709="","",N1709+MAX(0,ROUNDUP((TODAY()-N1709)/(J1709*7),0))*J1709*7)</f>
        <v/>
      </c>
      <c r="P1709" s="27" t="str">
        <f aca="false">IF(J1709="","",MOD(K1709-1,J1709*4))</f>
        <v/>
      </c>
      <c r="Q1709" s="27" t="str">
        <f aca="false">IF(J1709="","",MOD(P1709,4))</f>
        <v/>
      </c>
      <c r="R1709" s="27" t="str">
        <f aca="false">IF(J1709="","",INT(P1709/4))</f>
        <v/>
      </c>
      <c r="S1709" s="27" t="str">
        <f aca="false">IF(J1709="","",IF(AND('Daily Count Sheet'!$H$3=Q1709,MOD('Daily Count Sheet'!$I$3,J1709)=R1709),1,""))</f>
        <v/>
      </c>
      <c r="T1709" s="27" t="str">
        <f aca="false">IF(S1709=1,COUNTIF($S$2:S1709,1),"")</f>
        <v/>
      </c>
    </row>
    <row r="1710" customFormat="false" ht="15" hidden="false" customHeight="false" outlineLevel="0" collapsed="false">
      <c r="H1710" s="26"/>
      <c r="I1710" s="27" t="str">
        <f aca="false">IF(A1710="","",IF(H1710&lt;&gt;"",UPPER(TRIM(H1710)),IFERROR(CHOOSE(VALUE(E1710)+1,"A","B","C","D"),IF(OR(LEFT(UPPER(TRIM(E1710)),1)="F",UPPER(TRIM(E1710))="A"),"A",IF(OR(LEFT(UPPER(TRIM(E1710)),1)="M",UPPER(TRIM(E1710))="B"),"B",IF(OR(LEFT(UPPER(TRIM(E1710)),2)="SL",UPPER(TRIM(E1710))="C"),"C",IF(OR(LEFT(UPPER(TRIM(E1710)),1)="D",UPPER(TRIM(E1710))="D"),"D","")))))))</f>
        <v/>
      </c>
      <c r="J1710" s="27" t="str">
        <f aca="false">IF(I1710="","",IF(AND(I1710="D",Settings!$B$6&lt;&gt;"Yes"),"",IFERROR(INDEX(Settings!$C$9:$C$12,MATCH(I1710,Settings!$A$9:$A$12,0)),"")))</f>
        <v/>
      </c>
      <c r="K1710" s="27" t="str">
        <f aca="false">IF(J1710="","",COUNTIF($I$2:I1710,I1710))</f>
        <v/>
      </c>
      <c r="L1710" s="27" t="str">
        <f aca="false">IF(J1710="","",CHOOSE(Q1710+1,"Tue","Wed","Thu","Fri"))</f>
        <v/>
      </c>
      <c r="M1710" s="27" t="str">
        <f aca="false">IF(J1710="","",IF(J1710=1,"Every week",R1710+1&amp;" of "&amp;J1710))</f>
        <v/>
      </c>
      <c r="N1710" s="28" t="str">
        <f aca="false">IF(J1710="","",Settings!$B$4+R1710*7+Q1710)</f>
        <v/>
      </c>
      <c r="O1710" s="28" t="str">
        <f aca="true">IF(J1710="","",N1710+MAX(0,ROUNDUP((TODAY()-N1710)/(J1710*7),0))*J1710*7)</f>
        <v/>
      </c>
      <c r="P1710" s="27" t="str">
        <f aca="false">IF(J1710="","",MOD(K1710-1,J1710*4))</f>
        <v/>
      </c>
      <c r="Q1710" s="27" t="str">
        <f aca="false">IF(J1710="","",MOD(P1710,4))</f>
        <v/>
      </c>
      <c r="R1710" s="27" t="str">
        <f aca="false">IF(J1710="","",INT(P1710/4))</f>
        <v/>
      </c>
      <c r="S1710" s="27" t="str">
        <f aca="false">IF(J1710="","",IF(AND('Daily Count Sheet'!$H$3=Q1710,MOD('Daily Count Sheet'!$I$3,J1710)=R1710),1,""))</f>
        <v/>
      </c>
      <c r="T1710" s="27" t="str">
        <f aca="false">IF(S1710=1,COUNTIF($S$2:S1710,1),"")</f>
        <v/>
      </c>
    </row>
    <row r="1711" customFormat="false" ht="15" hidden="false" customHeight="false" outlineLevel="0" collapsed="false">
      <c r="H1711" s="26"/>
      <c r="I1711" s="27" t="str">
        <f aca="false">IF(A1711="","",IF(H1711&lt;&gt;"",UPPER(TRIM(H1711)),IFERROR(CHOOSE(VALUE(E1711)+1,"A","B","C","D"),IF(OR(LEFT(UPPER(TRIM(E1711)),1)="F",UPPER(TRIM(E1711))="A"),"A",IF(OR(LEFT(UPPER(TRIM(E1711)),1)="M",UPPER(TRIM(E1711))="B"),"B",IF(OR(LEFT(UPPER(TRIM(E1711)),2)="SL",UPPER(TRIM(E1711))="C"),"C",IF(OR(LEFT(UPPER(TRIM(E1711)),1)="D",UPPER(TRIM(E1711))="D"),"D","")))))))</f>
        <v/>
      </c>
      <c r="J1711" s="27" t="str">
        <f aca="false">IF(I1711="","",IF(AND(I1711="D",Settings!$B$6&lt;&gt;"Yes"),"",IFERROR(INDEX(Settings!$C$9:$C$12,MATCH(I1711,Settings!$A$9:$A$12,0)),"")))</f>
        <v/>
      </c>
      <c r="K1711" s="27" t="str">
        <f aca="false">IF(J1711="","",COUNTIF($I$2:I1711,I1711))</f>
        <v/>
      </c>
      <c r="L1711" s="27" t="str">
        <f aca="false">IF(J1711="","",CHOOSE(Q1711+1,"Tue","Wed","Thu","Fri"))</f>
        <v/>
      </c>
      <c r="M1711" s="27" t="str">
        <f aca="false">IF(J1711="","",IF(J1711=1,"Every week",R1711+1&amp;" of "&amp;J1711))</f>
        <v/>
      </c>
      <c r="N1711" s="28" t="str">
        <f aca="false">IF(J1711="","",Settings!$B$4+R1711*7+Q1711)</f>
        <v/>
      </c>
      <c r="O1711" s="28" t="str">
        <f aca="true">IF(J1711="","",N1711+MAX(0,ROUNDUP((TODAY()-N1711)/(J1711*7),0))*J1711*7)</f>
        <v/>
      </c>
      <c r="P1711" s="27" t="str">
        <f aca="false">IF(J1711="","",MOD(K1711-1,J1711*4))</f>
        <v/>
      </c>
      <c r="Q1711" s="27" t="str">
        <f aca="false">IF(J1711="","",MOD(P1711,4))</f>
        <v/>
      </c>
      <c r="R1711" s="27" t="str">
        <f aca="false">IF(J1711="","",INT(P1711/4))</f>
        <v/>
      </c>
      <c r="S1711" s="27" t="str">
        <f aca="false">IF(J1711="","",IF(AND('Daily Count Sheet'!$H$3=Q1711,MOD('Daily Count Sheet'!$I$3,J1711)=R1711),1,""))</f>
        <v/>
      </c>
      <c r="T1711" s="27" t="str">
        <f aca="false">IF(S1711=1,COUNTIF($S$2:S1711,1),"")</f>
        <v/>
      </c>
    </row>
    <row r="1712" customFormat="false" ht="15" hidden="false" customHeight="false" outlineLevel="0" collapsed="false">
      <c r="H1712" s="26"/>
      <c r="I1712" s="27" t="str">
        <f aca="false">IF(A1712="","",IF(H1712&lt;&gt;"",UPPER(TRIM(H1712)),IFERROR(CHOOSE(VALUE(E1712)+1,"A","B","C","D"),IF(OR(LEFT(UPPER(TRIM(E1712)),1)="F",UPPER(TRIM(E1712))="A"),"A",IF(OR(LEFT(UPPER(TRIM(E1712)),1)="M",UPPER(TRIM(E1712))="B"),"B",IF(OR(LEFT(UPPER(TRIM(E1712)),2)="SL",UPPER(TRIM(E1712))="C"),"C",IF(OR(LEFT(UPPER(TRIM(E1712)),1)="D",UPPER(TRIM(E1712))="D"),"D","")))))))</f>
        <v/>
      </c>
      <c r="J1712" s="27" t="str">
        <f aca="false">IF(I1712="","",IF(AND(I1712="D",Settings!$B$6&lt;&gt;"Yes"),"",IFERROR(INDEX(Settings!$C$9:$C$12,MATCH(I1712,Settings!$A$9:$A$12,0)),"")))</f>
        <v/>
      </c>
      <c r="K1712" s="27" t="str">
        <f aca="false">IF(J1712="","",COUNTIF($I$2:I1712,I1712))</f>
        <v/>
      </c>
      <c r="L1712" s="27" t="str">
        <f aca="false">IF(J1712="","",CHOOSE(Q1712+1,"Tue","Wed","Thu","Fri"))</f>
        <v/>
      </c>
      <c r="M1712" s="27" t="str">
        <f aca="false">IF(J1712="","",IF(J1712=1,"Every week",R1712+1&amp;" of "&amp;J1712))</f>
        <v/>
      </c>
      <c r="N1712" s="28" t="str">
        <f aca="false">IF(J1712="","",Settings!$B$4+R1712*7+Q1712)</f>
        <v/>
      </c>
      <c r="O1712" s="28" t="str">
        <f aca="true">IF(J1712="","",N1712+MAX(0,ROUNDUP((TODAY()-N1712)/(J1712*7),0))*J1712*7)</f>
        <v/>
      </c>
      <c r="P1712" s="27" t="str">
        <f aca="false">IF(J1712="","",MOD(K1712-1,J1712*4))</f>
        <v/>
      </c>
      <c r="Q1712" s="27" t="str">
        <f aca="false">IF(J1712="","",MOD(P1712,4))</f>
        <v/>
      </c>
      <c r="R1712" s="27" t="str">
        <f aca="false">IF(J1712="","",INT(P1712/4))</f>
        <v/>
      </c>
      <c r="S1712" s="27" t="str">
        <f aca="false">IF(J1712="","",IF(AND('Daily Count Sheet'!$H$3=Q1712,MOD('Daily Count Sheet'!$I$3,J1712)=R1712),1,""))</f>
        <v/>
      </c>
      <c r="T1712" s="27" t="str">
        <f aca="false">IF(S1712=1,COUNTIF($S$2:S1712,1),"")</f>
        <v/>
      </c>
    </row>
    <row r="1713" customFormat="false" ht="15" hidden="false" customHeight="false" outlineLevel="0" collapsed="false">
      <c r="H1713" s="26"/>
      <c r="I1713" s="27" t="str">
        <f aca="false">IF(A1713="","",IF(H1713&lt;&gt;"",UPPER(TRIM(H1713)),IFERROR(CHOOSE(VALUE(E1713)+1,"A","B","C","D"),IF(OR(LEFT(UPPER(TRIM(E1713)),1)="F",UPPER(TRIM(E1713))="A"),"A",IF(OR(LEFT(UPPER(TRIM(E1713)),1)="M",UPPER(TRIM(E1713))="B"),"B",IF(OR(LEFT(UPPER(TRIM(E1713)),2)="SL",UPPER(TRIM(E1713))="C"),"C",IF(OR(LEFT(UPPER(TRIM(E1713)),1)="D",UPPER(TRIM(E1713))="D"),"D","")))))))</f>
        <v/>
      </c>
      <c r="J1713" s="27" t="str">
        <f aca="false">IF(I1713="","",IF(AND(I1713="D",Settings!$B$6&lt;&gt;"Yes"),"",IFERROR(INDEX(Settings!$C$9:$C$12,MATCH(I1713,Settings!$A$9:$A$12,0)),"")))</f>
        <v/>
      </c>
      <c r="K1713" s="27" t="str">
        <f aca="false">IF(J1713="","",COUNTIF($I$2:I1713,I1713))</f>
        <v/>
      </c>
      <c r="L1713" s="27" t="str">
        <f aca="false">IF(J1713="","",CHOOSE(Q1713+1,"Tue","Wed","Thu","Fri"))</f>
        <v/>
      </c>
      <c r="M1713" s="27" t="str">
        <f aca="false">IF(J1713="","",IF(J1713=1,"Every week",R1713+1&amp;" of "&amp;J1713))</f>
        <v/>
      </c>
      <c r="N1713" s="28" t="str">
        <f aca="false">IF(J1713="","",Settings!$B$4+R1713*7+Q1713)</f>
        <v/>
      </c>
      <c r="O1713" s="28" t="str">
        <f aca="true">IF(J1713="","",N1713+MAX(0,ROUNDUP((TODAY()-N1713)/(J1713*7),0))*J1713*7)</f>
        <v/>
      </c>
      <c r="P1713" s="27" t="str">
        <f aca="false">IF(J1713="","",MOD(K1713-1,J1713*4))</f>
        <v/>
      </c>
      <c r="Q1713" s="27" t="str">
        <f aca="false">IF(J1713="","",MOD(P1713,4))</f>
        <v/>
      </c>
      <c r="R1713" s="27" t="str">
        <f aca="false">IF(J1713="","",INT(P1713/4))</f>
        <v/>
      </c>
      <c r="S1713" s="27" t="str">
        <f aca="false">IF(J1713="","",IF(AND('Daily Count Sheet'!$H$3=Q1713,MOD('Daily Count Sheet'!$I$3,J1713)=R1713),1,""))</f>
        <v/>
      </c>
      <c r="T1713" s="27" t="str">
        <f aca="false">IF(S1713=1,COUNTIF($S$2:S1713,1),"")</f>
        <v/>
      </c>
    </row>
    <row r="1714" customFormat="false" ht="15" hidden="false" customHeight="false" outlineLevel="0" collapsed="false">
      <c r="H1714" s="26"/>
      <c r="I1714" s="27" t="str">
        <f aca="false">IF(A1714="","",IF(H1714&lt;&gt;"",UPPER(TRIM(H1714)),IFERROR(CHOOSE(VALUE(E1714)+1,"A","B","C","D"),IF(OR(LEFT(UPPER(TRIM(E1714)),1)="F",UPPER(TRIM(E1714))="A"),"A",IF(OR(LEFT(UPPER(TRIM(E1714)),1)="M",UPPER(TRIM(E1714))="B"),"B",IF(OR(LEFT(UPPER(TRIM(E1714)),2)="SL",UPPER(TRIM(E1714))="C"),"C",IF(OR(LEFT(UPPER(TRIM(E1714)),1)="D",UPPER(TRIM(E1714))="D"),"D","")))))))</f>
        <v/>
      </c>
      <c r="J1714" s="27" t="str">
        <f aca="false">IF(I1714="","",IF(AND(I1714="D",Settings!$B$6&lt;&gt;"Yes"),"",IFERROR(INDEX(Settings!$C$9:$C$12,MATCH(I1714,Settings!$A$9:$A$12,0)),"")))</f>
        <v/>
      </c>
      <c r="K1714" s="27" t="str">
        <f aca="false">IF(J1714="","",COUNTIF($I$2:I1714,I1714))</f>
        <v/>
      </c>
      <c r="L1714" s="27" t="str">
        <f aca="false">IF(J1714="","",CHOOSE(Q1714+1,"Tue","Wed","Thu","Fri"))</f>
        <v/>
      </c>
      <c r="M1714" s="27" t="str">
        <f aca="false">IF(J1714="","",IF(J1714=1,"Every week",R1714+1&amp;" of "&amp;J1714))</f>
        <v/>
      </c>
      <c r="N1714" s="28" t="str">
        <f aca="false">IF(J1714="","",Settings!$B$4+R1714*7+Q1714)</f>
        <v/>
      </c>
      <c r="O1714" s="28" t="str">
        <f aca="true">IF(J1714="","",N1714+MAX(0,ROUNDUP((TODAY()-N1714)/(J1714*7),0))*J1714*7)</f>
        <v/>
      </c>
      <c r="P1714" s="27" t="str">
        <f aca="false">IF(J1714="","",MOD(K1714-1,J1714*4))</f>
        <v/>
      </c>
      <c r="Q1714" s="27" t="str">
        <f aca="false">IF(J1714="","",MOD(P1714,4))</f>
        <v/>
      </c>
      <c r="R1714" s="27" t="str">
        <f aca="false">IF(J1714="","",INT(P1714/4))</f>
        <v/>
      </c>
      <c r="S1714" s="27" t="str">
        <f aca="false">IF(J1714="","",IF(AND('Daily Count Sheet'!$H$3=Q1714,MOD('Daily Count Sheet'!$I$3,J1714)=R1714),1,""))</f>
        <v/>
      </c>
      <c r="T1714" s="27" t="str">
        <f aca="false">IF(S1714=1,COUNTIF($S$2:S1714,1),"")</f>
        <v/>
      </c>
    </row>
    <row r="1715" customFormat="false" ht="15" hidden="false" customHeight="false" outlineLevel="0" collapsed="false">
      <c r="H1715" s="26"/>
      <c r="I1715" s="27" t="str">
        <f aca="false">IF(A1715="","",IF(H1715&lt;&gt;"",UPPER(TRIM(H1715)),IFERROR(CHOOSE(VALUE(E1715)+1,"A","B","C","D"),IF(OR(LEFT(UPPER(TRIM(E1715)),1)="F",UPPER(TRIM(E1715))="A"),"A",IF(OR(LEFT(UPPER(TRIM(E1715)),1)="M",UPPER(TRIM(E1715))="B"),"B",IF(OR(LEFT(UPPER(TRIM(E1715)),2)="SL",UPPER(TRIM(E1715))="C"),"C",IF(OR(LEFT(UPPER(TRIM(E1715)),1)="D",UPPER(TRIM(E1715))="D"),"D","")))))))</f>
        <v/>
      </c>
      <c r="J1715" s="27" t="str">
        <f aca="false">IF(I1715="","",IF(AND(I1715="D",Settings!$B$6&lt;&gt;"Yes"),"",IFERROR(INDEX(Settings!$C$9:$C$12,MATCH(I1715,Settings!$A$9:$A$12,0)),"")))</f>
        <v/>
      </c>
      <c r="K1715" s="27" t="str">
        <f aca="false">IF(J1715="","",COUNTIF($I$2:I1715,I1715))</f>
        <v/>
      </c>
      <c r="L1715" s="27" t="str">
        <f aca="false">IF(J1715="","",CHOOSE(Q1715+1,"Tue","Wed","Thu","Fri"))</f>
        <v/>
      </c>
      <c r="M1715" s="27" t="str">
        <f aca="false">IF(J1715="","",IF(J1715=1,"Every week",R1715+1&amp;" of "&amp;J1715))</f>
        <v/>
      </c>
      <c r="N1715" s="28" t="str">
        <f aca="false">IF(J1715="","",Settings!$B$4+R1715*7+Q1715)</f>
        <v/>
      </c>
      <c r="O1715" s="28" t="str">
        <f aca="true">IF(J1715="","",N1715+MAX(0,ROUNDUP((TODAY()-N1715)/(J1715*7),0))*J1715*7)</f>
        <v/>
      </c>
      <c r="P1715" s="27" t="str">
        <f aca="false">IF(J1715="","",MOD(K1715-1,J1715*4))</f>
        <v/>
      </c>
      <c r="Q1715" s="27" t="str">
        <f aca="false">IF(J1715="","",MOD(P1715,4))</f>
        <v/>
      </c>
      <c r="R1715" s="27" t="str">
        <f aca="false">IF(J1715="","",INT(P1715/4))</f>
        <v/>
      </c>
      <c r="S1715" s="27" t="str">
        <f aca="false">IF(J1715="","",IF(AND('Daily Count Sheet'!$H$3=Q1715,MOD('Daily Count Sheet'!$I$3,J1715)=R1715),1,""))</f>
        <v/>
      </c>
      <c r="T1715" s="27" t="str">
        <f aca="false">IF(S1715=1,COUNTIF($S$2:S1715,1),"")</f>
        <v/>
      </c>
    </row>
    <row r="1716" customFormat="false" ht="15" hidden="false" customHeight="false" outlineLevel="0" collapsed="false">
      <c r="H1716" s="26"/>
      <c r="I1716" s="27" t="str">
        <f aca="false">IF(A1716="","",IF(H1716&lt;&gt;"",UPPER(TRIM(H1716)),IFERROR(CHOOSE(VALUE(E1716)+1,"A","B","C","D"),IF(OR(LEFT(UPPER(TRIM(E1716)),1)="F",UPPER(TRIM(E1716))="A"),"A",IF(OR(LEFT(UPPER(TRIM(E1716)),1)="M",UPPER(TRIM(E1716))="B"),"B",IF(OR(LEFT(UPPER(TRIM(E1716)),2)="SL",UPPER(TRIM(E1716))="C"),"C",IF(OR(LEFT(UPPER(TRIM(E1716)),1)="D",UPPER(TRIM(E1716))="D"),"D","")))))))</f>
        <v/>
      </c>
      <c r="J1716" s="27" t="str">
        <f aca="false">IF(I1716="","",IF(AND(I1716="D",Settings!$B$6&lt;&gt;"Yes"),"",IFERROR(INDEX(Settings!$C$9:$C$12,MATCH(I1716,Settings!$A$9:$A$12,0)),"")))</f>
        <v/>
      </c>
      <c r="K1716" s="27" t="str">
        <f aca="false">IF(J1716="","",COUNTIF($I$2:I1716,I1716))</f>
        <v/>
      </c>
      <c r="L1716" s="27" t="str">
        <f aca="false">IF(J1716="","",CHOOSE(Q1716+1,"Tue","Wed","Thu","Fri"))</f>
        <v/>
      </c>
      <c r="M1716" s="27" t="str">
        <f aca="false">IF(J1716="","",IF(J1716=1,"Every week",R1716+1&amp;" of "&amp;J1716))</f>
        <v/>
      </c>
      <c r="N1716" s="28" t="str">
        <f aca="false">IF(J1716="","",Settings!$B$4+R1716*7+Q1716)</f>
        <v/>
      </c>
      <c r="O1716" s="28" t="str">
        <f aca="true">IF(J1716="","",N1716+MAX(0,ROUNDUP((TODAY()-N1716)/(J1716*7),0))*J1716*7)</f>
        <v/>
      </c>
      <c r="P1716" s="27" t="str">
        <f aca="false">IF(J1716="","",MOD(K1716-1,J1716*4))</f>
        <v/>
      </c>
      <c r="Q1716" s="27" t="str">
        <f aca="false">IF(J1716="","",MOD(P1716,4))</f>
        <v/>
      </c>
      <c r="R1716" s="27" t="str">
        <f aca="false">IF(J1716="","",INT(P1716/4))</f>
        <v/>
      </c>
      <c r="S1716" s="27" t="str">
        <f aca="false">IF(J1716="","",IF(AND('Daily Count Sheet'!$H$3=Q1716,MOD('Daily Count Sheet'!$I$3,J1716)=R1716),1,""))</f>
        <v/>
      </c>
      <c r="T1716" s="27" t="str">
        <f aca="false">IF(S1716=1,COUNTIF($S$2:S1716,1),"")</f>
        <v/>
      </c>
    </row>
    <row r="1717" customFormat="false" ht="15" hidden="false" customHeight="false" outlineLevel="0" collapsed="false">
      <c r="H1717" s="26"/>
      <c r="I1717" s="27" t="str">
        <f aca="false">IF(A1717="","",IF(H1717&lt;&gt;"",UPPER(TRIM(H1717)),IFERROR(CHOOSE(VALUE(E1717)+1,"A","B","C","D"),IF(OR(LEFT(UPPER(TRIM(E1717)),1)="F",UPPER(TRIM(E1717))="A"),"A",IF(OR(LEFT(UPPER(TRIM(E1717)),1)="M",UPPER(TRIM(E1717))="B"),"B",IF(OR(LEFT(UPPER(TRIM(E1717)),2)="SL",UPPER(TRIM(E1717))="C"),"C",IF(OR(LEFT(UPPER(TRIM(E1717)),1)="D",UPPER(TRIM(E1717))="D"),"D","")))))))</f>
        <v/>
      </c>
      <c r="J1717" s="27" t="str">
        <f aca="false">IF(I1717="","",IF(AND(I1717="D",Settings!$B$6&lt;&gt;"Yes"),"",IFERROR(INDEX(Settings!$C$9:$C$12,MATCH(I1717,Settings!$A$9:$A$12,0)),"")))</f>
        <v/>
      </c>
      <c r="K1717" s="27" t="str">
        <f aca="false">IF(J1717="","",COUNTIF($I$2:I1717,I1717))</f>
        <v/>
      </c>
      <c r="L1717" s="27" t="str">
        <f aca="false">IF(J1717="","",CHOOSE(Q1717+1,"Tue","Wed","Thu","Fri"))</f>
        <v/>
      </c>
      <c r="M1717" s="27" t="str">
        <f aca="false">IF(J1717="","",IF(J1717=1,"Every week",R1717+1&amp;" of "&amp;J1717))</f>
        <v/>
      </c>
      <c r="N1717" s="28" t="str">
        <f aca="false">IF(J1717="","",Settings!$B$4+R1717*7+Q1717)</f>
        <v/>
      </c>
      <c r="O1717" s="28" t="str">
        <f aca="true">IF(J1717="","",N1717+MAX(0,ROUNDUP((TODAY()-N1717)/(J1717*7),0))*J1717*7)</f>
        <v/>
      </c>
      <c r="P1717" s="27" t="str">
        <f aca="false">IF(J1717="","",MOD(K1717-1,J1717*4))</f>
        <v/>
      </c>
      <c r="Q1717" s="27" t="str">
        <f aca="false">IF(J1717="","",MOD(P1717,4))</f>
        <v/>
      </c>
      <c r="R1717" s="27" t="str">
        <f aca="false">IF(J1717="","",INT(P1717/4))</f>
        <v/>
      </c>
      <c r="S1717" s="27" t="str">
        <f aca="false">IF(J1717="","",IF(AND('Daily Count Sheet'!$H$3=Q1717,MOD('Daily Count Sheet'!$I$3,J1717)=R1717),1,""))</f>
        <v/>
      </c>
      <c r="T1717" s="27" t="str">
        <f aca="false">IF(S1717=1,COUNTIF($S$2:S1717,1),"")</f>
        <v/>
      </c>
    </row>
    <row r="1718" customFormat="false" ht="15" hidden="false" customHeight="false" outlineLevel="0" collapsed="false">
      <c r="H1718" s="26"/>
      <c r="I1718" s="27" t="str">
        <f aca="false">IF(A1718="","",IF(H1718&lt;&gt;"",UPPER(TRIM(H1718)),IFERROR(CHOOSE(VALUE(E1718)+1,"A","B","C","D"),IF(OR(LEFT(UPPER(TRIM(E1718)),1)="F",UPPER(TRIM(E1718))="A"),"A",IF(OR(LEFT(UPPER(TRIM(E1718)),1)="M",UPPER(TRIM(E1718))="B"),"B",IF(OR(LEFT(UPPER(TRIM(E1718)),2)="SL",UPPER(TRIM(E1718))="C"),"C",IF(OR(LEFT(UPPER(TRIM(E1718)),1)="D",UPPER(TRIM(E1718))="D"),"D","")))))))</f>
        <v/>
      </c>
      <c r="J1718" s="27" t="str">
        <f aca="false">IF(I1718="","",IF(AND(I1718="D",Settings!$B$6&lt;&gt;"Yes"),"",IFERROR(INDEX(Settings!$C$9:$C$12,MATCH(I1718,Settings!$A$9:$A$12,0)),"")))</f>
        <v/>
      </c>
      <c r="K1718" s="27" t="str">
        <f aca="false">IF(J1718="","",COUNTIF($I$2:I1718,I1718))</f>
        <v/>
      </c>
      <c r="L1718" s="27" t="str">
        <f aca="false">IF(J1718="","",CHOOSE(Q1718+1,"Tue","Wed","Thu","Fri"))</f>
        <v/>
      </c>
      <c r="M1718" s="27" t="str">
        <f aca="false">IF(J1718="","",IF(J1718=1,"Every week",R1718+1&amp;" of "&amp;J1718))</f>
        <v/>
      </c>
      <c r="N1718" s="28" t="str">
        <f aca="false">IF(J1718="","",Settings!$B$4+R1718*7+Q1718)</f>
        <v/>
      </c>
      <c r="O1718" s="28" t="str">
        <f aca="true">IF(J1718="","",N1718+MAX(0,ROUNDUP((TODAY()-N1718)/(J1718*7),0))*J1718*7)</f>
        <v/>
      </c>
      <c r="P1718" s="27" t="str">
        <f aca="false">IF(J1718="","",MOD(K1718-1,J1718*4))</f>
        <v/>
      </c>
      <c r="Q1718" s="27" t="str">
        <f aca="false">IF(J1718="","",MOD(P1718,4))</f>
        <v/>
      </c>
      <c r="R1718" s="27" t="str">
        <f aca="false">IF(J1718="","",INT(P1718/4))</f>
        <v/>
      </c>
      <c r="S1718" s="27" t="str">
        <f aca="false">IF(J1718="","",IF(AND('Daily Count Sheet'!$H$3=Q1718,MOD('Daily Count Sheet'!$I$3,J1718)=R1718),1,""))</f>
        <v/>
      </c>
      <c r="T1718" s="27" t="str">
        <f aca="false">IF(S1718=1,COUNTIF($S$2:S1718,1),"")</f>
        <v/>
      </c>
    </row>
    <row r="1719" customFormat="false" ht="15" hidden="false" customHeight="false" outlineLevel="0" collapsed="false">
      <c r="H1719" s="26"/>
      <c r="I1719" s="27" t="str">
        <f aca="false">IF(A1719="","",IF(H1719&lt;&gt;"",UPPER(TRIM(H1719)),IFERROR(CHOOSE(VALUE(E1719)+1,"A","B","C","D"),IF(OR(LEFT(UPPER(TRIM(E1719)),1)="F",UPPER(TRIM(E1719))="A"),"A",IF(OR(LEFT(UPPER(TRIM(E1719)),1)="M",UPPER(TRIM(E1719))="B"),"B",IF(OR(LEFT(UPPER(TRIM(E1719)),2)="SL",UPPER(TRIM(E1719))="C"),"C",IF(OR(LEFT(UPPER(TRIM(E1719)),1)="D",UPPER(TRIM(E1719))="D"),"D","")))))))</f>
        <v/>
      </c>
      <c r="J1719" s="27" t="str">
        <f aca="false">IF(I1719="","",IF(AND(I1719="D",Settings!$B$6&lt;&gt;"Yes"),"",IFERROR(INDEX(Settings!$C$9:$C$12,MATCH(I1719,Settings!$A$9:$A$12,0)),"")))</f>
        <v/>
      </c>
      <c r="K1719" s="27" t="str">
        <f aca="false">IF(J1719="","",COUNTIF($I$2:I1719,I1719))</f>
        <v/>
      </c>
      <c r="L1719" s="27" t="str">
        <f aca="false">IF(J1719="","",CHOOSE(Q1719+1,"Tue","Wed","Thu","Fri"))</f>
        <v/>
      </c>
      <c r="M1719" s="27" t="str">
        <f aca="false">IF(J1719="","",IF(J1719=1,"Every week",R1719+1&amp;" of "&amp;J1719))</f>
        <v/>
      </c>
      <c r="N1719" s="28" t="str">
        <f aca="false">IF(J1719="","",Settings!$B$4+R1719*7+Q1719)</f>
        <v/>
      </c>
      <c r="O1719" s="28" t="str">
        <f aca="true">IF(J1719="","",N1719+MAX(0,ROUNDUP((TODAY()-N1719)/(J1719*7),0))*J1719*7)</f>
        <v/>
      </c>
      <c r="P1719" s="27" t="str">
        <f aca="false">IF(J1719="","",MOD(K1719-1,J1719*4))</f>
        <v/>
      </c>
      <c r="Q1719" s="27" t="str">
        <f aca="false">IF(J1719="","",MOD(P1719,4))</f>
        <v/>
      </c>
      <c r="R1719" s="27" t="str">
        <f aca="false">IF(J1719="","",INT(P1719/4))</f>
        <v/>
      </c>
      <c r="S1719" s="27" t="str">
        <f aca="false">IF(J1719="","",IF(AND('Daily Count Sheet'!$H$3=Q1719,MOD('Daily Count Sheet'!$I$3,J1719)=R1719),1,""))</f>
        <v/>
      </c>
      <c r="T1719" s="27" t="str">
        <f aca="false">IF(S1719=1,COUNTIF($S$2:S1719,1),"")</f>
        <v/>
      </c>
    </row>
    <row r="1720" customFormat="false" ht="15" hidden="false" customHeight="false" outlineLevel="0" collapsed="false">
      <c r="H1720" s="26"/>
      <c r="I1720" s="27" t="str">
        <f aca="false">IF(A1720="","",IF(H1720&lt;&gt;"",UPPER(TRIM(H1720)),IFERROR(CHOOSE(VALUE(E1720)+1,"A","B","C","D"),IF(OR(LEFT(UPPER(TRIM(E1720)),1)="F",UPPER(TRIM(E1720))="A"),"A",IF(OR(LEFT(UPPER(TRIM(E1720)),1)="M",UPPER(TRIM(E1720))="B"),"B",IF(OR(LEFT(UPPER(TRIM(E1720)),2)="SL",UPPER(TRIM(E1720))="C"),"C",IF(OR(LEFT(UPPER(TRIM(E1720)),1)="D",UPPER(TRIM(E1720))="D"),"D","")))))))</f>
        <v/>
      </c>
      <c r="J1720" s="27" t="str">
        <f aca="false">IF(I1720="","",IF(AND(I1720="D",Settings!$B$6&lt;&gt;"Yes"),"",IFERROR(INDEX(Settings!$C$9:$C$12,MATCH(I1720,Settings!$A$9:$A$12,0)),"")))</f>
        <v/>
      </c>
      <c r="K1720" s="27" t="str">
        <f aca="false">IF(J1720="","",COUNTIF($I$2:I1720,I1720))</f>
        <v/>
      </c>
      <c r="L1720" s="27" t="str">
        <f aca="false">IF(J1720="","",CHOOSE(Q1720+1,"Tue","Wed","Thu","Fri"))</f>
        <v/>
      </c>
      <c r="M1720" s="27" t="str">
        <f aca="false">IF(J1720="","",IF(J1720=1,"Every week",R1720+1&amp;" of "&amp;J1720))</f>
        <v/>
      </c>
      <c r="N1720" s="28" t="str">
        <f aca="false">IF(J1720="","",Settings!$B$4+R1720*7+Q1720)</f>
        <v/>
      </c>
      <c r="O1720" s="28" t="str">
        <f aca="true">IF(J1720="","",N1720+MAX(0,ROUNDUP((TODAY()-N1720)/(J1720*7),0))*J1720*7)</f>
        <v/>
      </c>
      <c r="P1720" s="27" t="str">
        <f aca="false">IF(J1720="","",MOD(K1720-1,J1720*4))</f>
        <v/>
      </c>
      <c r="Q1720" s="27" t="str">
        <f aca="false">IF(J1720="","",MOD(P1720,4))</f>
        <v/>
      </c>
      <c r="R1720" s="27" t="str">
        <f aca="false">IF(J1720="","",INT(P1720/4))</f>
        <v/>
      </c>
      <c r="S1720" s="27" t="str">
        <f aca="false">IF(J1720="","",IF(AND('Daily Count Sheet'!$H$3=Q1720,MOD('Daily Count Sheet'!$I$3,J1720)=R1720),1,""))</f>
        <v/>
      </c>
      <c r="T1720" s="27" t="str">
        <f aca="false">IF(S1720=1,COUNTIF($S$2:S1720,1),"")</f>
        <v/>
      </c>
    </row>
    <row r="1721" customFormat="false" ht="15" hidden="false" customHeight="false" outlineLevel="0" collapsed="false">
      <c r="H1721" s="26"/>
      <c r="I1721" s="27" t="str">
        <f aca="false">IF(A1721="","",IF(H1721&lt;&gt;"",UPPER(TRIM(H1721)),IFERROR(CHOOSE(VALUE(E1721)+1,"A","B","C","D"),IF(OR(LEFT(UPPER(TRIM(E1721)),1)="F",UPPER(TRIM(E1721))="A"),"A",IF(OR(LEFT(UPPER(TRIM(E1721)),1)="M",UPPER(TRIM(E1721))="B"),"B",IF(OR(LEFT(UPPER(TRIM(E1721)),2)="SL",UPPER(TRIM(E1721))="C"),"C",IF(OR(LEFT(UPPER(TRIM(E1721)),1)="D",UPPER(TRIM(E1721))="D"),"D","")))))))</f>
        <v/>
      </c>
      <c r="J1721" s="27" t="str">
        <f aca="false">IF(I1721="","",IF(AND(I1721="D",Settings!$B$6&lt;&gt;"Yes"),"",IFERROR(INDEX(Settings!$C$9:$C$12,MATCH(I1721,Settings!$A$9:$A$12,0)),"")))</f>
        <v/>
      </c>
      <c r="K1721" s="27" t="str">
        <f aca="false">IF(J1721="","",COUNTIF($I$2:I1721,I1721))</f>
        <v/>
      </c>
      <c r="L1721" s="27" t="str">
        <f aca="false">IF(J1721="","",CHOOSE(Q1721+1,"Tue","Wed","Thu","Fri"))</f>
        <v/>
      </c>
      <c r="M1721" s="27" t="str">
        <f aca="false">IF(J1721="","",IF(J1721=1,"Every week",R1721+1&amp;" of "&amp;J1721))</f>
        <v/>
      </c>
      <c r="N1721" s="28" t="str">
        <f aca="false">IF(J1721="","",Settings!$B$4+R1721*7+Q1721)</f>
        <v/>
      </c>
      <c r="O1721" s="28" t="str">
        <f aca="true">IF(J1721="","",N1721+MAX(0,ROUNDUP((TODAY()-N1721)/(J1721*7),0))*J1721*7)</f>
        <v/>
      </c>
      <c r="P1721" s="27" t="str">
        <f aca="false">IF(J1721="","",MOD(K1721-1,J1721*4))</f>
        <v/>
      </c>
      <c r="Q1721" s="27" t="str">
        <f aca="false">IF(J1721="","",MOD(P1721,4))</f>
        <v/>
      </c>
      <c r="R1721" s="27" t="str">
        <f aca="false">IF(J1721="","",INT(P1721/4))</f>
        <v/>
      </c>
      <c r="S1721" s="27" t="str">
        <f aca="false">IF(J1721="","",IF(AND('Daily Count Sheet'!$H$3=Q1721,MOD('Daily Count Sheet'!$I$3,J1721)=R1721),1,""))</f>
        <v/>
      </c>
      <c r="T1721" s="27" t="str">
        <f aca="false">IF(S1721=1,COUNTIF($S$2:S1721,1),"")</f>
        <v/>
      </c>
    </row>
    <row r="1722" customFormat="false" ht="15" hidden="false" customHeight="false" outlineLevel="0" collapsed="false">
      <c r="H1722" s="26"/>
      <c r="I1722" s="27" t="str">
        <f aca="false">IF(A1722="","",IF(H1722&lt;&gt;"",UPPER(TRIM(H1722)),IFERROR(CHOOSE(VALUE(E1722)+1,"A","B","C","D"),IF(OR(LEFT(UPPER(TRIM(E1722)),1)="F",UPPER(TRIM(E1722))="A"),"A",IF(OR(LEFT(UPPER(TRIM(E1722)),1)="M",UPPER(TRIM(E1722))="B"),"B",IF(OR(LEFT(UPPER(TRIM(E1722)),2)="SL",UPPER(TRIM(E1722))="C"),"C",IF(OR(LEFT(UPPER(TRIM(E1722)),1)="D",UPPER(TRIM(E1722))="D"),"D","")))))))</f>
        <v/>
      </c>
      <c r="J1722" s="27" t="str">
        <f aca="false">IF(I1722="","",IF(AND(I1722="D",Settings!$B$6&lt;&gt;"Yes"),"",IFERROR(INDEX(Settings!$C$9:$C$12,MATCH(I1722,Settings!$A$9:$A$12,0)),"")))</f>
        <v/>
      </c>
      <c r="K1722" s="27" t="str">
        <f aca="false">IF(J1722="","",COUNTIF($I$2:I1722,I1722))</f>
        <v/>
      </c>
      <c r="L1722" s="27" t="str">
        <f aca="false">IF(J1722="","",CHOOSE(Q1722+1,"Tue","Wed","Thu","Fri"))</f>
        <v/>
      </c>
      <c r="M1722" s="27" t="str">
        <f aca="false">IF(J1722="","",IF(J1722=1,"Every week",R1722+1&amp;" of "&amp;J1722))</f>
        <v/>
      </c>
      <c r="N1722" s="28" t="str">
        <f aca="false">IF(J1722="","",Settings!$B$4+R1722*7+Q1722)</f>
        <v/>
      </c>
      <c r="O1722" s="28" t="str">
        <f aca="true">IF(J1722="","",N1722+MAX(0,ROUNDUP((TODAY()-N1722)/(J1722*7),0))*J1722*7)</f>
        <v/>
      </c>
      <c r="P1722" s="27" t="str">
        <f aca="false">IF(J1722="","",MOD(K1722-1,J1722*4))</f>
        <v/>
      </c>
      <c r="Q1722" s="27" t="str">
        <f aca="false">IF(J1722="","",MOD(P1722,4))</f>
        <v/>
      </c>
      <c r="R1722" s="27" t="str">
        <f aca="false">IF(J1722="","",INT(P1722/4))</f>
        <v/>
      </c>
      <c r="S1722" s="27" t="str">
        <f aca="false">IF(J1722="","",IF(AND('Daily Count Sheet'!$H$3=Q1722,MOD('Daily Count Sheet'!$I$3,J1722)=R1722),1,""))</f>
        <v/>
      </c>
      <c r="T1722" s="27" t="str">
        <f aca="false">IF(S1722=1,COUNTIF($S$2:S1722,1),"")</f>
        <v/>
      </c>
    </row>
    <row r="1723" customFormat="false" ht="15" hidden="false" customHeight="false" outlineLevel="0" collapsed="false">
      <c r="H1723" s="26"/>
      <c r="I1723" s="27" t="str">
        <f aca="false">IF(A1723="","",IF(H1723&lt;&gt;"",UPPER(TRIM(H1723)),IFERROR(CHOOSE(VALUE(E1723)+1,"A","B","C","D"),IF(OR(LEFT(UPPER(TRIM(E1723)),1)="F",UPPER(TRIM(E1723))="A"),"A",IF(OR(LEFT(UPPER(TRIM(E1723)),1)="M",UPPER(TRIM(E1723))="B"),"B",IF(OR(LEFT(UPPER(TRIM(E1723)),2)="SL",UPPER(TRIM(E1723))="C"),"C",IF(OR(LEFT(UPPER(TRIM(E1723)),1)="D",UPPER(TRIM(E1723))="D"),"D","")))))))</f>
        <v/>
      </c>
      <c r="J1723" s="27" t="str">
        <f aca="false">IF(I1723="","",IF(AND(I1723="D",Settings!$B$6&lt;&gt;"Yes"),"",IFERROR(INDEX(Settings!$C$9:$C$12,MATCH(I1723,Settings!$A$9:$A$12,0)),"")))</f>
        <v/>
      </c>
      <c r="K1723" s="27" t="str">
        <f aca="false">IF(J1723="","",COUNTIF($I$2:I1723,I1723))</f>
        <v/>
      </c>
      <c r="L1723" s="27" t="str">
        <f aca="false">IF(J1723="","",CHOOSE(Q1723+1,"Tue","Wed","Thu","Fri"))</f>
        <v/>
      </c>
      <c r="M1723" s="27" t="str">
        <f aca="false">IF(J1723="","",IF(J1723=1,"Every week",R1723+1&amp;" of "&amp;J1723))</f>
        <v/>
      </c>
      <c r="N1723" s="28" t="str">
        <f aca="false">IF(J1723="","",Settings!$B$4+R1723*7+Q1723)</f>
        <v/>
      </c>
      <c r="O1723" s="28" t="str">
        <f aca="true">IF(J1723="","",N1723+MAX(0,ROUNDUP((TODAY()-N1723)/(J1723*7),0))*J1723*7)</f>
        <v/>
      </c>
      <c r="P1723" s="27" t="str">
        <f aca="false">IF(J1723="","",MOD(K1723-1,J1723*4))</f>
        <v/>
      </c>
      <c r="Q1723" s="27" t="str">
        <f aca="false">IF(J1723="","",MOD(P1723,4))</f>
        <v/>
      </c>
      <c r="R1723" s="27" t="str">
        <f aca="false">IF(J1723="","",INT(P1723/4))</f>
        <v/>
      </c>
      <c r="S1723" s="27" t="str">
        <f aca="false">IF(J1723="","",IF(AND('Daily Count Sheet'!$H$3=Q1723,MOD('Daily Count Sheet'!$I$3,J1723)=R1723),1,""))</f>
        <v/>
      </c>
      <c r="T1723" s="27" t="str">
        <f aca="false">IF(S1723=1,COUNTIF($S$2:S1723,1),"")</f>
        <v/>
      </c>
    </row>
    <row r="1724" customFormat="false" ht="15" hidden="false" customHeight="false" outlineLevel="0" collapsed="false">
      <c r="H1724" s="26"/>
      <c r="I1724" s="27" t="str">
        <f aca="false">IF(A1724="","",IF(H1724&lt;&gt;"",UPPER(TRIM(H1724)),IFERROR(CHOOSE(VALUE(E1724)+1,"A","B","C","D"),IF(OR(LEFT(UPPER(TRIM(E1724)),1)="F",UPPER(TRIM(E1724))="A"),"A",IF(OR(LEFT(UPPER(TRIM(E1724)),1)="M",UPPER(TRIM(E1724))="B"),"B",IF(OR(LEFT(UPPER(TRIM(E1724)),2)="SL",UPPER(TRIM(E1724))="C"),"C",IF(OR(LEFT(UPPER(TRIM(E1724)),1)="D",UPPER(TRIM(E1724))="D"),"D","")))))))</f>
        <v/>
      </c>
      <c r="J1724" s="27" t="str">
        <f aca="false">IF(I1724="","",IF(AND(I1724="D",Settings!$B$6&lt;&gt;"Yes"),"",IFERROR(INDEX(Settings!$C$9:$C$12,MATCH(I1724,Settings!$A$9:$A$12,0)),"")))</f>
        <v/>
      </c>
      <c r="K1724" s="27" t="str">
        <f aca="false">IF(J1724="","",COUNTIF($I$2:I1724,I1724))</f>
        <v/>
      </c>
      <c r="L1724" s="27" t="str">
        <f aca="false">IF(J1724="","",CHOOSE(Q1724+1,"Tue","Wed","Thu","Fri"))</f>
        <v/>
      </c>
      <c r="M1724" s="27" t="str">
        <f aca="false">IF(J1724="","",IF(J1724=1,"Every week",R1724+1&amp;" of "&amp;J1724))</f>
        <v/>
      </c>
      <c r="N1724" s="28" t="str">
        <f aca="false">IF(J1724="","",Settings!$B$4+R1724*7+Q1724)</f>
        <v/>
      </c>
      <c r="O1724" s="28" t="str">
        <f aca="true">IF(J1724="","",N1724+MAX(0,ROUNDUP((TODAY()-N1724)/(J1724*7),0))*J1724*7)</f>
        <v/>
      </c>
      <c r="P1724" s="27" t="str">
        <f aca="false">IF(J1724="","",MOD(K1724-1,J1724*4))</f>
        <v/>
      </c>
      <c r="Q1724" s="27" t="str">
        <f aca="false">IF(J1724="","",MOD(P1724,4))</f>
        <v/>
      </c>
      <c r="R1724" s="27" t="str">
        <f aca="false">IF(J1724="","",INT(P1724/4))</f>
        <v/>
      </c>
      <c r="S1724" s="27" t="str">
        <f aca="false">IF(J1724="","",IF(AND('Daily Count Sheet'!$H$3=Q1724,MOD('Daily Count Sheet'!$I$3,J1724)=R1724),1,""))</f>
        <v/>
      </c>
      <c r="T1724" s="27" t="str">
        <f aca="false">IF(S1724=1,COUNTIF($S$2:S1724,1),"")</f>
        <v/>
      </c>
    </row>
    <row r="1725" customFormat="false" ht="15" hidden="false" customHeight="false" outlineLevel="0" collapsed="false">
      <c r="H1725" s="26"/>
      <c r="I1725" s="27" t="str">
        <f aca="false">IF(A1725="","",IF(H1725&lt;&gt;"",UPPER(TRIM(H1725)),IFERROR(CHOOSE(VALUE(E1725)+1,"A","B","C","D"),IF(OR(LEFT(UPPER(TRIM(E1725)),1)="F",UPPER(TRIM(E1725))="A"),"A",IF(OR(LEFT(UPPER(TRIM(E1725)),1)="M",UPPER(TRIM(E1725))="B"),"B",IF(OR(LEFT(UPPER(TRIM(E1725)),2)="SL",UPPER(TRIM(E1725))="C"),"C",IF(OR(LEFT(UPPER(TRIM(E1725)),1)="D",UPPER(TRIM(E1725))="D"),"D","")))))))</f>
        <v/>
      </c>
      <c r="J1725" s="27" t="str">
        <f aca="false">IF(I1725="","",IF(AND(I1725="D",Settings!$B$6&lt;&gt;"Yes"),"",IFERROR(INDEX(Settings!$C$9:$C$12,MATCH(I1725,Settings!$A$9:$A$12,0)),"")))</f>
        <v/>
      </c>
      <c r="K1725" s="27" t="str">
        <f aca="false">IF(J1725="","",COUNTIF($I$2:I1725,I1725))</f>
        <v/>
      </c>
      <c r="L1725" s="27" t="str">
        <f aca="false">IF(J1725="","",CHOOSE(Q1725+1,"Tue","Wed","Thu","Fri"))</f>
        <v/>
      </c>
      <c r="M1725" s="27" t="str">
        <f aca="false">IF(J1725="","",IF(J1725=1,"Every week",R1725+1&amp;" of "&amp;J1725))</f>
        <v/>
      </c>
      <c r="N1725" s="28" t="str">
        <f aca="false">IF(J1725="","",Settings!$B$4+R1725*7+Q1725)</f>
        <v/>
      </c>
      <c r="O1725" s="28" t="str">
        <f aca="true">IF(J1725="","",N1725+MAX(0,ROUNDUP((TODAY()-N1725)/(J1725*7),0))*J1725*7)</f>
        <v/>
      </c>
      <c r="P1725" s="27" t="str">
        <f aca="false">IF(J1725="","",MOD(K1725-1,J1725*4))</f>
        <v/>
      </c>
      <c r="Q1725" s="27" t="str">
        <f aca="false">IF(J1725="","",MOD(P1725,4))</f>
        <v/>
      </c>
      <c r="R1725" s="27" t="str">
        <f aca="false">IF(J1725="","",INT(P1725/4))</f>
        <v/>
      </c>
      <c r="S1725" s="27" t="str">
        <f aca="false">IF(J1725="","",IF(AND('Daily Count Sheet'!$H$3=Q1725,MOD('Daily Count Sheet'!$I$3,J1725)=R1725),1,""))</f>
        <v/>
      </c>
      <c r="T1725" s="27" t="str">
        <f aca="false">IF(S1725=1,COUNTIF($S$2:S1725,1),"")</f>
        <v/>
      </c>
    </row>
    <row r="1726" customFormat="false" ht="15" hidden="false" customHeight="false" outlineLevel="0" collapsed="false">
      <c r="H1726" s="26"/>
      <c r="I1726" s="27" t="str">
        <f aca="false">IF(A1726="","",IF(H1726&lt;&gt;"",UPPER(TRIM(H1726)),IFERROR(CHOOSE(VALUE(E1726)+1,"A","B","C","D"),IF(OR(LEFT(UPPER(TRIM(E1726)),1)="F",UPPER(TRIM(E1726))="A"),"A",IF(OR(LEFT(UPPER(TRIM(E1726)),1)="M",UPPER(TRIM(E1726))="B"),"B",IF(OR(LEFT(UPPER(TRIM(E1726)),2)="SL",UPPER(TRIM(E1726))="C"),"C",IF(OR(LEFT(UPPER(TRIM(E1726)),1)="D",UPPER(TRIM(E1726))="D"),"D","")))))))</f>
        <v/>
      </c>
      <c r="J1726" s="27" t="str">
        <f aca="false">IF(I1726="","",IF(AND(I1726="D",Settings!$B$6&lt;&gt;"Yes"),"",IFERROR(INDEX(Settings!$C$9:$C$12,MATCH(I1726,Settings!$A$9:$A$12,0)),"")))</f>
        <v/>
      </c>
      <c r="K1726" s="27" t="str">
        <f aca="false">IF(J1726="","",COUNTIF($I$2:I1726,I1726))</f>
        <v/>
      </c>
      <c r="L1726" s="27" t="str">
        <f aca="false">IF(J1726="","",CHOOSE(Q1726+1,"Tue","Wed","Thu","Fri"))</f>
        <v/>
      </c>
      <c r="M1726" s="27" t="str">
        <f aca="false">IF(J1726="","",IF(J1726=1,"Every week",R1726+1&amp;" of "&amp;J1726))</f>
        <v/>
      </c>
      <c r="N1726" s="28" t="str">
        <f aca="false">IF(J1726="","",Settings!$B$4+R1726*7+Q1726)</f>
        <v/>
      </c>
      <c r="O1726" s="28" t="str">
        <f aca="true">IF(J1726="","",N1726+MAX(0,ROUNDUP((TODAY()-N1726)/(J1726*7),0))*J1726*7)</f>
        <v/>
      </c>
      <c r="P1726" s="27" t="str">
        <f aca="false">IF(J1726="","",MOD(K1726-1,J1726*4))</f>
        <v/>
      </c>
      <c r="Q1726" s="27" t="str">
        <f aca="false">IF(J1726="","",MOD(P1726,4))</f>
        <v/>
      </c>
      <c r="R1726" s="27" t="str">
        <f aca="false">IF(J1726="","",INT(P1726/4))</f>
        <v/>
      </c>
      <c r="S1726" s="27" t="str">
        <f aca="false">IF(J1726="","",IF(AND('Daily Count Sheet'!$H$3=Q1726,MOD('Daily Count Sheet'!$I$3,J1726)=R1726),1,""))</f>
        <v/>
      </c>
      <c r="T1726" s="27" t="str">
        <f aca="false">IF(S1726=1,COUNTIF($S$2:S1726,1),"")</f>
        <v/>
      </c>
    </row>
    <row r="1727" customFormat="false" ht="15" hidden="false" customHeight="false" outlineLevel="0" collapsed="false">
      <c r="H1727" s="26"/>
      <c r="I1727" s="27" t="str">
        <f aca="false">IF(A1727="","",IF(H1727&lt;&gt;"",UPPER(TRIM(H1727)),IFERROR(CHOOSE(VALUE(E1727)+1,"A","B","C","D"),IF(OR(LEFT(UPPER(TRIM(E1727)),1)="F",UPPER(TRIM(E1727))="A"),"A",IF(OR(LEFT(UPPER(TRIM(E1727)),1)="M",UPPER(TRIM(E1727))="B"),"B",IF(OR(LEFT(UPPER(TRIM(E1727)),2)="SL",UPPER(TRIM(E1727))="C"),"C",IF(OR(LEFT(UPPER(TRIM(E1727)),1)="D",UPPER(TRIM(E1727))="D"),"D","")))))))</f>
        <v/>
      </c>
      <c r="J1727" s="27" t="str">
        <f aca="false">IF(I1727="","",IF(AND(I1727="D",Settings!$B$6&lt;&gt;"Yes"),"",IFERROR(INDEX(Settings!$C$9:$C$12,MATCH(I1727,Settings!$A$9:$A$12,0)),"")))</f>
        <v/>
      </c>
      <c r="K1727" s="27" t="str">
        <f aca="false">IF(J1727="","",COUNTIF($I$2:I1727,I1727))</f>
        <v/>
      </c>
      <c r="L1727" s="27" t="str">
        <f aca="false">IF(J1727="","",CHOOSE(Q1727+1,"Tue","Wed","Thu","Fri"))</f>
        <v/>
      </c>
      <c r="M1727" s="27" t="str">
        <f aca="false">IF(J1727="","",IF(J1727=1,"Every week",R1727+1&amp;" of "&amp;J1727))</f>
        <v/>
      </c>
      <c r="N1727" s="28" t="str">
        <f aca="false">IF(J1727="","",Settings!$B$4+R1727*7+Q1727)</f>
        <v/>
      </c>
      <c r="O1727" s="28" t="str">
        <f aca="true">IF(J1727="","",N1727+MAX(0,ROUNDUP((TODAY()-N1727)/(J1727*7),0))*J1727*7)</f>
        <v/>
      </c>
      <c r="P1727" s="27" t="str">
        <f aca="false">IF(J1727="","",MOD(K1727-1,J1727*4))</f>
        <v/>
      </c>
      <c r="Q1727" s="27" t="str">
        <f aca="false">IF(J1727="","",MOD(P1727,4))</f>
        <v/>
      </c>
      <c r="R1727" s="27" t="str">
        <f aca="false">IF(J1727="","",INT(P1727/4))</f>
        <v/>
      </c>
      <c r="S1727" s="27" t="str">
        <f aca="false">IF(J1727="","",IF(AND('Daily Count Sheet'!$H$3=Q1727,MOD('Daily Count Sheet'!$I$3,J1727)=R1727),1,""))</f>
        <v/>
      </c>
      <c r="T1727" s="27" t="str">
        <f aca="false">IF(S1727=1,COUNTIF($S$2:S1727,1),"")</f>
        <v/>
      </c>
    </row>
    <row r="1728" customFormat="false" ht="15" hidden="false" customHeight="false" outlineLevel="0" collapsed="false">
      <c r="H1728" s="26"/>
      <c r="I1728" s="27" t="str">
        <f aca="false">IF(A1728="","",IF(H1728&lt;&gt;"",UPPER(TRIM(H1728)),IFERROR(CHOOSE(VALUE(E1728)+1,"A","B","C","D"),IF(OR(LEFT(UPPER(TRIM(E1728)),1)="F",UPPER(TRIM(E1728))="A"),"A",IF(OR(LEFT(UPPER(TRIM(E1728)),1)="M",UPPER(TRIM(E1728))="B"),"B",IF(OR(LEFT(UPPER(TRIM(E1728)),2)="SL",UPPER(TRIM(E1728))="C"),"C",IF(OR(LEFT(UPPER(TRIM(E1728)),1)="D",UPPER(TRIM(E1728))="D"),"D","")))))))</f>
        <v/>
      </c>
      <c r="J1728" s="27" t="str">
        <f aca="false">IF(I1728="","",IF(AND(I1728="D",Settings!$B$6&lt;&gt;"Yes"),"",IFERROR(INDEX(Settings!$C$9:$C$12,MATCH(I1728,Settings!$A$9:$A$12,0)),"")))</f>
        <v/>
      </c>
      <c r="K1728" s="27" t="str">
        <f aca="false">IF(J1728="","",COUNTIF($I$2:I1728,I1728))</f>
        <v/>
      </c>
      <c r="L1728" s="27" t="str">
        <f aca="false">IF(J1728="","",CHOOSE(Q1728+1,"Tue","Wed","Thu","Fri"))</f>
        <v/>
      </c>
      <c r="M1728" s="27" t="str">
        <f aca="false">IF(J1728="","",IF(J1728=1,"Every week",R1728+1&amp;" of "&amp;J1728))</f>
        <v/>
      </c>
      <c r="N1728" s="28" t="str">
        <f aca="false">IF(J1728="","",Settings!$B$4+R1728*7+Q1728)</f>
        <v/>
      </c>
      <c r="O1728" s="28" t="str">
        <f aca="true">IF(J1728="","",N1728+MAX(0,ROUNDUP((TODAY()-N1728)/(J1728*7),0))*J1728*7)</f>
        <v/>
      </c>
      <c r="P1728" s="27" t="str">
        <f aca="false">IF(J1728="","",MOD(K1728-1,J1728*4))</f>
        <v/>
      </c>
      <c r="Q1728" s="27" t="str">
        <f aca="false">IF(J1728="","",MOD(P1728,4))</f>
        <v/>
      </c>
      <c r="R1728" s="27" t="str">
        <f aca="false">IF(J1728="","",INT(P1728/4))</f>
        <v/>
      </c>
      <c r="S1728" s="27" t="str">
        <f aca="false">IF(J1728="","",IF(AND('Daily Count Sheet'!$H$3=Q1728,MOD('Daily Count Sheet'!$I$3,J1728)=R1728),1,""))</f>
        <v/>
      </c>
      <c r="T1728" s="27" t="str">
        <f aca="false">IF(S1728=1,COUNTIF($S$2:S1728,1),"")</f>
        <v/>
      </c>
    </row>
    <row r="1729" customFormat="false" ht="15" hidden="false" customHeight="false" outlineLevel="0" collapsed="false">
      <c r="H1729" s="26"/>
      <c r="I1729" s="27" t="str">
        <f aca="false">IF(A1729="","",IF(H1729&lt;&gt;"",UPPER(TRIM(H1729)),IFERROR(CHOOSE(VALUE(E1729)+1,"A","B","C","D"),IF(OR(LEFT(UPPER(TRIM(E1729)),1)="F",UPPER(TRIM(E1729))="A"),"A",IF(OR(LEFT(UPPER(TRIM(E1729)),1)="M",UPPER(TRIM(E1729))="B"),"B",IF(OR(LEFT(UPPER(TRIM(E1729)),2)="SL",UPPER(TRIM(E1729))="C"),"C",IF(OR(LEFT(UPPER(TRIM(E1729)),1)="D",UPPER(TRIM(E1729))="D"),"D","")))))))</f>
        <v/>
      </c>
      <c r="J1729" s="27" t="str">
        <f aca="false">IF(I1729="","",IF(AND(I1729="D",Settings!$B$6&lt;&gt;"Yes"),"",IFERROR(INDEX(Settings!$C$9:$C$12,MATCH(I1729,Settings!$A$9:$A$12,0)),"")))</f>
        <v/>
      </c>
      <c r="K1729" s="27" t="str">
        <f aca="false">IF(J1729="","",COUNTIF($I$2:I1729,I1729))</f>
        <v/>
      </c>
      <c r="L1729" s="27" t="str">
        <f aca="false">IF(J1729="","",CHOOSE(Q1729+1,"Tue","Wed","Thu","Fri"))</f>
        <v/>
      </c>
      <c r="M1729" s="27" t="str">
        <f aca="false">IF(J1729="","",IF(J1729=1,"Every week",R1729+1&amp;" of "&amp;J1729))</f>
        <v/>
      </c>
      <c r="N1729" s="28" t="str">
        <f aca="false">IF(J1729="","",Settings!$B$4+R1729*7+Q1729)</f>
        <v/>
      </c>
      <c r="O1729" s="28" t="str">
        <f aca="true">IF(J1729="","",N1729+MAX(0,ROUNDUP((TODAY()-N1729)/(J1729*7),0))*J1729*7)</f>
        <v/>
      </c>
      <c r="P1729" s="27" t="str">
        <f aca="false">IF(J1729="","",MOD(K1729-1,J1729*4))</f>
        <v/>
      </c>
      <c r="Q1729" s="27" t="str">
        <f aca="false">IF(J1729="","",MOD(P1729,4))</f>
        <v/>
      </c>
      <c r="R1729" s="27" t="str">
        <f aca="false">IF(J1729="","",INT(P1729/4))</f>
        <v/>
      </c>
      <c r="S1729" s="27" t="str">
        <f aca="false">IF(J1729="","",IF(AND('Daily Count Sheet'!$H$3=Q1729,MOD('Daily Count Sheet'!$I$3,J1729)=R1729),1,""))</f>
        <v/>
      </c>
      <c r="T1729" s="27" t="str">
        <f aca="false">IF(S1729=1,COUNTIF($S$2:S1729,1),"")</f>
        <v/>
      </c>
    </row>
    <row r="1730" customFormat="false" ht="15" hidden="false" customHeight="false" outlineLevel="0" collapsed="false">
      <c r="H1730" s="26"/>
      <c r="I1730" s="27" t="str">
        <f aca="false">IF(A1730="","",IF(H1730&lt;&gt;"",UPPER(TRIM(H1730)),IFERROR(CHOOSE(VALUE(E1730)+1,"A","B","C","D"),IF(OR(LEFT(UPPER(TRIM(E1730)),1)="F",UPPER(TRIM(E1730))="A"),"A",IF(OR(LEFT(UPPER(TRIM(E1730)),1)="M",UPPER(TRIM(E1730))="B"),"B",IF(OR(LEFT(UPPER(TRIM(E1730)),2)="SL",UPPER(TRIM(E1730))="C"),"C",IF(OR(LEFT(UPPER(TRIM(E1730)),1)="D",UPPER(TRIM(E1730))="D"),"D","")))))))</f>
        <v/>
      </c>
      <c r="J1730" s="27" t="str">
        <f aca="false">IF(I1730="","",IF(AND(I1730="D",Settings!$B$6&lt;&gt;"Yes"),"",IFERROR(INDEX(Settings!$C$9:$C$12,MATCH(I1730,Settings!$A$9:$A$12,0)),"")))</f>
        <v/>
      </c>
      <c r="K1730" s="27" t="str">
        <f aca="false">IF(J1730="","",COUNTIF($I$2:I1730,I1730))</f>
        <v/>
      </c>
      <c r="L1730" s="27" t="str">
        <f aca="false">IF(J1730="","",CHOOSE(Q1730+1,"Tue","Wed","Thu","Fri"))</f>
        <v/>
      </c>
      <c r="M1730" s="27" t="str">
        <f aca="false">IF(J1730="","",IF(J1730=1,"Every week",R1730+1&amp;" of "&amp;J1730))</f>
        <v/>
      </c>
      <c r="N1730" s="28" t="str">
        <f aca="false">IF(J1730="","",Settings!$B$4+R1730*7+Q1730)</f>
        <v/>
      </c>
      <c r="O1730" s="28" t="str">
        <f aca="true">IF(J1730="","",N1730+MAX(0,ROUNDUP((TODAY()-N1730)/(J1730*7),0))*J1730*7)</f>
        <v/>
      </c>
      <c r="P1730" s="27" t="str">
        <f aca="false">IF(J1730="","",MOD(K1730-1,J1730*4))</f>
        <v/>
      </c>
      <c r="Q1730" s="27" t="str">
        <f aca="false">IF(J1730="","",MOD(P1730,4))</f>
        <v/>
      </c>
      <c r="R1730" s="27" t="str">
        <f aca="false">IF(J1730="","",INT(P1730/4))</f>
        <v/>
      </c>
      <c r="S1730" s="27" t="str">
        <f aca="false">IF(J1730="","",IF(AND('Daily Count Sheet'!$H$3=Q1730,MOD('Daily Count Sheet'!$I$3,J1730)=R1730),1,""))</f>
        <v/>
      </c>
      <c r="T1730" s="27" t="str">
        <f aca="false">IF(S1730=1,COUNTIF($S$2:S1730,1),"")</f>
        <v/>
      </c>
    </row>
    <row r="1731" customFormat="false" ht="15" hidden="false" customHeight="false" outlineLevel="0" collapsed="false">
      <c r="H1731" s="26"/>
      <c r="I1731" s="27" t="str">
        <f aca="false">IF(A1731="","",IF(H1731&lt;&gt;"",UPPER(TRIM(H1731)),IFERROR(CHOOSE(VALUE(E1731)+1,"A","B","C","D"),IF(OR(LEFT(UPPER(TRIM(E1731)),1)="F",UPPER(TRIM(E1731))="A"),"A",IF(OR(LEFT(UPPER(TRIM(E1731)),1)="M",UPPER(TRIM(E1731))="B"),"B",IF(OR(LEFT(UPPER(TRIM(E1731)),2)="SL",UPPER(TRIM(E1731))="C"),"C",IF(OR(LEFT(UPPER(TRIM(E1731)),1)="D",UPPER(TRIM(E1731))="D"),"D","")))))))</f>
        <v/>
      </c>
      <c r="J1731" s="27" t="str">
        <f aca="false">IF(I1731="","",IF(AND(I1731="D",Settings!$B$6&lt;&gt;"Yes"),"",IFERROR(INDEX(Settings!$C$9:$C$12,MATCH(I1731,Settings!$A$9:$A$12,0)),"")))</f>
        <v/>
      </c>
      <c r="K1731" s="27" t="str">
        <f aca="false">IF(J1731="","",COUNTIF($I$2:I1731,I1731))</f>
        <v/>
      </c>
      <c r="L1731" s="27" t="str">
        <f aca="false">IF(J1731="","",CHOOSE(Q1731+1,"Tue","Wed","Thu","Fri"))</f>
        <v/>
      </c>
      <c r="M1731" s="27" t="str">
        <f aca="false">IF(J1731="","",IF(J1731=1,"Every week",R1731+1&amp;" of "&amp;J1731))</f>
        <v/>
      </c>
      <c r="N1731" s="28" t="str">
        <f aca="false">IF(J1731="","",Settings!$B$4+R1731*7+Q1731)</f>
        <v/>
      </c>
      <c r="O1731" s="28" t="str">
        <f aca="true">IF(J1731="","",N1731+MAX(0,ROUNDUP((TODAY()-N1731)/(J1731*7),0))*J1731*7)</f>
        <v/>
      </c>
      <c r="P1731" s="27" t="str">
        <f aca="false">IF(J1731="","",MOD(K1731-1,J1731*4))</f>
        <v/>
      </c>
      <c r="Q1731" s="27" t="str">
        <f aca="false">IF(J1731="","",MOD(P1731,4))</f>
        <v/>
      </c>
      <c r="R1731" s="27" t="str">
        <f aca="false">IF(J1731="","",INT(P1731/4))</f>
        <v/>
      </c>
      <c r="S1731" s="27" t="str">
        <f aca="false">IF(J1731="","",IF(AND('Daily Count Sheet'!$H$3=Q1731,MOD('Daily Count Sheet'!$I$3,J1731)=R1731),1,""))</f>
        <v/>
      </c>
      <c r="T1731" s="27" t="str">
        <f aca="false">IF(S1731=1,COUNTIF($S$2:S1731,1),"")</f>
        <v/>
      </c>
    </row>
    <row r="1732" customFormat="false" ht="15" hidden="false" customHeight="false" outlineLevel="0" collapsed="false">
      <c r="H1732" s="26"/>
      <c r="I1732" s="27" t="str">
        <f aca="false">IF(A1732="","",IF(H1732&lt;&gt;"",UPPER(TRIM(H1732)),IFERROR(CHOOSE(VALUE(E1732)+1,"A","B","C","D"),IF(OR(LEFT(UPPER(TRIM(E1732)),1)="F",UPPER(TRIM(E1732))="A"),"A",IF(OR(LEFT(UPPER(TRIM(E1732)),1)="M",UPPER(TRIM(E1732))="B"),"B",IF(OR(LEFT(UPPER(TRIM(E1732)),2)="SL",UPPER(TRIM(E1732))="C"),"C",IF(OR(LEFT(UPPER(TRIM(E1732)),1)="D",UPPER(TRIM(E1732))="D"),"D","")))))))</f>
        <v/>
      </c>
      <c r="J1732" s="27" t="str">
        <f aca="false">IF(I1732="","",IF(AND(I1732="D",Settings!$B$6&lt;&gt;"Yes"),"",IFERROR(INDEX(Settings!$C$9:$C$12,MATCH(I1732,Settings!$A$9:$A$12,0)),"")))</f>
        <v/>
      </c>
      <c r="K1732" s="27" t="str">
        <f aca="false">IF(J1732="","",COUNTIF($I$2:I1732,I1732))</f>
        <v/>
      </c>
      <c r="L1732" s="27" t="str">
        <f aca="false">IF(J1732="","",CHOOSE(Q1732+1,"Tue","Wed","Thu","Fri"))</f>
        <v/>
      </c>
      <c r="M1732" s="27" t="str">
        <f aca="false">IF(J1732="","",IF(J1732=1,"Every week",R1732+1&amp;" of "&amp;J1732))</f>
        <v/>
      </c>
      <c r="N1732" s="28" t="str">
        <f aca="false">IF(J1732="","",Settings!$B$4+R1732*7+Q1732)</f>
        <v/>
      </c>
      <c r="O1732" s="28" t="str">
        <f aca="true">IF(J1732="","",N1732+MAX(0,ROUNDUP((TODAY()-N1732)/(J1732*7),0))*J1732*7)</f>
        <v/>
      </c>
      <c r="P1732" s="27" t="str">
        <f aca="false">IF(J1732="","",MOD(K1732-1,J1732*4))</f>
        <v/>
      </c>
      <c r="Q1732" s="27" t="str">
        <f aca="false">IF(J1732="","",MOD(P1732,4))</f>
        <v/>
      </c>
      <c r="R1732" s="27" t="str">
        <f aca="false">IF(J1732="","",INT(P1732/4))</f>
        <v/>
      </c>
      <c r="S1732" s="27" t="str">
        <f aca="false">IF(J1732="","",IF(AND('Daily Count Sheet'!$H$3=Q1732,MOD('Daily Count Sheet'!$I$3,J1732)=R1732),1,""))</f>
        <v/>
      </c>
      <c r="T1732" s="27" t="str">
        <f aca="false">IF(S1732=1,COUNTIF($S$2:S1732,1),"")</f>
        <v/>
      </c>
    </row>
    <row r="1733" customFormat="false" ht="15" hidden="false" customHeight="false" outlineLevel="0" collapsed="false">
      <c r="H1733" s="26"/>
      <c r="I1733" s="27" t="str">
        <f aca="false">IF(A1733="","",IF(H1733&lt;&gt;"",UPPER(TRIM(H1733)),IFERROR(CHOOSE(VALUE(E1733)+1,"A","B","C","D"),IF(OR(LEFT(UPPER(TRIM(E1733)),1)="F",UPPER(TRIM(E1733))="A"),"A",IF(OR(LEFT(UPPER(TRIM(E1733)),1)="M",UPPER(TRIM(E1733))="B"),"B",IF(OR(LEFT(UPPER(TRIM(E1733)),2)="SL",UPPER(TRIM(E1733))="C"),"C",IF(OR(LEFT(UPPER(TRIM(E1733)),1)="D",UPPER(TRIM(E1733))="D"),"D","")))))))</f>
        <v/>
      </c>
      <c r="J1733" s="27" t="str">
        <f aca="false">IF(I1733="","",IF(AND(I1733="D",Settings!$B$6&lt;&gt;"Yes"),"",IFERROR(INDEX(Settings!$C$9:$C$12,MATCH(I1733,Settings!$A$9:$A$12,0)),"")))</f>
        <v/>
      </c>
      <c r="K1733" s="27" t="str">
        <f aca="false">IF(J1733="","",COUNTIF($I$2:I1733,I1733))</f>
        <v/>
      </c>
      <c r="L1733" s="27" t="str">
        <f aca="false">IF(J1733="","",CHOOSE(Q1733+1,"Tue","Wed","Thu","Fri"))</f>
        <v/>
      </c>
      <c r="M1733" s="27" t="str">
        <f aca="false">IF(J1733="","",IF(J1733=1,"Every week",R1733+1&amp;" of "&amp;J1733))</f>
        <v/>
      </c>
      <c r="N1733" s="28" t="str">
        <f aca="false">IF(J1733="","",Settings!$B$4+R1733*7+Q1733)</f>
        <v/>
      </c>
      <c r="O1733" s="28" t="str">
        <f aca="true">IF(J1733="","",N1733+MAX(0,ROUNDUP((TODAY()-N1733)/(J1733*7),0))*J1733*7)</f>
        <v/>
      </c>
      <c r="P1733" s="27" t="str">
        <f aca="false">IF(J1733="","",MOD(K1733-1,J1733*4))</f>
        <v/>
      </c>
      <c r="Q1733" s="27" t="str">
        <f aca="false">IF(J1733="","",MOD(P1733,4))</f>
        <v/>
      </c>
      <c r="R1733" s="27" t="str">
        <f aca="false">IF(J1733="","",INT(P1733/4))</f>
        <v/>
      </c>
      <c r="S1733" s="27" t="str">
        <f aca="false">IF(J1733="","",IF(AND('Daily Count Sheet'!$H$3=Q1733,MOD('Daily Count Sheet'!$I$3,J1733)=R1733),1,""))</f>
        <v/>
      </c>
      <c r="T1733" s="27" t="str">
        <f aca="false">IF(S1733=1,COUNTIF($S$2:S1733,1),"")</f>
        <v/>
      </c>
    </row>
    <row r="1734" customFormat="false" ht="15" hidden="false" customHeight="false" outlineLevel="0" collapsed="false">
      <c r="H1734" s="26"/>
      <c r="I1734" s="27" t="str">
        <f aca="false">IF(A1734="","",IF(H1734&lt;&gt;"",UPPER(TRIM(H1734)),IFERROR(CHOOSE(VALUE(E1734)+1,"A","B","C","D"),IF(OR(LEFT(UPPER(TRIM(E1734)),1)="F",UPPER(TRIM(E1734))="A"),"A",IF(OR(LEFT(UPPER(TRIM(E1734)),1)="M",UPPER(TRIM(E1734))="B"),"B",IF(OR(LEFT(UPPER(TRIM(E1734)),2)="SL",UPPER(TRIM(E1734))="C"),"C",IF(OR(LEFT(UPPER(TRIM(E1734)),1)="D",UPPER(TRIM(E1734))="D"),"D","")))))))</f>
        <v/>
      </c>
      <c r="J1734" s="27" t="str">
        <f aca="false">IF(I1734="","",IF(AND(I1734="D",Settings!$B$6&lt;&gt;"Yes"),"",IFERROR(INDEX(Settings!$C$9:$C$12,MATCH(I1734,Settings!$A$9:$A$12,0)),"")))</f>
        <v/>
      </c>
      <c r="K1734" s="27" t="str">
        <f aca="false">IF(J1734="","",COUNTIF($I$2:I1734,I1734))</f>
        <v/>
      </c>
      <c r="L1734" s="27" t="str">
        <f aca="false">IF(J1734="","",CHOOSE(Q1734+1,"Tue","Wed","Thu","Fri"))</f>
        <v/>
      </c>
      <c r="M1734" s="27" t="str">
        <f aca="false">IF(J1734="","",IF(J1734=1,"Every week",R1734+1&amp;" of "&amp;J1734))</f>
        <v/>
      </c>
      <c r="N1734" s="28" t="str">
        <f aca="false">IF(J1734="","",Settings!$B$4+R1734*7+Q1734)</f>
        <v/>
      </c>
      <c r="O1734" s="28" t="str">
        <f aca="true">IF(J1734="","",N1734+MAX(0,ROUNDUP((TODAY()-N1734)/(J1734*7),0))*J1734*7)</f>
        <v/>
      </c>
      <c r="P1734" s="27" t="str">
        <f aca="false">IF(J1734="","",MOD(K1734-1,J1734*4))</f>
        <v/>
      </c>
      <c r="Q1734" s="27" t="str">
        <f aca="false">IF(J1734="","",MOD(P1734,4))</f>
        <v/>
      </c>
      <c r="R1734" s="27" t="str">
        <f aca="false">IF(J1734="","",INT(P1734/4))</f>
        <v/>
      </c>
      <c r="S1734" s="27" t="str">
        <f aca="false">IF(J1734="","",IF(AND('Daily Count Sheet'!$H$3=Q1734,MOD('Daily Count Sheet'!$I$3,J1734)=R1734),1,""))</f>
        <v/>
      </c>
      <c r="T1734" s="27" t="str">
        <f aca="false">IF(S1734=1,COUNTIF($S$2:S1734,1),"")</f>
        <v/>
      </c>
    </row>
    <row r="1735" customFormat="false" ht="15" hidden="false" customHeight="false" outlineLevel="0" collapsed="false">
      <c r="H1735" s="26"/>
      <c r="I1735" s="27" t="str">
        <f aca="false">IF(A1735="","",IF(H1735&lt;&gt;"",UPPER(TRIM(H1735)),IFERROR(CHOOSE(VALUE(E1735)+1,"A","B","C","D"),IF(OR(LEFT(UPPER(TRIM(E1735)),1)="F",UPPER(TRIM(E1735))="A"),"A",IF(OR(LEFT(UPPER(TRIM(E1735)),1)="M",UPPER(TRIM(E1735))="B"),"B",IF(OR(LEFT(UPPER(TRIM(E1735)),2)="SL",UPPER(TRIM(E1735))="C"),"C",IF(OR(LEFT(UPPER(TRIM(E1735)),1)="D",UPPER(TRIM(E1735))="D"),"D","")))))))</f>
        <v/>
      </c>
      <c r="J1735" s="27" t="str">
        <f aca="false">IF(I1735="","",IF(AND(I1735="D",Settings!$B$6&lt;&gt;"Yes"),"",IFERROR(INDEX(Settings!$C$9:$C$12,MATCH(I1735,Settings!$A$9:$A$12,0)),"")))</f>
        <v/>
      </c>
      <c r="K1735" s="27" t="str">
        <f aca="false">IF(J1735="","",COUNTIF($I$2:I1735,I1735))</f>
        <v/>
      </c>
      <c r="L1735" s="27" t="str">
        <f aca="false">IF(J1735="","",CHOOSE(Q1735+1,"Tue","Wed","Thu","Fri"))</f>
        <v/>
      </c>
      <c r="M1735" s="27" t="str">
        <f aca="false">IF(J1735="","",IF(J1735=1,"Every week",R1735+1&amp;" of "&amp;J1735))</f>
        <v/>
      </c>
      <c r="N1735" s="28" t="str">
        <f aca="false">IF(J1735="","",Settings!$B$4+R1735*7+Q1735)</f>
        <v/>
      </c>
      <c r="O1735" s="28" t="str">
        <f aca="true">IF(J1735="","",N1735+MAX(0,ROUNDUP((TODAY()-N1735)/(J1735*7),0))*J1735*7)</f>
        <v/>
      </c>
      <c r="P1735" s="27" t="str">
        <f aca="false">IF(J1735="","",MOD(K1735-1,J1735*4))</f>
        <v/>
      </c>
      <c r="Q1735" s="27" t="str">
        <f aca="false">IF(J1735="","",MOD(P1735,4))</f>
        <v/>
      </c>
      <c r="R1735" s="27" t="str">
        <f aca="false">IF(J1735="","",INT(P1735/4))</f>
        <v/>
      </c>
      <c r="S1735" s="27" t="str">
        <f aca="false">IF(J1735="","",IF(AND('Daily Count Sheet'!$H$3=Q1735,MOD('Daily Count Sheet'!$I$3,J1735)=R1735),1,""))</f>
        <v/>
      </c>
      <c r="T1735" s="27" t="str">
        <f aca="false">IF(S1735=1,COUNTIF($S$2:S1735,1),"")</f>
        <v/>
      </c>
    </row>
    <row r="1736" customFormat="false" ht="15" hidden="false" customHeight="false" outlineLevel="0" collapsed="false">
      <c r="H1736" s="26"/>
      <c r="I1736" s="27" t="str">
        <f aca="false">IF(A1736="","",IF(H1736&lt;&gt;"",UPPER(TRIM(H1736)),IFERROR(CHOOSE(VALUE(E1736)+1,"A","B","C","D"),IF(OR(LEFT(UPPER(TRIM(E1736)),1)="F",UPPER(TRIM(E1736))="A"),"A",IF(OR(LEFT(UPPER(TRIM(E1736)),1)="M",UPPER(TRIM(E1736))="B"),"B",IF(OR(LEFT(UPPER(TRIM(E1736)),2)="SL",UPPER(TRIM(E1736))="C"),"C",IF(OR(LEFT(UPPER(TRIM(E1736)),1)="D",UPPER(TRIM(E1736))="D"),"D","")))))))</f>
        <v/>
      </c>
      <c r="J1736" s="27" t="str">
        <f aca="false">IF(I1736="","",IF(AND(I1736="D",Settings!$B$6&lt;&gt;"Yes"),"",IFERROR(INDEX(Settings!$C$9:$C$12,MATCH(I1736,Settings!$A$9:$A$12,0)),"")))</f>
        <v/>
      </c>
      <c r="K1736" s="27" t="str">
        <f aca="false">IF(J1736="","",COUNTIF($I$2:I1736,I1736))</f>
        <v/>
      </c>
      <c r="L1736" s="27" t="str">
        <f aca="false">IF(J1736="","",CHOOSE(Q1736+1,"Tue","Wed","Thu","Fri"))</f>
        <v/>
      </c>
      <c r="M1736" s="27" t="str">
        <f aca="false">IF(J1736="","",IF(J1736=1,"Every week",R1736+1&amp;" of "&amp;J1736))</f>
        <v/>
      </c>
      <c r="N1736" s="28" t="str">
        <f aca="false">IF(J1736="","",Settings!$B$4+R1736*7+Q1736)</f>
        <v/>
      </c>
      <c r="O1736" s="28" t="str">
        <f aca="true">IF(J1736="","",N1736+MAX(0,ROUNDUP((TODAY()-N1736)/(J1736*7),0))*J1736*7)</f>
        <v/>
      </c>
      <c r="P1736" s="27" t="str">
        <f aca="false">IF(J1736="","",MOD(K1736-1,J1736*4))</f>
        <v/>
      </c>
      <c r="Q1736" s="27" t="str">
        <f aca="false">IF(J1736="","",MOD(P1736,4))</f>
        <v/>
      </c>
      <c r="R1736" s="27" t="str">
        <f aca="false">IF(J1736="","",INT(P1736/4))</f>
        <v/>
      </c>
      <c r="S1736" s="27" t="str">
        <f aca="false">IF(J1736="","",IF(AND('Daily Count Sheet'!$H$3=Q1736,MOD('Daily Count Sheet'!$I$3,J1736)=R1736),1,""))</f>
        <v/>
      </c>
      <c r="T1736" s="27" t="str">
        <f aca="false">IF(S1736=1,COUNTIF($S$2:S1736,1),"")</f>
        <v/>
      </c>
    </row>
    <row r="1737" customFormat="false" ht="15" hidden="false" customHeight="false" outlineLevel="0" collapsed="false">
      <c r="H1737" s="26"/>
      <c r="I1737" s="27" t="str">
        <f aca="false">IF(A1737="","",IF(H1737&lt;&gt;"",UPPER(TRIM(H1737)),IFERROR(CHOOSE(VALUE(E1737)+1,"A","B","C","D"),IF(OR(LEFT(UPPER(TRIM(E1737)),1)="F",UPPER(TRIM(E1737))="A"),"A",IF(OR(LEFT(UPPER(TRIM(E1737)),1)="M",UPPER(TRIM(E1737))="B"),"B",IF(OR(LEFT(UPPER(TRIM(E1737)),2)="SL",UPPER(TRIM(E1737))="C"),"C",IF(OR(LEFT(UPPER(TRIM(E1737)),1)="D",UPPER(TRIM(E1737))="D"),"D","")))))))</f>
        <v/>
      </c>
      <c r="J1737" s="27" t="str">
        <f aca="false">IF(I1737="","",IF(AND(I1737="D",Settings!$B$6&lt;&gt;"Yes"),"",IFERROR(INDEX(Settings!$C$9:$C$12,MATCH(I1737,Settings!$A$9:$A$12,0)),"")))</f>
        <v/>
      </c>
      <c r="K1737" s="27" t="str">
        <f aca="false">IF(J1737="","",COUNTIF($I$2:I1737,I1737))</f>
        <v/>
      </c>
      <c r="L1737" s="27" t="str">
        <f aca="false">IF(J1737="","",CHOOSE(Q1737+1,"Tue","Wed","Thu","Fri"))</f>
        <v/>
      </c>
      <c r="M1737" s="27" t="str">
        <f aca="false">IF(J1737="","",IF(J1737=1,"Every week",R1737+1&amp;" of "&amp;J1737))</f>
        <v/>
      </c>
      <c r="N1737" s="28" t="str">
        <f aca="false">IF(J1737="","",Settings!$B$4+R1737*7+Q1737)</f>
        <v/>
      </c>
      <c r="O1737" s="28" t="str">
        <f aca="true">IF(J1737="","",N1737+MAX(0,ROUNDUP((TODAY()-N1737)/(J1737*7),0))*J1737*7)</f>
        <v/>
      </c>
      <c r="P1737" s="27" t="str">
        <f aca="false">IF(J1737="","",MOD(K1737-1,J1737*4))</f>
        <v/>
      </c>
      <c r="Q1737" s="27" t="str">
        <f aca="false">IF(J1737="","",MOD(P1737,4))</f>
        <v/>
      </c>
      <c r="R1737" s="27" t="str">
        <f aca="false">IF(J1737="","",INT(P1737/4))</f>
        <v/>
      </c>
      <c r="S1737" s="27" t="str">
        <f aca="false">IF(J1737="","",IF(AND('Daily Count Sheet'!$H$3=Q1737,MOD('Daily Count Sheet'!$I$3,J1737)=R1737),1,""))</f>
        <v/>
      </c>
      <c r="T1737" s="27" t="str">
        <f aca="false">IF(S1737=1,COUNTIF($S$2:S1737,1),"")</f>
        <v/>
      </c>
    </row>
    <row r="1738" customFormat="false" ht="15" hidden="false" customHeight="false" outlineLevel="0" collapsed="false">
      <c r="H1738" s="26"/>
      <c r="I1738" s="27" t="str">
        <f aca="false">IF(A1738="","",IF(H1738&lt;&gt;"",UPPER(TRIM(H1738)),IFERROR(CHOOSE(VALUE(E1738)+1,"A","B","C","D"),IF(OR(LEFT(UPPER(TRIM(E1738)),1)="F",UPPER(TRIM(E1738))="A"),"A",IF(OR(LEFT(UPPER(TRIM(E1738)),1)="M",UPPER(TRIM(E1738))="B"),"B",IF(OR(LEFT(UPPER(TRIM(E1738)),2)="SL",UPPER(TRIM(E1738))="C"),"C",IF(OR(LEFT(UPPER(TRIM(E1738)),1)="D",UPPER(TRIM(E1738))="D"),"D","")))))))</f>
        <v/>
      </c>
      <c r="J1738" s="27" t="str">
        <f aca="false">IF(I1738="","",IF(AND(I1738="D",Settings!$B$6&lt;&gt;"Yes"),"",IFERROR(INDEX(Settings!$C$9:$C$12,MATCH(I1738,Settings!$A$9:$A$12,0)),"")))</f>
        <v/>
      </c>
      <c r="K1738" s="27" t="str">
        <f aca="false">IF(J1738="","",COUNTIF($I$2:I1738,I1738))</f>
        <v/>
      </c>
      <c r="L1738" s="27" t="str">
        <f aca="false">IF(J1738="","",CHOOSE(Q1738+1,"Tue","Wed","Thu","Fri"))</f>
        <v/>
      </c>
      <c r="M1738" s="27" t="str">
        <f aca="false">IF(J1738="","",IF(J1738=1,"Every week",R1738+1&amp;" of "&amp;J1738))</f>
        <v/>
      </c>
      <c r="N1738" s="28" t="str">
        <f aca="false">IF(J1738="","",Settings!$B$4+R1738*7+Q1738)</f>
        <v/>
      </c>
      <c r="O1738" s="28" t="str">
        <f aca="true">IF(J1738="","",N1738+MAX(0,ROUNDUP((TODAY()-N1738)/(J1738*7),0))*J1738*7)</f>
        <v/>
      </c>
      <c r="P1738" s="27" t="str">
        <f aca="false">IF(J1738="","",MOD(K1738-1,J1738*4))</f>
        <v/>
      </c>
      <c r="Q1738" s="27" t="str">
        <f aca="false">IF(J1738="","",MOD(P1738,4))</f>
        <v/>
      </c>
      <c r="R1738" s="27" t="str">
        <f aca="false">IF(J1738="","",INT(P1738/4))</f>
        <v/>
      </c>
      <c r="S1738" s="27" t="str">
        <f aca="false">IF(J1738="","",IF(AND('Daily Count Sheet'!$H$3=Q1738,MOD('Daily Count Sheet'!$I$3,J1738)=R1738),1,""))</f>
        <v/>
      </c>
      <c r="T1738" s="27" t="str">
        <f aca="false">IF(S1738=1,COUNTIF($S$2:S1738,1),"")</f>
        <v/>
      </c>
    </row>
    <row r="1739" customFormat="false" ht="15" hidden="false" customHeight="false" outlineLevel="0" collapsed="false">
      <c r="H1739" s="26"/>
      <c r="I1739" s="27" t="str">
        <f aca="false">IF(A1739="","",IF(H1739&lt;&gt;"",UPPER(TRIM(H1739)),IFERROR(CHOOSE(VALUE(E1739)+1,"A","B","C","D"),IF(OR(LEFT(UPPER(TRIM(E1739)),1)="F",UPPER(TRIM(E1739))="A"),"A",IF(OR(LEFT(UPPER(TRIM(E1739)),1)="M",UPPER(TRIM(E1739))="B"),"B",IF(OR(LEFT(UPPER(TRIM(E1739)),2)="SL",UPPER(TRIM(E1739))="C"),"C",IF(OR(LEFT(UPPER(TRIM(E1739)),1)="D",UPPER(TRIM(E1739))="D"),"D","")))))))</f>
        <v/>
      </c>
      <c r="J1739" s="27" t="str">
        <f aca="false">IF(I1739="","",IF(AND(I1739="D",Settings!$B$6&lt;&gt;"Yes"),"",IFERROR(INDEX(Settings!$C$9:$C$12,MATCH(I1739,Settings!$A$9:$A$12,0)),"")))</f>
        <v/>
      </c>
      <c r="K1739" s="27" t="str">
        <f aca="false">IF(J1739="","",COUNTIF($I$2:I1739,I1739))</f>
        <v/>
      </c>
      <c r="L1739" s="27" t="str">
        <f aca="false">IF(J1739="","",CHOOSE(Q1739+1,"Tue","Wed","Thu","Fri"))</f>
        <v/>
      </c>
      <c r="M1739" s="27" t="str">
        <f aca="false">IF(J1739="","",IF(J1739=1,"Every week",R1739+1&amp;" of "&amp;J1739))</f>
        <v/>
      </c>
      <c r="N1739" s="28" t="str">
        <f aca="false">IF(J1739="","",Settings!$B$4+R1739*7+Q1739)</f>
        <v/>
      </c>
      <c r="O1739" s="28" t="str">
        <f aca="true">IF(J1739="","",N1739+MAX(0,ROUNDUP((TODAY()-N1739)/(J1739*7),0))*J1739*7)</f>
        <v/>
      </c>
      <c r="P1739" s="27" t="str">
        <f aca="false">IF(J1739="","",MOD(K1739-1,J1739*4))</f>
        <v/>
      </c>
      <c r="Q1739" s="27" t="str">
        <f aca="false">IF(J1739="","",MOD(P1739,4))</f>
        <v/>
      </c>
      <c r="R1739" s="27" t="str">
        <f aca="false">IF(J1739="","",INT(P1739/4))</f>
        <v/>
      </c>
      <c r="S1739" s="27" t="str">
        <f aca="false">IF(J1739="","",IF(AND('Daily Count Sheet'!$H$3=Q1739,MOD('Daily Count Sheet'!$I$3,J1739)=R1739),1,""))</f>
        <v/>
      </c>
      <c r="T1739" s="27" t="str">
        <f aca="false">IF(S1739=1,COUNTIF($S$2:S1739,1),"")</f>
        <v/>
      </c>
    </row>
    <row r="1740" customFormat="false" ht="15" hidden="false" customHeight="false" outlineLevel="0" collapsed="false">
      <c r="H1740" s="26"/>
      <c r="I1740" s="27" t="str">
        <f aca="false">IF(A1740="","",IF(H1740&lt;&gt;"",UPPER(TRIM(H1740)),IFERROR(CHOOSE(VALUE(E1740)+1,"A","B","C","D"),IF(OR(LEFT(UPPER(TRIM(E1740)),1)="F",UPPER(TRIM(E1740))="A"),"A",IF(OR(LEFT(UPPER(TRIM(E1740)),1)="M",UPPER(TRIM(E1740))="B"),"B",IF(OR(LEFT(UPPER(TRIM(E1740)),2)="SL",UPPER(TRIM(E1740))="C"),"C",IF(OR(LEFT(UPPER(TRIM(E1740)),1)="D",UPPER(TRIM(E1740))="D"),"D","")))))))</f>
        <v/>
      </c>
      <c r="J1740" s="27" t="str">
        <f aca="false">IF(I1740="","",IF(AND(I1740="D",Settings!$B$6&lt;&gt;"Yes"),"",IFERROR(INDEX(Settings!$C$9:$C$12,MATCH(I1740,Settings!$A$9:$A$12,0)),"")))</f>
        <v/>
      </c>
      <c r="K1740" s="27" t="str">
        <f aca="false">IF(J1740="","",COUNTIF($I$2:I1740,I1740))</f>
        <v/>
      </c>
      <c r="L1740" s="27" t="str">
        <f aca="false">IF(J1740="","",CHOOSE(Q1740+1,"Tue","Wed","Thu","Fri"))</f>
        <v/>
      </c>
      <c r="M1740" s="27" t="str">
        <f aca="false">IF(J1740="","",IF(J1740=1,"Every week",R1740+1&amp;" of "&amp;J1740))</f>
        <v/>
      </c>
      <c r="N1740" s="28" t="str">
        <f aca="false">IF(J1740="","",Settings!$B$4+R1740*7+Q1740)</f>
        <v/>
      </c>
      <c r="O1740" s="28" t="str">
        <f aca="true">IF(J1740="","",N1740+MAX(0,ROUNDUP((TODAY()-N1740)/(J1740*7),0))*J1740*7)</f>
        <v/>
      </c>
      <c r="P1740" s="27" t="str">
        <f aca="false">IF(J1740="","",MOD(K1740-1,J1740*4))</f>
        <v/>
      </c>
      <c r="Q1740" s="27" t="str">
        <f aca="false">IF(J1740="","",MOD(P1740,4))</f>
        <v/>
      </c>
      <c r="R1740" s="27" t="str">
        <f aca="false">IF(J1740="","",INT(P1740/4))</f>
        <v/>
      </c>
      <c r="S1740" s="27" t="str">
        <f aca="false">IF(J1740="","",IF(AND('Daily Count Sheet'!$H$3=Q1740,MOD('Daily Count Sheet'!$I$3,J1740)=R1740),1,""))</f>
        <v/>
      </c>
      <c r="T1740" s="27" t="str">
        <f aca="false">IF(S1740=1,COUNTIF($S$2:S1740,1),"")</f>
        <v/>
      </c>
    </row>
    <row r="1741" customFormat="false" ht="15" hidden="false" customHeight="false" outlineLevel="0" collapsed="false">
      <c r="H1741" s="26"/>
      <c r="I1741" s="27" t="str">
        <f aca="false">IF(A1741="","",IF(H1741&lt;&gt;"",UPPER(TRIM(H1741)),IFERROR(CHOOSE(VALUE(E1741)+1,"A","B","C","D"),IF(OR(LEFT(UPPER(TRIM(E1741)),1)="F",UPPER(TRIM(E1741))="A"),"A",IF(OR(LEFT(UPPER(TRIM(E1741)),1)="M",UPPER(TRIM(E1741))="B"),"B",IF(OR(LEFT(UPPER(TRIM(E1741)),2)="SL",UPPER(TRIM(E1741))="C"),"C",IF(OR(LEFT(UPPER(TRIM(E1741)),1)="D",UPPER(TRIM(E1741))="D"),"D","")))))))</f>
        <v/>
      </c>
      <c r="J1741" s="27" t="str">
        <f aca="false">IF(I1741="","",IF(AND(I1741="D",Settings!$B$6&lt;&gt;"Yes"),"",IFERROR(INDEX(Settings!$C$9:$C$12,MATCH(I1741,Settings!$A$9:$A$12,0)),"")))</f>
        <v/>
      </c>
      <c r="K1741" s="27" t="str">
        <f aca="false">IF(J1741="","",COUNTIF($I$2:I1741,I1741))</f>
        <v/>
      </c>
      <c r="L1741" s="27" t="str">
        <f aca="false">IF(J1741="","",CHOOSE(Q1741+1,"Tue","Wed","Thu","Fri"))</f>
        <v/>
      </c>
      <c r="M1741" s="27" t="str">
        <f aca="false">IF(J1741="","",IF(J1741=1,"Every week",R1741+1&amp;" of "&amp;J1741))</f>
        <v/>
      </c>
      <c r="N1741" s="28" t="str">
        <f aca="false">IF(J1741="","",Settings!$B$4+R1741*7+Q1741)</f>
        <v/>
      </c>
      <c r="O1741" s="28" t="str">
        <f aca="true">IF(J1741="","",N1741+MAX(0,ROUNDUP((TODAY()-N1741)/(J1741*7),0))*J1741*7)</f>
        <v/>
      </c>
      <c r="P1741" s="27" t="str">
        <f aca="false">IF(J1741="","",MOD(K1741-1,J1741*4))</f>
        <v/>
      </c>
      <c r="Q1741" s="27" t="str">
        <f aca="false">IF(J1741="","",MOD(P1741,4))</f>
        <v/>
      </c>
      <c r="R1741" s="27" t="str">
        <f aca="false">IF(J1741="","",INT(P1741/4))</f>
        <v/>
      </c>
      <c r="S1741" s="27" t="str">
        <f aca="false">IF(J1741="","",IF(AND('Daily Count Sheet'!$H$3=Q1741,MOD('Daily Count Sheet'!$I$3,J1741)=R1741),1,""))</f>
        <v/>
      </c>
      <c r="T1741" s="27" t="str">
        <f aca="false">IF(S1741=1,COUNTIF($S$2:S1741,1),"")</f>
        <v/>
      </c>
    </row>
    <row r="1742" customFormat="false" ht="15" hidden="false" customHeight="false" outlineLevel="0" collapsed="false">
      <c r="H1742" s="26"/>
      <c r="I1742" s="27" t="str">
        <f aca="false">IF(A1742="","",IF(H1742&lt;&gt;"",UPPER(TRIM(H1742)),IFERROR(CHOOSE(VALUE(E1742)+1,"A","B","C","D"),IF(OR(LEFT(UPPER(TRIM(E1742)),1)="F",UPPER(TRIM(E1742))="A"),"A",IF(OR(LEFT(UPPER(TRIM(E1742)),1)="M",UPPER(TRIM(E1742))="B"),"B",IF(OR(LEFT(UPPER(TRIM(E1742)),2)="SL",UPPER(TRIM(E1742))="C"),"C",IF(OR(LEFT(UPPER(TRIM(E1742)),1)="D",UPPER(TRIM(E1742))="D"),"D","")))))))</f>
        <v/>
      </c>
      <c r="J1742" s="27" t="str">
        <f aca="false">IF(I1742="","",IF(AND(I1742="D",Settings!$B$6&lt;&gt;"Yes"),"",IFERROR(INDEX(Settings!$C$9:$C$12,MATCH(I1742,Settings!$A$9:$A$12,0)),"")))</f>
        <v/>
      </c>
      <c r="K1742" s="27" t="str">
        <f aca="false">IF(J1742="","",COUNTIF($I$2:I1742,I1742))</f>
        <v/>
      </c>
      <c r="L1742" s="27" t="str">
        <f aca="false">IF(J1742="","",CHOOSE(Q1742+1,"Tue","Wed","Thu","Fri"))</f>
        <v/>
      </c>
      <c r="M1742" s="27" t="str">
        <f aca="false">IF(J1742="","",IF(J1742=1,"Every week",R1742+1&amp;" of "&amp;J1742))</f>
        <v/>
      </c>
      <c r="N1742" s="28" t="str">
        <f aca="false">IF(J1742="","",Settings!$B$4+R1742*7+Q1742)</f>
        <v/>
      </c>
      <c r="O1742" s="28" t="str">
        <f aca="true">IF(J1742="","",N1742+MAX(0,ROUNDUP((TODAY()-N1742)/(J1742*7),0))*J1742*7)</f>
        <v/>
      </c>
      <c r="P1742" s="27" t="str">
        <f aca="false">IF(J1742="","",MOD(K1742-1,J1742*4))</f>
        <v/>
      </c>
      <c r="Q1742" s="27" t="str">
        <f aca="false">IF(J1742="","",MOD(P1742,4))</f>
        <v/>
      </c>
      <c r="R1742" s="27" t="str">
        <f aca="false">IF(J1742="","",INT(P1742/4))</f>
        <v/>
      </c>
      <c r="S1742" s="27" t="str">
        <f aca="false">IF(J1742="","",IF(AND('Daily Count Sheet'!$H$3=Q1742,MOD('Daily Count Sheet'!$I$3,J1742)=R1742),1,""))</f>
        <v/>
      </c>
      <c r="T1742" s="27" t="str">
        <f aca="false">IF(S1742=1,COUNTIF($S$2:S1742,1),"")</f>
        <v/>
      </c>
    </row>
    <row r="1743" customFormat="false" ht="15" hidden="false" customHeight="false" outlineLevel="0" collapsed="false">
      <c r="H1743" s="26"/>
      <c r="I1743" s="27" t="str">
        <f aca="false">IF(A1743="","",IF(H1743&lt;&gt;"",UPPER(TRIM(H1743)),IFERROR(CHOOSE(VALUE(E1743)+1,"A","B","C","D"),IF(OR(LEFT(UPPER(TRIM(E1743)),1)="F",UPPER(TRIM(E1743))="A"),"A",IF(OR(LEFT(UPPER(TRIM(E1743)),1)="M",UPPER(TRIM(E1743))="B"),"B",IF(OR(LEFT(UPPER(TRIM(E1743)),2)="SL",UPPER(TRIM(E1743))="C"),"C",IF(OR(LEFT(UPPER(TRIM(E1743)),1)="D",UPPER(TRIM(E1743))="D"),"D","")))))))</f>
        <v/>
      </c>
      <c r="J1743" s="27" t="str">
        <f aca="false">IF(I1743="","",IF(AND(I1743="D",Settings!$B$6&lt;&gt;"Yes"),"",IFERROR(INDEX(Settings!$C$9:$C$12,MATCH(I1743,Settings!$A$9:$A$12,0)),"")))</f>
        <v/>
      </c>
      <c r="K1743" s="27" t="str">
        <f aca="false">IF(J1743="","",COUNTIF($I$2:I1743,I1743))</f>
        <v/>
      </c>
      <c r="L1743" s="27" t="str">
        <f aca="false">IF(J1743="","",CHOOSE(Q1743+1,"Tue","Wed","Thu","Fri"))</f>
        <v/>
      </c>
      <c r="M1743" s="27" t="str">
        <f aca="false">IF(J1743="","",IF(J1743=1,"Every week",R1743+1&amp;" of "&amp;J1743))</f>
        <v/>
      </c>
      <c r="N1743" s="28" t="str">
        <f aca="false">IF(J1743="","",Settings!$B$4+R1743*7+Q1743)</f>
        <v/>
      </c>
      <c r="O1743" s="28" t="str">
        <f aca="true">IF(J1743="","",N1743+MAX(0,ROUNDUP((TODAY()-N1743)/(J1743*7),0))*J1743*7)</f>
        <v/>
      </c>
      <c r="P1743" s="27" t="str">
        <f aca="false">IF(J1743="","",MOD(K1743-1,J1743*4))</f>
        <v/>
      </c>
      <c r="Q1743" s="27" t="str">
        <f aca="false">IF(J1743="","",MOD(P1743,4))</f>
        <v/>
      </c>
      <c r="R1743" s="27" t="str">
        <f aca="false">IF(J1743="","",INT(P1743/4))</f>
        <v/>
      </c>
      <c r="S1743" s="27" t="str">
        <f aca="false">IF(J1743="","",IF(AND('Daily Count Sheet'!$H$3=Q1743,MOD('Daily Count Sheet'!$I$3,J1743)=R1743),1,""))</f>
        <v/>
      </c>
      <c r="T1743" s="27" t="str">
        <f aca="false">IF(S1743=1,COUNTIF($S$2:S1743,1),"")</f>
        <v/>
      </c>
    </row>
    <row r="1744" customFormat="false" ht="15" hidden="false" customHeight="false" outlineLevel="0" collapsed="false">
      <c r="H1744" s="26"/>
      <c r="I1744" s="27" t="str">
        <f aca="false">IF(A1744="","",IF(H1744&lt;&gt;"",UPPER(TRIM(H1744)),IFERROR(CHOOSE(VALUE(E1744)+1,"A","B","C","D"),IF(OR(LEFT(UPPER(TRIM(E1744)),1)="F",UPPER(TRIM(E1744))="A"),"A",IF(OR(LEFT(UPPER(TRIM(E1744)),1)="M",UPPER(TRIM(E1744))="B"),"B",IF(OR(LEFT(UPPER(TRIM(E1744)),2)="SL",UPPER(TRIM(E1744))="C"),"C",IF(OR(LEFT(UPPER(TRIM(E1744)),1)="D",UPPER(TRIM(E1744))="D"),"D","")))))))</f>
        <v/>
      </c>
      <c r="J1744" s="27" t="str">
        <f aca="false">IF(I1744="","",IF(AND(I1744="D",Settings!$B$6&lt;&gt;"Yes"),"",IFERROR(INDEX(Settings!$C$9:$C$12,MATCH(I1744,Settings!$A$9:$A$12,0)),"")))</f>
        <v/>
      </c>
      <c r="K1744" s="27" t="str">
        <f aca="false">IF(J1744="","",COUNTIF($I$2:I1744,I1744))</f>
        <v/>
      </c>
      <c r="L1744" s="27" t="str">
        <f aca="false">IF(J1744="","",CHOOSE(Q1744+1,"Tue","Wed","Thu","Fri"))</f>
        <v/>
      </c>
      <c r="M1744" s="27" t="str">
        <f aca="false">IF(J1744="","",IF(J1744=1,"Every week",R1744+1&amp;" of "&amp;J1744))</f>
        <v/>
      </c>
      <c r="N1744" s="28" t="str">
        <f aca="false">IF(J1744="","",Settings!$B$4+R1744*7+Q1744)</f>
        <v/>
      </c>
      <c r="O1744" s="28" t="str">
        <f aca="true">IF(J1744="","",N1744+MAX(0,ROUNDUP((TODAY()-N1744)/(J1744*7),0))*J1744*7)</f>
        <v/>
      </c>
      <c r="P1744" s="27" t="str">
        <f aca="false">IF(J1744="","",MOD(K1744-1,J1744*4))</f>
        <v/>
      </c>
      <c r="Q1744" s="27" t="str">
        <f aca="false">IF(J1744="","",MOD(P1744,4))</f>
        <v/>
      </c>
      <c r="R1744" s="27" t="str">
        <f aca="false">IF(J1744="","",INT(P1744/4))</f>
        <v/>
      </c>
      <c r="S1744" s="27" t="str">
        <f aca="false">IF(J1744="","",IF(AND('Daily Count Sheet'!$H$3=Q1744,MOD('Daily Count Sheet'!$I$3,J1744)=R1744),1,""))</f>
        <v/>
      </c>
      <c r="T1744" s="27" t="str">
        <f aca="false">IF(S1744=1,COUNTIF($S$2:S1744,1),"")</f>
        <v/>
      </c>
    </row>
    <row r="1745" customFormat="false" ht="15" hidden="false" customHeight="false" outlineLevel="0" collapsed="false">
      <c r="H1745" s="26"/>
      <c r="I1745" s="27" t="str">
        <f aca="false">IF(A1745="","",IF(H1745&lt;&gt;"",UPPER(TRIM(H1745)),IFERROR(CHOOSE(VALUE(E1745)+1,"A","B","C","D"),IF(OR(LEFT(UPPER(TRIM(E1745)),1)="F",UPPER(TRIM(E1745))="A"),"A",IF(OR(LEFT(UPPER(TRIM(E1745)),1)="M",UPPER(TRIM(E1745))="B"),"B",IF(OR(LEFT(UPPER(TRIM(E1745)),2)="SL",UPPER(TRIM(E1745))="C"),"C",IF(OR(LEFT(UPPER(TRIM(E1745)),1)="D",UPPER(TRIM(E1745))="D"),"D","")))))))</f>
        <v/>
      </c>
      <c r="J1745" s="27" t="str">
        <f aca="false">IF(I1745="","",IF(AND(I1745="D",Settings!$B$6&lt;&gt;"Yes"),"",IFERROR(INDEX(Settings!$C$9:$C$12,MATCH(I1745,Settings!$A$9:$A$12,0)),"")))</f>
        <v/>
      </c>
      <c r="K1745" s="27" t="str">
        <f aca="false">IF(J1745="","",COUNTIF($I$2:I1745,I1745))</f>
        <v/>
      </c>
      <c r="L1745" s="27" t="str">
        <f aca="false">IF(J1745="","",CHOOSE(Q1745+1,"Tue","Wed","Thu","Fri"))</f>
        <v/>
      </c>
      <c r="M1745" s="27" t="str">
        <f aca="false">IF(J1745="","",IF(J1745=1,"Every week",R1745+1&amp;" of "&amp;J1745))</f>
        <v/>
      </c>
      <c r="N1745" s="28" t="str">
        <f aca="false">IF(J1745="","",Settings!$B$4+R1745*7+Q1745)</f>
        <v/>
      </c>
      <c r="O1745" s="28" t="str">
        <f aca="true">IF(J1745="","",N1745+MAX(0,ROUNDUP((TODAY()-N1745)/(J1745*7),0))*J1745*7)</f>
        <v/>
      </c>
      <c r="P1745" s="27" t="str">
        <f aca="false">IF(J1745="","",MOD(K1745-1,J1745*4))</f>
        <v/>
      </c>
      <c r="Q1745" s="27" t="str">
        <f aca="false">IF(J1745="","",MOD(P1745,4))</f>
        <v/>
      </c>
      <c r="R1745" s="27" t="str">
        <f aca="false">IF(J1745="","",INT(P1745/4))</f>
        <v/>
      </c>
      <c r="S1745" s="27" t="str">
        <f aca="false">IF(J1745="","",IF(AND('Daily Count Sheet'!$H$3=Q1745,MOD('Daily Count Sheet'!$I$3,J1745)=R1745),1,""))</f>
        <v/>
      </c>
      <c r="T1745" s="27" t="str">
        <f aca="false">IF(S1745=1,COUNTIF($S$2:S1745,1),"")</f>
        <v/>
      </c>
    </row>
    <row r="1746" customFormat="false" ht="15" hidden="false" customHeight="false" outlineLevel="0" collapsed="false">
      <c r="H1746" s="26"/>
      <c r="I1746" s="27" t="str">
        <f aca="false">IF(A1746="","",IF(H1746&lt;&gt;"",UPPER(TRIM(H1746)),IFERROR(CHOOSE(VALUE(E1746)+1,"A","B","C","D"),IF(OR(LEFT(UPPER(TRIM(E1746)),1)="F",UPPER(TRIM(E1746))="A"),"A",IF(OR(LEFT(UPPER(TRIM(E1746)),1)="M",UPPER(TRIM(E1746))="B"),"B",IF(OR(LEFT(UPPER(TRIM(E1746)),2)="SL",UPPER(TRIM(E1746))="C"),"C",IF(OR(LEFT(UPPER(TRIM(E1746)),1)="D",UPPER(TRIM(E1746))="D"),"D","")))))))</f>
        <v/>
      </c>
      <c r="J1746" s="27" t="str">
        <f aca="false">IF(I1746="","",IF(AND(I1746="D",Settings!$B$6&lt;&gt;"Yes"),"",IFERROR(INDEX(Settings!$C$9:$C$12,MATCH(I1746,Settings!$A$9:$A$12,0)),"")))</f>
        <v/>
      </c>
      <c r="K1746" s="27" t="str">
        <f aca="false">IF(J1746="","",COUNTIF($I$2:I1746,I1746))</f>
        <v/>
      </c>
      <c r="L1746" s="27" t="str">
        <f aca="false">IF(J1746="","",CHOOSE(Q1746+1,"Tue","Wed","Thu","Fri"))</f>
        <v/>
      </c>
      <c r="M1746" s="27" t="str">
        <f aca="false">IF(J1746="","",IF(J1746=1,"Every week",R1746+1&amp;" of "&amp;J1746))</f>
        <v/>
      </c>
      <c r="N1746" s="28" t="str">
        <f aca="false">IF(J1746="","",Settings!$B$4+R1746*7+Q1746)</f>
        <v/>
      </c>
      <c r="O1746" s="28" t="str">
        <f aca="true">IF(J1746="","",N1746+MAX(0,ROUNDUP((TODAY()-N1746)/(J1746*7),0))*J1746*7)</f>
        <v/>
      </c>
      <c r="P1746" s="27" t="str">
        <f aca="false">IF(J1746="","",MOD(K1746-1,J1746*4))</f>
        <v/>
      </c>
      <c r="Q1746" s="27" t="str">
        <f aca="false">IF(J1746="","",MOD(P1746,4))</f>
        <v/>
      </c>
      <c r="R1746" s="27" t="str">
        <f aca="false">IF(J1746="","",INT(P1746/4))</f>
        <v/>
      </c>
      <c r="S1746" s="27" t="str">
        <f aca="false">IF(J1746="","",IF(AND('Daily Count Sheet'!$H$3=Q1746,MOD('Daily Count Sheet'!$I$3,J1746)=R1746),1,""))</f>
        <v/>
      </c>
      <c r="T1746" s="27" t="str">
        <f aca="false">IF(S1746=1,COUNTIF($S$2:S1746,1),"")</f>
        <v/>
      </c>
    </row>
    <row r="1747" customFormat="false" ht="15" hidden="false" customHeight="false" outlineLevel="0" collapsed="false">
      <c r="H1747" s="26"/>
      <c r="I1747" s="27" t="str">
        <f aca="false">IF(A1747="","",IF(H1747&lt;&gt;"",UPPER(TRIM(H1747)),IFERROR(CHOOSE(VALUE(E1747)+1,"A","B","C","D"),IF(OR(LEFT(UPPER(TRIM(E1747)),1)="F",UPPER(TRIM(E1747))="A"),"A",IF(OR(LEFT(UPPER(TRIM(E1747)),1)="M",UPPER(TRIM(E1747))="B"),"B",IF(OR(LEFT(UPPER(TRIM(E1747)),2)="SL",UPPER(TRIM(E1747))="C"),"C",IF(OR(LEFT(UPPER(TRIM(E1747)),1)="D",UPPER(TRIM(E1747))="D"),"D","")))))))</f>
        <v/>
      </c>
      <c r="J1747" s="27" t="str">
        <f aca="false">IF(I1747="","",IF(AND(I1747="D",Settings!$B$6&lt;&gt;"Yes"),"",IFERROR(INDEX(Settings!$C$9:$C$12,MATCH(I1747,Settings!$A$9:$A$12,0)),"")))</f>
        <v/>
      </c>
      <c r="K1747" s="27" t="str">
        <f aca="false">IF(J1747="","",COUNTIF($I$2:I1747,I1747))</f>
        <v/>
      </c>
      <c r="L1747" s="27" t="str">
        <f aca="false">IF(J1747="","",CHOOSE(Q1747+1,"Tue","Wed","Thu","Fri"))</f>
        <v/>
      </c>
      <c r="M1747" s="27" t="str">
        <f aca="false">IF(J1747="","",IF(J1747=1,"Every week",R1747+1&amp;" of "&amp;J1747))</f>
        <v/>
      </c>
      <c r="N1747" s="28" t="str">
        <f aca="false">IF(J1747="","",Settings!$B$4+R1747*7+Q1747)</f>
        <v/>
      </c>
      <c r="O1747" s="28" t="str">
        <f aca="true">IF(J1747="","",N1747+MAX(0,ROUNDUP((TODAY()-N1747)/(J1747*7),0))*J1747*7)</f>
        <v/>
      </c>
      <c r="P1747" s="27" t="str">
        <f aca="false">IF(J1747="","",MOD(K1747-1,J1747*4))</f>
        <v/>
      </c>
      <c r="Q1747" s="27" t="str">
        <f aca="false">IF(J1747="","",MOD(P1747,4))</f>
        <v/>
      </c>
      <c r="R1747" s="27" t="str">
        <f aca="false">IF(J1747="","",INT(P1747/4))</f>
        <v/>
      </c>
      <c r="S1747" s="27" t="str">
        <f aca="false">IF(J1747="","",IF(AND('Daily Count Sheet'!$H$3=Q1747,MOD('Daily Count Sheet'!$I$3,J1747)=R1747),1,""))</f>
        <v/>
      </c>
      <c r="T1747" s="27" t="str">
        <f aca="false">IF(S1747=1,COUNTIF($S$2:S1747,1),"")</f>
        <v/>
      </c>
    </row>
    <row r="1748" customFormat="false" ht="15" hidden="false" customHeight="false" outlineLevel="0" collapsed="false">
      <c r="H1748" s="26"/>
      <c r="I1748" s="27" t="str">
        <f aca="false">IF(A1748="","",IF(H1748&lt;&gt;"",UPPER(TRIM(H1748)),IFERROR(CHOOSE(VALUE(E1748)+1,"A","B","C","D"),IF(OR(LEFT(UPPER(TRIM(E1748)),1)="F",UPPER(TRIM(E1748))="A"),"A",IF(OR(LEFT(UPPER(TRIM(E1748)),1)="M",UPPER(TRIM(E1748))="B"),"B",IF(OR(LEFT(UPPER(TRIM(E1748)),2)="SL",UPPER(TRIM(E1748))="C"),"C",IF(OR(LEFT(UPPER(TRIM(E1748)),1)="D",UPPER(TRIM(E1748))="D"),"D","")))))))</f>
        <v/>
      </c>
      <c r="J1748" s="27" t="str">
        <f aca="false">IF(I1748="","",IF(AND(I1748="D",Settings!$B$6&lt;&gt;"Yes"),"",IFERROR(INDEX(Settings!$C$9:$C$12,MATCH(I1748,Settings!$A$9:$A$12,0)),"")))</f>
        <v/>
      </c>
      <c r="K1748" s="27" t="str">
        <f aca="false">IF(J1748="","",COUNTIF($I$2:I1748,I1748))</f>
        <v/>
      </c>
      <c r="L1748" s="27" t="str">
        <f aca="false">IF(J1748="","",CHOOSE(Q1748+1,"Tue","Wed","Thu","Fri"))</f>
        <v/>
      </c>
      <c r="M1748" s="27" t="str">
        <f aca="false">IF(J1748="","",IF(J1748=1,"Every week",R1748+1&amp;" of "&amp;J1748))</f>
        <v/>
      </c>
      <c r="N1748" s="28" t="str">
        <f aca="false">IF(J1748="","",Settings!$B$4+R1748*7+Q1748)</f>
        <v/>
      </c>
      <c r="O1748" s="28" t="str">
        <f aca="true">IF(J1748="","",N1748+MAX(0,ROUNDUP((TODAY()-N1748)/(J1748*7),0))*J1748*7)</f>
        <v/>
      </c>
      <c r="P1748" s="27" t="str">
        <f aca="false">IF(J1748="","",MOD(K1748-1,J1748*4))</f>
        <v/>
      </c>
      <c r="Q1748" s="27" t="str">
        <f aca="false">IF(J1748="","",MOD(P1748,4))</f>
        <v/>
      </c>
      <c r="R1748" s="27" t="str">
        <f aca="false">IF(J1748="","",INT(P1748/4))</f>
        <v/>
      </c>
      <c r="S1748" s="27" t="str">
        <f aca="false">IF(J1748="","",IF(AND('Daily Count Sheet'!$H$3=Q1748,MOD('Daily Count Sheet'!$I$3,J1748)=R1748),1,""))</f>
        <v/>
      </c>
      <c r="T1748" s="27" t="str">
        <f aca="false">IF(S1748=1,COUNTIF($S$2:S1748,1),"")</f>
        <v/>
      </c>
    </row>
    <row r="1749" customFormat="false" ht="15" hidden="false" customHeight="false" outlineLevel="0" collapsed="false">
      <c r="H1749" s="26"/>
      <c r="I1749" s="27" t="str">
        <f aca="false">IF(A1749="","",IF(H1749&lt;&gt;"",UPPER(TRIM(H1749)),IFERROR(CHOOSE(VALUE(E1749)+1,"A","B","C","D"),IF(OR(LEFT(UPPER(TRIM(E1749)),1)="F",UPPER(TRIM(E1749))="A"),"A",IF(OR(LEFT(UPPER(TRIM(E1749)),1)="M",UPPER(TRIM(E1749))="B"),"B",IF(OR(LEFT(UPPER(TRIM(E1749)),2)="SL",UPPER(TRIM(E1749))="C"),"C",IF(OR(LEFT(UPPER(TRIM(E1749)),1)="D",UPPER(TRIM(E1749))="D"),"D","")))))))</f>
        <v/>
      </c>
      <c r="J1749" s="27" t="str">
        <f aca="false">IF(I1749="","",IF(AND(I1749="D",Settings!$B$6&lt;&gt;"Yes"),"",IFERROR(INDEX(Settings!$C$9:$C$12,MATCH(I1749,Settings!$A$9:$A$12,0)),"")))</f>
        <v/>
      </c>
      <c r="K1749" s="27" t="str">
        <f aca="false">IF(J1749="","",COUNTIF($I$2:I1749,I1749))</f>
        <v/>
      </c>
      <c r="L1749" s="27" t="str">
        <f aca="false">IF(J1749="","",CHOOSE(Q1749+1,"Tue","Wed","Thu","Fri"))</f>
        <v/>
      </c>
      <c r="M1749" s="27" t="str">
        <f aca="false">IF(J1749="","",IF(J1749=1,"Every week",R1749+1&amp;" of "&amp;J1749))</f>
        <v/>
      </c>
      <c r="N1749" s="28" t="str">
        <f aca="false">IF(J1749="","",Settings!$B$4+R1749*7+Q1749)</f>
        <v/>
      </c>
      <c r="O1749" s="28" t="str">
        <f aca="true">IF(J1749="","",N1749+MAX(0,ROUNDUP((TODAY()-N1749)/(J1749*7),0))*J1749*7)</f>
        <v/>
      </c>
      <c r="P1749" s="27" t="str">
        <f aca="false">IF(J1749="","",MOD(K1749-1,J1749*4))</f>
        <v/>
      </c>
      <c r="Q1749" s="27" t="str">
        <f aca="false">IF(J1749="","",MOD(P1749,4))</f>
        <v/>
      </c>
      <c r="R1749" s="27" t="str">
        <f aca="false">IF(J1749="","",INT(P1749/4))</f>
        <v/>
      </c>
      <c r="S1749" s="27" t="str">
        <f aca="false">IF(J1749="","",IF(AND('Daily Count Sheet'!$H$3=Q1749,MOD('Daily Count Sheet'!$I$3,J1749)=R1749),1,""))</f>
        <v/>
      </c>
      <c r="T1749" s="27" t="str">
        <f aca="false">IF(S1749=1,COUNTIF($S$2:S1749,1),"")</f>
        <v/>
      </c>
    </row>
    <row r="1750" customFormat="false" ht="15" hidden="false" customHeight="false" outlineLevel="0" collapsed="false">
      <c r="H1750" s="26"/>
      <c r="I1750" s="27" t="str">
        <f aca="false">IF(A1750="","",IF(H1750&lt;&gt;"",UPPER(TRIM(H1750)),IFERROR(CHOOSE(VALUE(E1750)+1,"A","B","C","D"),IF(OR(LEFT(UPPER(TRIM(E1750)),1)="F",UPPER(TRIM(E1750))="A"),"A",IF(OR(LEFT(UPPER(TRIM(E1750)),1)="M",UPPER(TRIM(E1750))="B"),"B",IF(OR(LEFT(UPPER(TRIM(E1750)),2)="SL",UPPER(TRIM(E1750))="C"),"C",IF(OR(LEFT(UPPER(TRIM(E1750)),1)="D",UPPER(TRIM(E1750))="D"),"D","")))))))</f>
        <v/>
      </c>
      <c r="J1750" s="27" t="str">
        <f aca="false">IF(I1750="","",IF(AND(I1750="D",Settings!$B$6&lt;&gt;"Yes"),"",IFERROR(INDEX(Settings!$C$9:$C$12,MATCH(I1750,Settings!$A$9:$A$12,0)),"")))</f>
        <v/>
      </c>
      <c r="K1750" s="27" t="str">
        <f aca="false">IF(J1750="","",COUNTIF($I$2:I1750,I1750))</f>
        <v/>
      </c>
      <c r="L1750" s="27" t="str">
        <f aca="false">IF(J1750="","",CHOOSE(Q1750+1,"Tue","Wed","Thu","Fri"))</f>
        <v/>
      </c>
      <c r="M1750" s="27" t="str">
        <f aca="false">IF(J1750="","",IF(J1750=1,"Every week",R1750+1&amp;" of "&amp;J1750))</f>
        <v/>
      </c>
      <c r="N1750" s="28" t="str">
        <f aca="false">IF(J1750="","",Settings!$B$4+R1750*7+Q1750)</f>
        <v/>
      </c>
      <c r="O1750" s="28" t="str">
        <f aca="true">IF(J1750="","",N1750+MAX(0,ROUNDUP((TODAY()-N1750)/(J1750*7),0))*J1750*7)</f>
        <v/>
      </c>
      <c r="P1750" s="27" t="str">
        <f aca="false">IF(J1750="","",MOD(K1750-1,J1750*4))</f>
        <v/>
      </c>
      <c r="Q1750" s="27" t="str">
        <f aca="false">IF(J1750="","",MOD(P1750,4))</f>
        <v/>
      </c>
      <c r="R1750" s="27" t="str">
        <f aca="false">IF(J1750="","",INT(P1750/4))</f>
        <v/>
      </c>
      <c r="S1750" s="27" t="str">
        <f aca="false">IF(J1750="","",IF(AND('Daily Count Sheet'!$H$3=Q1750,MOD('Daily Count Sheet'!$I$3,J1750)=R1750),1,""))</f>
        <v/>
      </c>
      <c r="T1750" s="27" t="str">
        <f aca="false">IF(S1750=1,COUNTIF($S$2:S1750,1),"")</f>
        <v/>
      </c>
    </row>
    <row r="1751" customFormat="false" ht="15" hidden="false" customHeight="false" outlineLevel="0" collapsed="false">
      <c r="H1751" s="26"/>
      <c r="I1751" s="27" t="str">
        <f aca="false">IF(A1751="","",IF(H1751&lt;&gt;"",UPPER(TRIM(H1751)),IFERROR(CHOOSE(VALUE(E1751)+1,"A","B","C","D"),IF(OR(LEFT(UPPER(TRIM(E1751)),1)="F",UPPER(TRIM(E1751))="A"),"A",IF(OR(LEFT(UPPER(TRIM(E1751)),1)="M",UPPER(TRIM(E1751))="B"),"B",IF(OR(LEFT(UPPER(TRIM(E1751)),2)="SL",UPPER(TRIM(E1751))="C"),"C",IF(OR(LEFT(UPPER(TRIM(E1751)),1)="D",UPPER(TRIM(E1751))="D"),"D","")))))))</f>
        <v/>
      </c>
      <c r="J1751" s="27" t="str">
        <f aca="false">IF(I1751="","",IF(AND(I1751="D",Settings!$B$6&lt;&gt;"Yes"),"",IFERROR(INDEX(Settings!$C$9:$C$12,MATCH(I1751,Settings!$A$9:$A$12,0)),"")))</f>
        <v/>
      </c>
      <c r="K1751" s="27" t="str">
        <f aca="false">IF(J1751="","",COUNTIF($I$2:I1751,I1751))</f>
        <v/>
      </c>
      <c r="L1751" s="27" t="str">
        <f aca="false">IF(J1751="","",CHOOSE(Q1751+1,"Tue","Wed","Thu","Fri"))</f>
        <v/>
      </c>
      <c r="M1751" s="27" t="str">
        <f aca="false">IF(J1751="","",IF(J1751=1,"Every week",R1751+1&amp;" of "&amp;J1751))</f>
        <v/>
      </c>
      <c r="N1751" s="28" t="str">
        <f aca="false">IF(J1751="","",Settings!$B$4+R1751*7+Q1751)</f>
        <v/>
      </c>
      <c r="O1751" s="28" t="str">
        <f aca="true">IF(J1751="","",N1751+MAX(0,ROUNDUP((TODAY()-N1751)/(J1751*7),0))*J1751*7)</f>
        <v/>
      </c>
      <c r="P1751" s="27" t="str">
        <f aca="false">IF(J1751="","",MOD(K1751-1,J1751*4))</f>
        <v/>
      </c>
      <c r="Q1751" s="27" t="str">
        <f aca="false">IF(J1751="","",MOD(P1751,4))</f>
        <v/>
      </c>
      <c r="R1751" s="27" t="str">
        <f aca="false">IF(J1751="","",INT(P1751/4))</f>
        <v/>
      </c>
      <c r="S1751" s="27" t="str">
        <f aca="false">IF(J1751="","",IF(AND('Daily Count Sheet'!$H$3=Q1751,MOD('Daily Count Sheet'!$I$3,J1751)=R1751),1,""))</f>
        <v/>
      </c>
      <c r="T1751" s="27" t="str">
        <f aca="false">IF(S1751=1,COUNTIF($S$2:S1751,1),"")</f>
        <v/>
      </c>
    </row>
    <row r="1752" customFormat="false" ht="15" hidden="false" customHeight="false" outlineLevel="0" collapsed="false">
      <c r="H1752" s="26"/>
      <c r="I1752" s="27" t="str">
        <f aca="false">IF(A1752="","",IF(H1752&lt;&gt;"",UPPER(TRIM(H1752)),IFERROR(CHOOSE(VALUE(E1752)+1,"A","B","C","D"),IF(OR(LEFT(UPPER(TRIM(E1752)),1)="F",UPPER(TRIM(E1752))="A"),"A",IF(OR(LEFT(UPPER(TRIM(E1752)),1)="M",UPPER(TRIM(E1752))="B"),"B",IF(OR(LEFT(UPPER(TRIM(E1752)),2)="SL",UPPER(TRIM(E1752))="C"),"C",IF(OR(LEFT(UPPER(TRIM(E1752)),1)="D",UPPER(TRIM(E1752))="D"),"D","")))))))</f>
        <v/>
      </c>
      <c r="J1752" s="27" t="str">
        <f aca="false">IF(I1752="","",IF(AND(I1752="D",Settings!$B$6&lt;&gt;"Yes"),"",IFERROR(INDEX(Settings!$C$9:$C$12,MATCH(I1752,Settings!$A$9:$A$12,0)),"")))</f>
        <v/>
      </c>
      <c r="K1752" s="27" t="str">
        <f aca="false">IF(J1752="","",COUNTIF($I$2:I1752,I1752))</f>
        <v/>
      </c>
      <c r="L1752" s="27" t="str">
        <f aca="false">IF(J1752="","",CHOOSE(Q1752+1,"Tue","Wed","Thu","Fri"))</f>
        <v/>
      </c>
      <c r="M1752" s="27" t="str">
        <f aca="false">IF(J1752="","",IF(J1752=1,"Every week",R1752+1&amp;" of "&amp;J1752))</f>
        <v/>
      </c>
      <c r="N1752" s="28" t="str">
        <f aca="false">IF(J1752="","",Settings!$B$4+R1752*7+Q1752)</f>
        <v/>
      </c>
      <c r="O1752" s="28" t="str">
        <f aca="true">IF(J1752="","",N1752+MAX(0,ROUNDUP((TODAY()-N1752)/(J1752*7),0))*J1752*7)</f>
        <v/>
      </c>
      <c r="P1752" s="27" t="str">
        <f aca="false">IF(J1752="","",MOD(K1752-1,J1752*4))</f>
        <v/>
      </c>
      <c r="Q1752" s="27" t="str">
        <f aca="false">IF(J1752="","",MOD(P1752,4))</f>
        <v/>
      </c>
      <c r="R1752" s="27" t="str">
        <f aca="false">IF(J1752="","",INT(P1752/4))</f>
        <v/>
      </c>
      <c r="S1752" s="27" t="str">
        <f aca="false">IF(J1752="","",IF(AND('Daily Count Sheet'!$H$3=Q1752,MOD('Daily Count Sheet'!$I$3,J1752)=R1752),1,""))</f>
        <v/>
      </c>
      <c r="T1752" s="27" t="str">
        <f aca="false">IF(S1752=1,COUNTIF($S$2:S1752,1),"")</f>
        <v/>
      </c>
    </row>
    <row r="1753" customFormat="false" ht="15" hidden="false" customHeight="false" outlineLevel="0" collapsed="false">
      <c r="H1753" s="26"/>
      <c r="I1753" s="27" t="str">
        <f aca="false">IF(A1753="","",IF(H1753&lt;&gt;"",UPPER(TRIM(H1753)),IFERROR(CHOOSE(VALUE(E1753)+1,"A","B","C","D"),IF(OR(LEFT(UPPER(TRIM(E1753)),1)="F",UPPER(TRIM(E1753))="A"),"A",IF(OR(LEFT(UPPER(TRIM(E1753)),1)="M",UPPER(TRIM(E1753))="B"),"B",IF(OR(LEFT(UPPER(TRIM(E1753)),2)="SL",UPPER(TRIM(E1753))="C"),"C",IF(OR(LEFT(UPPER(TRIM(E1753)),1)="D",UPPER(TRIM(E1753))="D"),"D","")))))))</f>
        <v/>
      </c>
      <c r="J1753" s="27" t="str">
        <f aca="false">IF(I1753="","",IF(AND(I1753="D",Settings!$B$6&lt;&gt;"Yes"),"",IFERROR(INDEX(Settings!$C$9:$C$12,MATCH(I1753,Settings!$A$9:$A$12,0)),"")))</f>
        <v/>
      </c>
      <c r="K1753" s="27" t="str">
        <f aca="false">IF(J1753="","",COUNTIF($I$2:I1753,I1753))</f>
        <v/>
      </c>
      <c r="L1753" s="27" t="str">
        <f aca="false">IF(J1753="","",CHOOSE(Q1753+1,"Tue","Wed","Thu","Fri"))</f>
        <v/>
      </c>
      <c r="M1753" s="27" t="str">
        <f aca="false">IF(J1753="","",IF(J1753=1,"Every week",R1753+1&amp;" of "&amp;J1753))</f>
        <v/>
      </c>
      <c r="N1753" s="28" t="str">
        <f aca="false">IF(J1753="","",Settings!$B$4+R1753*7+Q1753)</f>
        <v/>
      </c>
      <c r="O1753" s="28" t="str">
        <f aca="true">IF(J1753="","",N1753+MAX(0,ROUNDUP((TODAY()-N1753)/(J1753*7),0))*J1753*7)</f>
        <v/>
      </c>
      <c r="P1753" s="27" t="str">
        <f aca="false">IF(J1753="","",MOD(K1753-1,J1753*4))</f>
        <v/>
      </c>
      <c r="Q1753" s="27" t="str">
        <f aca="false">IF(J1753="","",MOD(P1753,4))</f>
        <v/>
      </c>
      <c r="R1753" s="27" t="str">
        <f aca="false">IF(J1753="","",INT(P1753/4))</f>
        <v/>
      </c>
      <c r="S1753" s="27" t="str">
        <f aca="false">IF(J1753="","",IF(AND('Daily Count Sheet'!$H$3=Q1753,MOD('Daily Count Sheet'!$I$3,J1753)=R1753),1,""))</f>
        <v/>
      </c>
      <c r="T1753" s="27" t="str">
        <f aca="false">IF(S1753=1,COUNTIF($S$2:S1753,1),"")</f>
        <v/>
      </c>
    </row>
    <row r="1754" customFormat="false" ht="15" hidden="false" customHeight="false" outlineLevel="0" collapsed="false">
      <c r="H1754" s="26"/>
      <c r="I1754" s="27" t="str">
        <f aca="false">IF(A1754="","",IF(H1754&lt;&gt;"",UPPER(TRIM(H1754)),IFERROR(CHOOSE(VALUE(E1754)+1,"A","B","C","D"),IF(OR(LEFT(UPPER(TRIM(E1754)),1)="F",UPPER(TRIM(E1754))="A"),"A",IF(OR(LEFT(UPPER(TRIM(E1754)),1)="M",UPPER(TRIM(E1754))="B"),"B",IF(OR(LEFT(UPPER(TRIM(E1754)),2)="SL",UPPER(TRIM(E1754))="C"),"C",IF(OR(LEFT(UPPER(TRIM(E1754)),1)="D",UPPER(TRIM(E1754))="D"),"D","")))))))</f>
        <v/>
      </c>
      <c r="J1754" s="27" t="str">
        <f aca="false">IF(I1754="","",IF(AND(I1754="D",Settings!$B$6&lt;&gt;"Yes"),"",IFERROR(INDEX(Settings!$C$9:$C$12,MATCH(I1754,Settings!$A$9:$A$12,0)),"")))</f>
        <v/>
      </c>
      <c r="K1754" s="27" t="str">
        <f aca="false">IF(J1754="","",COUNTIF($I$2:I1754,I1754))</f>
        <v/>
      </c>
      <c r="L1754" s="27" t="str">
        <f aca="false">IF(J1754="","",CHOOSE(Q1754+1,"Tue","Wed","Thu","Fri"))</f>
        <v/>
      </c>
      <c r="M1754" s="27" t="str">
        <f aca="false">IF(J1754="","",IF(J1754=1,"Every week",R1754+1&amp;" of "&amp;J1754))</f>
        <v/>
      </c>
      <c r="N1754" s="28" t="str">
        <f aca="false">IF(J1754="","",Settings!$B$4+R1754*7+Q1754)</f>
        <v/>
      </c>
      <c r="O1754" s="28" t="str">
        <f aca="true">IF(J1754="","",N1754+MAX(0,ROUNDUP((TODAY()-N1754)/(J1754*7),0))*J1754*7)</f>
        <v/>
      </c>
      <c r="P1754" s="27" t="str">
        <f aca="false">IF(J1754="","",MOD(K1754-1,J1754*4))</f>
        <v/>
      </c>
      <c r="Q1754" s="27" t="str">
        <f aca="false">IF(J1754="","",MOD(P1754,4))</f>
        <v/>
      </c>
      <c r="R1754" s="27" t="str">
        <f aca="false">IF(J1754="","",INT(P1754/4))</f>
        <v/>
      </c>
      <c r="S1754" s="27" t="str">
        <f aca="false">IF(J1754="","",IF(AND('Daily Count Sheet'!$H$3=Q1754,MOD('Daily Count Sheet'!$I$3,J1754)=R1754),1,""))</f>
        <v/>
      </c>
      <c r="T1754" s="27" t="str">
        <f aca="false">IF(S1754=1,COUNTIF($S$2:S1754,1),"")</f>
        <v/>
      </c>
    </row>
    <row r="1755" customFormat="false" ht="15" hidden="false" customHeight="false" outlineLevel="0" collapsed="false">
      <c r="H1755" s="26"/>
      <c r="I1755" s="27" t="str">
        <f aca="false">IF(A1755="","",IF(H1755&lt;&gt;"",UPPER(TRIM(H1755)),IFERROR(CHOOSE(VALUE(E1755)+1,"A","B","C","D"),IF(OR(LEFT(UPPER(TRIM(E1755)),1)="F",UPPER(TRIM(E1755))="A"),"A",IF(OR(LEFT(UPPER(TRIM(E1755)),1)="M",UPPER(TRIM(E1755))="B"),"B",IF(OR(LEFT(UPPER(TRIM(E1755)),2)="SL",UPPER(TRIM(E1755))="C"),"C",IF(OR(LEFT(UPPER(TRIM(E1755)),1)="D",UPPER(TRIM(E1755))="D"),"D","")))))))</f>
        <v/>
      </c>
      <c r="J1755" s="27" t="str">
        <f aca="false">IF(I1755="","",IF(AND(I1755="D",Settings!$B$6&lt;&gt;"Yes"),"",IFERROR(INDEX(Settings!$C$9:$C$12,MATCH(I1755,Settings!$A$9:$A$12,0)),"")))</f>
        <v/>
      </c>
      <c r="K1755" s="27" t="str">
        <f aca="false">IF(J1755="","",COUNTIF($I$2:I1755,I1755))</f>
        <v/>
      </c>
      <c r="L1755" s="27" t="str">
        <f aca="false">IF(J1755="","",CHOOSE(Q1755+1,"Tue","Wed","Thu","Fri"))</f>
        <v/>
      </c>
      <c r="M1755" s="27" t="str">
        <f aca="false">IF(J1755="","",IF(J1755=1,"Every week",R1755+1&amp;" of "&amp;J1755))</f>
        <v/>
      </c>
      <c r="N1755" s="28" t="str">
        <f aca="false">IF(J1755="","",Settings!$B$4+R1755*7+Q1755)</f>
        <v/>
      </c>
      <c r="O1755" s="28" t="str">
        <f aca="true">IF(J1755="","",N1755+MAX(0,ROUNDUP((TODAY()-N1755)/(J1755*7),0))*J1755*7)</f>
        <v/>
      </c>
      <c r="P1755" s="27" t="str">
        <f aca="false">IF(J1755="","",MOD(K1755-1,J1755*4))</f>
        <v/>
      </c>
      <c r="Q1755" s="27" t="str">
        <f aca="false">IF(J1755="","",MOD(P1755,4))</f>
        <v/>
      </c>
      <c r="R1755" s="27" t="str">
        <f aca="false">IF(J1755="","",INT(P1755/4))</f>
        <v/>
      </c>
      <c r="S1755" s="27" t="str">
        <f aca="false">IF(J1755="","",IF(AND('Daily Count Sheet'!$H$3=Q1755,MOD('Daily Count Sheet'!$I$3,J1755)=R1755),1,""))</f>
        <v/>
      </c>
      <c r="T1755" s="27" t="str">
        <f aca="false">IF(S1755=1,COUNTIF($S$2:S1755,1),"")</f>
        <v/>
      </c>
    </row>
    <row r="1756" customFormat="false" ht="15" hidden="false" customHeight="false" outlineLevel="0" collapsed="false">
      <c r="H1756" s="26"/>
      <c r="I1756" s="27" t="str">
        <f aca="false">IF(A1756="","",IF(H1756&lt;&gt;"",UPPER(TRIM(H1756)),IFERROR(CHOOSE(VALUE(E1756)+1,"A","B","C","D"),IF(OR(LEFT(UPPER(TRIM(E1756)),1)="F",UPPER(TRIM(E1756))="A"),"A",IF(OR(LEFT(UPPER(TRIM(E1756)),1)="M",UPPER(TRIM(E1756))="B"),"B",IF(OR(LEFT(UPPER(TRIM(E1756)),2)="SL",UPPER(TRIM(E1756))="C"),"C",IF(OR(LEFT(UPPER(TRIM(E1756)),1)="D",UPPER(TRIM(E1756))="D"),"D","")))))))</f>
        <v/>
      </c>
      <c r="J1756" s="27" t="str">
        <f aca="false">IF(I1756="","",IF(AND(I1756="D",Settings!$B$6&lt;&gt;"Yes"),"",IFERROR(INDEX(Settings!$C$9:$C$12,MATCH(I1756,Settings!$A$9:$A$12,0)),"")))</f>
        <v/>
      </c>
      <c r="K1756" s="27" t="str">
        <f aca="false">IF(J1756="","",COUNTIF($I$2:I1756,I1756))</f>
        <v/>
      </c>
      <c r="L1756" s="27" t="str">
        <f aca="false">IF(J1756="","",CHOOSE(Q1756+1,"Tue","Wed","Thu","Fri"))</f>
        <v/>
      </c>
      <c r="M1756" s="27" t="str">
        <f aca="false">IF(J1756="","",IF(J1756=1,"Every week",R1756+1&amp;" of "&amp;J1756))</f>
        <v/>
      </c>
      <c r="N1756" s="28" t="str">
        <f aca="false">IF(J1756="","",Settings!$B$4+R1756*7+Q1756)</f>
        <v/>
      </c>
      <c r="O1756" s="28" t="str">
        <f aca="true">IF(J1756="","",N1756+MAX(0,ROUNDUP((TODAY()-N1756)/(J1756*7),0))*J1756*7)</f>
        <v/>
      </c>
      <c r="P1756" s="27" t="str">
        <f aca="false">IF(J1756="","",MOD(K1756-1,J1756*4))</f>
        <v/>
      </c>
      <c r="Q1756" s="27" t="str">
        <f aca="false">IF(J1756="","",MOD(P1756,4))</f>
        <v/>
      </c>
      <c r="R1756" s="27" t="str">
        <f aca="false">IF(J1756="","",INT(P1756/4))</f>
        <v/>
      </c>
      <c r="S1756" s="27" t="str">
        <f aca="false">IF(J1756="","",IF(AND('Daily Count Sheet'!$H$3=Q1756,MOD('Daily Count Sheet'!$I$3,J1756)=R1756),1,""))</f>
        <v/>
      </c>
      <c r="T1756" s="27" t="str">
        <f aca="false">IF(S1756=1,COUNTIF($S$2:S1756,1),"")</f>
        <v/>
      </c>
    </row>
    <row r="1757" customFormat="false" ht="15" hidden="false" customHeight="false" outlineLevel="0" collapsed="false">
      <c r="H1757" s="26"/>
      <c r="I1757" s="27" t="str">
        <f aca="false">IF(A1757="","",IF(H1757&lt;&gt;"",UPPER(TRIM(H1757)),IFERROR(CHOOSE(VALUE(E1757)+1,"A","B","C","D"),IF(OR(LEFT(UPPER(TRIM(E1757)),1)="F",UPPER(TRIM(E1757))="A"),"A",IF(OR(LEFT(UPPER(TRIM(E1757)),1)="M",UPPER(TRIM(E1757))="B"),"B",IF(OR(LEFT(UPPER(TRIM(E1757)),2)="SL",UPPER(TRIM(E1757))="C"),"C",IF(OR(LEFT(UPPER(TRIM(E1757)),1)="D",UPPER(TRIM(E1757))="D"),"D","")))))))</f>
        <v/>
      </c>
      <c r="J1757" s="27" t="str">
        <f aca="false">IF(I1757="","",IF(AND(I1757="D",Settings!$B$6&lt;&gt;"Yes"),"",IFERROR(INDEX(Settings!$C$9:$C$12,MATCH(I1757,Settings!$A$9:$A$12,0)),"")))</f>
        <v/>
      </c>
      <c r="K1757" s="27" t="str">
        <f aca="false">IF(J1757="","",COUNTIF($I$2:I1757,I1757))</f>
        <v/>
      </c>
      <c r="L1757" s="27" t="str">
        <f aca="false">IF(J1757="","",CHOOSE(Q1757+1,"Tue","Wed","Thu","Fri"))</f>
        <v/>
      </c>
      <c r="M1757" s="27" t="str">
        <f aca="false">IF(J1757="","",IF(J1757=1,"Every week",R1757+1&amp;" of "&amp;J1757))</f>
        <v/>
      </c>
      <c r="N1757" s="28" t="str">
        <f aca="false">IF(J1757="","",Settings!$B$4+R1757*7+Q1757)</f>
        <v/>
      </c>
      <c r="O1757" s="28" t="str">
        <f aca="true">IF(J1757="","",N1757+MAX(0,ROUNDUP((TODAY()-N1757)/(J1757*7),0))*J1757*7)</f>
        <v/>
      </c>
      <c r="P1757" s="27" t="str">
        <f aca="false">IF(J1757="","",MOD(K1757-1,J1757*4))</f>
        <v/>
      </c>
      <c r="Q1757" s="27" t="str">
        <f aca="false">IF(J1757="","",MOD(P1757,4))</f>
        <v/>
      </c>
      <c r="R1757" s="27" t="str">
        <f aca="false">IF(J1757="","",INT(P1757/4))</f>
        <v/>
      </c>
      <c r="S1757" s="27" t="str">
        <f aca="false">IF(J1757="","",IF(AND('Daily Count Sheet'!$H$3=Q1757,MOD('Daily Count Sheet'!$I$3,J1757)=R1757),1,""))</f>
        <v/>
      </c>
      <c r="T1757" s="27" t="str">
        <f aca="false">IF(S1757=1,COUNTIF($S$2:S1757,1),"")</f>
        <v/>
      </c>
    </row>
    <row r="1758" customFormat="false" ht="15" hidden="false" customHeight="false" outlineLevel="0" collapsed="false">
      <c r="H1758" s="26"/>
      <c r="I1758" s="27" t="str">
        <f aca="false">IF(A1758="","",IF(H1758&lt;&gt;"",UPPER(TRIM(H1758)),IFERROR(CHOOSE(VALUE(E1758)+1,"A","B","C","D"),IF(OR(LEFT(UPPER(TRIM(E1758)),1)="F",UPPER(TRIM(E1758))="A"),"A",IF(OR(LEFT(UPPER(TRIM(E1758)),1)="M",UPPER(TRIM(E1758))="B"),"B",IF(OR(LEFT(UPPER(TRIM(E1758)),2)="SL",UPPER(TRIM(E1758))="C"),"C",IF(OR(LEFT(UPPER(TRIM(E1758)),1)="D",UPPER(TRIM(E1758))="D"),"D","")))))))</f>
        <v/>
      </c>
      <c r="J1758" s="27" t="str">
        <f aca="false">IF(I1758="","",IF(AND(I1758="D",Settings!$B$6&lt;&gt;"Yes"),"",IFERROR(INDEX(Settings!$C$9:$C$12,MATCH(I1758,Settings!$A$9:$A$12,0)),"")))</f>
        <v/>
      </c>
      <c r="K1758" s="27" t="str">
        <f aca="false">IF(J1758="","",COUNTIF($I$2:I1758,I1758))</f>
        <v/>
      </c>
      <c r="L1758" s="27" t="str">
        <f aca="false">IF(J1758="","",CHOOSE(Q1758+1,"Tue","Wed","Thu","Fri"))</f>
        <v/>
      </c>
      <c r="M1758" s="27" t="str">
        <f aca="false">IF(J1758="","",IF(J1758=1,"Every week",R1758+1&amp;" of "&amp;J1758))</f>
        <v/>
      </c>
      <c r="N1758" s="28" t="str">
        <f aca="false">IF(J1758="","",Settings!$B$4+R1758*7+Q1758)</f>
        <v/>
      </c>
      <c r="O1758" s="28" t="str">
        <f aca="true">IF(J1758="","",N1758+MAX(0,ROUNDUP((TODAY()-N1758)/(J1758*7),0))*J1758*7)</f>
        <v/>
      </c>
      <c r="P1758" s="27" t="str">
        <f aca="false">IF(J1758="","",MOD(K1758-1,J1758*4))</f>
        <v/>
      </c>
      <c r="Q1758" s="27" t="str">
        <f aca="false">IF(J1758="","",MOD(P1758,4))</f>
        <v/>
      </c>
      <c r="R1758" s="27" t="str">
        <f aca="false">IF(J1758="","",INT(P1758/4))</f>
        <v/>
      </c>
      <c r="S1758" s="27" t="str">
        <f aca="false">IF(J1758="","",IF(AND('Daily Count Sheet'!$H$3=Q1758,MOD('Daily Count Sheet'!$I$3,J1758)=R1758),1,""))</f>
        <v/>
      </c>
      <c r="T1758" s="27" t="str">
        <f aca="false">IF(S1758=1,COUNTIF($S$2:S1758,1),"")</f>
        <v/>
      </c>
    </row>
    <row r="1759" customFormat="false" ht="15" hidden="false" customHeight="false" outlineLevel="0" collapsed="false">
      <c r="H1759" s="26"/>
      <c r="I1759" s="27" t="str">
        <f aca="false">IF(A1759="","",IF(H1759&lt;&gt;"",UPPER(TRIM(H1759)),IFERROR(CHOOSE(VALUE(E1759)+1,"A","B","C","D"),IF(OR(LEFT(UPPER(TRIM(E1759)),1)="F",UPPER(TRIM(E1759))="A"),"A",IF(OR(LEFT(UPPER(TRIM(E1759)),1)="M",UPPER(TRIM(E1759))="B"),"B",IF(OR(LEFT(UPPER(TRIM(E1759)),2)="SL",UPPER(TRIM(E1759))="C"),"C",IF(OR(LEFT(UPPER(TRIM(E1759)),1)="D",UPPER(TRIM(E1759))="D"),"D","")))))))</f>
        <v/>
      </c>
      <c r="J1759" s="27" t="str">
        <f aca="false">IF(I1759="","",IF(AND(I1759="D",Settings!$B$6&lt;&gt;"Yes"),"",IFERROR(INDEX(Settings!$C$9:$C$12,MATCH(I1759,Settings!$A$9:$A$12,0)),"")))</f>
        <v/>
      </c>
      <c r="K1759" s="27" t="str">
        <f aca="false">IF(J1759="","",COUNTIF($I$2:I1759,I1759))</f>
        <v/>
      </c>
      <c r="L1759" s="27" t="str">
        <f aca="false">IF(J1759="","",CHOOSE(Q1759+1,"Tue","Wed","Thu","Fri"))</f>
        <v/>
      </c>
      <c r="M1759" s="27" t="str">
        <f aca="false">IF(J1759="","",IF(J1759=1,"Every week",R1759+1&amp;" of "&amp;J1759))</f>
        <v/>
      </c>
      <c r="N1759" s="28" t="str">
        <f aca="false">IF(J1759="","",Settings!$B$4+R1759*7+Q1759)</f>
        <v/>
      </c>
      <c r="O1759" s="28" t="str">
        <f aca="true">IF(J1759="","",N1759+MAX(0,ROUNDUP((TODAY()-N1759)/(J1759*7),0))*J1759*7)</f>
        <v/>
      </c>
      <c r="P1759" s="27" t="str">
        <f aca="false">IF(J1759="","",MOD(K1759-1,J1759*4))</f>
        <v/>
      </c>
      <c r="Q1759" s="27" t="str">
        <f aca="false">IF(J1759="","",MOD(P1759,4))</f>
        <v/>
      </c>
      <c r="R1759" s="27" t="str">
        <f aca="false">IF(J1759="","",INT(P1759/4))</f>
        <v/>
      </c>
      <c r="S1759" s="27" t="str">
        <f aca="false">IF(J1759="","",IF(AND('Daily Count Sheet'!$H$3=Q1759,MOD('Daily Count Sheet'!$I$3,J1759)=R1759),1,""))</f>
        <v/>
      </c>
      <c r="T1759" s="27" t="str">
        <f aca="false">IF(S1759=1,COUNTIF($S$2:S1759,1),"")</f>
        <v/>
      </c>
    </row>
    <row r="1760" customFormat="false" ht="15" hidden="false" customHeight="false" outlineLevel="0" collapsed="false">
      <c r="H1760" s="26"/>
      <c r="I1760" s="27" t="str">
        <f aca="false">IF(A1760="","",IF(H1760&lt;&gt;"",UPPER(TRIM(H1760)),IFERROR(CHOOSE(VALUE(E1760)+1,"A","B","C","D"),IF(OR(LEFT(UPPER(TRIM(E1760)),1)="F",UPPER(TRIM(E1760))="A"),"A",IF(OR(LEFT(UPPER(TRIM(E1760)),1)="M",UPPER(TRIM(E1760))="B"),"B",IF(OR(LEFT(UPPER(TRIM(E1760)),2)="SL",UPPER(TRIM(E1760))="C"),"C",IF(OR(LEFT(UPPER(TRIM(E1760)),1)="D",UPPER(TRIM(E1760))="D"),"D","")))))))</f>
        <v/>
      </c>
      <c r="J1760" s="27" t="str">
        <f aca="false">IF(I1760="","",IF(AND(I1760="D",Settings!$B$6&lt;&gt;"Yes"),"",IFERROR(INDEX(Settings!$C$9:$C$12,MATCH(I1760,Settings!$A$9:$A$12,0)),"")))</f>
        <v/>
      </c>
      <c r="K1760" s="27" t="str">
        <f aca="false">IF(J1760="","",COUNTIF($I$2:I1760,I1760))</f>
        <v/>
      </c>
      <c r="L1760" s="27" t="str">
        <f aca="false">IF(J1760="","",CHOOSE(Q1760+1,"Tue","Wed","Thu","Fri"))</f>
        <v/>
      </c>
      <c r="M1760" s="27" t="str">
        <f aca="false">IF(J1760="","",IF(J1760=1,"Every week",R1760+1&amp;" of "&amp;J1760))</f>
        <v/>
      </c>
      <c r="N1760" s="28" t="str">
        <f aca="false">IF(J1760="","",Settings!$B$4+R1760*7+Q1760)</f>
        <v/>
      </c>
      <c r="O1760" s="28" t="str">
        <f aca="true">IF(J1760="","",N1760+MAX(0,ROUNDUP((TODAY()-N1760)/(J1760*7),0))*J1760*7)</f>
        <v/>
      </c>
      <c r="P1760" s="27" t="str">
        <f aca="false">IF(J1760="","",MOD(K1760-1,J1760*4))</f>
        <v/>
      </c>
      <c r="Q1760" s="27" t="str">
        <f aca="false">IF(J1760="","",MOD(P1760,4))</f>
        <v/>
      </c>
      <c r="R1760" s="27" t="str">
        <f aca="false">IF(J1760="","",INT(P1760/4))</f>
        <v/>
      </c>
      <c r="S1760" s="27" t="str">
        <f aca="false">IF(J1760="","",IF(AND('Daily Count Sheet'!$H$3=Q1760,MOD('Daily Count Sheet'!$I$3,J1760)=R1760),1,""))</f>
        <v/>
      </c>
      <c r="T1760" s="27" t="str">
        <f aca="false">IF(S1760=1,COUNTIF($S$2:S1760,1),"")</f>
        <v/>
      </c>
    </row>
    <row r="1761" customFormat="false" ht="15" hidden="false" customHeight="false" outlineLevel="0" collapsed="false">
      <c r="H1761" s="26"/>
      <c r="I1761" s="27" t="str">
        <f aca="false">IF(A1761="","",IF(H1761&lt;&gt;"",UPPER(TRIM(H1761)),IFERROR(CHOOSE(VALUE(E1761)+1,"A","B","C","D"),IF(OR(LEFT(UPPER(TRIM(E1761)),1)="F",UPPER(TRIM(E1761))="A"),"A",IF(OR(LEFT(UPPER(TRIM(E1761)),1)="M",UPPER(TRIM(E1761))="B"),"B",IF(OR(LEFT(UPPER(TRIM(E1761)),2)="SL",UPPER(TRIM(E1761))="C"),"C",IF(OR(LEFT(UPPER(TRIM(E1761)),1)="D",UPPER(TRIM(E1761))="D"),"D","")))))))</f>
        <v/>
      </c>
      <c r="J1761" s="27" t="str">
        <f aca="false">IF(I1761="","",IF(AND(I1761="D",Settings!$B$6&lt;&gt;"Yes"),"",IFERROR(INDEX(Settings!$C$9:$C$12,MATCH(I1761,Settings!$A$9:$A$12,0)),"")))</f>
        <v/>
      </c>
      <c r="K1761" s="27" t="str">
        <f aca="false">IF(J1761="","",COUNTIF($I$2:I1761,I1761))</f>
        <v/>
      </c>
      <c r="L1761" s="27" t="str">
        <f aca="false">IF(J1761="","",CHOOSE(Q1761+1,"Tue","Wed","Thu","Fri"))</f>
        <v/>
      </c>
      <c r="M1761" s="27" t="str">
        <f aca="false">IF(J1761="","",IF(J1761=1,"Every week",R1761+1&amp;" of "&amp;J1761))</f>
        <v/>
      </c>
      <c r="N1761" s="28" t="str">
        <f aca="false">IF(J1761="","",Settings!$B$4+R1761*7+Q1761)</f>
        <v/>
      </c>
      <c r="O1761" s="28" t="str">
        <f aca="true">IF(J1761="","",N1761+MAX(0,ROUNDUP((TODAY()-N1761)/(J1761*7),0))*J1761*7)</f>
        <v/>
      </c>
      <c r="P1761" s="27" t="str">
        <f aca="false">IF(J1761="","",MOD(K1761-1,J1761*4))</f>
        <v/>
      </c>
      <c r="Q1761" s="27" t="str">
        <f aca="false">IF(J1761="","",MOD(P1761,4))</f>
        <v/>
      </c>
      <c r="R1761" s="27" t="str">
        <f aca="false">IF(J1761="","",INT(P1761/4))</f>
        <v/>
      </c>
      <c r="S1761" s="27" t="str">
        <f aca="false">IF(J1761="","",IF(AND('Daily Count Sheet'!$H$3=Q1761,MOD('Daily Count Sheet'!$I$3,J1761)=R1761),1,""))</f>
        <v/>
      </c>
      <c r="T1761" s="27" t="str">
        <f aca="false">IF(S1761=1,COUNTIF($S$2:S1761,1),"")</f>
        <v/>
      </c>
    </row>
    <row r="1762" customFormat="false" ht="15" hidden="false" customHeight="false" outlineLevel="0" collapsed="false">
      <c r="H1762" s="26"/>
      <c r="I1762" s="27" t="str">
        <f aca="false">IF(A1762="","",IF(H1762&lt;&gt;"",UPPER(TRIM(H1762)),IFERROR(CHOOSE(VALUE(E1762)+1,"A","B","C","D"),IF(OR(LEFT(UPPER(TRIM(E1762)),1)="F",UPPER(TRIM(E1762))="A"),"A",IF(OR(LEFT(UPPER(TRIM(E1762)),1)="M",UPPER(TRIM(E1762))="B"),"B",IF(OR(LEFT(UPPER(TRIM(E1762)),2)="SL",UPPER(TRIM(E1762))="C"),"C",IF(OR(LEFT(UPPER(TRIM(E1762)),1)="D",UPPER(TRIM(E1762))="D"),"D","")))))))</f>
        <v/>
      </c>
      <c r="J1762" s="27" t="str">
        <f aca="false">IF(I1762="","",IF(AND(I1762="D",Settings!$B$6&lt;&gt;"Yes"),"",IFERROR(INDEX(Settings!$C$9:$C$12,MATCH(I1762,Settings!$A$9:$A$12,0)),"")))</f>
        <v/>
      </c>
      <c r="K1762" s="27" t="str">
        <f aca="false">IF(J1762="","",COUNTIF($I$2:I1762,I1762))</f>
        <v/>
      </c>
      <c r="L1762" s="27" t="str">
        <f aca="false">IF(J1762="","",CHOOSE(Q1762+1,"Tue","Wed","Thu","Fri"))</f>
        <v/>
      </c>
      <c r="M1762" s="27" t="str">
        <f aca="false">IF(J1762="","",IF(J1762=1,"Every week",R1762+1&amp;" of "&amp;J1762))</f>
        <v/>
      </c>
      <c r="N1762" s="28" t="str">
        <f aca="false">IF(J1762="","",Settings!$B$4+R1762*7+Q1762)</f>
        <v/>
      </c>
      <c r="O1762" s="28" t="str">
        <f aca="true">IF(J1762="","",N1762+MAX(0,ROUNDUP((TODAY()-N1762)/(J1762*7),0))*J1762*7)</f>
        <v/>
      </c>
      <c r="P1762" s="27" t="str">
        <f aca="false">IF(J1762="","",MOD(K1762-1,J1762*4))</f>
        <v/>
      </c>
      <c r="Q1762" s="27" t="str">
        <f aca="false">IF(J1762="","",MOD(P1762,4))</f>
        <v/>
      </c>
      <c r="R1762" s="27" t="str">
        <f aca="false">IF(J1762="","",INT(P1762/4))</f>
        <v/>
      </c>
      <c r="S1762" s="27" t="str">
        <f aca="false">IF(J1762="","",IF(AND('Daily Count Sheet'!$H$3=Q1762,MOD('Daily Count Sheet'!$I$3,J1762)=R1762),1,""))</f>
        <v/>
      </c>
      <c r="T1762" s="27" t="str">
        <f aca="false">IF(S1762=1,COUNTIF($S$2:S1762,1),"")</f>
        <v/>
      </c>
    </row>
    <row r="1763" customFormat="false" ht="15" hidden="false" customHeight="false" outlineLevel="0" collapsed="false">
      <c r="H1763" s="26"/>
      <c r="I1763" s="27" t="str">
        <f aca="false">IF(A1763="","",IF(H1763&lt;&gt;"",UPPER(TRIM(H1763)),IFERROR(CHOOSE(VALUE(E1763)+1,"A","B","C","D"),IF(OR(LEFT(UPPER(TRIM(E1763)),1)="F",UPPER(TRIM(E1763))="A"),"A",IF(OR(LEFT(UPPER(TRIM(E1763)),1)="M",UPPER(TRIM(E1763))="B"),"B",IF(OR(LEFT(UPPER(TRIM(E1763)),2)="SL",UPPER(TRIM(E1763))="C"),"C",IF(OR(LEFT(UPPER(TRIM(E1763)),1)="D",UPPER(TRIM(E1763))="D"),"D","")))))))</f>
        <v/>
      </c>
      <c r="J1763" s="27" t="str">
        <f aca="false">IF(I1763="","",IF(AND(I1763="D",Settings!$B$6&lt;&gt;"Yes"),"",IFERROR(INDEX(Settings!$C$9:$C$12,MATCH(I1763,Settings!$A$9:$A$12,0)),"")))</f>
        <v/>
      </c>
      <c r="K1763" s="27" t="str">
        <f aca="false">IF(J1763="","",COUNTIF($I$2:I1763,I1763))</f>
        <v/>
      </c>
      <c r="L1763" s="27" t="str">
        <f aca="false">IF(J1763="","",CHOOSE(Q1763+1,"Tue","Wed","Thu","Fri"))</f>
        <v/>
      </c>
      <c r="M1763" s="27" t="str">
        <f aca="false">IF(J1763="","",IF(J1763=1,"Every week",R1763+1&amp;" of "&amp;J1763))</f>
        <v/>
      </c>
      <c r="N1763" s="28" t="str">
        <f aca="false">IF(J1763="","",Settings!$B$4+R1763*7+Q1763)</f>
        <v/>
      </c>
      <c r="O1763" s="28" t="str">
        <f aca="true">IF(J1763="","",N1763+MAX(0,ROUNDUP((TODAY()-N1763)/(J1763*7),0))*J1763*7)</f>
        <v/>
      </c>
      <c r="P1763" s="27" t="str">
        <f aca="false">IF(J1763="","",MOD(K1763-1,J1763*4))</f>
        <v/>
      </c>
      <c r="Q1763" s="27" t="str">
        <f aca="false">IF(J1763="","",MOD(P1763,4))</f>
        <v/>
      </c>
      <c r="R1763" s="27" t="str">
        <f aca="false">IF(J1763="","",INT(P1763/4))</f>
        <v/>
      </c>
      <c r="S1763" s="27" t="str">
        <f aca="false">IF(J1763="","",IF(AND('Daily Count Sheet'!$H$3=Q1763,MOD('Daily Count Sheet'!$I$3,J1763)=R1763),1,""))</f>
        <v/>
      </c>
      <c r="T1763" s="27" t="str">
        <f aca="false">IF(S1763=1,COUNTIF($S$2:S1763,1),"")</f>
        <v/>
      </c>
    </row>
    <row r="1764" customFormat="false" ht="15" hidden="false" customHeight="false" outlineLevel="0" collapsed="false">
      <c r="H1764" s="26"/>
      <c r="I1764" s="27" t="str">
        <f aca="false">IF(A1764="","",IF(H1764&lt;&gt;"",UPPER(TRIM(H1764)),IFERROR(CHOOSE(VALUE(E1764)+1,"A","B","C","D"),IF(OR(LEFT(UPPER(TRIM(E1764)),1)="F",UPPER(TRIM(E1764))="A"),"A",IF(OR(LEFT(UPPER(TRIM(E1764)),1)="M",UPPER(TRIM(E1764))="B"),"B",IF(OR(LEFT(UPPER(TRIM(E1764)),2)="SL",UPPER(TRIM(E1764))="C"),"C",IF(OR(LEFT(UPPER(TRIM(E1764)),1)="D",UPPER(TRIM(E1764))="D"),"D","")))))))</f>
        <v/>
      </c>
      <c r="J1764" s="27" t="str">
        <f aca="false">IF(I1764="","",IF(AND(I1764="D",Settings!$B$6&lt;&gt;"Yes"),"",IFERROR(INDEX(Settings!$C$9:$C$12,MATCH(I1764,Settings!$A$9:$A$12,0)),"")))</f>
        <v/>
      </c>
      <c r="K1764" s="27" t="str">
        <f aca="false">IF(J1764="","",COUNTIF($I$2:I1764,I1764))</f>
        <v/>
      </c>
      <c r="L1764" s="27" t="str">
        <f aca="false">IF(J1764="","",CHOOSE(Q1764+1,"Tue","Wed","Thu","Fri"))</f>
        <v/>
      </c>
      <c r="M1764" s="27" t="str">
        <f aca="false">IF(J1764="","",IF(J1764=1,"Every week",R1764+1&amp;" of "&amp;J1764))</f>
        <v/>
      </c>
      <c r="N1764" s="28" t="str">
        <f aca="false">IF(J1764="","",Settings!$B$4+R1764*7+Q1764)</f>
        <v/>
      </c>
      <c r="O1764" s="28" t="str">
        <f aca="true">IF(J1764="","",N1764+MAX(0,ROUNDUP((TODAY()-N1764)/(J1764*7),0))*J1764*7)</f>
        <v/>
      </c>
      <c r="P1764" s="27" t="str">
        <f aca="false">IF(J1764="","",MOD(K1764-1,J1764*4))</f>
        <v/>
      </c>
      <c r="Q1764" s="27" t="str">
        <f aca="false">IF(J1764="","",MOD(P1764,4))</f>
        <v/>
      </c>
      <c r="R1764" s="27" t="str">
        <f aca="false">IF(J1764="","",INT(P1764/4))</f>
        <v/>
      </c>
      <c r="S1764" s="27" t="str">
        <f aca="false">IF(J1764="","",IF(AND('Daily Count Sheet'!$H$3=Q1764,MOD('Daily Count Sheet'!$I$3,J1764)=R1764),1,""))</f>
        <v/>
      </c>
      <c r="T1764" s="27" t="str">
        <f aca="false">IF(S1764=1,COUNTIF($S$2:S1764,1),"")</f>
        <v/>
      </c>
    </row>
    <row r="1765" customFormat="false" ht="15" hidden="false" customHeight="false" outlineLevel="0" collapsed="false">
      <c r="H1765" s="26"/>
      <c r="I1765" s="27" t="str">
        <f aca="false">IF(A1765="","",IF(H1765&lt;&gt;"",UPPER(TRIM(H1765)),IFERROR(CHOOSE(VALUE(E1765)+1,"A","B","C","D"),IF(OR(LEFT(UPPER(TRIM(E1765)),1)="F",UPPER(TRIM(E1765))="A"),"A",IF(OR(LEFT(UPPER(TRIM(E1765)),1)="M",UPPER(TRIM(E1765))="B"),"B",IF(OR(LEFT(UPPER(TRIM(E1765)),2)="SL",UPPER(TRIM(E1765))="C"),"C",IF(OR(LEFT(UPPER(TRIM(E1765)),1)="D",UPPER(TRIM(E1765))="D"),"D","")))))))</f>
        <v/>
      </c>
      <c r="J1765" s="27" t="str">
        <f aca="false">IF(I1765="","",IF(AND(I1765="D",Settings!$B$6&lt;&gt;"Yes"),"",IFERROR(INDEX(Settings!$C$9:$C$12,MATCH(I1765,Settings!$A$9:$A$12,0)),"")))</f>
        <v/>
      </c>
      <c r="K1765" s="27" t="str">
        <f aca="false">IF(J1765="","",COUNTIF($I$2:I1765,I1765))</f>
        <v/>
      </c>
      <c r="L1765" s="27" t="str">
        <f aca="false">IF(J1765="","",CHOOSE(Q1765+1,"Tue","Wed","Thu","Fri"))</f>
        <v/>
      </c>
      <c r="M1765" s="27" t="str">
        <f aca="false">IF(J1765="","",IF(J1765=1,"Every week",R1765+1&amp;" of "&amp;J1765))</f>
        <v/>
      </c>
      <c r="N1765" s="28" t="str">
        <f aca="false">IF(J1765="","",Settings!$B$4+R1765*7+Q1765)</f>
        <v/>
      </c>
      <c r="O1765" s="28" t="str">
        <f aca="true">IF(J1765="","",N1765+MAX(0,ROUNDUP((TODAY()-N1765)/(J1765*7),0))*J1765*7)</f>
        <v/>
      </c>
      <c r="P1765" s="27" t="str">
        <f aca="false">IF(J1765="","",MOD(K1765-1,J1765*4))</f>
        <v/>
      </c>
      <c r="Q1765" s="27" t="str">
        <f aca="false">IF(J1765="","",MOD(P1765,4))</f>
        <v/>
      </c>
      <c r="R1765" s="27" t="str">
        <f aca="false">IF(J1765="","",INT(P1765/4))</f>
        <v/>
      </c>
      <c r="S1765" s="27" t="str">
        <f aca="false">IF(J1765="","",IF(AND('Daily Count Sheet'!$H$3=Q1765,MOD('Daily Count Sheet'!$I$3,J1765)=R1765),1,""))</f>
        <v/>
      </c>
      <c r="T1765" s="27" t="str">
        <f aca="false">IF(S1765=1,COUNTIF($S$2:S1765,1),"")</f>
        <v/>
      </c>
    </row>
    <row r="1766" customFormat="false" ht="15" hidden="false" customHeight="false" outlineLevel="0" collapsed="false">
      <c r="H1766" s="26"/>
      <c r="I1766" s="27" t="str">
        <f aca="false">IF(A1766="","",IF(H1766&lt;&gt;"",UPPER(TRIM(H1766)),IFERROR(CHOOSE(VALUE(E1766)+1,"A","B","C","D"),IF(OR(LEFT(UPPER(TRIM(E1766)),1)="F",UPPER(TRIM(E1766))="A"),"A",IF(OR(LEFT(UPPER(TRIM(E1766)),1)="M",UPPER(TRIM(E1766))="B"),"B",IF(OR(LEFT(UPPER(TRIM(E1766)),2)="SL",UPPER(TRIM(E1766))="C"),"C",IF(OR(LEFT(UPPER(TRIM(E1766)),1)="D",UPPER(TRIM(E1766))="D"),"D","")))))))</f>
        <v/>
      </c>
      <c r="J1766" s="27" t="str">
        <f aca="false">IF(I1766="","",IF(AND(I1766="D",Settings!$B$6&lt;&gt;"Yes"),"",IFERROR(INDEX(Settings!$C$9:$C$12,MATCH(I1766,Settings!$A$9:$A$12,0)),"")))</f>
        <v/>
      </c>
      <c r="K1766" s="27" t="str">
        <f aca="false">IF(J1766="","",COUNTIF($I$2:I1766,I1766))</f>
        <v/>
      </c>
      <c r="L1766" s="27" t="str">
        <f aca="false">IF(J1766="","",CHOOSE(Q1766+1,"Tue","Wed","Thu","Fri"))</f>
        <v/>
      </c>
      <c r="M1766" s="27" t="str">
        <f aca="false">IF(J1766="","",IF(J1766=1,"Every week",R1766+1&amp;" of "&amp;J1766))</f>
        <v/>
      </c>
      <c r="N1766" s="28" t="str">
        <f aca="false">IF(J1766="","",Settings!$B$4+R1766*7+Q1766)</f>
        <v/>
      </c>
      <c r="O1766" s="28" t="str">
        <f aca="true">IF(J1766="","",N1766+MAX(0,ROUNDUP((TODAY()-N1766)/(J1766*7),0))*J1766*7)</f>
        <v/>
      </c>
      <c r="P1766" s="27" t="str">
        <f aca="false">IF(J1766="","",MOD(K1766-1,J1766*4))</f>
        <v/>
      </c>
      <c r="Q1766" s="27" t="str">
        <f aca="false">IF(J1766="","",MOD(P1766,4))</f>
        <v/>
      </c>
      <c r="R1766" s="27" t="str">
        <f aca="false">IF(J1766="","",INT(P1766/4))</f>
        <v/>
      </c>
      <c r="S1766" s="27" t="str">
        <f aca="false">IF(J1766="","",IF(AND('Daily Count Sheet'!$H$3=Q1766,MOD('Daily Count Sheet'!$I$3,J1766)=R1766),1,""))</f>
        <v/>
      </c>
      <c r="T1766" s="27" t="str">
        <f aca="false">IF(S1766=1,COUNTIF($S$2:S1766,1),"")</f>
        <v/>
      </c>
    </row>
    <row r="1767" customFormat="false" ht="15" hidden="false" customHeight="false" outlineLevel="0" collapsed="false">
      <c r="H1767" s="26"/>
      <c r="I1767" s="27" t="str">
        <f aca="false">IF(A1767="","",IF(H1767&lt;&gt;"",UPPER(TRIM(H1767)),IFERROR(CHOOSE(VALUE(E1767)+1,"A","B","C","D"),IF(OR(LEFT(UPPER(TRIM(E1767)),1)="F",UPPER(TRIM(E1767))="A"),"A",IF(OR(LEFT(UPPER(TRIM(E1767)),1)="M",UPPER(TRIM(E1767))="B"),"B",IF(OR(LEFT(UPPER(TRIM(E1767)),2)="SL",UPPER(TRIM(E1767))="C"),"C",IF(OR(LEFT(UPPER(TRIM(E1767)),1)="D",UPPER(TRIM(E1767))="D"),"D","")))))))</f>
        <v/>
      </c>
      <c r="J1767" s="27" t="str">
        <f aca="false">IF(I1767="","",IF(AND(I1767="D",Settings!$B$6&lt;&gt;"Yes"),"",IFERROR(INDEX(Settings!$C$9:$C$12,MATCH(I1767,Settings!$A$9:$A$12,0)),"")))</f>
        <v/>
      </c>
      <c r="K1767" s="27" t="str">
        <f aca="false">IF(J1767="","",COUNTIF($I$2:I1767,I1767))</f>
        <v/>
      </c>
      <c r="L1767" s="27" t="str">
        <f aca="false">IF(J1767="","",CHOOSE(Q1767+1,"Tue","Wed","Thu","Fri"))</f>
        <v/>
      </c>
      <c r="M1767" s="27" t="str">
        <f aca="false">IF(J1767="","",IF(J1767=1,"Every week",R1767+1&amp;" of "&amp;J1767))</f>
        <v/>
      </c>
      <c r="N1767" s="28" t="str">
        <f aca="false">IF(J1767="","",Settings!$B$4+R1767*7+Q1767)</f>
        <v/>
      </c>
      <c r="O1767" s="28" t="str">
        <f aca="true">IF(J1767="","",N1767+MAX(0,ROUNDUP((TODAY()-N1767)/(J1767*7),0))*J1767*7)</f>
        <v/>
      </c>
      <c r="P1767" s="27" t="str">
        <f aca="false">IF(J1767="","",MOD(K1767-1,J1767*4))</f>
        <v/>
      </c>
      <c r="Q1767" s="27" t="str">
        <f aca="false">IF(J1767="","",MOD(P1767,4))</f>
        <v/>
      </c>
      <c r="R1767" s="27" t="str">
        <f aca="false">IF(J1767="","",INT(P1767/4))</f>
        <v/>
      </c>
      <c r="S1767" s="27" t="str">
        <f aca="false">IF(J1767="","",IF(AND('Daily Count Sheet'!$H$3=Q1767,MOD('Daily Count Sheet'!$I$3,J1767)=R1767),1,""))</f>
        <v/>
      </c>
      <c r="T1767" s="27" t="str">
        <f aca="false">IF(S1767=1,COUNTIF($S$2:S1767,1),"")</f>
        <v/>
      </c>
    </row>
    <row r="1768" customFormat="false" ht="15" hidden="false" customHeight="false" outlineLevel="0" collapsed="false">
      <c r="H1768" s="26"/>
      <c r="I1768" s="27" t="str">
        <f aca="false">IF(A1768="","",IF(H1768&lt;&gt;"",UPPER(TRIM(H1768)),IFERROR(CHOOSE(VALUE(E1768)+1,"A","B","C","D"),IF(OR(LEFT(UPPER(TRIM(E1768)),1)="F",UPPER(TRIM(E1768))="A"),"A",IF(OR(LEFT(UPPER(TRIM(E1768)),1)="M",UPPER(TRIM(E1768))="B"),"B",IF(OR(LEFT(UPPER(TRIM(E1768)),2)="SL",UPPER(TRIM(E1768))="C"),"C",IF(OR(LEFT(UPPER(TRIM(E1768)),1)="D",UPPER(TRIM(E1768))="D"),"D","")))))))</f>
        <v/>
      </c>
      <c r="J1768" s="27" t="str">
        <f aca="false">IF(I1768="","",IF(AND(I1768="D",Settings!$B$6&lt;&gt;"Yes"),"",IFERROR(INDEX(Settings!$C$9:$C$12,MATCH(I1768,Settings!$A$9:$A$12,0)),"")))</f>
        <v/>
      </c>
      <c r="K1768" s="27" t="str">
        <f aca="false">IF(J1768="","",COUNTIF($I$2:I1768,I1768))</f>
        <v/>
      </c>
      <c r="L1768" s="27" t="str">
        <f aca="false">IF(J1768="","",CHOOSE(Q1768+1,"Tue","Wed","Thu","Fri"))</f>
        <v/>
      </c>
      <c r="M1768" s="27" t="str">
        <f aca="false">IF(J1768="","",IF(J1768=1,"Every week",R1768+1&amp;" of "&amp;J1768))</f>
        <v/>
      </c>
      <c r="N1768" s="28" t="str">
        <f aca="false">IF(J1768="","",Settings!$B$4+R1768*7+Q1768)</f>
        <v/>
      </c>
      <c r="O1768" s="28" t="str">
        <f aca="true">IF(J1768="","",N1768+MAX(0,ROUNDUP((TODAY()-N1768)/(J1768*7),0))*J1768*7)</f>
        <v/>
      </c>
      <c r="P1768" s="27" t="str">
        <f aca="false">IF(J1768="","",MOD(K1768-1,J1768*4))</f>
        <v/>
      </c>
      <c r="Q1768" s="27" t="str">
        <f aca="false">IF(J1768="","",MOD(P1768,4))</f>
        <v/>
      </c>
      <c r="R1768" s="27" t="str">
        <f aca="false">IF(J1768="","",INT(P1768/4))</f>
        <v/>
      </c>
      <c r="S1768" s="27" t="str">
        <f aca="false">IF(J1768="","",IF(AND('Daily Count Sheet'!$H$3=Q1768,MOD('Daily Count Sheet'!$I$3,J1768)=R1768),1,""))</f>
        <v/>
      </c>
      <c r="T1768" s="27" t="str">
        <f aca="false">IF(S1768=1,COUNTIF($S$2:S1768,1),"")</f>
        <v/>
      </c>
    </row>
    <row r="1769" customFormat="false" ht="15" hidden="false" customHeight="false" outlineLevel="0" collapsed="false">
      <c r="H1769" s="26"/>
      <c r="I1769" s="27" t="str">
        <f aca="false">IF(A1769="","",IF(H1769&lt;&gt;"",UPPER(TRIM(H1769)),IFERROR(CHOOSE(VALUE(E1769)+1,"A","B","C","D"),IF(OR(LEFT(UPPER(TRIM(E1769)),1)="F",UPPER(TRIM(E1769))="A"),"A",IF(OR(LEFT(UPPER(TRIM(E1769)),1)="M",UPPER(TRIM(E1769))="B"),"B",IF(OR(LEFT(UPPER(TRIM(E1769)),2)="SL",UPPER(TRIM(E1769))="C"),"C",IF(OR(LEFT(UPPER(TRIM(E1769)),1)="D",UPPER(TRIM(E1769))="D"),"D","")))))))</f>
        <v/>
      </c>
      <c r="J1769" s="27" t="str">
        <f aca="false">IF(I1769="","",IF(AND(I1769="D",Settings!$B$6&lt;&gt;"Yes"),"",IFERROR(INDEX(Settings!$C$9:$C$12,MATCH(I1769,Settings!$A$9:$A$12,0)),"")))</f>
        <v/>
      </c>
      <c r="K1769" s="27" t="str">
        <f aca="false">IF(J1769="","",COUNTIF($I$2:I1769,I1769))</f>
        <v/>
      </c>
      <c r="L1769" s="27" t="str">
        <f aca="false">IF(J1769="","",CHOOSE(Q1769+1,"Tue","Wed","Thu","Fri"))</f>
        <v/>
      </c>
      <c r="M1769" s="27" t="str">
        <f aca="false">IF(J1769="","",IF(J1769=1,"Every week",R1769+1&amp;" of "&amp;J1769))</f>
        <v/>
      </c>
      <c r="N1769" s="28" t="str">
        <f aca="false">IF(J1769="","",Settings!$B$4+R1769*7+Q1769)</f>
        <v/>
      </c>
      <c r="O1769" s="28" t="str">
        <f aca="true">IF(J1769="","",N1769+MAX(0,ROUNDUP((TODAY()-N1769)/(J1769*7),0))*J1769*7)</f>
        <v/>
      </c>
      <c r="P1769" s="27" t="str">
        <f aca="false">IF(J1769="","",MOD(K1769-1,J1769*4))</f>
        <v/>
      </c>
      <c r="Q1769" s="27" t="str">
        <f aca="false">IF(J1769="","",MOD(P1769,4))</f>
        <v/>
      </c>
      <c r="R1769" s="27" t="str">
        <f aca="false">IF(J1769="","",INT(P1769/4))</f>
        <v/>
      </c>
      <c r="S1769" s="27" t="str">
        <f aca="false">IF(J1769="","",IF(AND('Daily Count Sheet'!$H$3=Q1769,MOD('Daily Count Sheet'!$I$3,J1769)=R1769),1,""))</f>
        <v/>
      </c>
      <c r="T1769" s="27" t="str">
        <f aca="false">IF(S1769=1,COUNTIF($S$2:S1769,1),"")</f>
        <v/>
      </c>
    </row>
    <row r="1770" customFormat="false" ht="15" hidden="false" customHeight="false" outlineLevel="0" collapsed="false">
      <c r="H1770" s="26"/>
      <c r="I1770" s="27" t="str">
        <f aca="false">IF(A1770="","",IF(H1770&lt;&gt;"",UPPER(TRIM(H1770)),IFERROR(CHOOSE(VALUE(E1770)+1,"A","B","C","D"),IF(OR(LEFT(UPPER(TRIM(E1770)),1)="F",UPPER(TRIM(E1770))="A"),"A",IF(OR(LEFT(UPPER(TRIM(E1770)),1)="M",UPPER(TRIM(E1770))="B"),"B",IF(OR(LEFT(UPPER(TRIM(E1770)),2)="SL",UPPER(TRIM(E1770))="C"),"C",IF(OR(LEFT(UPPER(TRIM(E1770)),1)="D",UPPER(TRIM(E1770))="D"),"D","")))))))</f>
        <v/>
      </c>
      <c r="J1770" s="27" t="str">
        <f aca="false">IF(I1770="","",IF(AND(I1770="D",Settings!$B$6&lt;&gt;"Yes"),"",IFERROR(INDEX(Settings!$C$9:$C$12,MATCH(I1770,Settings!$A$9:$A$12,0)),"")))</f>
        <v/>
      </c>
      <c r="K1770" s="27" t="str">
        <f aca="false">IF(J1770="","",COUNTIF($I$2:I1770,I1770))</f>
        <v/>
      </c>
      <c r="L1770" s="27" t="str">
        <f aca="false">IF(J1770="","",CHOOSE(Q1770+1,"Tue","Wed","Thu","Fri"))</f>
        <v/>
      </c>
      <c r="M1770" s="27" t="str">
        <f aca="false">IF(J1770="","",IF(J1770=1,"Every week",R1770+1&amp;" of "&amp;J1770))</f>
        <v/>
      </c>
      <c r="N1770" s="28" t="str">
        <f aca="false">IF(J1770="","",Settings!$B$4+R1770*7+Q1770)</f>
        <v/>
      </c>
      <c r="O1770" s="28" t="str">
        <f aca="true">IF(J1770="","",N1770+MAX(0,ROUNDUP((TODAY()-N1770)/(J1770*7),0))*J1770*7)</f>
        <v/>
      </c>
      <c r="P1770" s="27" t="str">
        <f aca="false">IF(J1770="","",MOD(K1770-1,J1770*4))</f>
        <v/>
      </c>
      <c r="Q1770" s="27" t="str">
        <f aca="false">IF(J1770="","",MOD(P1770,4))</f>
        <v/>
      </c>
      <c r="R1770" s="27" t="str">
        <f aca="false">IF(J1770="","",INT(P1770/4))</f>
        <v/>
      </c>
      <c r="S1770" s="27" t="str">
        <f aca="false">IF(J1770="","",IF(AND('Daily Count Sheet'!$H$3=Q1770,MOD('Daily Count Sheet'!$I$3,J1770)=R1770),1,""))</f>
        <v/>
      </c>
      <c r="T1770" s="27" t="str">
        <f aca="false">IF(S1770=1,COUNTIF($S$2:S1770,1),"")</f>
        <v/>
      </c>
    </row>
    <row r="1771" customFormat="false" ht="15" hidden="false" customHeight="false" outlineLevel="0" collapsed="false">
      <c r="H1771" s="26"/>
      <c r="I1771" s="27" t="str">
        <f aca="false">IF(A1771="","",IF(H1771&lt;&gt;"",UPPER(TRIM(H1771)),IFERROR(CHOOSE(VALUE(E1771)+1,"A","B","C","D"),IF(OR(LEFT(UPPER(TRIM(E1771)),1)="F",UPPER(TRIM(E1771))="A"),"A",IF(OR(LEFT(UPPER(TRIM(E1771)),1)="M",UPPER(TRIM(E1771))="B"),"B",IF(OR(LEFT(UPPER(TRIM(E1771)),2)="SL",UPPER(TRIM(E1771))="C"),"C",IF(OR(LEFT(UPPER(TRIM(E1771)),1)="D",UPPER(TRIM(E1771))="D"),"D","")))))))</f>
        <v/>
      </c>
      <c r="J1771" s="27" t="str">
        <f aca="false">IF(I1771="","",IF(AND(I1771="D",Settings!$B$6&lt;&gt;"Yes"),"",IFERROR(INDEX(Settings!$C$9:$C$12,MATCH(I1771,Settings!$A$9:$A$12,0)),"")))</f>
        <v/>
      </c>
      <c r="K1771" s="27" t="str">
        <f aca="false">IF(J1771="","",COUNTIF($I$2:I1771,I1771))</f>
        <v/>
      </c>
      <c r="L1771" s="27" t="str">
        <f aca="false">IF(J1771="","",CHOOSE(Q1771+1,"Tue","Wed","Thu","Fri"))</f>
        <v/>
      </c>
      <c r="M1771" s="27" t="str">
        <f aca="false">IF(J1771="","",IF(J1771=1,"Every week",R1771+1&amp;" of "&amp;J1771))</f>
        <v/>
      </c>
      <c r="N1771" s="28" t="str">
        <f aca="false">IF(J1771="","",Settings!$B$4+R1771*7+Q1771)</f>
        <v/>
      </c>
      <c r="O1771" s="28" t="str">
        <f aca="true">IF(J1771="","",N1771+MAX(0,ROUNDUP((TODAY()-N1771)/(J1771*7),0))*J1771*7)</f>
        <v/>
      </c>
      <c r="P1771" s="27" t="str">
        <f aca="false">IF(J1771="","",MOD(K1771-1,J1771*4))</f>
        <v/>
      </c>
      <c r="Q1771" s="27" t="str">
        <f aca="false">IF(J1771="","",MOD(P1771,4))</f>
        <v/>
      </c>
      <c r="R1771" s="27" t="str">
        <f aca="false">IF(J1771="","",INT(P1771/4))</f>
        <v/>
      </c>
      <c r="S1771" s="27" t="str">
        <f aca="false">IF(J1771="","",IF(AND('Daily Count Sheet'!$H$3=Q1771,MOD('Daily Count Sheet'!$I$3,J1771)=R1771),1,""))</f>
        <v/>
      </c>
      <c r="T1771" s="27" t="str">
        <f aca="false">IF(S1771=1,COUNTIF($S$2:S1771,1),"")</f>
        <v/>
      </c>
    </row>
    <row r="1772" customFormat="false" ht="15" hidden="false" customHeight="false" outlineLevel="0" collapsed="false">
      <c r="H1772" s="26"/>
      <c r="I1772" s="27" t="str">
        <f aca="false">IF(A1772="","",IF(H1772&lt;&gt;"",UPPER(TRIM(H1772)),IFERROR(CHOOSE(VALUE(E1772)+1,"A","B","C","D"),IF(OR(LEFT(UPPER(TRIM(E1772)),1)="F",UPPER(TRIM(E1772))="A"),"A",IF(OR(LEFT(UPPER(TRIM(E1772)),1)="M",UPPER(TRIM(E1772))="B"),"B",IF(OR(LEFT(UPPER(TRIM(E1772)),2)="SL",UPPER(TRIM(E1772))="C"),"C",IF(OR(LEFT(UPPER(TRIM(E1772)),1)="D",UPPER(TRIM(E1772))="D"),"D","")))))))</f>
        <v/>
      </c>
      <c r="J1772" s="27" t="str">
        <f aca="false">IF(I1772="","",IF(AND(I1772="D",Settings!$B$6&lt;&gt;"Yes"),"",IFERROR(INDEX(Settings!$C$9:$C$12,MATCH(I1772,Settings!$A$9:$A$12,0)),"")))</f>
        <v/>
      </c>
      <c r="K1772" s="27" t="str">
        <f aca="false">IF(J1772="","",COUNTIF($I$2:I1772,I1772))</f>
        <v/>
      </c>
      <c r="L1772" s="27" t="str">
        <f aca="false">IF(J1772="","",CHOOSE(Q1772+1,"Tue","Wed","Thu","Fri"))</f>
        <v/>
      </c>
      <c r="M1772" s="27" t="str">
        <f aca="false">IF(J1772="","",IF(J1772=1,"Every week",R1772+1&amp;" of "&amp;J1772))</f>
        <v/>
      </c>
      <c r="N1772" s="28" t="str">
        <f aca="false">IF(J1772="","",Settings!$B$4+R1772*7+Q1772)</f>
        <v/>
      </c>
      <c r="O1772" s="28" t="str">
        <f aca="true">IF(J1772="","",N1772+MAX(0,ROUNDUP((TODAY()-N1772)/(J1772*7),0))*J1772*7)</f>
        <v/>
      </c>
      <c r="P1772" s="27" t="str">
        <f aca="false">IF(J1772="","",MOD(K1772-1,J1772*4))</f>
        <v/>
      </c>
      <c r="Q1772" s="27" t="str">
        <f aca="false">IF(J1772="","",MOD(P1772,4))</f>
        <v/>
      </c>
      <c r="R1772" s="27" t="str">
        <f aca="false">IF(J1772="","",INT(P1772/4))</f>
        <v/>
      </c>
      <c r="S1772" s="27" t="str">
        <f aca="false">IF(J1772="","",IF(AND('Daily Count Sheet'!$H$3=Q1772,MOD('Daily Count Sheet'!$I$3,J1772)=R1772),1,""))</f>
        <v/>
      </c>
      <c r="T1772" s="27" t="str">
        <f aca="false">IF(S1772=1,COUNTIF($S$2:S1772,1),"")</f>
        <v/>
      </c>
    </row>
    <row r="1773" customFormat="false" ht="15" hidden="false" customHeight="false" outlineLevel="0" collapsed="false">
      <c r="H1773" s="26"/>
      <c r="I1773" s="27" t="str">
        <f aca="false">IF(A1773="","",IF(H1773&lt;&gt;"",UPPER(TRIM(H1773)),IFERROR(CHOOSE(VALUE(E1773)+1,"A","B","C","D"),IF(OR(LEFT(UPPER(TRIM(E1773)),1)="F",UPPER(TRIM(E1773))="A"),"A",IF(OR(LEFT(UPPER(TRIM(E1773)),1)="M",UPPER(TRIM(E1773))="B"),"B",IF(OR(LEFT(UPPER(TRIM(E1773)),2)="SL",UPPER(TRIM(E1773))="C"),"C",IF(OR(LEFT(UPPER(TRIM(E1773)),1)="D",UPPER(TRIM(E1773))="D"),"D","")))))))</f>
        <v/>
      </c>
      <c r="J1773" s="27" t="str">
        <f aca="false">IF(I1773="","",IF(AND(I1773="D",Settings!$B$6&lt;&gt;"Yes"),"",IFERROR(INDEX(Settings!$C$9:$C$12,MATCH(I1773,Settings!$A$9:$A$12,0)),"")))</f>
        <v/>
      </c>
      <c r="K1773" s="27" t="str">
        <f aca="false">IF(J1773="","",COUNTIF($I$2:I1773,I1773))</f>
        <v/>
      </c>
      <c r="L1773" s="27" t="str">
        <f aca="false">IF(J1773="","",CHOOSE(Q1773+1,"Tue","Wed","Thu","Fri"))</f>
        <v/>
      </c>
      <c r="M1773" s="27" t="str">
        <f aca="false">IF(J1773="","",IF(J1773=1,"Every week",R1773+1&amp;" of "&amp;J1773))</f>
        <v/>
      </c>
      <c r="N1773" s="28" t="str">
        <f aca="false">IF(J1773="","",Settings!$B$4+R1773*7+Q1773)</f>
        <v/>
      </c>
      <c r="O1773" s="28" t="str">
        <f aca="true">IF(J1773="","",N1773+MAX(0,ROUNDUP((TODAY()-N1773)/(J1773*7),0))*J1773*7)</f>
        <v/>
      </c>
      <c r="P1773" s="27" t="str">
        <f aca="false">IF(J1773="","",MOD(K1773-1,J1773*4))</f>
        <v/>
      </c>
      <c r="Q1773" s="27" t="str">
        <f aca="false">IF(J1773="","",MOD(P1773,4))</f>
        <v/>
      </c>
      <c r="R1773" s="27" t="str">
        <f aca="false">IF(J1773="","",INT(P1773/4))</f>
        <v/>
      </c>
      <c r="S1773" s="27" t="str">
        <f aca="false">IF(J1773="","",IF(AND('Daily Count Sheet'!$H$3=Q1773,MOD('Daily Count Sheet'!$I$3,J1773)=R1773),1,""))</f>
        <v/>
      </c>
      <c r="T1773" s="27" t="str">
        <f aca="false">IF(S1773=1,COUNTIF($S$2:S1773,1),"")</f>
        <v/>
      </c>
    </row>
    <row r="1774" customFormat="false" ht="15" hidden="false" customHeight="false" outlineLevel="0" collapsed="false">
      <c r="H1774" s="26"/>
      <c r="I1774" s="27" t="str">
        <f aca="false">IF(A1774="","",IF(H1774&lt;&gt;"",UPPER(TRIM(H1774)),IFERROR(CHOOSE(VALUE(E1774)+1,"A","B","C","D"),IF(OR(LEFT(UPPER(TRIM(E1774)),1)="F",UPPER(TRIM(E1774))="A"),"A",IF(OR(LEFT(UPPER(TRIM(E1774)),1)="M",UPPER(TRIM(E1774))="B"),"B",IF(OR(LEFT(UPPER(TRIM(E1774)),2)="SL",UPPER(TRIM(E1774))="C"),"C",IF(OR(LEFT(UPPER(TRIM(E1774)),1)="D",UPPER(TRIM(E1774))="D"),"D","")))))))</f>
        <v/>
      </c>
      <c r="J1774" s="27" t="str">
        <f aca="false">IF(I1774="","",IF(AND(I1774="D",Settings!$B$6&lt;&gt;"Yes"),"",IFERROR(INDEX(Settings!$C$9:$C$12,MATCH(I1774,Settings!$A$9:$A$12,0)),"")))</f>
        <v/>
      </c>
      <c r="K1774" s="27" t="str">
        <f aca="false">IF(J1774="","",COUNTIF($I$2:I1774,I1774))</f>
        <v/>
      </c>
      <c r="L1774" s="27" t="str">
        <f aca="false">IF(J1774="","",CHOOSE(Q1774+1,"Tue","Wed","Thu","Fri"))</f>
        <v/>
      </c>
      <c r="M1774" s="27" t="str">
        <f aca="false">IF(J1774="","",IF(J1774=1,"Every week",R1774+1&amp;" of "&amp;J1774))</f>
        <v/>
      </c>
      <c r="N1774" s="28" t="str">
        <f aca="false">IF(J1774="","",Settings!$B$4+R1774*7+Q1774)</f>
        <v/>
      </c>
      <c r="O1774" s="28" t="str">
        <f aca="true">IF(J1774="","",N1774+MAX(0,ROUNDUP((TODAY()-N1774)/(J1774*7),0))*J1774*7)</f>
        <v/>
      </c>
      <c r="P1774" s="27" t="str">
        <f aca="false">IF(J1774="","",MOD(K1774-1,J1774*4))</f>
        <v/>
      </c>
      <c r="Q1774" s="27" t="str">
        <f aca="false">IF(J1774="","",MOD(P1774,4))</f>
        <v/>
      </c>
      <c r="R1774" s="27" t="str">
        <f aca="false">IF(J1774="","",INT(P1774/4))</f>
        <v/>
      </c>
      <c r="S1774" s="27" t="str">
        <f aca="false">IF(J1774="","",IF(AND('Daily Count Sheet'!$H$3=Q1774,MOD('Daily Count Sheet'!$I$3,J1774)=R1774),1,""))</f>
        <v/>
      </c>
      <c r="T1774" s="27" t="str">
        <f aca="false">IF(S1774=1,COUNTIF($S$2:S1774,1),"")</f>
        <v/>
      </c>
    </row>
    <row r="1775" customFormat="false" ht="15" hidden="false" customHeight="false" outlineLevel="0" collapsed="false">
      <c r="H1775" s="26"/>
      <c r="I1775" s="27" t="str">
        <f aca="false">IF(A1775="","",IF(H1775&lt;&gt;"",UPPER(TRIM(H1775)),IFERROR(CHOOSE(VALUE(E1775)+1,"A","B","C","D"),IF(OR(LEFT(UPPER(TRIM(E1775)),1)="F",UPPER(TRIM(E1775))="A"),"A",IF(OR(LEFT(UPPER(TRIM(E1775)),1)="M",UPPER(TRIM(E1775))="B"),"B",IF(OR(LEFT(UPPER(TRIM(E1775)),2)="SL",UPPER(TRIM(E1775))="C"),"C",IF(OR(LEFT(UPPER(TRIM(E1775)),1)="D",UPPER(TRIM(E1775))="D"),"D","")))))))</f>
        <v/>
      </c>
      <c r="J1775" s="27" t="str">
        <f aca="false">IF(I1775="","",IF(AND(I1775="D",Settings!$B$6&lt;&gt;"Yes"),"",IFERROR(INDEX(Settings!$C$9:$C$12,MATCH(I1775,Settings!$A$9:$A$12,0)),"")))</f>
        <v/>
      </c>
      <c r="K1775" s="27" t="str">
        <f aca="false">IF(J1775="","",COUNTIF($I$2:I1775,I1775))</f>
        <v/>
      </c>
      <c r="L1775" s="27" t="str">
        <f aca="false">IF(J1775="","",CHOOSE(Q1775+1,"Tue","Wed","Thu","Fri"))</f>
        <v/>
      </c>
      <c r="M1775" s="27" t="str">
        <f aca="false">IF(J1775="","",IF(J1775=1,"Every week",R1775+1&amp;" of "&amp;J1775))</f>
        <v/>
      </c>
      <c r="N1775" s="28" t="str">
        <f aca="false">IF(J1775="","",Settings!$B$4+R1775*7+Q1775)</f>
        <v/>
      </c>
      <c r="O1775" s="28" t="str">
        <f aca="true">IF(J1775="","",N1775+MAX(0,ROUNDUP((TODAY()-N1775)/(J1775*7),0))*J1775*7)</f>
        <v/>
      </c>
      <c r="P1775" s="27" t="str">
        <f aca="false">IF(J1775="","",MOD(K1775-1,J1775*4))</f>
        <v/>
      </c>
      <c r="Q1775" s="27" t="str">
        <f aca="false">IF(J1775="","",MOD(P1775,4))</f>
        <v/>
      </c>
      <c r="R1775" s="27" t="str">
        <f aca="false">IF(J1775="","",INT(P1775/4))</f>
        <v/>
      </c>
      <c r="S1775" s="27" t="str">
        <f aca="false">IF(J1775="","",IF(AND('Daily Count Sheet'!$H$3=Q1775,MOD('Daily Count Sheet'!$I$3,J1775)=R1775),1,""))</f>
        <v/>
      </c>
      <c r="T1775" s="27" t="str">
        <f aca="false">IF(S1775=1,COUNTIF($S$2:S1775,1),"")</f>
        <v/>
      </c>
    </row>
    <row r="1776" customFormat="false" ht="15" hidden="false" customHeight="false" outlineLevel="0" collapsed="false">
      <c r="H1776" s="26"/>
      <c r="I1776" s="27" t="str">
        <f aca="false">IF(A1776="","",IF(H1776&lt;&gt;"",UPPER(TRIM(H1776)),IFERROR(CHOOSE(VALUE(E1776)+1,"A","B","C","D"),IF(OR(LEFT(UPPER(TRIM(E1776)),1)="F",UPPER(TRIM(E1776))="A"),"A",IF(OR(LEFT(UPPER(TRIM(E1776)),1)="M",UPPER(TRIM(E1776))="B"),"B",IF(OR(LEFT(UPPER(TRIM(E1776)),2)="SL",UPPER(TRIM(E1776))="C"),"C",IF(OR(LEFT(UPPER(TRIM(E1776)),1)="D",UPPER(TRIM(E1776))="D"),"D","")))))))</f>
        <v/>
      </c>
      <c r="J1776" s="27" t="str">
        <f aca="false">IF(I1776="","",IF(AND(I1776="D",Settings!$B$6&lt;&gt;"Yes"),"",IFERROR(INDEX(Settings!$C$9:$C$12,MATCH(I1776,Settings!$A$9:$A$12,0)),"")))</f>
        <v/>
      </c>
      <c r="K1776" s="27" t="str">
        <f aca="false">IF(J1776="","",COUNTIF($I$2:I1776,I1776))</f>
        <v/>
      </c>
      <c r="L1776" s="27" t="str">
        <f aca="false">IF(J1776="","",CHOOSE(Q1776+1,"Tue","Wed","Thu","Fri"))</f>
        <v/>
      </c>
      <c r="M1776" s="27" t="str">
        <f aca="false">IF(J1776="","",IF(J1776=1,"Every week",R1776+1&amp;" of "&amp;J1776))</f>
        <v/>
      </c>
      <c r="N1776" s="28" t="str">
        <f aca="false">IF(J1776="","",Settings!$B$4+R1776*7+Q1776)</f>
        <v/>
      </c>
      <c r="O1776" s="28" t="str">
        <f aca="true">IF(J1776="","",N1776+MAX(0,ROUNDUP((TODAY()-N1776)/(J1776*7),0))*J1776*7)</f>
        <v/>
      </c>
      <c r="P1776" s="27" t="str">
        <f aca="false">IF(J1776="","",MOD(K1776-1,J1776*4))</f>
        <v/>
      </c>
      <c r="Q1776" s="27" t="str">
        <f aca="false">IF(J1776="","",MOD(P1776,4))</f>
        <v/>
      </c>
      <c r="R1776" s="27" t="str">
        <f aca="false">IF(J1776="","",INT(P1776/4))</f>
        <v/>
      </c>
      <c r="S1776" s="27" t="str">
        <f aca="false">IF(J1776="","",IF(AND('Daily Count Sheet'!$H$3=Q1776,MOD('Daily Count Sheet'!$I$3,J1776)=R1776),1,""))</f>
        <v/>
      </c>
      <c r="T1776" s="27" t="str">
        <f aca="false">IF(S1776=1,COUNTIF($S$2:S1776,1),"")</f>
        <v/>
      </c>
    </row>
    <row r="1777" customFormat="false" ht="15" hidden="false" customHeight="false" outlineLevel="0" collapsed="false">
      <c r="H1777" s="26"/>
      <c r="I1777" s="27" t="str">
        <f aca="false">IF(A1777="","",IF(H1777&lt;&gt;"",UPPER(TRIM(H1777)),IFERROR(CHOOSE(VALUE(E1777)+1,"A","B","C","D"),IF(OR(LEFT(UPPER(TRIM(E1777)),1)="F",UPPER(TRIM(E1777))="A"),"A",IF(OR(LEFT(UPPER(TRIM(E1777)),1)="M",UPPER(TRIM(E1777))="B"),"B",IF(OR(LEFT(UPPER(TRIM(E1777)),2)="SL",UPPER(TRIM(E1777))="C"),"C",IF(OR(LEFT(UPPER(TRIM(E1777)),1)="D",UPPER(TRIM(E1777))="D"),"D","")))))))</f>
        <v/>
      </c>
      <c r="J1777" s="27" t="str">
        <f aca="false">IF(I1777="","",IF(AND(I1777="D",Settings!$B$6&lt;&gt;"Yes"),"",IFERROR(INDEX(Settings!$C$9:$C$12,MATCH(I1777,Settings!$A$9:$A$12,0)),"")))</f>
        <v/>
      </c>
      <c r="K1777" s="27" t="str">
        <f aca="false">IF(J1777="","",COUNTIF($I$2:I1777,I1777))</f>
        <v/>
      </c>
      <c r="L1777" s="27" t="str">
        <f aca="false">IF(J1777="","",CHOOSE(Q1777+1,"Tue","Wed","Thu","Fri"))</f>
        <v/>
      </c>
      <c r="M1777" s="27" t="str">
        <f aca="false">IF(J1777="","",IF(J1777=1,"Every week",R1777+1&amp;" of "&amp;J1777))</f>
        <v/>
      </c>
      <c r="N1777" s="28" t="str">
        <f aca="false">IF(J1777="","",Settings!$B$4+R1777*7+Q1777)</f>
        <v/>
      </c>
      <c r="O1777" s="28" t="str">
        <f aca="true">IF(J1777="","",N1777+MAX(0,ROUNDUP((TODAY()-N1777)/(J1777*7),0))*J1777*7)</f>
        <v/>
      </c>
      <c r="P1777" s="27" t="str">
        <f aca="false">IF(J1777="","",MOD(K1777-1,J1777*4))</f>
        <v/>
      </c>
      <c r="Q1777" s="27" t="str">
        <f aca="false">IF(J1777="","",MOD(P1777,4))</f>
        <v/>
      </c>
      <c r="R1777" s="27" t="str">
        <f aca="false">IF(J1777="","",INT(P1777/4))</f>
        <v/>
      </c>
      <c r="S1777" s="27" t="str">
        <f aca="false">IF(J1777="","",IF(AND('Daily Count Sheet'!$H$3=Q1777,MOD('Daily Count Sheet'!$I$3,J1777)=R1777),1,""))</f>
        <v/>
      </c>
      <c r="T1777" s="27" t="str">
        <f aca="false">IF(S1777=1,COUNTIF($S$2:S1777,1),"")</f>
        <v/>
      </c>
    </row>
    <row r="1778" customFormat="false" ht="15" hidden="false" customHeight="false" outlineLevel="0" collapsed="false">
      <c r="H1778" s="26"/>
      <c r="I1778" s="27" t="str">
        <f aca="false">IF(A1778="","",IF(H1778&lt;&gt;"",UPPER(TRIM(H1778)),IFERROR(CHOOSE(VALUE(E1778)+1,"A","B","C","D"),IF(OR(LEFT(UPPER(TRIM(E1778)),1)="F",UPPER(TRIM(E1778))="A"),"A",IF(OR(LEFT(UPPER(TRIM(E1778)),1)="M",UPPER(TRIM(E1778))="B"),"B",IF(OR(LEFT(UPPER(TRIM(E1778)),2)="SL",UPPER(TRIM(E1778))="C"),"C",IF(OR(LEFT(UPPER(TRIM(E1778)),1)="D",UPPER(TRIM(E1778))="D"),"D","")))))))</f>
        <v/>
      </c>
      <c r="J1778" s="27" t="str">
        <f aca="false">IF(I1778="","",IF(AND(I1778="D",Settings!$B$6&lt;&gt;"Yes"),"",IFERROR(INDEX(Settings!$C$9:$C$12,MATCH(I1778,Settings!$A$9:$A$12,0)),"")))</f>
        <v/>
      </c>
      <c r="K1778" s="27" t="str">
        <f aca="false">IF(J1778="","",COUNTIF($I$2:I1778,I1778))</f>
        <v/>
      </c>
      <c r="L1778" s="27" t="str">
        <f aca="false">IF(J1778="","",CHOOSE(Q1778+1,"Tue","Wed","Thu","Fri"))</f>
        <v/>
      </c>
      <c r="M1778" s="27" t="str">
        <f aca="false">IF(J1778="","",IF(J1778=1,"Every week",R1778+1&amp;" of "&amp;J1778))</f>
        <v/>
      </c>
      <c r="N1778" s="28" t="str">
        <f aca="false">IF(J1778="","",Settings!$B$4+R1778*7+Q1778)</f>
        <v/>
      </c>
      <c r="O1778" s="28" t="str">
        <f aca="true">IF(J1778="","",N1778+MAX(0,ROUNDUP((TODAY()-N1778)/(J1778*7),0))*J1778*7)</f>
        <v/>
      </c>
      <c r="P1778" s="27" t="str">
        <f aca="false">IF(J1778="","",MOD(K1778-1,J1778*4))</f>
        <v/>
      </c>
      <c r="Q1778" s="27" t="str">
        <f aca="false">IF(J1778="","",MOD(P1778,4))</f>
        <v/>
      </c>
      <c r="R1778" s="27" t="str">
        <f aca="false">IF(J1778="","",INT(P1778/4))</f>
        <v/>
      </c>
      <c r="S1778" s="27" t="str">
        <f aca="false">IF(J1778="","",IF(AND('Daily Count Sheet'!$H$3=Q1778,MOD('Daily Count Sheet'!$I$3,J1778)=R1778),1,""))</f>
        <v/>
      </c>
      <c r="T1778" s="27" t="str">
        <f aca="false">IF(S1778=1,COUNTIF($S$2:S1778,1),"")</f>
        <v/>
      </c>
    </row>
    <row r="1779" customFormat="false" ht="15" hidden="false" customHeight="false" outlineLevel="0" collapsed="false">
      <c r="H1779" s="26"/>
      <c r="I1779" s="27" t="str">
        <f aca="false">IF(A1779="","",IF(H1779&lt;&gt;"",UPPER(TRIM(H1779)),IFERROR(CHOOSE(VALUE(E1779)+1,"A","B","C","D"),IF(OR(LEFT(UPPER(TRIM(E1779)),1)="F",UPPER(TRIM(E1779))="A"),"A",IF(OR(LEFT(UPPER(TRIM(E1779)),1)="M",UPPER(TRIM(E1779))="B"),"B",IF(OR(LEFT(UPPER(TRIM(E1779)),2)="SL",UPPER(TRIM(E1779))="C"),"C",IF(OR(LEFT(UPPER(TRIM(E1779)),1)="D",UPPER(TRIM(E1779))="D"),"D","")))))))</f>
        <v/>
      </c>
      <c r="J1779" s="27" t="str">
        <f aca="false">IF(I1779="","",IF(AND(I1779="D",Settings!$B$6&lt;&gt;"Yes"),"",IFERROR(INDEX(Settings!$C$9:$C$12,MATCH(I1779,Settings!$A$9:$A$12,0)),"")))</f>
        <v/>
      </c>
      <c r="K1779" s="27" t="str">
        <f aca="false">IF(J1779="","",COUNTIF($I$2:I1779,I1779))</f>
        <v/>
      </c>
      <c r="L1779" s="27" t="str">
        <f aca="false">IF(J1779="","",CHOOSE(Q1779+1,"Tue","Wed","Thu","Fri"))</f>
        <v/>
      </c>
      <c r="M1779" s="27" t="str">
        <f aca="false">IF(J1779="","",IF(J1779=1,"Every week",R1779+1&amp;" of "&amp;J1779))</f>
        <v/>
      </c>
      <c r="N1779" s="28" t="str">
        <f aca="false">IF(J1779="","",Settings!$B$4+R1779*7+Q1779)</f>
        <v/>
      </c>
      <c r="O1779" s="28" t="str">
        <f aca="true">IF(J1779="","",N1779+MAX(0,ROUNDUP((TODAY()-N1779)/(J1779*7),0))*J1779*7)</f>
        <v/>
      </c>
      <c r="P1779" s="27" t="str">
        <f aca="false">IF(J1779="","",MOD(K1779-1,J1779*4))</f>
        <v/>
      </c>
      <c r="Q1779" s="27" t="str">
        <f aca="false">IF(J1779="","",MOD(P1779,4))</f>
        <v/>
      </c>
      <c r="R1779" s="27" t="str">
        <f aca="false">IF(J1779="","",INT(P1779/4))</f>
        <v/>
      </c>
      <c r="S1779" s="27" t="str">
        <f aca="false">IF(J1779="","",IF(AND('Daily Count Sheet'!$H$3=Q1779,MOD('Daily Count Sheet'!$I$3,J1779)=R1779),1,""))</f>
        <v/>
      </c>
      <c r="T1779" s="27" t="str">
        <f aca="false">IF(S1779=1,COUNTIF($S$2:S1779,1),"")</f>
        <v/>
      </c>
    </row>
    <row r="1780" customFormat="false" ht="15" hidden="false" customHeight="false" outlineLevel="0" collapsed="false">
      <c r="H1780" s="26"/>
      <c r="I1780" s="27" t="str">
        <f aca="false">IF(A1780="","",IF(H1780&lt;&gt;"",UPPER(TRIM(H1780)),IFERROR(CHOOSE(VALUE(E1780)+1,"A","B","C","D"),IF(OR(LEFT(UPPER(TRIM(E1780)),1)="F",UPPER(TRIM(E1780))="A"),"A",IF(OR(LEFT(UPPER(TRIM(E1780)),1)="M",UPPER(TRIM(E1780))="B"),"B",IF(OR(LEFT(UPPER(TRIM(E1780)),2)="SL",UPPER(TRIM(E1780))="C"),"C",IF(OR(LEFT(UPPER(TRIM(E1780)),1)="D",UPPER(TRIM(E1780))="D"),"D","")))))))</f>
        <v/>
      </c>
      <c r="J1780" s="27" t="str">
        <f aca="false">IF(I1780="","",IF(AND(I1780="D",Settings!$B$6&lt;&gt;"Yes"),"",IFERROR(INDEX(Settings!$C$9:$C$12,MATCH(I1780,Settings!$A$9:$A$12,0)),"")))</f>
        <v/>
      </c>
      <c r="K1780" s="27" t="str">
        <f aca="false">IF(J1780="","",COUNTIF($I$2:I1780,I1780))</f>
        <v/>
      </c>
      <c r="L1780" s="27" t="str">
        <f aca="false">IF(J1780="","",CHOOSE(Q1780+1,"Tue","Wed","Thu","Fri"))</f>
        <v/>
      </c>
      <c r="M1780" s="27" t="str">
        <f aca="false">IF(J1780="","",IF(J1780=1,"Every week",R1780+1&amp;" of "&amp;J1780))</f>
        <v/>
      </c>
      <c r="N1780" s="28" t="str">
        <f aca="false">IF(J1780="","",Settings!$B$4+R1780*7+Q1780)</f>
        <v/>
      </c>
      <c r="O1780" s="28" t="str">
        <f aca="true">IF(J1780="","",N1780+MAX(0,ROUNDUP((TODAY()-N1780)/(J1780*7),0))*J1780*7)</f>
        <v/>
      </c>
      <c r="P1780" s="27" t="str">
        <f aca="false">IF(J1780="","",MOD(K1780-1,J1780*4))</f>
        <v/>
      </c>
      <c r="Q1780" s="27" t="str">
        <f aca="false">IF(J1780="","",MOD(P1780,4))</f>
        <v/>
      </c>
      <c r="R1780" s="27" t="str">
        <f aca="false">IF(J1780="","",INT(P1780/4))</f>
        <v/>
      </c>
      <c r="S1780" s="27" t="str">
        <f aca="false">IF(J1780="","",IF(AND('Daily Count Sheet'!$H$3=Q1780,MOD('Daily Count Sheet'!$I$3,J1780)=R1780),1,""))</f>
        <v/>
      </c>
      <c r="T1780" s="27" t="str">
        <f aca="false">IF(S1780=1,COUNTIF($S$2:S1780,1),"")</f>
        <v/>
      </c>
    </row>
    <row r="1781" customFormat="false" ht="15" hidden="false" customHeight="false" outlineLevel="0" collapsed="false">
      <c r="H1781" s="26"/>
      <c r="I1781" s="27" t="str">
        <f aca="false">IF(A1781="","",IF(H1781&lt;&gt;"",UPPER(TRIM(H1781)),IFERROR(CHOOSE(VALUE(E1781)+1,"A","B","C","D"),IF(OR(LEFT(UPPER(TRIM(E1781)),1)="F",UPPER(TRIM(E1781))="A"),"A",IF(OR(LEFT(UPPER(TRIM(E1781)),1)="M",UPPER(TRIM(E1781))="B"),"B",IF(OR(LEFT(UPPER(TRIM(E1781)),2)="SL",UPPER(TRIM(E1781))="C"),"C",IF(OR(LEFT(UPPER(TRIM(E1781)),1)="D",UPPER(TRIM(E1781))="D"),"D","")))))))</f>
        <v/>
      </c>
      <c r="J1781" s="27" t="str">
        <f aca="false">IF(I1781="","",IF(AND(I1781="D",Settings!$B$6&lt;&gt;"Yes"),"",IFERROR(INDEX(Settings!$C$9:$C$12,MATCH(I1781,Settings!$A$9:$A$12,0)),"")))</f>
        <v/>
      </c>
      <c r="K1781" s="27" t="str">
        <f aca="false">IF(J1781="","",COUNTIF($I$2:I1781,I1781))</f>
        <v/>
      </c>
      <c r="L1781" s="27" t="str">
        <f aca="false">IF(J1781="","",CHOOSE(Q1781+1,"Tue","Wed","Thu","Fri"))</f>
        <v/>
      </c>
      <c r="M1781" s="27" t="str">
        <f aca="false">IF(J1781="","",IF(J1781=1,"Every week",R1781+1&amp;" of "&amp;J1781))</f>
        <v/>
      </c>
      <c r="N1781" s="28" t="str">
        <f aca="false">IF(J1781="","",Settings!$B$4+R1781*7+Q1781)</f>
        <v/>
      </c>
      <c r="O1781" s="28" t="str">
        <f aca="true">IF(J1781="","",N1781+MAX(0,ROUNDUP((TODAY()-N1781)/(J1781*7),0))*J1781*7)</f>
        <v/>
      </c>
      <c r="P1781" s="27" t="str">
        <f aca="false">IF(J1781="","",MOD(K1781-1,J1781*4))</f>
        <v/>
      </c>
      <c r="Q1781" s="27" t="str">
        <f aca="false">IF(J1781="","",MOD(P1781,4))</f>
        <v/>
      </c>
      <c r="R1781" s="27" t="str">
        <f aca="false">IF(J1781="","",INT(P1781/4))</f>
        <v/>
      </c>
      <c r="S1781" s="27" t="str">
        <f aca="false">IF(J1781="","",IF(AND('Daily Count Sheet'!$H$3=Q1781,MOD('Daily Count Sheet'!$I$3,J1781)=R1781),1,""))</f>
        <v/>
      </c>
      <c r="T1781" s="27" t="str">
        <f aca="false">IF(S1781=1,COUNTIF($S$2:S1781,1),"")</f>
        <v/>
      </c>
    </row>
    <row r="1782" customFormat="false" ht="15" hidden="false" customHeight="false" outlineLevel="0" collapsed="false">
      <c r="H1782" s="26"/>
      <c r="I1782" s="27" t="str">
        <f aca="false">IF(A1782="","",IF(H1782&lt;&gt;"",UPPER(TRIM(H1782)),IFERROR(CHOOSE(VALUE(E1782)+1,"A","B","C","D"),IF(OR(LEFT(UPPER(TRIM(E1782)),1)="F",UPPER(TRIM(E1782))="A"),"A",IF(OR(LEFT(UPPER(TRIM(E1782)),1)="M",UPPER(TRIM(E1782))="B"),"B",IF(OR(LEFT(UPPER(TRIM(E1782)),2)="SL",UPPER(TRIM(E1782))="C"),"C",IF(OR(LEFT(UPPER(TRIM(E1782)),1)="D",UPPER(TRIM(E1782))="D"),"D","")))))))</f>
        <v/>
      </c>
      <c r="J1782" s="27" t="str">
        <f aca="false">IF(I1782="","",IF(AND(I1782="D",Settings!$B$6&lt;&gt;"Yes"),"",IFERROR(INDEX(Settings!$C$9:$C$12,MATCH(I1782,Settings!$A$9:$A$12,0)),"")))</f>
        <v/>
      </c>
      <c r="K1782" s="27" t="str">
        <f aca="false">IF(J1782="","",COUNTIF($I$2:I1782,I1782))</f>
        <v/>
      </c>
      <c r="L1782" s="27" t="str">
        <f aca="false">IF(J1782="","",CHOOSE(Q1782+1,"Tue","Wed","Thu","Fri"))</f>
        <v/>
      </c>
      <c r="M1782" s="27" t="str">
        <f aca="false">IF(J1782="","",IF(J1782=1,"Every week",R1782+1&amp;" of "&amp;J1782))</f>
        <v/>
      </c>
      <c r="N1782" s="28" t="str">
        <f aca="false">IF(J1782="","",Settings!$B$4+R1782*7+Q1782)</f>
        <v/>
      </c>
      <c r="O1782" s="28" t="str">
        <f aca="true">IF(J1782="","",N1782+MAX(0,ROUNDUP((TODAY()-N1782)/(J1782*7),0))*J1782*7)</f>
        <v/>
      </c>
      <c r="P1782" s="27" t="str">
        <f aca="false">IF(J1782="","",MOD(K1782-1,J1782*4))</f>
        <v/>
      </c>
      <c r="Q1782" s="27" t="str">
        <f aca="false">IF(J1782="","",MOD(P1782,4))</f>
        <v/>
      </c>
      <c r="R1782" s="27" t="str">
        <f aca="false">IF(J1782="","",INT(P1782/4))</f>
        <v/>
      </c>
      <c r="S1782" s="27" t="str">
        <f aca="false">IF(J1782="","",IF(AND('Daily Count Sheet'!$H$3=Q1782,MOD('Daily Count Sheet'!$I$3,J1782)=R1782),1,""))</f>
        <v/>
      </c>
      <c r="T1782" s="27" t="str">
        <f aca="false">IF(S1782=1,COUNTIF($S$2:S1782,1),"")</f>
        <v/>
      </c>
    </row>
    <row r="1783" customFormat="false" ht="15" hidden="false" customHeight="false" outlineLevel="0" collapsed="false">
      <c r="H1783" s="26"/>
      <c r="I1783" s="27" t="str">
        <f aca="false">IF(A1783="","",IF(H1783&lt;&gt;"",UPPER(TRIM(H1783)),IFERROR(CHOOSE(VALUE(E1783)+1,"A","B","C","D"),IF(OR(LEFT(UPPER(TRIM(E1783)),1)="F",UPPER(TRIM(E1783))="A"),"A",IF(OR(LEFT(UPPER(TRIM(E1783)),1)="M",UPPER(TRIM(E1783))="B"),"B",IF(OR(LEFT(UPPER(TRIM(E1783)),2)="SL",UPPER(TRIM(E1783))="C"),"C",IF(OR(LEFT(UPPER(TRIM(E1783)),1)="D",UPPER(TRIM(E1783))="D"),"D","")))))))</f>
        <v/>
      </c>
      <c r="J1783" s="27" t="str">
        <f aca="false">IF(I1783="","",IF(AND(I1783="D",Settings!$B$6&lt;&gt;"Yes"),"",IFERROR(INDEX(Settings!$C$9:$C$12,MATCH(I1783,Settings!$A$9:$A$12,0)),"")))</f>
        <v/>
      </c>
      <c r="K1783" s="27" t="str">
        <f aca="false">IF(J1783="","",COUNTIF($I$2:I1783,I1783))</f>
        <v/>
      </c>
      <c r="L1783" s="27" t="str">
        <f aca="false">IF(J1783="","",CHOOSE(Q1783+1,"Tue","Wed","Thu","Fri"))</f>
        <v/>
      </c>
      <c r="M1783" s="27" t="str">
        <f aca="false">IF(J1783="","",IF(J1783=1,"Every week",R1783+1&amp;" of "&amp;J1783))</f>
        <v/>
      </c>
      <c r="N1783" s="28" t="str">
        <f aca="false">IF(J1783="","",Settings!$B$4+R1783*7+Q1783)</f>
        <v/>
      </c>
      <c r="O1783" s="28" t="str">
        <f aca="true">IF(J1783="","",N1783+MAX(0,ROUNDUP((TODAY()-N1783)/(J1783*7),0))*J1783*7)</f>
        <v/>
      </c>
      <c r="P1783" s="27" t="str">
        <f aca="false">IF(J1783="","",MOD(K1783-1,J1783*4))</f>
        <v/>
      </c>
      <c r="Q1783" s="27" t="str">
        <f aca="false">IF(J1783="","",MOD(P1783,4))</f>
        <v/>
      </c>
      <c r="R1783" s="27" t="str">
        <f aca="false">IF(J1783="","",INT(P1783/4))</f>
        <v/>
      </c>
      <c r="S1783" s="27" t="str">
        <f aca="false">IF(J1783="","",IF(AND('Daily Count Sheet'!$H$3=Q1783,MOD('Daily Count Sheet'!$I$3,J1783)=R1783),1,""))</f>
        <v/>
      </c>
      <c r="T1783" s="27" t="str">
        <f aca="false">IF(S1783=1,COUNTIF($S$2:S1783,1),"")</f>
        <v/>
      </c>
    </row>
    <row r="1784" customFormat="false" ht="15" hidden="false" customHeight="false" outlineLevel="0" collapsed="false">
      <c r="H1784" s="26"/>
      <c r="I1784" s="27" t="str">
        <f aca="false">IF(A1784="","",IF(H1784&lt;&gt;"",UPPER(TRIM(H1784)),IFERROR(CHOOSE(VALUE(E1784)+1,"A","B","C","D"),IF(OR(LEFT(UPPER(TRIM(E1784)),1)="F",UPPER(TRIM(E1784))="A"),"A",IF(OR(LEFT(UPPER(TRIM(E1784)),1)="M",UPPER(TRIM(E1784))="B"),"B",IF(OR(LEFT(UPPER(TRIM(E1784)),2)="SL",UPPER(TRIM(E1784))="C"),"C",IF(OR(LEFT(UPPER(TRIM(E1784)),1)="D",UPPER(TRIM(E1784))="D"),"D","")))))))</f>
        <v/>
      </c>
      <c r="J1784" s="27" t="str">
        <f aca="false">IF(I1784="","",IF(AND(I1784="D",Settings!$B$6&lt;&gt;"Yes"),"",IFERROR(INDEX(Settings!$C$9:$C$12,MATCH(I1784,Settings!$A$9:$A$12,0)),"")))</f>
        <v/>
      </c>
      <c r="K1784" s="27" t="str">
        <f aca="false">IF(J1784="","",COUNTIF($I$2:I1784,I1784))</f>
        <v/>
      </c>
      <c r="L1784" s="27" t="str">
        <f aca="false">IF(J1784="","",CHOOSE(Q1784+1,"Tue","Wed","Thu","Fri"))</f>
        <v/>
      </c>
      <c r="M1784" s="27" t="str">
        <f aca="false">IF(J1784="","",IF(J1784=1,"Every week",R1784+1&amp;" of "&amp;J1784))</f>
        <v/>
      </c>
      <c r="N1784" s="28" t="str">
        <f aca="false">IF(J1784="","",Settings!$B$4+R1784*7+Q1784)</f>
        <v/>
      </c>
      <c r="O1784" s="28" t="str">
        <f aca="true">IF(J1784="","",N1784+MAX(0,ROUNDUP((TODAY()-N1784)/(J1784*7),0))*J1784*7)</f>
        <v/>
      </c>
      <c r="P1784" s="27" t="str">
        <f aca="false">IF(J1784="","",MOD(K1784-1,J1784*4))</f>
        <v/>
      </c>
      <c r="Q1784" s="27" t="str">
        <f aca="false">IF(J1784="","",MOD(P1784,4))</f>
        <v/>
      </c>
      <c r="R1784" s="27" t="str">
        <f aca="false">IF(J1784="","",INT(P1784/4))</f>
        <v/>
      </c>
      <c r="S1784" s="27" t="str">
        <f aca="false">IF(J1784="","",IF(AND('Daily Count Sheet'!$H$3=Q1784,MOD('Daily Count Sheet'!$I$3,J1784)=R1784),1,""))</f>
        <v/>
      </c>
      <c r="T1784" s="27" t="str">
        <f aca="false">IF(S1784=1,COUNTIF($S$2:S1784,1),"")</f>
        <v/>
      </c>
    </row>
    <row r="1785" customFormat="false" ht="15" hidden="false" customHeight="false" outlineLevel="0" collapsed="false">
      <c r="H1785" s="26"/>
      <c r="I1785" s="27" t="str">
        <f aca="false">IF(A1785="","",IF(H1785&lt;&gt;"",UPPER(TRIM(H1785)),IFERROR(CHOOSE(VALUE(E1785)+1,"A","B","C","D"),IF(OR(LEFT(UPPER(TRIM(E1785)),1)="F",UPPER(TRIM(E1785))="A"),"A",IF(OR(LEFT(UPPER(TRIM(E1785)),1)="M",UPPER(TRIM(E1785))="B"),"B",IF(OR(LEFT(UPPER(TRIM(E1785)),2)="SL",UPPER(TRIM(E1785))="C"),"C",IF(OR(LEFT(UPPER(TRIM(E1785)),1)="D",UPPER(TRIM(E1785))="D"),"D","")))))))</f>
        <v/>
      </c>
      <c r="J1785" s="27" t="str">
        <f aca="false">IF(I1785="","",IF(AND(I1785="D",Settings!$B$6&lt;&gt;"Yes"),"",IFERROR(INDEX(Settings!$C$9:$C$12,MATCH(I1785,Settings!$A$9:$A$12,0)),"")))</f>
        <v/>
      </c>
      <c r="K1785" s="27" t="str">
        <f aca="false">IF(J1785="","",COUNTIF($I$2:I1785,I1785))</f>
        <v/>
      </c>
      <c r="L1785" s="27" t="str">
        <f aca="false">IF(J1785="","",CHOOSE(Q1785+1,"Tue","Wed","Thu","Fri"))</f>
        <v/>
      </c>
      <c r="M1785" s="27" t="str">
        <f aca="false">IF(J1785="","",IF(J1785=1,"Every week",R1785+1&amp;" of "&amp;J1785))</f>
        <v/>
      </c>
      <c r="N1785" s="28" t="str">
        <f aca="false">IF(J1785="","",Settings!$B$4+R1785*7+Q1785)</f>
        <v/>
      </c>
      <c r="O1785" s="28" t="str">
        <f aca="true">IF(J1785="","",N1785+MAX(0,ROUNDUP((TODAY()-N1785)/(J1785*7),0))*J1785*7)</f>
        <v/>
      </c>
      <c r="P1785" s="27" t="str">
        <f aca="false">IF(J1785="","",MOD(K1785-1,J1785*4))</f>
        <v/>
      </c>
      <c r="Q1785" s="27" t="str">
        <f aca="false">IF(J1785="","",MOD(P1785,4))</f>
        <v/>
      </c>
      <c r="R1785" s="27" t="str">
        <f aca="false">IF(J1785="","",INT(P1785/4))</f>
        <v/>
      </c>
      <c r="S1785" s="27" t="str">
        <f aca="false">IF(J1785="","",IF(AND('Daily Count Sheet'!$H$3=Q1785,MOD('Daily Count Sheet'!$I$3,J1785)=R1785),1,""))</f>
        <v/>
      </c>
      <c r="T1785" s="27" t="str">
        <f aca="false">IF(S1785=1,COUNTIF($S$2:S1785,1),"")</f>
        <v/>
      </c>
    </row>
    <row r="1786" customFormat="false" ht="15" hidden="false" customHeight="false" outlineLevel="0" collapsed="false">
      <c r="H1786" s="26"/>
      <c r="I1786" s="27" t="str">
        <f aca="false">IF(A1786="","",IF(H1786&lt;&gt;"",UPPER(TRIM(H1786)),IFERROR(CHOOSE(VALUE(E1786)+1,"A","B","C","D"),IF(OR(LEFT(UPPER(TRIM(E1786)),1)="F",UPPER(TRIM(E1786))="A"),"A",IF(OR(LEFT(UPPER(TRIM(E1786)),1)="M",UPPER(TRIM(E1786))="B"),"B",IF(OR(LEFT(UPPER(TRIM(E1786)),2)="SL",UPPER(TRIM(E1786))="C"),"C",IF(OR(LEFT(UPPER(TRIM(E1786)),1)="D",UPPER(TRIM(E1786))="D"),"D","")))))))</f>
        <v/>
      </c>
      <c r="J1786" s="27" t="str">
        <f aca="false">IF(I1786="","",IF(AND(I1786="D",Settings!$B$6&lt;&gt;"Yes"),"",IFERROR(INDEX(Settings!$C$9:$C$12,MATCH(I1786,Settings!$A$9:$A$12,0)),"")))</f>
        <v/>
      </c>
      <c r="K1786" s="27" t="str">
        <f aca="false">IF(J1786="","",COUNTIF($I$2:I1786,I1786))</f>
        <v/>
      </c>
      <c r="L1786" s="27" t="str">
        <f aca="false">IF(J1786="","",CHOOSE(Q1786+1,"Tue","Wed","Thu","Fri"))</f>
        <v/>
      </c>
      <c r="M1786" s="27" t="str">
        <f aca="false">IF(J1786="","",IF(J1786=1,"Every week",R1786+1&amp;" of "&amp;J1786))</f>
        <v/>
      </c>
      <c r="N1786" s="28" t="str">
        <f aca="false">IF(J1786="","",Settings!$B$4+R1786*7+Q1786)</f>
        <v/>
      </c>
      <c r="O1786" s="28" t="str">
        <f aca="true">IF(J1786="","",N1786+MAX(0,ROUNDUP((TODAY()-N1786)/(J1786*7),0))*J1786*7)</f>
        <v/>
      </c>
      <c r="P1786" s="27" t="str">
        <f aca="false">IF(J1786="","",MOD(K1786-1,J1786*4))</f>
        <v/>
      </c>
      <c r="Q1786" s="27" t="str">
        <f aca="false">IF(J1786="","",MOD(P1786,4))</f>
        <v/>
      </c>
      <c r="R1786" s="27" t="str">
        <f aca="false">IF(J1786="","",INT(P1786/4))</f>
        <v/>
      </c>
      <c r="S1786" s="27" t="str">
        <f aca="false">IF(J1786="","",IF(AND('Daily Count Sheet'!$H$3=Q1786,MOD('Daily Count Sheet'!$I$3,J1786)=R1786),1,""))</f>
        <v/>
      </c>
      <c r="T1786" s="27" t="str">
        <f aca="false">IF(S1786=1,COUNTIF($S$2:S1786,1),"")</f>
        <v/>
      </c>
    </row>
    <row r="1787" customFormat="false" ht="15" hidden="false" customHeight="false" outlineLevel="0" collapsed="false">
      <c r="H1787" s="26"/>
      <c r="I1787" s="27" t="str">
        <f aca="false">IF(A1787="","",IF(H1787&lt;&gt;"",UPPER(TRIM(H1787)),IFERROR(CHOOSE(VALUE(E1787)+1,"A","B","C","D"),IF(OR(LEFT(UPPER(TRIM(E1787)),1)="F",UPPER(TRIM(E1787))="A"),"A",IF(OR(LEFT(UPPER(TRIM(E1787)),1)="M",UPPER(TRIM(E1787))="B"),"B",IF(OR(LEFT(UPPER(TRIM(E1787)),2)="SL",UPPER(TRIM(E1787))="C"),"C",IF(OR(LEFT(UPPER(TRIM(E1787)),1)="D",UPPER(TRIM(E1787))="D"),"D","")))))))</f>
        <v/>
      </c>
      <c r="J1787" s="27" t="str">
        <f aca="false">IF(I1787="","",IF(AND(I1787="D",Settings!$B$6&lt;&gt;"Yes"),"",IFERROR(INDEX(Settings!$C$9:$C$12,MATCH(I1787,Settings!$A$9:$A$12,0)),"")))</f>
        <v/>
      </c>
      <c r="K1787" s="27" t="str">
        <f aca="false">IF(J1787="","",COUNTIF($I$2:I1787,I1787))</f>
        <v/>
      </c>
      <c r="L1787" s="27" t="str">
        <f aca="false">IF(J1787="","",CHOOSE(Q1787+1,"Tue","Wed","Thu","Fri"))</f>
        <v/>
      </c>
      <c r="M1787" s="27" t="str">
        <f aca="false">IF(J1787="","",IF(J1787=1,"Every week",R1787+1&amp;" of "&amp;J1787))</f>
        <v/>
      </c>
      <c r="N1787" s="28" t="str">
        <f aca="false">IF(J1787="","",Settings!$B$4+R1787*7+Q1787)</f>
        <v/>
      </c>
      <c r="O1787" s="28" t="str">
        <f aca="true">IF(J1787="","",N1787+MAX(0,ROUNDUP((TODAY()-N1787)/(J1787*7),0))*J1787*7)</f>
        <v/>
      </c>
      <c r="P1787" s="27" t="str">
        <f aca="false">IF(J1787="","",MOD(K1787-1,J1787*4))</f>
        <v/>
      </c>
      <c r="Q1787" s="27" t="str">
        <f aca="false">IF(J1787="","",MOD(P1787,4))</f>
        <v/>
      </c>
      <c r="R1787" s="27" t="str">
        <f aca="false">IF(J1787="","",INT(P1787/4))</f>
        <v/>
      </c>
      <c r="S1787" s="27" t="str">
        <f aca="false">IF(J1787="","",IF(AND('Daily Count Sheet'!$H$3=Q1787,MOD('Daily Count Sheet'!$I$3,J1787)=R1787),1,""))</f>
        <v/>
      </c>
      <c r="T1787" s="27" t="str">
        <f aca="false">IF(S1787=1,COUNTIF($S$2:S1787,1),"")</f>
        <v/>
      </c>
    </row>
    <row r="1788" customFormat="false" ht="15" hidden="false" customHeight="false" outlineLevel="0" collapsed="false">
      <c r="H1788" s="26"/>
      <c r="I1788" s="27" t="str">
        <f aca="false">IF(A1788="","",IF(H1788&lt;&gt;"",UPPER(TRIM(H1788)),IFERROR(CHOOSE(VALUE(E1788)+1,"A","B","C","D"),IF(OR(LEFT(UPPER(TRIM(E1788)),1)="F",UPPER(TRIM(E1788))="A"),"A",IF(OR(LEFT(UPPER(TRIM(E1788)),1)="M",UPPER(TRIM(E1788))="B"),"B",IF(OR(LEFT(UPPER(TRIM(E1788)),2)="SL",UPPER(TRIM(E1788))="C"),"C",IF(OR(LEFT(UPPER(TRIM(E1788)),1)="D",UPPER(TRIM(E1788))="D"),"D","")))))))</f>
        <v/>
      </c>
      <c r="J1788" s="27" t="str">
        <f aca="false">IF(I1788="","",IF(AND(I1788="D",Settings!$B$6&lt;&gt;"Yes"),"",IFERROR(INDEX(Settings!$C$9:$C$12,MATCH(I1788,Settings!$A$9:$A$12,0)),"")))</f>
        <v/>
      </c>
      <c r="K1788" s="27" t="str">
        <f aca="false">IF(J1788="","",COUNTIF($I$2:I1788,I1788))</f>
        <v/>
      </c>
      <c r="L1788" s="27" t="str">
        <f aca="false">IF(J1788="","",CHOOSE(Q1788+1,"Tue","Wed","Thu","Fri"))</f>
        <v/>
      </c>
      <c r="M1788" s="27" t="str">
        <f aca="false">IF(J1788="","",IF(J1788=1,"Every week",R1788+1&amp;" of "&amp;J1788))</f>
        <v/>
      </c>
      <c r="N1788" s="28" t="str">
        <f aca="false">IF(J1788="","",Settings!$B$4+R1788*7+Q1788)</f>
        <v/>
      </c>
      <c r="O1788" s="28" t="str">
        <f aca="true">IF(J1788="","",N1788+MAX(0,ROUNDUP((TODAY()-N1788)/(J1788*7),0))*J1788*7)</f>
        <v/>
      </c>
      <c r="P1788" s="27" t="str">
        <f aca="false">IF(J1788="","",MOD(K1788-1,J1788*4))</f>
        <v/>
      </c>
      <c r="Q1788" s="27" t="str">
        <f aca="false">IF(J1788="","",MOD(P1788,4))</f>
        <v/>
      </c>
      <c r="R1788" s="27" t="str">
        <f aca="false">IF(J1788="","",INT(P1788/4))</f>
        <v/>
      </c>
      <c r="S1788" s="27" t="str">
        <f aca="false">IF(J1788="","",IF(AND('Daily Count Sheet'!$H$3=Q1788,MOD('Daily Count Sheet'!$I$3,J1788)=R1788),1,""))</f>
        <v/>
      </c>
      <c r="T1788" s="27" t="str">
        <f aca="false">IF(S1788=1,COUNTIF($S$2:S1788,1),"")</f>
        <v/>
      </c>
    </row>
    <row r="1789" customFormat="false" ht="15" hidden="false" customHeight="false" outlineLevel="0" collapsed="false">
      <c r="H1789" s="26"/>
      <c r="I1789" s="27" t="str">
        <f aca="false">IF(A1789="","",IF(H1789&lt;&gt;"",UPPER(TRIM(H1789)),IFERROR(CHOOSE(VALUE(E1789)+1,"A","B","C","D"),IF(OR(LEFT(UPPER(TRIM(E1789)),1)="F",UPPER(TRIM(E1789))="A"),"A",IF(OR(LEFT(UPPER(TRIM(E1789)),1)="M",UPPER(TRIM(E1789))="B"),"B",IF(OR(LEFT(UPPER(TRIM(E1789)),2)="SL",UPPER(TRIM(E1789))="C"),"C",IF(OR(LEFT(UPPER(TRIM(E1789)),1)="D",UPPER(TRIM(E1789))="D"),"D","")))))))</f>
        <v/>
      </c>
      <c r="J1789" s="27" t="str">
        <f aca="false">IF(I1789="","",IF(AND(I1789="D",Settings!$B$6&lt;&gt;"Yes"),"",IFERROR(INDEX(Settings!$C$9:$C$12,MATCH(I1789,Settings!$A$9:$A$12,0)),"")))</f>
        <v/>
      </c>
      <c r="K1789" s="27" t="str">
        <f aca="false">IF(J1789="","",COUNTIF($I$2:I1789,I1789))</f>
        <v/>
      </c>
      <c r="L1789" s="27" t="str">
        <f aca="false">IF(J1789="","",CHOOSE(Q1789+1,"Tue","Wed","Thu","Fri"))</f>
        <v/>
      </c>
      <c r="M1789" s="27" t="str">
        <f aca="false">IF(J1789="","",IF(J1789=1,"Every week",R1789+1&amp;" of "&amp;J1789))</f>
        <v/>
      </c>
      <c r="N1789" s="28" t="str">
        <f aca="false">IF(J1789="","",Settings!$B$4+R1789*7+Q1789)</f>
        <v/>
      </c>
      <c r="O1789" s="28" t="str">
        <f aca="true">IF(J1789="","",N1789+MAX(0,ROUNDUP((TODAY()-N1789)/(J1789*7),0))*J1789*7)</f>
        <v/>
      </c>
      <c r="P1789" s="27" t="str">
        <f aca="false">IF(J1789="","",MOD(K1789-1,J1789*4))</f>
        <v/>
      </c>
      <c r="Q1789" s="27" t="str">
        <f aca="false">IF(J1789="","",MOD(P1789,4))</f>
        <v/>
      </c>
      <c r="R1789" s="27" t="str">
        <f aca="false">IF(J1789="","",INT(P1789/4))</f>
        <v/>
      </c>
      <c r="S1789" s="27" t="str">
        <f aca="false">IF(J1789="","",IF(AND('Daily Count Sheet'!$H$3=Q1789,MOD('Daily Count Sheet'!$I$3,J1789)=R1789),1,""))</f>
        <v/>
      </c>
      <c r="T1789" s="27" t="str">
        <f aca="false">IF(S1789=1,COUNTIF($S$2:S1789,1),"")</f>
        <v/>
      </c>
    </row>
    <row r="1790" customFormat="false" ht="15" hidden="false" customHeight="false" outlineLevel="0" collapsed="false">
      <c r="H1790" s="26"/>
      <c r="I1790" s="27" t="str">
        <f aca="false">IF(A1790="","",IF(H1790&lt;&gt;"",UPPER(TRIM(H1790)),IFERROR(CHOOSE(VALUE(E1790)+1,"A","B","C","D"),IF(OR(LEFT(UPPER(TRIM(E1790)),1)="F",UPPER(TRIM(E1790))="A"),"A",IF(OR(LEFT(UPPER(TRIM(E1790)),1)="M",UPPER(TRIM(E1790))="B"),"B",IF(OR(LEFT(UPPER(TRIM(E1790)),2)="SL",UPPER(TRIM(E1790))="C"),"C",IF(OR(LEFT(UPPER(TRIM(E1790)),1)="D",UPPER(TRIM(E1790))="D"),"D","")))))))</f>
        <v/>
      </c>
      <c r="J1790" s="27" t="str">
        <f aca="false">IF(I1790="","",IF(AND(I1790="D",Settings!$B$6&lt;&gt;"Yes"),"",IFERROR(INDEX(Settings!$C$9:$C$12,MATCH(I1790,Settings!$A$9:$A$12,0)),"")))</f>
        <v/>
      </c>
      <c r="K1790" s="27" t="str">
        <f aca="false">IF(J1790="","",COUNTIF($I$2:I1790,I1790))</f>
        <v/>
      </c>
      <c r="L1790" s="27" t="str">
        <f aca="false">IF(J1790="","",CHOOSE(Q1790+1,"Tue","Wed","Thu","Fri"))</f>
        <v/>
      </c>
      <c r="M1790" s="27" t="str">
        <f aca="false">IF(J1790="","",IF(J1790=1,"Every week",R1790+1&amp;" of "&amp;J1790))</f>
        <v/>
      </c>
      <c r="N1790" s="28" t="str">
        <f aca="false">IF(J1790="","",Settings!$B$4+R1790*7+Q1790)</f>
        <v/>
      </c>
      <c r="O1790" s="28" t="str">
        <f aca="true">IF(J1790="","",N1790+MAX(0,ROUNDUP((TODAY()-N1790)/(J1790*7),0))*J1790*7)</f>
        <v/>
      </c>
      <c r="P1790" s="27" t="str">
        <f aca="false">IF(J1790="","",MOD(K1790-1,J1790*4))</f>
        <v/>
      </c>
      <c r="Q1790" s="27" t="str">
        <f aca="false">IF(J1790="","",MOD(P1790,4))</f>
        <v/>
      </c>
      <c r="R1790" s="27" t="str">
        <f aca="false">IF(J1790="","",INT(P1790/4))</f>
        <v/>
      </c>
      <c r="S1790" s="27" t="str">
        <f aca="false">IF(J1790="","",IF(AND('Daily Count Sheet'!$H$3=Q1790,MOD('Daily Count Sheet'!$I$3,J1790)=R1790),1,""))</f>
        <v/>
      </c>
      <c r="T1790" s="27" t="str">
        <f aca="false">IF(S1790=1,COUNTIF($S$2:S1790,1),"")</f>
        <v/>
      </c>
    </row>
    <row r="1791" customFormat="false" ht="15" hidden="false" customHeight="false" outlineLevel="0" collapsed="false">
      <c r="H1791" s="26"/>
      <c r="I1791" s="27" t="str">
        <f aca="false">IF(A1791="","",IF(H1791&lt;&gt;"",UPPER(TRIM(H1791)),IFERROR(CHOOSE(VALUE(E1791)+1,"A","B","C","D"),IF(OR(LEFT(UPPER(TRIM(E1791)),1)="F",UPPER(TRIM(E1791))="A"),"A",IF(OR(LEFT(UPPER(TRIM(E1791)),1)="M",UPPER(TRIM(E1791))="B"),"B",IF(OR(LEFT(UPPER(TRIM(E1791)),2)="SL",UPPER(TRIM(E1791))="C"),"C",IF(OR(LEFT(UPPER(TRIM(E1791)),1)="D",UPPER(TRIM(E1791))="D"),"D","")))))))</f>
        <v/>
      </c>
      <c r="J1791" s="27" t="str">
        <f aca="false">IF(I1791="","",IF(AND(I1791="D",Settings!$B$6&lt;&gt;"Yes"),"",IFERROR(INDEX(Settings!$C$9:$C$12,MATCH(I1791,Settings!$A$9:$A$12,0)),"")))</f>
        <v/>
      </c>
      <c r="K1791" s="27" t="str">
        <f aca="false">IF(J1791="","",COUNTIF($I$2:I1791,I1791))</f>
        <v/>
      </c>
      <c r="L1791" s="27" t="str">
        <f aca="false">IF(J1791="","",CHOOSE(Q1791+1,"Tue","Wed","Thu","Fri"))</f>
        <v/>
      </c>
      <c r="M1791" s="27" t="str">
        <f aca="false">IF(J1791="","",IF(J1791=1,"Every week",R1791+1&amp;" of "&amp;J1791))</f>
        <v/>
      </c>
      <c r="N1791" s="28" t="str">
        <f aca="false">IF(J1791="","",Settings!$B$4+R1791*7+Q1791)</f>
        <v/>
      </c>
      <c r="O1791" s="28" t="str">
        <f aca="true">IF(J1791="","",N1791+MAX(0,ROUNDUP((TODAY()-N1791)/(J1791*7),0))*J1791*7)</f>
        <v/>
      </c>
      <c r="P1791" s="27" t="str">
        <f aca="false">IF(J1791="","",MOD(K1791-1,J1791*4))</f>
        <v/>
      </c>
      <c r="Q1791" s="27" t="str">
        <f aca="false">IF(J1791="","",MOD(P1791,4))</f>
        <v/>
      </c>
      <c r="R1791" s="27" t="str">
        <f aca="false">IF(J1791="","",INT(P1791/4))</f>
        <v/>
      </c>
      <c r="S1791" s="27" t="str">
        <f aca="false">IF(J1791="","",IF(AND('Daily Count Sheet'!$H$3=Q1791,MOD('Daily Count Sheet'!$I$3,J1791)=R1791),1,""))</f>
        <v/>
      </c>
      <c r="T1791" s="27" t="str">
        <f aca="false">IF(S1791=1,COUNTIF($S$2:S1791,1),"")</f>
        <v/>
      </c>
    </row>
    <row r="1792" customFormat="false" ht="15" hidden="false" customHeight="false" outlineLevel="0" collapsed="false">
      <c r="H1792" s="26"/>
      <c r="I1792" s="27" t="str">
        <f aca="false">IF(A1792="","",IF(H1792&lt;&gt;"",UPPER(TRIM(H1792)),IFERROR(CHOOSE(VALUE(E1792)+1,"A","B","C","D"),IF(OR(LEFT(UPPER(TRIM(E1792)),1)="F",UPPER(TRIM(E1792))="A"),"A",IF(OR(LEFT(UPPER(TRIM(E1792)),1)="M",UPPER(TRIM(E1792))="B"),"B",IF(OR(LEFT(UPPER(TRIM(E1792)),2)="SL",UPPER(TRIM(E1792))="C"),"C",IF(OR(LEFT(UPPER(TRIM(E1792)),1)="D",UPPER(TRIM(E1792))="D"),"D","")))))))</f>
        <v/>
      </c>
      <c r="J1792" s="27" t="str">
        <f aca="false">IF(I1792="","",IF(AND(I1792="D",Settings!$B$6&lt;&gt;"Yes"),"",IFERROR(INDEX(Settings!$C$9:$C$12,MATCH(I1792,Settings!$A$9:$A$12,0)),"")))</f>
        <v/>
      </c>
      <c r="K1792" s="27" t="str">
        <f aca="false">IF(J1792="","",COUNTIF($I$2:I1792,I1792))</f>
        <v/>
      </c>
      <c r="L1792" s="27" t="str">
        <f aca="false">IF(J1792="","",CHOOSE(Q1792+1,"Tue","Wed","Thu","Fri"))</f>
        <v/>
      </c>
      <c r="M1792" s="27" t="str">
        <f aca="false">IF(J1792="","",IF(J1792=1,"Every week",R1792+1&amp;" of "&amp;J1792))</f>
        <v/>
      </c>
      <c r="N1792" s="28" t="str">
        <f aca="false">IF(J1792="","",Settings!$B$4+R1792*7+Q1792)</f>
        <v/>
      </c>
      <c r="O1792" s="28" t="str">
        <f aca="true">IF(J1792="","",N1792+MAX(0,ROUNDUP((TODAY()-N1792)/(J1792*7),0))*J1792*7)</f>
        <v/>
      </c>
      <c r="P1792" s="27" t="str">
        <f aca="false">IF(J1792="","",MOD(K1792-1,J1792*4))</f>
        <v/>
      </c>
      <c r="Q1792" s="27" t="str">
        <f aca="false">IF(J1792="","",MOD(P1792,4))</f>
        <v/>
      </c>
      <c r="R1792" s="27" t="str">
        <f aca="false">IF(J1792="","",INT(P1792/4))</f>
        <v/>
      </c>
      <c r="S1792" s="27" t="str">
        <f aca="false">IF(J1792="","",IF(AND('Daily Count Sheet'!$H$3=Q1792,MOD('Daily Count Sheet'!$I$3,J1792)=R1792),1,""))</f>
        <v/>
      </c>
      <c r="T1792" s="27" t="str">
        <f aca="false">IF(S1792=1,COUNTIF($S$2:S1792,1),"")</f>
        <v/>
      </c>
    </row>
    <row r="1793" customFormat="false" ht="15" hidden="false" customHeight="false" outlineLevel="0" collapsed="false">
      <c r="H1793" s="26"/>
      <c r="I1793" s="27" t="str">
        <f aca="false">IF(A1793="","",IF(H1793&lt;&gt;"",UPPER(TRIM(H1793)),IFERROR(CHOOSE(VALUE(E1793)+1,"A","B","C","D"),IF(OR(LEFT(UPPER(TRIM(E1793)),1)="F",UPPER(TRIM(E1793))="A"),"A",IF(OR(LEFT(UPPER(TRIM(E1793)),1)="M",UPPER(TRIM(E1793))="B"),"B",IF(OR(LEFT(UPPER(TRIM(E1793)),2)="SL",UPPER(TRIM(E1793))="C"),"C",IF(OR(LEFT(UPPER(TRIM(E1793)),1)="D",UPPER(TRIM(E1793))="D"),"D","")))))))</f>
        <v/>
      </c>
      <c r="J1793" s="27" t="str">
        <f aca="false">IF(I1793="","",IF(AND(I1793="D",Settings!$B$6&lt;&gt;"Yes"),"",IFERROR(INDEX(Settings!$C$9:$C$12,MATCH(I1793,Settings!$A$9:$A$12,0)),"")))</f>
        <v/>
      </c>
      <c r="K1793" s="27" t="str">
        <f aca="false">IF(J1793="","",COUNTIF($I$2:I1793,I1793))</f>
        <v/>
      </c>
      <c r="L1793" s="27" t="str">
        <f aca="false">IF(J1793="","",CHOOSE(Q1793+1,"Tue","Wed","Thu","Fri"))</f>
        <v/>
      </c>
      <c r="M1793" s="27" t="str">
        <f aca="false">IF(J1793="","",IF(J1793=1,"Every week",R1793+1&amp;" of "&amp;J1793))</f>
        <v/>
      </c>
      <c r="N1793" s="28" t="str">
        <f aca="false">IF(J1793="","",Settings!$B$4+R1793*7+Q1793)</f>
        <v/>
      </c>
      <c r="O1793" s="28" t="str">
        <f aca="true">IF(J1793="","",N1793+MAX(0,ROUNDUP((TODAY()-N1793)/(J1793*7),0))*J1793*7)</f>
        <v/>
      </c>
      <c r="P1793" s="27" t="str">
        <f aca="false">IF(J1793="","",MOD(K1793-1,J1793*4))</f>
        <v/>
      </c>
      <c r="Q1793" s="27" t="str">
        <f aca="false">IF(J1793="","",MOD(P1793,4))</f>
        <v/>
      </c>
      <c r="R1793" s="27" t="str">
        <f aca="false">IF(J1793="","",INT(P1793/4))</f>
        <v/>
      </c>
      <c r="S1793" s="27" t="str">
        <f aca="false">IF(J1793="","",IF(AND('Daily Count Sheet'!$H$3=Q1793,MOD('Daily Count Sheet'!$I$3,J1793)=R1793),1,""))</f>
        <v/>
      </c>
      <c r="T1793" s="27" t="str">
        <f aca="false">IF(S1793=1,COUNTIF($S$2:S1793,1),"")</f>
        <v/>
      </c>
    </row>
    <row r="1794" customFormat="false" ht="15" hidden="false" customHeight="false" outlineLevel="0" collapsed="false">
      <c r="H1794" s="26"/>
      <c r="I1794" s="27" t="str">
        <f aca="false">IF(A1794="","",IF(H1794&lt;&gt;"",UPPER(TRIM(H1794)),IFERROR(CHOOSE(VALUE(E1794)+1,"A","B","C","D"),IF(OR(LEFT(UPPER(TRIM(E1794)),1)="F",UPPER(TRIM(E1794))="A"),"A",IF(OR(LEFT(UPPER(TRIM(E1794)),1)="M",UPPER(TRIM(E1794))="B"),"B",IF(OR(LEFT(UPPER(TRIM(E1794)),2)="SL",UPPER(TRIM(E1794))="C"),"C",IF(OR(LEFT(UPPER(TRIM(E1794)),1)="D",UPPER(TRIM(E1794))="D"),"D","")))))))</f>
        <v/>
      </c>
      <c r="J1794" s="27" t="str">
        <f aca="false">IF(I1794="","",IF(AND(I1794="D",Settings!$B$6&lt;&gt;"Yes"),"",IFERROR(INDEX(Settings!$C$9:$C$12,MATCH(I1794,Settings!$A$9:$A$12,0)),"")))</f>
        <v/>
      </c>
      <c r="K1794" s="27" t="str">
        <f aca="false">IF(J1794="","",COUNTIF($I$2:I1794,I1794))</f>
        <v/>
      </c>
      <c r="L1794" s="27" t="str">
        <f aca="false">IF(J1794="","",CHOOSE(Q1794+1,"Tue","Wed","Thu","Fri"))</f>
        <v/>
      </c>
      <c r="M1794" s="27" t="str">
        <f aca="false">IF(J1794="","",IF(J1794=1,"Every week",R1794+1&amp;" of "&amp;J1794))</f>
        <v/>
      </c>
      <c r="N1794" s="28" t="str">
        <f aca="false">IF(J1794="","",Settings!$B$4+R1794*7+Q1794)</f>
        <v/>
      </c>
      <c r="O1794" s="28" t="str">
        <f aca="true">IF(J1794="","",N1794+MAX(0,ROUNDUP((TODAY()-N1794)/(J1794*7),0))*J1794*7)</f>
        <v/>
      </c>
      <c r="P1794" s="27" t="str">
        <f aca="false">IF(J1794="","",MOD(K1794-1,J1794*4))</f>
        <v/>
      </c>
      <c r="Q1794" s="27" t="str">
        <f aca="false">IF(J1794="","",MOD(P1794,4))</f>
        <v/>
      </c>
      <c r="R1794" s="27" t="str">
        <f aca="false">IF(J1794="","",INT(P1794/4))</f>
        <v/>
      </c>
      <c r="S1794" s="27" t="str">
        <f aca="false">IF(J1794="","",IF(AND('Daily Count Sheet'!$H$3=Q1794,MOD('Daily Count Sheet'!$I$3,J1794)=R1794),1,""))</f>
        <v/>
      </c>
      <c r="T1794" s="27" t="str">
        <f aca="false">IF(S1794=1,COUNTIF($S$2:S1794,1),"")</f>
        <v/>
      </c>
    </row>
    <row r="1795" customFormat="false" ht="15" hidden="false" customHeight="false" outlineLevel="0" collapsed="false">
      <c r="H1795" s="26"/>
      <c r="I1795" s="27" t="str">
        <f aca="false">IF(A1795="","",IF(H1795&lt;&gt;"",UPPER(TRIM(H1795)),IFERROR(CHOOSE(VALUE(E1795)+1,"A","B","C","D"),IF(OR(LEFT(UPPER(TRIM(E1795)),1)="F",UPPER(TRIM(E1795))="A"),"A",IF(OR(LEFT(UPPER(TRIM(E1795)),1)="M",UPPER(TRIM(E1795))="B"),"B",IF(OR(LEFT(UPPER(TRIM(E1795)),2)="SL",UPPER(TRIM(E1795))="C"),"C",IF(OR(LEFT(UPPER(TRIM(E1795)),1)="D",UPPER(TRIM(E1795))="D"),"D","")))))))</f>
        <v/>
      </c>
      <c r="J1795" s="27" t="str">
        <f aca="false">IF(I1795="","",IF(AND(I1795="D",Settings!$B$6&lt;&gt;"Yes"),"",IFERROR(INDEX(Settings!$C$9:$C$12,MATCH(I1795,Settings!$A$9:$A$12,0)),"")))</f>
        <v/>
      </c>
      <c r="K1795" s="27" t="str">
        <f aca="false">IF(J1795="","",COUNTIF($I$2:I1795,I1795))</f>
        <v/>
      </c>
      <c r="L1795" s="27" t="str">
        <f aca="false">IF(J1795="","",CHOOSE(Q1795+1,"Tue","Wed","Thu","Fri"))</f>
        <v/>
      </c>
      <c r="M1795" s="27" t="str">
        <f aca="false">IF(J1795="","",IF(J1795=1,"Every week",R1795+1&amp;" of "&amp;J1795))</f>
        <v/>
      </c>
      <c r="N1795" s="28" t="str">
        <f aca="false">IF(J1795="","",Settings!$B$4+R1795*7+Q1795)</f>
        <v/>
      </c>
      <c r="O1795" s="28" t="str">
        <f aca="true">IF(J1795="","",N1795+MAX(0,ROUNDUP((TODAY()-N1795)/(J1795*7),0))*J1795*7)</f>
        <v/>
      </c>
      <c r="P1795" s="27" t="str">
        <f aca="false">IF(J1795="","",MOD(K1795-1,J1795*4))</f>
        <v/>
      </c>
      <c r="Q1795" s="27" t="str">
        <f aca="false">IF(J1795="","",MOD(P1795,4))</f>
        <v/>
      </c>
      <c r="R1795" s="27" t="str">
        <f aca="false">IF(J1795="","",INT(P1795/4))</f>
        <v/>
      </c>
      <c r="S1795" s="27" t="str">
        <f aca="false">IF(J1795="","",IF(AND('Daily Count Sheet'!$H$3=Q1795,MOD('Daily Count Sheet'!$I$3,J1795)=R1795),1,""))</f>
        <v/>
      </c>
      <c r="T1795" s="27" t="str">
        <f aca="false">IF(S1795=1,COUNTIF($S$2:S1795,1),"")</f>
        <v/>
      </c>
    </row>
    <row r="1796" customFormat="false" ht="15" hidden="false" customHeight="false" outlineLevel="0" collapsed="false">
      <c r="H1796" s="26"/>
      <c r="I1796" s="27" t="str">
        <f aca="false">IF(A1796="","",IF(H1796&lt;&gt;"",UPPER(TRIM(H1796)),IFERROR(CHOOSE(VALUE(E1796)+1,"A","B","C","D"),IF(OR(LEFT(UPPER(TRIM(E1796)),1)="F",UPPER(TRIM(E1796))="A"),"A",IF(OR(LEFT(UPPER(TRIM(E1796)),1)="M",UPPER(TRIM(E1796))="B"),"B",IF(OR(LEFT(UPPER(TRIM(E1796)),2)="SL",UPPER(TRIM(E1796))="C"),"C",IF(OR(LEFT(UPPER(TRIM(E1796)),1)="D",UPPER(TRIM(E1796))="D"),"D","")))))))</f>
        <v/>
      </c>
      <c r="J1796" s="27" t="str">
        <f aca="false">IF(I1796="","",IF(AND(I1796="D",Settings!$B$6&lt;&gt;"Yes"),"",IFERROR(INDEX(Settings!$C$9:$C$12,MATCH(I1796,Settings!$A$9:$A$12,0)),"")))</f>
        <v/>
      </c>
      <c r="K1796" s="27" t="str">
        <f aca="false">IF(J1796="","",COUNTIF($I$2:I1796,I1796))</f>
        <v/>
      </c>
      <c r="L1796" s="27" t="str">
        <f aca="false">IF(J1796="","",CHOOSE(Q1796+1,"Tue","Wed","Thu","Fri"))</f>
        <v/>
      </c>
      <c r="M1796" s="27" t="str">
        <f aca="false">IF(J1796="","",IF(J1796=1,"Every week",R1796+1&amp;" of "&amp;J1796))</f>
        <v/>
      </c>
      <c r="N1796" s="28" t="str">
        <f aca="false">IF(J1796="","",Settings!$B$4+R1796*7+Q1796)</f>
        <v/>
      </c>
      <c r="O1796" s="28" t="str">
        <f aca="true">IF(J1796="","",N1796+MAX(0,ROUNDUP((TODAY()-N1796)/(J1796*7),0))*J1796*7)</f>
        <v/>
      </c>
      <c r="P1796" s="27" t="str">
        <f aca="false">IF(J1796="","",MOD(K1796-1,J1796*4))</f>
        <v/>
      </c>
      <c r="Q1796" s="27" t="str">
        <f aca="false">IF(J1796="","",MOD(P1796,4))</f>
        <v/>
      </c>
      <c r="R1796" s="27" t="str">
        <f aca="false">IF(J1796="","",INT(P1796/4))</f>
        <v/>
      </c>
      <c r="S1796" s="27" t="str">
        <f aca="false">IF(J1796="","",IF(AND('Daily Count Sheet'!$H$3=Q1796,MOD('Daily Count Sheet'!$I$3,J1796)=R1796),1,""))</f>
        <v/>
      </c>
      <c r="T1796" s="27" t="str">
        <f aca="false">IF(S1796=1,COUNTIF($S$2:S1796,1),"")</f>
        <v/>
      </c>
    </row>
    <row r="1797" customFormat="false" ht="15" hidden="false" customHeight="false" outlineLevel="0" collapsed="false">
      <c r="H1797" s="26"/>
      <c r="I1797" s="27" t="str">
        <f aca="false">IF(A1797="","",IF(H1797&lt;&gt;"",UPPER(TRIM(H1797)),IFERROR(CHOOSE(VALUE(E1797)+1,"A","B","C","D"),IF(OR(LEFT(UPPER(TRIM(E1797)),1)="F",UPPER(TRIM(E1797))="A"),"A",IF(OR(LEFT(UPPER(TRIM(E1797)),1)="M",UPPER(TRIM(E1797))="B"),"B",IF(OR(LEFT(UPPER(TRIM(E1797)),2)="SL",UPPER(TRIM(E1797))="C"),"C",IF(OR(LEFT(UPPER(TRIM(E1797)),1)="D",UPPER(TRIM(E1797))="D"),"D","")))))))</f>
        <v/>
      </c>
      <c r="J1797" s="27" t="str">
        <f aca="false">IF(I1797="","",IF(AND(I1797="D",Settings!$B$6&lt;&gt;"Yes"),"",IFERROR(INDEX(Settings!$C$9:$C$12,MATCH(I1797,Settings!$A$9:$A$12,0)),"")))</f>
        <v/>
      </c>
      <c r="K1797" s="27" t="str">
        <f aca="false">IF(J1797="","",COUNTIF($I$2:I1797,I1797))</f>
        <v/>
      </c>
      <c r="L1797" s="27" t="str">
        <f aca="false">IF(J1797="","",CHOOSE(Q1797+1,"Tue","Wed","Thu","Fri"))</f>
        <v/>
      </c>
      <c r="M1797" s="27" t="str">
        <f aca="false">IF(J1797="","",IF(J1797=1,"Every week",R1797+1&amp;" of "&amp;J1797))</f>
        <v/>
      </c>
      <c r="N1797" s="28" t="str">
        <f aca="false">IF(J1797="","",Settings!$B$4+R1797*7+Q1797)</f>
        <v/>
      </c>
      <c r="O1797" s="28" t="str">
        <f aca="true">IF(J1797="","",N1797+MAX(0,ROUNDUP((TODAY()-N1797)/(J1797*7),0))*J1797*7)</f>
        <v/>
      </c>
      <c r="P1797" s="27" t="str">
        <f aca="false">IF(J1797="","",MOD(K1797-1,J1797*4))</f>
        <v/>
      </c>
      <c r="Q1797" s="27" t="str">
        <f aca="false">IF(J1797="","",MOD(P1797,4))</f>
        <v/>
      </c>
      <c r="R1797" s="27" t="str">
        <f aca="false">IF(J1797="","",INT(P1797/4))</f>
        <v/>
      </c>
      <c r="S1797" s="27" t="str">
        <f aca="false">IF(J1797="","",IF(AND('Daily Count Sheet'!$H$3=Q1797,MOD('Daily Count Sheet'!$I$3,J1797)=R1797),1,""))</f>
        <v/>
      </c>
      <c r="T1797" s="27" t="str">
        <f aca="false">IF(S1797=1,COUNTIF($S$2:S1797,1),"")</f>
        <v/>
      </c>
    </row>
    <row r="1798" customFormat="false" ht="15" hidden="false" customHeight="false" outlineLevel="0" collapsed="false">
      <c r="H1798" s="26"/>
      <c r="I1798" s="27" t="str">
        <f aca="false">IF(A1798="","",IF(H1798&lt;&gt;"",UPPER(TRIM(H1798)),IFERROR(CHOOSE(VALUE(E1798)+1,"A","B","C","D"),IF(OR(LEFT(UPPER(TRIM(E1798)),1)="F",UPPER(TRIM(E1798))="A"),"A",IF(OR(LEFT(UPPER(TRIM(E1798)),1)="M",UPPER(TRIM(E1798))="B"),"B",IF(OR(LEFT(UPPER(TRIM(E1798)),2)="SL",UPPER(TRIM(E1798))="C"),"C",IF(OR(LEFT(UPPER(TRIM(E1798)),1)="D",UPPER(TRIM(E1798))="D"),"D","")))))))</f>
        <v/>
      </c>
      <c r="J1798" s="27" t="str">
        <f aca="false">IF(I1798="","",IF(AND(I1798="D",Settings!$B$6&lt;&gt;"Yes"),"",IFERROR(INDEX(Settings!$C$9:$C$12,MATCH(I1798,Settings!$A$9:$A$12,0)),"")))</f>
        <v/>
      </c>
      <c r="K1798" s="27" t="str">
        <f aca="false">IF(J1798="","",COUNTIF($I$2:I1798,I1798))</f>
        <v/>
      </c>
      <c r="L1798" s="27" t="str">
        <f aca="false">IF(J1798="","",CHOOSE(Q1798+1,"Tue","Wed","Thu","Fri"))</f>
        <v/>
      </c>
      <c r="M1798" s="27" t="str">
        <f aca="false">IF(J1798="","",IF(J1798=1,"Every week",R1798+1&amp;" of "&amp;J1798))</f>
        <v/>
      </c>
      <c r="N1798" s="28" t="str">
        <f aca="false">IF(J1798="","",Settings!$B$4+R1798*7+Q1798)</f>
        <v/>
      </c>
      <c r="O1798" s="28" t="str">
        <f aca="true">IF(J1798="","",N1798+MAX(0,ROUNDUP((TODAY()-N1798)/(J1798*7),0))*J1798*7)</f>
        <v/>
      </c>
      <c r="P1798" s="27" t="str">
        <f aca="false">IF(J1798="","",MOD(K1798-1,J1798*4))</f>
        <v/>
      </c>
      <c r="Q1798" s="27" t="str">
        <f aca="false">IF(J1798="","",MOD(P1798,4))</f>
        <v/>
      </c>
      <c r="R1798" s="27" t="str">
        <f aca="false">IF(J1798="","",INT(P1798/4))</f>
        <v/>
      </c>
      <c r="S1798" s="27" t="str">
        <f aca="false">IF(J1798="","",IF(AND('Daily Count Sheet'!$H$3=Q1798,MOD('Daily Count Sheet'!$I$3,J1798)=R1798),1,""))</f>
        <v/>
      </c>
      <c r="T1798" s="27" t="str">
        <f aca="false">IF(S1798=1,COUNTIF($S$2:S1798,1),"")</f>
        <v/>
      </c>
    </row>
    <row r="1799" customFormat="false" ht="15" hidden="false" customHeight="false" outlineLevel="0" collapsed="false">
      <c r="H1799" s="26"/>
      <c r="I1799" s="27" t="str">
        <f aca="false">IF(A1799="","",IF(H1799&lt;&gt;"",UPPER(TRIM(H1799)),IFERROR(CHOOSE(VALUE(E1799)+1,"A","B","C","D"),IF(OR(LEFT(UPPER(TRIM(E1799)),1)="F",UPPER(TRIM(E1799))="A"),"A",IF(OR(LEFT(UPPER(TRIM(E1799)),1)="M",UPPER(TRIM(E1799))="B"),"B",IF(OR(LEFT(UPPER(TRIM(E1799)),2)="SL",UPPER(TRIM(E1799))="C"),"C",IF(OR(LEFT(UPPER(TRIM(E1799)),1)="D",UPPER(TRIM(E1799))="D"),"D","")))))))</f>
        <v/>
      </c>
      <c r="J1799" s="27" t="str">
        <f aca="false">IF(I1799="","",IF(AND(I1799="D",Settings!$B$6&lt;&gt;"Yes"),"",IFERROR(INDEX(Settings!$C$9:$C$12,MATCH(I1799,Settings!$A$9:$A$12,0)),"")))</f>
        <v/>
      </c>
      <c r="K1799" s="27" t="str">
        <f aca="false">IF(J1799="","",COUNTIF($I$2:I1799,I1799))</f>
        <v/>
      </c>
      <c r="L1799" s="27" t="str">
        <f aca="false">IF(J1799="","",CHOOSE(Q1799+1,"Tue","Wed","Thu","Fri"))</f>
        <v/>
      </c>
      <c r="M1799" s="27" t="str">
        <f aca="false">IF(J1799="","",IF(J1799=1,"Every week",R1799+1&amp;" of "&amp;J1799))</f>
        <v/>
      </c>
      <c r="N1799" s="28" t="str">
        <f aca="false">IF(J1799="","",Settings!$B$4+R1799*7+Q1799)</f>
        <v/>
      </c>
      <c r="O1799" s="28" t="str">
        <f aca="true">IF(J1799="","",N1799+MAX(0,ROUNDUP((TODAY()-N1799)/(J1799*7),0))*J1799*7)</f>
        <v/>
      </c>
      <c r="P1799" s="27" t="str">
        <f aca="false">IF(J1799="","",MOD(K1799-1,J1799*4))</f>
        <v/>
      </c>
      <c r="Q1799" s="27" t="str">
        <f aca="false">IF(J1799="","",MOD(P1799,4))</f>
        <v/>
      </c>
      <c r="R1799" s="27" t="str">
        <f aca="false">IF(J1799="","",INT(P1799/4))</f>
        <v/>
      </c>
      <c r="S1799" s="27" t="str">
        <f aca="false">IF(J1799="","",IF(AND('Daily Count Sheet'!$H$3=Q1799,MOD('Daily Count Sheet'!$I$3,J1799)=R1799),1,""))</f>
        <v/>
      </c>
      <c r="T1799" s="27" t="str">
        <f aca="false">IF(S1799=1,COUNTIF($S$2:S1799,1),"")</f>
        <v/>
      </c>
    </row>
    <row r="1800" customFormat="false" ht="15" hidden="false" customHeight="false" outlineLevel="0" collapsed="false">
      <c r="H1800" s="26"/>
      <c r="I1800" s="27" t="str">
        <f aca="false">IF(A1800="","",IF(H1800&lt;&gt;"",UPPER(TRIM(H1800)),IFERROR(CHOOSE(VALUE(E1800)+1,"A","B","C","D"),IF(OR(LEFT(UPPER(TRIM(E1800)),1)="F",UPPER(TRIM(E1800))="A"),"A",IF(OR(LEFT(UPPER(TRIM(E1800)),1)="M",UPPER(TRIM(E1800))="B"),"B",IF(OR(LEFT(UPPER(TRIM(E1800)),2)="SL",UPPER(TRIM(E1800))="C"),"C",IF(OR(LEFT(UPPER(TRIM(E1800)),1)="D",UPPER(TRIM(E1800))="D"),"D","")))))))</f>
        <v/>
      </c>
      <c r="J1800" s="27" t="str">
        <f aca="false">IF(I1800="","",IF(AND(I1800="D",Settings!$B$6&lt;&gt;"Yes"),"",IFERROR(INDEX(Settings!$C$9:$C$12,MATCH(I1800,Settings!$A$9:$A$12,0)),"")))</f>
        <v/>
      </c>
      <c r="K1800" s="27" t="str">
        <f aca="false">IF(J1800="","",COUNTIF($I$2:I1800,I1800))</f>
        <v/>
      </c>
      <c r="L1800" s="27" t="str">
        <f aca="false">IF(J1800="","",CHOOSE(Q1800+1,"Tue","Wed","Thu","Fri"))</f>
        <v/>
      </c>
      <c r="M1800" s="27" t="str">
        <f aca="false">IF(J1800="","",IF(J1800=1,"Every week",R1800+1&amp;" of "&amp;J1800))</f>
        <v/>
      </c>
      <c r="N1800" s="28" t="str">
        <f aca="false">IF(J1800="","",Settings!$B$4+R1800*7+Q1800)</f>
        <v/>
      </c>
      <c r="O1800" s="28" t="str">
        <f aca="true">IF(J1800="","",N1800+MAX(0,ROUNDUP((TODAY()-N1800)/(J1800*7),0))*J1800*7)</f>
        <v/>
      </c>
      <c r="P1800" s="27" t="str">
        <f aca="false">IF(J1800="","",MOD(K1800-1,J1800*4))</f>
        <v/>
      </c>
      <c r="Q1800" s="27" t="str">
        <f aca="false">IF(J1800="","",MOD(P1800,4))</f>
        <v/>
      </c>
      <c r="R1800" s="27" t="str">
        <f aca="false">IF(J1800="","",INT(P1800/4))</f>
        <v/>
      </c>
      <c r="S1800" s="27" t="str">
        <f aca="false">IF(J1800="","",IF(AND('Daily Count Sheet'!$H$3=Q1800,MOD('Daily Count Sheet'!$I$3,J1800)=R1800),1,""))</f>
        <v/>
      </c>
      <c r="T1800" s="27" t="str">
        <f aca="false">IF(S1800=1,COUNTIF($S$2:S1800,1),"")</f>
        <v/>
      </c>
    </row>
    <row r="1801" customFormat="false" ht="15" hidden="false" customHeight="false" outlineLevel="0" collapsed="false">
      <c r="H1801" s="26"/>
      <c r="I1801" s="27" t="str">
        <f aca="false">IF(A1801="","",IF(H1801&lt;&gt;"",UPPER(TRIM(H1801)),IFERROR(CHOOSE(VALUE(E1801)+1,"A","B","C","D"),IF(OR(LEFT(UPPER(TRIM(E1801)),1)="F",UPPER(TRIM(E1801))="A"),"A",IF(OR(LEFT(UPPER(TRIM(E1801)),1)="M",UPPER(TRIM(E1801))="B"),"B",IF(OR(LEFT(UPPER(TRIM(E1801)),2)="SL",UPPER(TRIM(E1801))="C"),"C",IF(OR(LEFT(UPPER(TRIM(E1801)),1)="D",UPPER(TRIM(E1801))="D"),"D","")))))))</f>
        <v/>
      </c>
      <c r="J1801" s="27" t="str">
        <f aca="false">IF(I1801="","",IF(AND(I1801="D",Settings!$B$6&lt;&gt;"Yes"),"",IFERROR(INDEX(Settings!$C$9:$C$12,MATCH(I1801,Settings!$A$9:$A$12,0)),"")))</f>
        <v/>
      </c>
      <c r="K1801" s="27" t="str">
        <f aca="false">IF(J1801="","",COUNTIF($I$2:I1801,I1801))</f>
        <v/>
      </c>
      <c r="L1801" s="27" t="str">
        <f aca="false">IF(J1801="","",CHOOSE(Q1801+1,"Tue","Wed","Thu","Fri"))</f>
        <v/>
      </c>
      <c r="M1801" s="27" t="str">
        <f aca="false">IF(J1801="","",IF(J1801=1,"Every week",R1801+1&amp;" of "&amp;J1801))</f>
        <v/>
      </c>
      <c r="N1801" s="28" t="str">
        <f aca="false">IF(J1801="","",Settings!$B$4+R1801*7+Q1801)</f>
        <v/>
      </c>
      <c r="O1801" s="28" t="str">
        <f aca="true">IF(J1801="","",N1801+MAX(0,ROUNDUP((TODAY()-N1801)/(J1801*7),0))*J1801*7)</f>
        <v/>
      </c>
      <c r="P1801" s="27" t="str">
        <f aca="false">IF(J1801="","",MOD(K1801-1,J1801*4))</f>
        <v/>
      </c>
      <c r="Q1801" s="27" t="str">
        <f aca="false">IF(J1801="","",MOD(P1801,4))</f>
        <v/>
      </c>
      <c r="R1801" s="27" t="str">
        <f aca="false">IF(J1801="","",INT(P1801/4))</f>
        <v/>
      </c>
      <c r="S1801" s="27" t="str">
        <f aca="false">IF(J1801="","",IF(AND('Daily Count Sheet'!$H$3=Q1801,MOD('Daily Count Sheet'!$I$3,J1801)=R1801),1,""))</f>
        <v/>
      </c>
      <c r="T1801" s="27" t="str">
        <f aca="false">IF(S1801=1,COUNTIF($S$2:S1801,1),"")</f>
        <v/>
      </c>
    </row>
    <row r="1802" customFormat="false" ht="15" hidden="false" customHeight="false" outlineLevel="0" collapsed="false">
      <c r="H1802" s="26"/>
      <c r="I1802" s="27" t="str">
        <f aca="false">IF(A1802="","",IF(H1802&lt;&gt;"",UPPER(TRIM(H1802)),IFERROR(CHOOSE(VALUE(E1802)+1,"A","B","C","D"),IF(OR(LEFT(UPPER(TRIM(E1802)),1)="F",UPPER(TRIM(E1802))="A"),"A",IF(OR(LEFT(UPPER(TRIM(E1802)),1)="M",UPPER(TRIM(E1802))="B"),"B",IF(OR(LEFT(UPPER(TRIM(E1802)),2)="SL",UPPER(TRIM(E1802))="C"),"C",IF(OR(LEFT(UPPER(TRIM(E1802)),1)="D",UPPER(TRIM(E1802))="D"),"D","")))))))</f>
        <v/>
      </c>
      <c r="J1802" s="27" t="str">
        <f aca="false">IF(I1802="","",IF(AND(I1802="D",Settings!$B$6&lt;&gt;"Yes"),"",IFERROR(INDEX(Settings!$C$9:$C$12,MATCH(I1802,Settings!$A$9:$A$12,0)),"")))</f>
        <v/>
      </c>
      <c r="K1802" s="27" t="str">
        <f aca="false">IF(J1802="","",COUNTIF($I$2:I1802,I1802))</f>
        <v/>
      </c>
      <c r="L1802" s="27" t="str">
        <f aca="false">IF(J1802="","",CHOOSE(Q1802+1,"Tue","Wed","Thu","Fri"))</f>
        <v/>
      </c>
      <c r="M1802" s="27" t="str">
        <f aca="false">IF(J1802="","",IF(J1802=1,"Every week",R1802+1&amp;" of "&amp;J1802))</f>
        <v/>
      </c>
      <c r="N1802" s="28" t="str">
        <f aca="false">IF(J1802="","",Settings!$B$4+R1802*7+Q1802)</f>
        <v/>
      </c>
      <c r="O1802" s="28" t="str">
        <f aca="true">IF(J1802="","",N1802+MAX(0,ROUNDUP((TODAY()-N1802)/(J1802*7),0))*J1802*7)</f>
        <v/>
      </c>
      <c r="P1802" s="27" t="str">
        <f aca="false">IF(J1802="","",MOD(K1802-1,J1802*4))</f>
        <v/>
      </c>
      <c r="Q1802" s="27" t="str">
        <f aca="false">IF(J1802="","",MOD(P1802,4))</f>
        <v/>
      </c>
      <c r="R1802" s="27" t="str">
        <f aca="false">IF(J1802="","",INT(P1802/4))</f>
        <v/>
      </c>
      <c r="S1802" s="27" t="str">
        <f aca="false">IF(J1802="","",IF(AND('Daily Count Sheet'!$H$3=Q1802,MOD('Daily Count Sheet'!$I$3,J1802)=R1802),1,""))</f>
        <v/>
      </c>
      <c r="T1802" s="27" t="str">
        <f aca="false">IF(S1802=1,COUNTIF($S$2:S1802,1),"")</f>
        <v/>
      </c>
    </row>
    <row r="1803" customFormat="false" ht="15" hidden="false" customHeight="false" outlineLevel="0" collapsed="false">
      <c r="H1803" s="26"/>
      <c r="I1803" s="27" t="str">
        <f aca="false">IF(A1803="","",IF(H1803&lt;&gt;"",UPPER(TRIM(H1803)),IFERROR(CHOOSE(VALUE(E1803)+1,"A","B","C","D"),IF(OR(LEFT(UPPER(TRIM(E1803)),1)="F",UPPER(TRIM(E1803))="A"),"A",IF(OR(LEFT(UPPER(TRIM(E1803)),1)="M",UPPER(TRIM(E1803))="B"),"B",IF(OR(LEFT(UPPER(TRIM(E1803)),2)="SL",UPPER(TRIM(E1803))="C"),"C",IF(OR(LEFT(UPPER(TRIM(E1803)),1)="D",UPPER(TRIM(E1803))="D"),"D","")))))))</f>
        <v/>
      </c>
      <c r="J1803" s="27" t="str">
        <f aca="false">IF(I1803="","",IF(AND(I1803="D",Settings!$B$6&lt;&gt;"Yes"),"",IFERROR(INDEX(Settings!$C$9:$C$12,MATCH(I1803,Settings!$A$9:$A$12,0)),"")))</f>
        <v/>
      </c>
      <c r="K1803" s="27" t="str">
        <f aca="false">IF(J1803="","",COUNTIF($I$2:I1803,I1803))</f>
        <v/>
      </c>
      <c r="L1803" s="27" t="str">
        <f aca="false">IF(J1803="","",CHOOSE(Q1803+1,"Tue","Wed","Thu","Fri"))</f>
        <v/>
      </c>
      <c r="M1803" s="27" t="str">
        <f aca="false">IF(J1803="","",IF(J1803=1,"Every week",R1803+1&amp;" of "&amp;J1803))</f>
        <v/>
      </c>
      <c r="N1803" s="28" t="str">
        <f aca="false">IF(J1803="","",Settings!$B$4+R1803*7+Q1803)</f>
        <v/>
      </c>
      <c r="O1803" s="28" t="str">
        <f aca="true">IF(J1803="","",N1803+MAX(0,ROUNDUP((TODAY()-N1803)/(J1803*7),0))*J1803*7)</f>
        <v/>
      </c>
      <c r="P1803" s="27" t="str">
        <f aca="false">IF(J1803="","",MOD(K1803-1,J1803*4))</f>
        <v/>
      </c>
      <c r="Q1803" s="27" t="str">
        <f aca="false">IF(J1803="","",MOD(P1803,4))</f>
        <v/>
      </c>
      <c r="R1803" s="27" t="str">
        <f aca="false">IF(J1803="","",INT(P1803/4))</f>
        <v/>
      </c>
      <c r="S1803" s="27" t="str">
        <f aca="false">IF(J1803="","",IF(AND('Daily Count Sheet'!$H$3=Q1803,MOD('Daily Count Sheet'!$I$3,J1803)=R1803),1,""))</f>
        <v/>
      </c>
      <c r="T1803" s="27" t="str">
        <f aca="false">IF(S1803=1,COUNTIF($S$2:S1803,1),"")</f>
        <v/>
      </c>
    </row>
    <row r="1804" customFormat="false" ht="15" hidden="false" customHeight="false" outlineLevel="0" collapsed="false">
      <c r="H1804" s="26"/>
      <c r="I1804" s="27" t="str">
        <f aca="false">IF(A1804="","",IF(H1804&lt;&gt;"",UPPER(TRIM(H1804)),IFERROR(CHOOSE(VALUE(E1804)+1,"A","B","C","D"),IF(OR(LEFT(UPPER(TRIM(E1804)),1)="F",UPPER(TRIM(E1804))="A"),"A",IF(OR(LEFT(UPPER(TRIM(E1804)),1)="M",UPPER(TRIM(E1804))="B"),"B",IF(OR(LEFT(UPPER(TRIM(E1804)),2)="SL",UPPER(TRIM(E1804))="C"),"C",IF(OR(LEFT(UPPER(TRIM(E1804)),1)="D",UPPER(TRIM(E1804))="D"),"D","")))))))</f>
        <v/>
      </c>
      <c r="J1804" s="27" t="str">
        <f aca="false">IF(I1804="","",IF(AND(I1804="D",Settings!$B$6&lt;&gt;"Yes"),"",IFERROR(INDEX(Settings!$C$9:$C$12,MATCH(I1804,Settings!$A$9:$A$12,0)),"")))</f>
        <v/>
      </c>
      <c r="K1804" s="27" t="str">
        <f aca="false">IF(J1804="","",COUNTIF($I$2:I1804,I1804))</f>
        <v/>
      </c>
      <c r="L1804" s="27" t="str">
        <f aca="false">IF(J1804="","",CHOOSE(Q1804+1,"Tue","Wed","Thu","Fri"))</f>
        <v/>
      </c>
      <c r="M1804" s="27" t="str">
        <f aca="false">IF(J1804="","",IF(J1804=1,"Every week",R1804+1&amp;" of "&amp;J1804))</f>
        <v/>
      </c>
      <c r="N1804" s="28" t="str">
        <f aca="false">IF(J1804="","",Settings!$B$4+R1804*7+Q1804)</f>
        <v/>
      </c>
      <c r="O1804" s="28" t="str">
        <f aca="true">IF(J1804="","",N1804+MAX(0,ROUNDUP((TODAY()-N1804)/(J1804*7),0))*J1804*7)</f>
        <v/>
      </c>
      <c r="P1804" s="27" t="str">
        <f aca="false">IF(J1804="","",MOD(K1804-1,J1804*4))</f>
        <v/>
      </c>
      <c r="Q1804" s="27" t="str">
        <f aca="false">IF(J1804="","",MOD(P1804,4))</f>
        <v/>
      </c>
      <c r="R1804" s="27" t="str">
        <f aca="false">IF(J1804="","",INT(P1804/4))</f>
        <v/>
      </c>
      <c r="S1804" s="27" t="str">
        <f aca="false">IF(J1804="","",IF(AND('Daily Count Sheet'!$H$3=Q1804,MOD('Daily Count Sheet'!$I$3,J1804)=R1804),1,""))</f>
        <v/>
      </c>
      <c r="T1804" s="27" t="str">
        <f aca="false">IF(S1804=1,COUNTIF($S$2:S1804,1),"")</f>
        <v/>
      </c>
    </row>
    <row r="1805" customFormat="false" ht="15" hidden="false" customHeight="false" outlineLevel="0" collapsed="false">
      <c r="H1805" s="26"/>
      <c r="I1805" s="27" t="str">
        <f aca="false">IF(A1805="","",IF(H1805&lt;&gt;"",UPPER(TRIM(H1805)),IFERROR(CHOOSE(VALUE(E1805)+1,"A","B","C","D"),IF(OR(LEFT(UPPER(TRIM(E1805)),1)="F",UPPER(TRIM(E1805))="A"),"A",IF(OR(LEFT(UPPER(TRIM(E1805)),1)="M",UPPER(TRIM(E1805))="B"),"B",IF(OR(LEFT(UPPER(TRIM(E1805)),2)="SL",UPPER(TRIM(E1805))="C"),"C",IF(OR(LEFT(UPPER(TRIM(E1805)),1)="D",UPPER(TRIM(E1805))="D"),"D","")))))))</f>
        <v/>
      </c>
      <c r="J1805" s="27" t="str">
        <f aca="false">IF(I1805="","",IF(AND(I1805="D",Settings!$B$6&lt;&gt;"Yes"),"",IFERROR(INDEX(Settings!$C$9:$C$12,MATCH(I1805,Settings!$A$9:$A$12,0)),"")))</f>
        <v/>
      </c>
      <c r="K1805" s="27" t="str">
        <f aca="false">IF(J1805="","",COUNTIF($I$2:I1805,I1805))</f>
        <v/>
      </c>
      <c r="L1805" s="27" t="str">
        <f aca="false">IF(J1805="","",CHOOSE(Q1805+1,"Tue","Wed","Thu","Fri"))</f>
        <v/>
      </c>
      <c r="M1805" s="27" t="str">
        <f aca="false">IF(J1805="","",IF(J1805=1,"Every week",R1805+1&amp;" of "&amp;J1805))</f>
        <v/>
      </c>
      <c r="N1805" s="28" t="str">
        <f aca="false">IF(J1805="","",Settings!$B$4+R1805*7+Q1805)</f>
        <v/>
      </c>
      <c r="O1805" s="28" t="str">
        <f aca="true">IF(J1805="","",N1805+MAX(0,ROUNDUP((TODAY()-N1805)/(J1805*7),0))*J1805*7)</f>
        <v/>
      </c>
      <c r="P1805" s="27" t="str">
        <f aca="false">IF(J1805="","",MOD(K1805-1,J1805*4))</f>
        <v/>
      </c>
      <c r="Q1805" s="27" t="str">
        <f aca="false">IF(J1805="","",MOD(P1805,4))</f>
        <v/>
      </c>
      <c r="R1805" s="27" t="str">
        <f aca="false">IF(J1805="","",INT(P1805/4))</f>
        <v/>
      </c>
      <c r="S1805" s="27" t="str">
        <f aca="false">IF(J1805="","",IF(AND('Daily Count Sheet'!$H$3=Q1805,MOD('Daily Count Sheet'!$I$3,J1805)=R1805),1,""))</f>
        <v/>
      </c>
      <c r="T1805" s="27" t="str">
        <f aca="false">IF(S1805=1,COUNTIF($S$2:S1805,1),"")</f>
        <v/>
      </c>
    </row>
    <row r="1806" customFormat="false" ht="15" hidden="false" customHeight="false" outlineLevel="0" collapsed="false">
      <c r="H1806" s="26"/>
      <c r="I1806" s="27" t="str">
        <f aca="false">IF(A1806="","",IF(H1806&lt;&gt;"",UPPER(TRIM(H1806)),IFERROR(CHOOSE(VALUE(E1806)+1,"A","B","C","D"),IF(OR(LEFT(UPPER(TRIM(E1806)),1)="F",UPPER(TRIM(E1806))="A"),"A",IF(OR(LEFT(UPPER(TRIM(E1806)),1)="M",UPPER(TRIM(E1806))="B"),"B",IF(OR(LEFT(UPPER(TRIM(E1806)),2)="SL",UPPER(TRIM(E1806))="C"),"C",IF(OR(LEFT(UPPER(TRIM(E1806)),1)="D",UPPER(TRIM(E1806))="D"),"D","")))))))</f>
        <v/>
      </c>
      <c r="J1806" s="27" t="str">
        <f aca="false">IF(I1806="","",IF(AND(I1806="D",Settings!$B$6&lt;&gt;"Yes"),"",IFERROR(INDEX(Settings!$C$9:$C$12,MATCH(I1806,Settings!$A$9:$A$12,0)),"")))</f>
        <v/>
      </c>
      <c r="K1806" s="27" t="str">
        <f aca="false">IF(J1806="","",COUNTIF($I$2:I1806,I1806))</f>
        <v/>
      </c>
      <c r="L1806" s="27" t="str">
        <f aca="false">IF(J1806="","",CHOOSE(Q1806+1,"Tue","Wed","Thu","Fri"))</f>
        <v/>
      </c>
      <c r="M1806" s="27" t="str">
        <f aca="false">IF(J1806="","",IF(J1806=1,"Every week",R1806+1&amp;" of "&amp;J1806))</f>
        <v/>
      </c>
      <c r="N1806" s="28" t="str">
        <f aca="false">IF(J1806="","",Settings!$B$4+R1806*7+Q1806)</f>
        <v/>
      </c>
      <c r="O1806" s="28" t="str">
        <f aca="true">IF(J1806="","",N1806+MAX(0,ROUNDUP((TODAY()-N1806)/(J1806*7),0))*J1806*7)</f>
        <v/>
      </c>
      <c r="P1806" s="27" t="str">
        <f aca="false">IF(J1806="","",MOD(K1806-1,J1806*4))</f>
        <v/>
      </c>
      <c r="Q1806" s="27" t="str">
        <f aca="false">IF(J1806="","",MOD(P1806,4))</f>
        <v/>
      </c>
      <c r="R1806" s="27" t="str">
        <f aca="false">IF(J1806="","",INT(P1806/4))</f>
        <v/>
      </c>
      <c r="S1806" s="27" t="str">
        <f aca="false">IF(J1806="","",IF(AND('Daily Count Sheet'!$H$3=Q1806,MOD('Daily Count Sheet'!$I$3,J1806)=R1806),1,""))</f>
        <v/>
      </c>
      <c r="T1806" s="27" t="str">
        <f aca="false">IF(S1806=1,COUNTIF($S$2:S1806,1),"")</f>
        <v/>
      </c>
    </row>
    <row r="1807" customFormat="false" ht="15" hidden="false" customHeight="false" outlineLevel="0" collapsed="false">
      <c r="H1807" s="26"/>
      <c r="I1807" s="27" t="str">
        <f aca="false">IF(A1807="","",IF(H1807&lt;&gt;"",UPPER(TRIM(H1807)),IFERROR(CHOOSE(VALUE(E1807)+1,"A","B","C","D"),IF(OR(LEFT(UPPER(TRIM(E1807)),1)="F",UPPER(TRIM(E1807))="A"),"A",IF(OR(LEFT(UPPER(TRIM(E1807)),1)="M",UPPER(TRIM(E1807))="B"),"B",IF(OR(LEFT(UPPER(TRIM(E1807)),2)="SL",UPPER(TRIM(E1807))="C"),"C",IF(OR(LEFT(UPPER(TRIM(E1807)),1)="D",UPPER(TRIM(E1807))="D"),"D","")))))))</f>
        <v/>
      </c>
      <c r="J1807" s="27" t="str">
        <f aca="false">IF(I1807="","",IF(AND(I1807="D",Settings!$B$6&lt;&gt;"Yes"),"",IFERROR(INDEX(Settings!$C$9:$C$12,MATCH(I1807,Settings!$A$9:$A$12,0)),"")))</f>
        <v/>
      </c>
      <c r="K1807" s="27" t="str">
        <f aca="false">IF(J1807="","",COUNTIF($I$2:I1807,I1807))</f>
        <v/>
      </c>
      <c r="L1807" s="27" t="str">
        <f aca="false">IF(J1807="","",CHOOSE(Q1807+1,"Tue","Wed","Thu","Fri"))</f>
        <v/>
      </c>
      <c r="M1807" s="27" t="str">
        <f aca="false">IF(J1807="","",IF(J1807=1,"Every week",R1807+1&amp;" of "&amp;J1807))</f>
        <v/>
      </c>
      <c r="N1807" s="28" t="str">
        <f aca="false">IF(J1807="","",Settings!$B$4+R1807*7+Q1807)</f>
        <v/>
      </c>
      <c r="O1807" s="28" t="str">
        <f aca="true">IF(J1807="","",N1807+MAX(0,ROUNDUP((TODAY()-N1807)/(J1807*7),0))*J1807*7)</f>
        <v/>
      </c>
      <c r="P1807" s="27" t="str">
        <f aca="false">IF(J1807="","",MOD(K1807-1,J1807*4))</f>
        <v/>
      </c>
      <c r="Q1807" s="27" t="str">
        <f aca="false">IF(J1807="","",MOD(P1807,4))</f>
        <v/>
      </c>
      <c r="R1807" s="27" t="str">
        <f aca="false">IF(J1807="","",INT(P1807/4))</f>
        <v/>
      </c>
      <c r="S1807" s="27" t="str">
        <f aca="false">IF(J1807="","",IF(AND('Daily Count Sheet'!$H$3=Q1807,MOD('Daily Count Sheet'!$I$3,J1807)=R1807),1,""))</f>
        <v/>
      </c>
      <c r="T1807" s="27" t="str">
        <f aca="false">IF(S1807=1,COUNTIF($S$2:S1807,1),"")</f>
        <v/>
      </c>
    </row>
    <row r="1808" customFormat="false" ht="15" hidden="false" customHeight="false" outlineLevel="0" collapsed="false">
      <c r="H1808" s="26"/>
      <c r="I1808" s="27" t="str">
        <f aca="false">IF(A1808="","",IF(H1808&lt;&gt;"",UPPER(TRIM(H1808)),IFERROR(CHOOSE(VALUE(E1808)+1,"A","B","C","D"),IF(OR(LEFT(UPPER(TRIM(E1808)),1)="F",UPPER(TRIM(E1808))="A"),"A",IF(OR(LEFT(UPPER(TRIM(E1808)),1)="M",UPPER(TRIM(E1808))="B"),"B",IF(OR(LEFT(UPPER(TRIM(E1808)),2)="SL",UPPER(TRIM(E1808))="C"),"C",IF(OR(LEFT(UPPER(TRIM(E1808)),1)="D",UPPER(TRIM(E1808))="D"),"D","")))))))</f>
        <v/>
      </c>
      <c r="J1808" s="27" t="str">
        <f aca="false">IF(I1808="","",IF(AND(I1808="D",Settings!$B$6&lt;&gt;"Yes"),"",IFERROR(INDEX(Settings!$C$9:$C$12,MATCH(I1808,Settings!$A$9:$A$12,0)),"")))</f>
        <v/>
      </c>
      <c r="K1808" s="27" t="str">
        <f aca="false">IF(J1808="","",COUNTIF($I$2:I1808,I1808))</f>
        <v/>
      </c>
      <c r="L1808" s="27" t="str">
        <f aca="false">IF(J1808="","",CHOOSE(Q1808+1,"Tue","Wed","Thu","Fri"))</f>
        <v/>
      </c>
      <c r="M1808" s="27" t="str">
        <f aca="false">IF(J1808="","",IF(J1808=1,"Every week",R1808+1&amp;" of "&amp;J1808))</f>
        <v/>
      </c>
      <c r="N1808" s="28" t="str">
        <f aca="false">IF(J1808="","",Settings!$B$4+R1808*7+Q1808)</f>
        <v/>
      </c>
      <c r="O1808" s="28" t="str">
        <f aca="true">IF(J1808="","",N1808+MAX(0,ROUNDUP((TODAY()-N1808)/(J1808*7),0))*J1808*7)</f>
        <v/>
      </c>
      <c r="P1808" s="27" t="str">
        <f aca="false">IF(J1808="","",MOD(K1808-1,J1808*4))</f>
        <v/>
      </c>
      <c r="Q1808" s="27" t="str">
        <f aca="false">IF(J1808="","",MOD(P1808,4))</f>
        <v/>
      </c>
      <c r="R1808" s="27" t="str">
        <f aca="false">IF(J1808="","",INT(P1808/4))</f>
        <v/>
      </c>
      <c r="S1808" s="27" t="str">
        <f aca="false">IF(J1808="","",IF(AND('Daily Count Sheet'!$H$3=Q1808,MOD('Daily Count Sheet'!$I$3,J1808)=R1808),1,""))</f>
        <v/>
      </c>
      <c r="T1808" s="27" t="str">
        <f aca="false">IF(S1808=1,COUNTIF($S$2:S1808,1),"")</f>
        <v/>
      </c>
    </row>
    <row r="1809" customFormat="false" ht="15" hidden="false" customHeight="false" outlineLevel="0" collapsed="false">
      <c r="H1809" s="26"/>
      <c r="I1809" s="27" t="str">
        <f aca="false">IF(A1809="","",IF(H1809&lt;&gt;"",UPPER(TRIM(H1809)),IFERROR(CHOOSE(VALUE(E1809)+1,"A","B","C","D"),IF(OR(LEFT(UPPER(TRIM(E1809)),1)="F",UPPER(TRIM(E1809))="A"),"A",IF(OR(LEFT(UPPER(TRIM(E1809)),1)="M",UPPER(TRIM(E1809))="B"),"B",IF(OR(LEFT(UPPER(TRIM(E1809)),2)="SL",UPPER(TRIM(E1809))="C"),"C",IF(OR(LEFT(UPPER(TRIM(E1809)),1)="D",UPPER(TRIM(E1809))="D"),"D","")))))))</f>
        <v/>
      </c>
      <c r="J1809" s="27" t="str">
        <f aca="false">IF(I1809="","",IF(AND(I1809="D",Settings!$B$6&lt;&gt;"Yes"),"",IFERROR(INDEX(Settings!$C$9:$C$12,MATCH(I1809,Settings!$A$9:$A$12,0)),"")))</f>
        <v/>
      </c>
      <c r="K1809" s="27" t="str">
        <f aca="false">IF(J1809="","",COUNTIF($I$2:I1809,I1809))</f>
        <v/>
      </c>
      <c r="L1809" s="27" t="str">
        <f aca="false">IF(J1809="","",CHOOSE(Q1809+1,"Tue","Wed","Thu","Fri"))</f>
        <v/>
      </c>
      <c r="M1809" s="27" t="str">
        <f aca="false">IF(J1809="","",IF(J1809=1,"Every week",R1809+1&amp;" of "&amp;J1809))</f>
        <v/>
      </c>
      <c r="N1809" s="28" t="str">
        <f aca="false">IF(J1809="","",Settings!$B$4+R1809*7+Q1809)</f>
        <v/>
      </c>
      <c r="O1809" s="28" t="str">
        <f aca="true">IF(J1809="","",N1809+MAX(0,ROUNDUP((TODAY()-N1809)/(J1809*7),0))*J1809*7)</f>
        <v/>
      </c>
      <c r="P1809" s="27" t="str">
        <f aca="false">IF(J1809="","",MOD(K1809-1,J1809*4))</f>
        <v/>
      </c>
      <c r="Q1809" s="27" t="str">
        <f aca="false">IF(J1809="","",MOD(P1809,4))</f>
        <v/>
      </c>
      <c r="R1809" s="27" t="str">
        <f aca="false">IF(J1809="","",INT(P1809/4))</f>
        <v/>
      </c>
      <c r="S1809" s="27" t="str">
        <f aca="false">IF(J1809="","",IF(AND('Daily Count Sheet'!$H$3=Q1809,MOD('Daily Count Sheet'!$I$3,J1809)=R1809),1,""))</f>
        <v/>
      </c>
      <c r="T1809" s="27" t="str">
        <f aca="false">IF(S1809=1,COUNTIF($S$2:S1809,1),"")</f>
        <v/>
      </c>
    </row>
    <row r="1810" customFormat="false" ht="15" hidden="false" customHeight="false" outlineLevel="0" collapsed="false">
      <c r="H1810" s="26"/>
      <c r="I1810" s="27" t="str">
        <f aca="false">IF(A1810="","",IF(H1810&lt;&gt;"",UPPER(TRIM(H1810)),IFERROR(CHOOSE(VALUE(E1810)+1,"A","B","C","D"),IF(OR(LEFT(UPPER(TRIM(E1810)),1)="F",UPPER(TRIM(E1810))="A"),"A",IF(OR(LEFT(UPPER(TRIM(E1810)),1)="M",UPPER(TRIM(E1810))="B"),"B",IF(OR(LEFT(UPPER(TRIM(E1810)),2)="SL",UPPER(TRIM(E1810))="C"),"C",IF(OR(LEFT(UPPER(TRIM(E1810)),1)="D",UPPER(TRIM(E1810))="D"),"D","")))))))</f>
        <v/>
      </c>
      <c r="J1810" s="27" t="str">
        <f aca="false">IF(I1810="","",IF(AND(I1810="D",Settings!$B$6&lt;&gt;"Yes"),"",IFERROR(INDEX(Settings!$C$9:$C$12,MATCH(I1810,Settings!$A$9:$A$12,0)),"")))</f>
        <v/>
      </c>
      <c r="K1810" s="27" t="str">
        <f aca="false">IF(J1810="","",COUNTIF($I$2:I1810,I1810))</f>
        <v/>
      </c>
      <c r="L1810" s="27" t="str">
        <f aca="false">IF(J1810="","",CHOOSE(Q1810+1,"Tue","Wed","Thu","Fri"))</f>
        <v/>
      </c>
      <c r="M1810" s="27" t="str">
        <f aca="false">IF(J1810="","",IF(J1810=1,"Every week",R1810+1&amp;" of "&amp;J1810))</f>
        <v/>
      </c>
      <c r="N1810" s="28" t="str">
        <f aca="false">IF(J1810="","",Settings!$B$4+R1810*7+Q1810)</f>
        <v/>
      </c>
      <c r="O1810" s="28" t="str">
        <f aca="true">IF(J1810="","",N1810+MAX(0,ROUNDUP((TODAY()-N1810)/(J1810*7),0))*J1810*7)</f>
        <v/>
      </c>
      <c r="P1810" s="27" t="str">
        <f aca="false">IF(J1810="","",MOD(K1810-1,J1810*4))</f>
        <v/>
      </c>
      <c r="Q1810" s="27" t="str">
        <f aca="false">IF(J1810="","",MOD(P1810,4))</f>
        <v/>
      </c>
      <c r="R1810" s="27" t="str">
        <f aca="false">IF(J1810="","",INT(P1810/4))</f>
        <v/>
      </c>
      <c r="S1810" s="27" t="str">
        <f aca="false">IF(J1810="","",IF(AND('Daily Count Sheet'!$H$3=Q1810,MOD('Daily Count Sheet'!$I$3,J1810)=R1810),1,""))</f>
        <v/>
      </c>
      <c r="T1810" s="27" t="str">
        <f aca="false">IF(S1810=1,COUNTIF($S$2:S1810,1),"")</f>
        <v/>
      </c>
    </row>
    <row r="1811" customFormat="false" ht="15" hidden="false" customHeight="false" outlineLevel="0" collapsed="false">
      <c r="H1811" s="26"/>
      <c r="I1811" s="27" t="str">
        <f aca="false">IF(A1811="","",IF(H1811&lt;&gt;"",UPPER(TRIM(H1811)),IFERROR(CHOOSE(VALUE(E1811)+1,"A","B","C","D"),IF(OR(LEFT(UPPER(TRIM(E1811)),1)="F",UPPER(TRIM(E1811))="A"),"A",IF(OR(LEFT(UPPER(TRIM(E1811)),1)="M",UPPER(TRIM(E1811))="B"),"B",IF(OR(LEFT(UPPER(TRIM(E1811)),2)="SL",UPPER(TRIM(E1811))="C"),"C",IF(OR(LEFT(UPPER(TRIM(E1811)),1)="D",UPPER(TRIM(E1811))="D"),"D","")))))))</f>
        <v/>
      </c>
      <c r="J1811" s="27" t="str">
        <f aca="false">IF(I1811="","",IF(AND(I1811="D",Settings!$B$6&lt;&gt;"Yes"),"",IFERROR(INDEX(Settings!$C$9:$C$12,MATCH(I1811,Settings!$A$9:$A$12,0)),"")))</f>
        <v/>
      </c>
      <c r="K1811" s="27" t="str">
        <f aca="false">IF(J1811="","",COUNTIF($I$2:I1811,I1811))</f>
        <v/>
      </c>
      <c r="L1811" s="27" t="str">
        <f aca="false">IF(J1811="","",CHOOSE(Q1811+1,"Tue","Wed","Thu","Fri"))</f>
        <v/>
      </c>
      <c r="M1811" s="27" t="str">
        <f aca="false">IF(J1811="","",IF(J1811=1,"Every week",R1811+1&amp;" of "&amp;J1811))</f>
        <v/>
      </c>
      <c r="N1811" s="28" t="str">
        <f aca="false">IF(J1811="","",Settings!$B$4+R1811*7+Q1811)</f>
        <v/>
      </c>
      <c r="O1811" s="28" t="str">
        <f aca="true">IF(J1811="","",N1811+MAX(0,ROUNDUP((TODAY()-N1811)/(J1811*7),0))*J1811*7)</f>
        <v/>
      </c>
      <c r="P1811" s="27" t="str">
        <f aca="false">IF(J1811="","",MOD(K1811-1,J1811*4))</f>
        <v/>
      </c>
      <c r="Q1811" s="27" t="str">
        <f aca="false">IF(J1811="","",MOD(P1811,4))</f>
        <v/>
      </c>
      <c r="R1811" s="27" t="str">
        <f aca="false">IF(J1811="","",INT(P1811/4))</f>
        <v/>
      </c>
      <c r="S1811" s="27" t="str">
        <f aca="false">IF(J1811="","",IF(AND('Daily Count Sheet'!$H$3=Q1811,MOD('Daily Count Sheet'!$I$3,J1811)=R1811),1,""))</f>
        <v/>
      </c>
      <c r="T1811" s="27" t="str">
        <f aca="false">IF(S1811=1,COUNTIF($S$2:S1811,1),"")</f>
        <v/>
      </c>
    </row>
    <row r="1812" customFormat="false" ht="15" hidden="false" customHeight="false" outlineLevel="0" collapsed="false">
      <c r="H1812" s="26"/>
      <c r="I1812" s="27" t="str">
        <f aca="false">IF(A1812="","",IF(H1812&lt;&gt;"",UPPER(TRIM(H1812)),IFERROR(CHOOSE(VALUE(E1812)+1,"A","B","C","D"),IF(OR(LEFT(UPPER(TRIM(E1812)),1)="F",UPPER(TRIM(E1812))="A"),"A",IF(OR(LEFT(UPPER(TRIM(E1812)),1)="M",UPPER(TRIM(E1812))="B"),"B",IF(OR(LEFT(UPPER(TRIM(E1812)),2)="SL",UPPER(TRIM(E1812))="C"),"C",IF(OR(LEFT(UPPER(TRIM(E1812)),1)="D",UPPER(TRIM(E1812))="D"),"D","")))))))</f>
        <v/>
      </c>
      <c r="J1812" s="27" t="str">
        <f aca="false">IF(I1812="","",IF(AND(I1812="D",Settings!$B$6&lt;&gt;"Yes"),"",IFERROR(INDEX(Settings!$C$9:$C$12,MATCH(I1812,Settings!$A$9:$A$12,0)),"")))</f>
        <v/>
      </c>
      <c r="K1812" s="27" t="str">
        <f aca="false">IF(J1812="","",COUNTIF($I$2:I1812,I1812))</f>
        <v/>
      </c>
      <c r="L1812" s="27" t="str">
        <f aca="false">IF(J1812="","",CHOOSE(Q1812+1,"Tue","Wed","Thu","Fri"))</f>
        <v/>
      </c>
      <c r="M1812" s="27" t="str">
        <f aca="false">IF(J1812="","",IF(J1812=1,"Every week",R1812+1&amp;" of "&amp;J1812))</f>
        <v/>
      </c>
      <c r="N1812" s="28" t="str">
        <f aca="false">IF(J1812="","",Settings!$B$4+R1812*7+Q1812)</f>
        <v/>
      </c>
      <c r="O1812" s="28" t="str">
        <f aca="true">IF(J1812="","",N1812+MAX(0,ROUNDUP((TODAY()-N1812)/(J1812*7),0))*J1812*7)</f>
        <v/>
      </c>
      <c r="P1812" s="27" t="str">
        <f aca="false">IF(J1812="","",MOD(K1812-1,J1812*4))</f>
        <v/>
      </c>
      <c r="Q1812" s="27" t="str">
        <f aca="false">IF(J1812="","",MOD(P1812,4))</f>
        <v/>
      </c>
      <c r="R1812" s="27" t="str">
        <f aca="false">IF(J1812="","",INT(P1812/4))</f>
        <v/>
      </c>
      <c r="S1812" s="27" t="str">
        <f aca="false">IF(J1812="","",IF(AND('Daily Count Sheet'!$H$3=Q1812,MOD('Daily Count Sheet'!$I$3,J1812)=R1812),1,""))</f>
        <v/>
      </c>
      <c r="T1812" s="27" t="str">
        <f aca="false">IF(S1812=1,COUNTIF($S$2:S1812,1),"")</f>
        <v/>
      </c>
    </row>
    <row r="1813" customFormat="false" ht="15" hidden="false" customHeight="false" outlineLevel="0" collapsed="false">
      <c r="H1813" s="26"/>
      <c r="I1813" s="27" t="str">
        <f aca="false">IF(A1813="","",IF(H1813&lt;&gt;"",UPPER(TRIM(H1813)),IFERROR(CHOOSE(VALUE(E1813)+1,"A","B","C","D"),IF(OR(LEFT(UPPER(TRIM(E1813)),1)="F",UPPER(TRIM(E1813))="A"),"A",IF(OR(LEFT(UPPER(TRIM(E1813)),1)="M",UPPER(TRIM(E1813))="B"),"B",IF(OR(LEFT(UPPER(TRIM(E1813)),2)="SL",UPPER(TRIM(E1813))="C"),"C",IF(OR(LEFT(UPPER(TRIM(E1813)),1)="D",UPPER(TRIM(E1813))="D"),"D","")))))))</f>
        <v/>
      </c>
      <c r="J1813" s="27" t="str">
        <f aca="false">IF(I1813="","",IF(AND(I1813="D",Settings!$B$6&lt;&gt;"Yes"),"",IFERROR(INDEX(Settings!$C$9:$C$12,MATCH(I1813,Settings!$A$9:$A$12,0)),"")))</f>
        <v/>
      </c>
      <c r="K1813" s="27" t="str">
        <f aca="false">IF(J1813="","",COUNTIF($I$2:I1813,I1813))</f>
        <v/>
      </c>
      <c r="L1813" s="27" t="str">
        <f aca="false">IF(J1813="","",CHOOSE(Q1813+1,"Tue","Wed","Thu","Fri"))</f>
        <v/>
      </c>
      <c r="M1813" s="27" t="str">
        <f aca="false">IF(J1813="","",IF(J1813=1,"Every week",R1813+1&amp;" of "&amp;J1813))</f>
        <v/>
      </c>
      <c r="N1813" s="28" t="str">
        <f aca="false">IF(J1813="","",Settings!$B$4+R1813*7+Q1813)</f>
        <v/>
      </c>
      <c r="O1813" s="28" t="str">
        <f aca="true">IF(J1813="","",N1813+MAX(0,ROUNDUP((TODAY()-N1813)/(J1813*7),0))*J1813*7)</f>
        <v/>
      </c>
      <c r="P1813" s="27" t="str">
        <f aca="false">IF(J1813="","",MOD(K1813-1,J1813*4))</f>
        <v/>
      </c>
      <c r="Q1813" s="27" t="str">
        <f aca="false">IF(J1813="","",MOD(P1813,4))</f>
        <v/>
      </c>
      <c r="R1813" s="27" t="str">
        <f aca="false">IF(J1813="","",INT(P1813/4))</f>
        <v/>
      </c>
      <c r="S1813" s="27" t="str">
        <f aca="false">IF(J1813="","",IF(AND('Daily Count Sheet'!$H$3=Q1813,MOD('Daily Count Sheet'!$I$3,J1813)=R1813),1,""))</f>
        <v/>
      </c>
      <c r="T1813" s="27" t="str">
        <f aca="false">IF(S1813=1,COUNTIF($S$2:S1813,1),"")</f>
        <v/>
      </c>
    </row>
    <row r="1814" customFormat="false" ht="15" hidden="false" customHeight="false" outlineLevel="0" collapsed="false">
      <c r="H1814" s="26"/>
      <c r="I1814" s="27" t="str">
        <f aca="false">IF(A1814="","",IF(H1814&lt;&gt;"",UPPER(TRIM(H1814)),IFERROR(CHOOSE(VALUE(E1814)+1,"A","B","C","D"),IF(OR(LEFT(UPPER(TRIM(E1814)),1)="F",UPPER(TRIM(E1814))="A"),"A",IF(OR(LEFT(UPPER(TRIM(E1814)),1)="M",UPPER(TRIM(E1814))="B"),"B",IF(OR(LEFT(UPPER(TRIM(E1814)),2)="SL",UPPER(TRIM(E1814))="C"),"C",IF(OR(LEFT(UPPER(TRIM(E1814)),1)="D",UPPER(TRIM(E1814))="D"),"D","")))))))</f>
        <v/>
      </c>
      <c r="J1814" s="27" t="str">
        <f aca="false">IF(I1814="","",IF(AND(I1814="D",Settings!$B$6&lt;&gt;"Yes"),"",IFERROR(INDEX(Settings!$C$9:$C$12,MATCH(I1814,Settings!$A$9:$A$12,0)),"")))</f>
        <v/>
      </c>
      <c r="K1814" s="27" t="str">
        <f aca="false">IF(J1814="","",COUNTIF($I$2:I1814,I1814))</f>
        <v/>
      </c>
      <c r="L1814" s="27" t="str">
        <f aca="false">IF(J1814="","",CHOOSE(Q1814+1,"Tue","Wed","Thu","Fri"))</f>
        <v/>
      </c>
      <c r="M1814" s="27" t="str">
        <f aca="false">IF(J1814="","",IF(J1814=1,"Every week",R1814+1&amp;" of "&amp;J1814))</f>
        <v/>
      </c>
      <c r="N1814" s="28" t="str">
        <f aca="false">IF(J1814="","",Settings!$B$4+R1814*7+Q1814)</f>
        <v/>
      </c>
      <c r="O1814" s="28" t="str">
        <f aca="true">IF(J1814="","",N1814+MAX(0,ROUNDUP((TODAY()-N1814)/(J1814*7),0))*J1814*7)</f>
        <v/>
      </c>
      <c r="P1814" s="27" t="str">
        <f aca="false">IF(J1814="","",MOD(K1814-1,J1814*4))</f>
        <v/>
      </c>
      <c r="Q1814" s="27" t="str">
        <f aca="false">IF(J1814="","",MOD(P1814,4))</f>
        <v/>
      </c>
      <c r="R1814" s="27" t="str">
        <f aca="false">IF(J1814="","",INT(P1814/4))</f>
        <v/>
      </c>
      <c r="S1814" s="27" t="str">
        <f aca="false">IF(J1814="","",IF(AND('Daily Count Sheet'!$H$3=Q1814,MOD('Daily Count Sheet'!$I$3,J1814)=R1814),1,""))</f>
        <v/>
      </c>
      <c r="T1814" s="27" t="str">
        <f aca="false">IF(S1814=1,COUNTIF($S$2:S1814,1),"")</f>
        <v/>
      </c>
    </row>
    <row r="1815" customFormat="false" ht="15" hidden="false" customHeight="false" outlineLevel="0" collapsed="false">
      <c r="H1815" s="26"/>
      <c r="I1815" s="27" t="str">
        <f aca="false">IF(A1815="","",IF(H1815&lt;&gt;"",UPPER(TRIM(H1815)),IFERROR(CHOOSE(VALUE(E1815)+1,"A","B","C","D"),IF(OR(LEFT(UPPER(TRIM(E1815)),1)="F",UPPER(TRIM(E1815))="A"),"A",IF(OR(LEFT(UPPER(TRIM(E1815)),1)="M",UPPER(TRIM(E1815))="B"),"B",IF(OR(LEFT(UPPER(TRIM(E1815)),2)="SL",UPPER(TRIM(E1815))="C"),"C",IF(OR(LEFT(UPPER(TRIM(E1815)),1)="D",UPPER(TRIM(E1815))="D"),"D","")))))))</f>
        <v/>
      </c>
      <c r="J1815" s="27" t="str">
        <f aca="false">IF(I1815="","",IF(AND(I1815="D",Settings!$B$6&lt;&gt;"Yes"),"",IFERROR(INDEX(Settings!$C$9:$C$12,MATCH(I1815,Settings!$A$9:$A$12,0)),"")))</f>
        <v/>
      </c>
      <c r="K1815" s="27" t="str">
        <f aca="false">IF(J1815="","",COUNTIF($I$2:I1815,I1815))</f>
        <v/>
      </c>
      <c r="L1815" s="27" t="str">
        <f aca="false">IF(J1815="","",CHOOSE(Q1815+1,"Tue","Wed","Thu","Fri"))</f>
        <v/>
      </c>
      <c r="M1815" s="27" t="str">
        <f aca="false">IF(J1815="","",IF(J1815=1,"Every week",R1815+1&amp;" of "&amp;J1815))</f>
        <v/>
      </c>
      <c r="N1815" s="28" t="str">
        <f aca="false">IF(J1815="","",Settings!$B$4+R1815*7+Q1815)</f>
        <v/>
      </c>
      <c r="O1815" s="28" t="str">
        <f aca="true">IF(J1815="","",N1815+MAX(0,ROUNDUP((TODAY()-N1815)/(J1815*7),0))*J1815*7)</f>
        <v/>
      </c>
      <c r="P1815" s="27" t="str">
        <f aca="false">IF(J1815="","",MOD(K1815-1,J1815*4))</f>
        <v/>
      </c>
      <c r="Q1815" s="27" t="str">
        <f aca="false">IF(J1815="","",MOD(P1815,4))</f>
        <v/>
      </c>
      <c r="R1815" s="27" t="str">
        <f aca="false">IF(J1815="","",INT(P1815/4))</f>
        <v/>
      </c>
      <c r="S1815" s="27" t="str">
        <f aca="false">IF(J1815="","",IF(AND('Daily Count Sheet'!$H$3=Q1815,MOD('Daily Count Sheet'!$I$3,J1815)=R1815),1,""))</f>
        <v/>
      </c>
      <c r="T1815" s="27" t="str">
        <f aca="false">IF(S1815=1,COUNTIF($S$2:S1815,1),"")</f>
        <v/>
      </c>
    </row>
    <row r="1816" customFormat="false" ht="15" hidden="false" customHeight="false" outlineLevel="0" collapsed="false">
      <c r="H1816" s="26"/>
      <c r="I1816" s="27" t="str">
        <f aca="false">IF(A1816="","",IF(H1816&lt;&gt;"",UPPER(TRIM(H1816)),IFERROR(CHOOSE(VALUE(E1816)+1,"A","B","C","D"),IF(OR(LEFT(UPPER(TRIM(E1816)),1)="F",UPPER(TRIM(E1816))="A"),"A",IF(OR(LEFT(UPPER(TRIM(E1816)),1)="M",UPPER(TRIM(E1816))="B"),"B",IF(OR(LEFT(UPPER(TRIM(E1816)),2)="SL",UPPER(TRIM(E1816))="C"),"C",IF(OR(LEFT(UPPER(TRIM(E1816)),1)="D",UPPER(TRIM(E1816))="D"),"D","")))))))</f>
        <v/>
      </c>
      <c r="J1816" s="27" t="str">
        <f aca="false">IF(I1816="","",IF(AND(I1816="D",Settings!$B$6&lt;&gt;"Yes"),"",IFERROR(INDEX(Settings!$C$9:$C$12,MATCH(I1816,Settings!$A$9:$A$12,0)),"")))</f>
        <v/>
      </c>
      <c r="K1816" s="27" t="str">
        <f aca="false">IF(J1816="","",COUNTIF($I$2:I1816,I1816))</f>
        <v/>
      </c>
      <c r="L1816" s="27" t="str">
        <f aca="false">IF(J1816="","",CHOOSE(Q1816+1,"Tue","Wed","Thu","Fri"))</f>
        <v/>
      </c>
      <c r="M1816" s="27" t="str">
        <f aca="false">IF(J1816="","",IF(J1816=1,"Every week",R1816+1&amp;" of "&amp;J1816))</f>
        <v/>
      </c>
      <c r="N1816" s="28" t="str">
        <f aca="false">IF(J1816="","",Settings!$B$4+R1816*7+Q1816)</f>
        <v/>
      </c>
      <c r="O1816" s="28" t="str">
        <f aca="true">IF(J1816="","",N1816+MAX(0,ROUNDUP((TODAY()-N1816)/(J1816*7),0))*J1816*7)</f>
        <v/>
      </c>
      <c r="P1816" s="27" t="str">
        <f aca="false">IF(J1816="","",MOD(K1816-1,J1816*4))</f>
        <v/>
      </c>
      <c r="Q1816" s="27" t="str">
        <f aca="false">IF(J1816="","",MOD(P1816,4))</f>
        <v/>
      </c>
      <c r="R1816" s="27" t="str">
        <f aca="false">IF(J1816="","",INT(P1816/4))</f>
        <v/>
      </c>
      <c r="S1816" s="27" t="str">
        <f aca="false">IF(J1816="","",IF(AND('Daily Count Sheet'!$H$3=Q1816,MOD('Daily Count Sheet'!$I$3,J1816)=R1816),1,""))</f>
        <v/>
      </c>
      <c r="T1816" s="27" t="str">
        <f aca="false">IF(S1816=1,COUNTIF($S$2:S1816,1),"")</f>
        <v/>
      </c>
    </row>
    <row r="1817" customFormat="false" ht="15" hidden="false" customHeight="false" outlineLevel="0" collapsed="false">
      <c r="H1817" s="26"/>
      <c r="I1817" s="27" t="str">
        <f aca="false">IF(A1817="","",IF(H1817&lt;&gt;"",UPPER(TRIM(H1817)),IFERROR(CHOOSE(VALUE(E1817)+1,"A","B","C","D"),IF(OR(LEFT(UPPER(TRIM(E1817)),1)="F",UPPER(TRIM(E1817))="A"),"A",IF(OR(LEFT(UPPER(TRIM(E1817)),1)="M",UPPER(TRIM(E1817))="B"),"B",IF(OR(LEFT(UPPER(TRIM(E1817)),2)="SL",UPPER(TRIM(E1817))="C"),"C",IF(OR(LEFT(UPPER(TRIM(E1817)),1)="D",UPPER(TRIM(E1817))="D"),"D","")))))))</f>
        <v/>
      </c>
      <c r="J1817" s="27" t="str">
        <f aca="false">IF(I1817="","",IF(AND(I1817="D",Settings!$B$6&lt;&gt;"Yes"),"",IFERROR(INDEX(Settings!$C$9:$C$12,MATCH(I1817,Settings!$A$9:$A$12,0)),"")))</f>
        <v/>
      </c>
      <c r="K1817" s="27" t="str">
        <f aca="false">IF(J1817="","",COUNTIF($I$2:I1817,I1817))</f>
        <v/>
      </c>
      <c r="L1817" s="27" t="str">
        <f aca="false">IF(J1817="","",CHOOSE(Q1817+1,"Tue","Wed","Thu","Fri"))</f>
        <v/>
      </c>
      <c r="M1817" s="27" t="str">
        <f aca="false">IF(J1817="","",IF(J1817=1,"Every week",R1817+1&amp;" of "&amp;J1817))</f>
        <v/>
      </c>
      <c r="N1817" s="28" t="str">
        <f aca="false">IF(J1817="","",Settings!$B$4+R1817*7+Q1817)</f>
        <v/>
      </c>
      <c r="O1817" s="28" t="str">
        <f aca="true">IF(J1817="","",N1817+MAX(0,ROUNDUP((TODAY()-N1817)/(J1817*7),0))*J1817*7)</f>
        <v/>
      </c>
      <c r="P1817" s="27" t="str">
        <f aca="false">IF(J1817="","",MOD(K1817-1,J1817*4))</f>
        <v/>
      </c>
      <c r="Q1817" s="27" t="str">
        <f aca="false">IF(J1817="","",MOD(P1817,4))</f>
        <v/>
      </c>
      <c r="R1817" s="27" t="str">
        <f aca="false">IF(J1817="","",INT(P1817/4))</f>
        <v/>
      </c>
      <c r="S1817" s="27" t="str">
        <f aca="false">IF(J1817="","",IF(AND('Daily Count Sheet'!$H$3=Q1817,MOD('Daily Count Sheet'!$I$3,J1817)=R1817),1,""))</f>
        <v/>
      </c>
      <c r="T1817" s="27" t="str">
        <f aca="false">IF(S1817=1,COUNTIF($S$2:S1817,1),"")</f>
        <v/>
      </c>
    </row>
    <row r="1818" customFormat="false" ht="15" hidden="false" customHeight="false" outlineLevel="0" collapsed="false">
      <c r="H1818" s="26"/>
      <c r="I1818" s="27" t="str">
        <f aca="false">IF(A1818="","",IF(H1818&lt;&gt;"",UPPER(TRIM(H1818)),IFERROR(CHOOSE(VALUE(E1818)+1,"A","B","C","D"),IF(OR(LEFT(UPPER(TRIM(E1818)),1)="F",UPPER(TRIM(E1818))="A"),"A",IF(OR(LEFT(UPPER(TRIM(E1818)),1)="M",UPPER(TRIM(E1818))="B"),"B",IF(OR(LEFT(UPPER(TRIM(E1818)),2)="SL",UPPER(TRIM(E1818))="C"),"C",IF(OR(LEFT(UPPER(TRIM(E1818)),1)="D",UPPER(TRIM(E1818))="D"),"D","")))))))</f>
        <v/>
      </c>
      <c r="J1818" s="27" t="str">
        <f aca="false">IF(I1818="","",IF(AND(I1818="D",Settings!$B$6&lt;&gt;"Yes"),"",IFERROR(INDEX(Settings!$C$9:$C$12,MATCH(I1818,Settings!$A$9:$A$12,0)),"")))</f>
        <v/>
      </c>
      <c r="K1818" s="27" t="str">
        <f aca="false">IF(J1818="","",COUNTIF($I$2:I1818,I1818))</f>
        <v/>
      </c>
      <c r="L1818" s="27" t="str">
        <f aca="false">IF(J1818="","",CHOOSE(Q1818+1,"Tue","Wed","Thu","Fri"))</f>
        <v/>
      </c>
      <c r="M1818" s="27" t="str">
        <f aca="false">IF(J1818="","",IF(J1818=1,"Every week",R1818+1&amp;" of "&amp;J1818))</f>
        <v/>
      </c>
      <c r="N1818" s="28" t="str">
        <f aca="false">IF(J1818="","",Settings!$B$4+R1818*7+Q1818)</f>
        <v/>
      </c>
      <c r="O1818" s="28" t="str">
        <f aca="true">IF(J1818="","",N1818+MAX(0,ROUNDUP((TODAY()-N1818)/(J1818*7),0))*J1818*7)</f>
        <v/>
      </c>
      <c r="P1818" s="27" t="str">
        <f aca="false">IF(J1818="","",MOD(K1818-1,J1818*4))</f>
        <v/>
      </c>
      <c r="Q1818" s="27" t="str">
        <f aca="false">IF(J1818="","",MOD(P1818,4))</f>
        <v/>
      </c>
      <c r="R1818" s="27" t="str">
        <f aca="false">IF(J1818="","",INT(P1818/4))</f>
        <v/>
      </c>
      <c r="S1818" s="27" t="str">
        <f aca="false">IF(J1818="","",IF(AND('Daily Count Sheet'!$H$3=Q1818,MOD('Daily Count Sheet'!$I$3,J1818)=R1818),1,""))</f>
        <v/>
      </c>
      <c r="T1818" s="27" t="str">
        <f aca="false">IF(S1818=1,COUNTIF($S$2:S1818,1),"")</f>
        <v/>
      </c>
    </row>
    <row r="1819" customFormat="false" ht="15" hidden="false" customHeight="false" outlineLevel="0" collapsed="false">
      <c r="H1819" s="26"/>
      <c r="I1819" s="27" t="str">
        <f aca="false">IF(A1819="","",IF(H1819&lt;&gt;"",UPPER(TRIM(H1819)),IFERROR(CHOOSE(VALUE(E1819)+1,"A","B","C","D"),IF(OR(LEFT(UPPER(TRIM(E1819)),1)="F",UPPER(TRIM(E1819))="A"),"A",IF(OR(LEFT(UPPER(TRIM(E1819)),1)="M",UPPER(TRIM(E1819))="B"),"B",IF(OR(LEFT(UPPER(TRIM(E1819)),2)="SL",UPPER(TRIM(E1819))="C"),"C",IF(OR(LEFT(UPPER(TRIM(E1819)),1)="D",UPPER(TRIM(E1819))="D"),"D","")))))))</f>
        <v/>
      </c>
      <c r="J1819" s="27" t="str">
        <f aca="false">IF(I1819="","",IF(AND(I1819="D",Settings!$B$6&lt;&gt;"Yes"),"",IFERROR(INDEX(Settings!$C$9:$C$12,MATCH(I1819,Settings!$A$9:$A$12,0)),"")))</f>
        <v/>
      </c>
      <c r="K1819" s="27" t="str">
        <f aca="false">IF(J1819="","",COUNTIF($I$2:I1819,I1819))</f>
        <v/>
      </c>
      <c r="L1819" s="27" t="str">
        <f aca="false">IF(J1819="","",CHOOSE(Q1819+1,"Tue","Wed","Thu","Fri"))</f>
        <v/>
      </c>
      <c r="M1819" s="27" t="str">
        <f aca="false">IF(J1819="","",IF(J1819=1,"Every week",R1819+1&amp;" of "&amp;J1819))</f>
        <v/>
      </c>
      <c r="N1819" s="28" t="str">
        <f aca="false">IF(J1819="","",Settings!$B$4+R1819*7+Q1819)</f>
        <v/>
      </c>
      <c r="O1819" s="28" t="str">
        <f aca="true">IF(J1819="","",N1819+MAX(0,ROUNDUP((TODAY()-N1819)/(J1819*7),0))*J1819*7)</f>
        <v/>
      </c>
      <c r="P1819" s="27" t="str">
        <f aca="false">IF(J1819="","",MOD(K1819-1,J1819*4))</f>
        <v/>
      </c>
      <c r="Q1819" s="27" t="str">
        <f aca="false">IF(J1819="","",MOD(P1819,4))</f>
        <v/>
      </c>
      <c r="R1819" s="27" t="str">
        <f aca="false">IF(J1819="","",INT(P1819/4))</f>
        <v/>
      </c>
      <c r="S1819" s="27" t="str">
        <f aca="false">IF(J1819="","",IF(AND('Daily Count Sheet'!$H$3=Q1819,MOD('Daily Count Sheet'!$I$3,J1819)=R1819),1,""))</f>
        <v/>
      </c>
      <c r="T1819" s="27" t="str">
        <f aca="false">IF(S1819=1,COUNTIF($S$2:S1819,1),"")</f>
        <v/>
      </c>
    </row>
    <row r="1820" customFormat="false" ht="15" hidden="false" customHeight="false" outlineLevel="0" collapsed="false">
      <c r="H1820" s="26"/>
      <c r="I1820" s="27" t="str">
        <f aca="false">IF(A1820="","",IF(H1820&lt;&gt;"",UPPER(TRIM(H1820)),IFERROR(CHOOSE(VALUE(E1820)+1,"A","B","C","D"),IF(OR(LEFT(UPPER(TRIM(E1820)),1)="F",UPPER(TRIM(E1820))="A"),"A",IF(OR(LEFT(UPPER(TRIM(E1820)),1)="M",UPPER(TRIM(E1820))="B"),"B",IF(OR(LEFT(UPPER(TRIM(E1820)),2)="SL",UPPER(TRIM(E1820))="C"),"C",IF(OR(LEFT(UPPER(TRIM(E1820)),1)="D",UPPER(TRIM(E1820))="D"),"D","")))))))</f>
        <v/>
      </c>
      <c r="J1820" s="27" t="str">
        <f aca="false">IF(I1820="","",IF(AND(I1820="D",Settings!$B$6&lt;&gt;"Yes"),"",IFERROR(INDEX(Settings!$C$9:$C$12,MATCH(I1820,Settings!$A$9:$A$12,0)),"")))</f>
        <v/>
      </c>
      <c r="K1820" s="27" t="str">
        <f aca="false">IF(J1820="","",COUNTIF($I$2:I1820,I1820))</f>
        <v/>
      </c>
      <c r="L1820" s="27" t="str">
        <f aca="false">IF(J1820="","",CHOOSE(Q1820+1,"Tue","Wed","Thu","Fri"))</f>
        <v/>
      </c>
      <c r="M1820" s="27" t="str">
        <f aca="false">IF(J1820="","",IF(J1820=1,"Every week",R1820+1&amp;" of "&amp;J1820))</f>
        <v/>
      </c>
      <c r="N1820" s="28" t="str">
        <f aca="false">IF(J1820="","",Settings!$B$4+R1820*7+Q1820)</f>
        <v/>
      </c>
      <c r="O1820" s="28" t="str">
        <f aca="true">IF(J1820="","",N1820+MAX(0,ROUNDUP((TODAY()-N1820)/(J1820*7),0))*J1820*7)</f>
        <v/>
      </c>
      <c r="P1820" s="27" t="str">
        <f aca="false">IF(J1820="","",MOD(K1820-1,J1820*4))</f>
        <v/>
      </c>
      <c r="Q1820" s="27" t="str">
        <f aca="false">IF(J1820="","",MOD(P1820,4))</f>
        <v/>
      </c>
      <c r="R1820" s="27" t="str">
        <f aca="false">IF(J1820="","",INT(P1820/4))</f>
        <v/>
      </c>
      <c r="S1820" s="27" t="str">
        <f aca="false">IF(J1820="","",IF(AND('Daily Count Sheet'!$H$3=Q1820,MOD('Daily Count Sheet'!$I$3,J1820)=R1820),1,""))</f>
        <v/>
      </c>
      <c r="T1820" s="27" t="str">
        <f aca="false">IF(S1820=1,COUNTIF($S$2:S1820,1),"")</f>
        <v/>
      </c>
    </row>
    <row r="1821" customFormat="false" ht="15" hidden="false" customHeight="false" outlineLevel="0" collapsed="false">
      <c r="H1821" s="26"/>
      <c r="I1821" s="27" t="str">
        <f aca="false">IF(A1821="","",IF(H1821&lt;&gt;"",UPPER(TRIM(H1821)),IFERROR(CHOOSE(VALUE(E1821)+1,"A","B","C","D"),IF(OR(LEFT(UPPER(TRIM(E1821)),1)="F",UPPER(TRIM(E1821))="A"),"A",IF(OR(LEFT(UPPER(TRIM(E1821)),1)="M",UPPER(TRIM(E1821))="B"),"B",IF(OR(LEFT(UPPER(TRIM(E1821)),2)="SL",UPPER(TRIM(E1821))="C"),"C",IF(OR(LEFT(UPPER(TRIM(E1821)),1)="D",UPPER(TRIM(E1821))="D"),"D","")))))))</f>
        <v/>
      </c>
      <c r="J1821" s="27" t="str">
        <f aca="false">IF(I1821="","",IF(AND(I1821="D",Settings!$B$6&lt;&gt;"Yes"),"",IFERROR(INDEX(Settings!$C$9:$C$12,MATCH(I1821,Settings!$A$9:$A$12,0)),"")))</f>
        <v/>
      </c>
      <c r="K1821" s="27" t="str">
        <f aca="false">IF(J1821="","",COUNTIF($I$2:I1821,I1821))</f>
        <v/>
      </c>
      <c r="L1821" s="27" t="str">
        <f aca="false">IF(J1821="","",CHOOSE(Q1821+1,"Tue","Wed","Thu","Fri"))</f>
        <v/>
      </c>
      <c r="M1821" s="27" t="str">
        <f aca="false">IF(J1821="","",IF(J1821=1,"Every week",R1821+1&amp;" of "&amp;J1821))</f>
        <v/>
      </c>
      <c r="N1821" s="28" t="str">
        <f aca="false">IF(J1821="","",Settings!$B$4+R1821*7+Q1821)</f>
        <v/>
      </c>
      <c r="O1821" s="28" t="str">
        <f aca="true">IF(J1821="","",N1821+MAX(0,ROUNDUP((TODAY()-N1821)/(J1821*7),0))*J1821*7)</f>
        <v/>
      </c>
      <c r="P1821" s="27" t="str">
        <f aca="false">IF(J1821="","",MOD(K1821-1,J1821*4))</f>
        <v/>
      </c>
      <c r="Q1821" s="27" t="str">
        <f aca="false">IF(J1821="","",MOD(P1821,4))</f>
        <v/>
      </c>
      <c r="R1821" s="27" t="str">
        <f aca="false">IF(J1821="","",INT(P1821/4))</f>
        <v/>
      </c>
      <c r="S1821" s="27" t="str">
        <f aca="false">IF(J1821="","",IF(AND('Daily Count Sheet'!$H$3=Q1821,MOD('Daily Count Sheet'!$I$3,J1821)=R1821),1,""))</f>
        <v/>
      </c>
      <c r="T1821" s="27" t="str">
        <f aca="false">IF(S1821=1,COUNTIF($S$2:S1821,1),"")</f>
        <v/>
      </c>
    </row>
    <row r="1822" customFormat="false" ht="15" hidden="false" customHeight="false" outlineLevel="0" collapsed="false">
      <c r="H1822" s="26"/>
      <c r="I1822" s="27" t="str">
        <f aca="false">IF(A1822="","",IF(H1822&lt;&gt;"",UPPER(TRIM(H1822)),IFERROR(CHOOSE(VALUE(E1822)+1,"A","B","C","D"),IF(OR(LEFT(UPPER(TRIM(E1822)),1)="F",UPPER(TRIM(E1822))="A"),"A",IF(OR(LEFT(UPPER(TRIM(E1822)),1)="M",UPPER(TRIM(E1822))="B"),"B",IF(OR(LEFT(UPPER(TRIM(E1822)),2)="SL",UPPER(TRIM(E1822))="C"),"C",IF(OR(LEFT(UPPER(TRIM(E1822)),1)="D",UPPER(TRIM(E1822))="D"),"D","")))))))</f>
        <v/>
      </c>
      <c r="J1822" s="27" t="str">
        <f aca="false">IF(I1822="","",IF(AND(I1822="D",Settings!$B$6&lt;&gt;"Yes"),"",IFERROR(INDEX(Settings!$C$9:$C$12,MATCH(I1822,Settings!$A$9:$A$12,0)),"")))</f>
        <v/>
      </c>
      <c r="K1822" s="27" t="str">
        <f aca="false">IF(J1822="","",COUNTIF($I$2:I1822,I1822))</f>
        <v/>
      </c>
      <c r="L1822" s="27" t="str">
        <f aca="false">IF(J1822="","",CHOOSE(Q1822+1,"Tue","Wed","Thu","Fri"))</f>
        <v/>
      </c>
      <c r="M1822" s="27" t="str">
        <f aca="false">IF(J1822="","",IF(J1822=1,"Every week",R1822+1&amp;" of "&amp;J1822))</f>
        <v/>
      </c>
      <c r="N1822" s="28" t="str">
        <f aca="false">IF(J1822="","",Settings!$B$4+R1822*7+Q1822)</f>
        <v/>
      </c>
      <c r="O1822" s="28" t="str">
        <f aca="true">IF(J1822="","",N1822+MAX(0,ROUNDUP((TODAY()-N1822)/(J1822*7),0))*J1822*7)</f>
        <v/>
      </c>
      <c r="P1822" s="27" t="str">
        <f aca="false">IF(J1822="","",MOD(K1822-1,J1822*4))</f>
        <v/>
      </c>
      <c r="Q1822" s="27" t="str">
        <f aca="false">IF(J1822="","",MOD(P1822,4))</f>
        <v/>
      </c>
      <c r="R1822" s="27" t="str">
        <f aca="false">IF(J1822="","",INT(P1822/4))</f>
        <v/>
      </c>
      <c r="S1822" s="27" t="str">
        <f aca="false">IF(J1822="","",IF(AND('Daily Count Sheet'!$H$3=Q1822,MOD('Daily Count Sheet'!$I$3,J1822)=R1822),1,""))</f>
        <v/>
      </c>
      <c r="T1822" s="27" t="str">
        <f aca="false">IF(S1822=1,COUNTIF($S$2:S1822,1),"")</f>
        <v/>
      </c>
    </row>
    <row r="1823" customFormat="false" ht="15" hidden="false" customHeight="false" outlineLevel="0" collapsed="false">
      <c r="H1823" s="26"/>
      <c r="I1823" s="27" t="str">
        <f aca="false">IF(A1823="","",IF(H1823&lt;&gt;"",UPPER(TRIM(H1823)),IFERROR(CHOOSE(VALUE(E1823)+1,"A","B","C","D"),IF(OR(LEFT(UPPER(TRIM(E1823)),1)="F",UPPER(TRIM(E1823))="A"),"A",IF(OR(LEFT(UPPER(TRIM(E1823)),1)="M",UPPER(TRIM(E1823))="B"),"B",IF(OR(LEFT(UPPER(TRIM(E1823)),2)="SL",UPPER(TRIM(E1823))="C"),"C",IF(OR(LEFT(UPPER(TRIM(E1823)),1)="D",UPPER(TRIM(E1823))="D"),"D","")))))))</f>
        <v/>
      </c>
      <c r="J1823" s="27" t="str">
        <f aca="false">IF(I1823="","",IF(AND(I1823="D",Settings!$B$6&lt;&gt;"Yes"),"",IFERROR(INDEX(Settings!$C$9:$C$12,MATCH(I1823,Settings!$A$9:$A$12,0)),"")))</f>
        <v/>
      </c>
      <c r="K1823" s="27" t="str">
        <f aca="false">IF(J1823="","",COUNTIF($I$2:I1823,I1823))</f>
        <v/>
      </c>
      <c r="L1823" s="27" t="str">
        <f aca="false">IF(J1823="","",CHOOSE(Q1823+1,"Tue","Wed","Thu","Fri"))</f>
        <v/>
      </c>
      <c r="M1823" s="27" t="str">
        <f aca="false">IF(J1823="","",IF(J1823=1,"Every week",R1823+1&amp;" of "&amp;J1823))</f>
        <v/>
      </c>
      <c r="N1823" s="28" t="str">
        <f aca="false">IF(J1823="","",Settings!$B$4+R1823*7+Q1823)</f>
        <v/>
      </c>
      <c r="O1823" s="28" t="str">
        <f aca="true">IF(J1823="","",N1823+MAX(0,ROUNDUP((TODAY()-N1823)/(J1823*7),0))*J1823*7)</f>
        <v/>
      </c>
      <c r="P1823" s="27" t="str">
        <f aca="false">IF(J1823="","",MOD(K1823-1,J1823*4))</f>
        <v/>
      </c>
      <c r="Q1823" s="27" t="str">
        <f aca="false">IF(J1823="","",MOD(P1823,4))</f>
        <v/>
      </c>
      <c r="R1823" s="27" t="str">
        <f aca="false">IF(J1823="","",INT(P1823/4))</f>
        <v/>
      </c>
      <c r="S1823" s="27" t="str">
        <f aca="false">IF(J1823="","",IF(AND('Daily Count Sheet'!$H$3=Q1823,MOD('Daily Count Sheet'!$I$3,J1823)=R1823),1,""))</f>
        <v/>
      </c>
      <c r="T1823" s="27" t="str">
        <f aca="false">IF(S1823=1,COUNTIF($S$2:S1823,1),"")</f>
        <v/>
      </c>
    </row>
    <row r="1824" customFormat="false" ht="15" hidden="false" customHeight="false" outlineLevel="0" collapsed="false">
      <c r="H1824" s="26"/>
      <c r="I1824" s="27" t="str">
        <f aca="false">IF(A1824="","",IF(H1824&lt;&gt;"",UPPER(TRIM(H1824)),IFERROR(CHOOSE(VALUE(E1824)+1,"A","B","C","D"),IF(OR(LEFT(UPPER(TRIM(E1824)),1)="F",UPPER(TRIM(E1824))="A"),"A",IF(OR(LEFT(UPPER(TRIM(E1824)),1)="M",UPPER(TRIM(E1824))="B"),"B",IF(OR(LEFT(UPPER(TRIM(E1824)),2)="SL",UPPER(TRIM(E1824))="C"),"C",IF(OR(LEFT(UPPER(TRIM(E1824)),1)="D",UPPER(TRIM(E1824))="D"),"D","")))))))</f>
        <v/>
      </c>
      <c r="J1824" s="27" t="str">
        <f aca="false">IF(I1824="","",IF(AND(I1824="D",Settings!$B$6&lt;&gt;"Yes"),"",IFERROR(INDEX(Settings!$C$9:$C$12,MATCH(I1824,Settings!$A$9:$A$12,0)),"")))</f>
        <v/>
      </c>
      <c r="K1824" s="27" t="str">
        <f aca="false">IF(J1824="","",COUNTIF($I$2:I1824,I1824))</f>
        <v/>
      </c>
      <c r="L1824" s="27" t="str">
        <f aca="false">IF(J1824="","",CHOOSE(Q1824+1,"Tue","Wed","Thu","Fri"))</f>
        <v/>
      </c>
      <c r="M1824" s="27" t="str">
        <f aca="false">IF(J1824="","",IF(J1824=1,"Every week",R1824+1&amp;" of "&amp;J1824))</f>
        <v/>
      </c>
      <c r="N1824" s="28" t="str">
        <f aca="false">IF(J1824="","",Settings!$B$4+R1824*7+Q1824)</f>
        <v/>
      </c>
      <c r="O1824" s="28" t="str">
        <f aca="true">IF(J1824="","",N1824+MAX(0,ROUNDUP((TODAY()-N1824)/(J1824*7),0))*J1824*7)</f>
        <v/>
      </c>
      <c r="P1824" s="27" t="str">
        <f aca="false">IF(J1824="","",MOD(K1824-1,J1824*4))</f>
        <v/>
      </c>
      <c r="Q1824" s="27" t="str">
        <f aca="false">IF(J1824="","",MOD(P1824,4))</f>
        <v/>
      </c>
      <c r="R1824" s="27" t="str">
        <f aca="false">IF(J1824="","",INT(P1824/4))</f>
        <v/>
      </c>
      <c r="S1824" s="27" t="str">
        <f aca="false">IF(J1824="","",IF(AND('Daily Count Sheet'!$H$3=Q1824,MOD('Daily Count Sheet'!$I$3,J1824)=R1824),1,""))</f>
        <v/>
      </c>
      <c r="T1824" s="27" t="str">
        <f aca="false">IF(S1824=1,COUNTIF($S$2:S1824,1),"")</f>
        <v/>
      </c>
    </row>
    <row r="1825" customFormat="false" ht="15" hidden="false" customHeight="false" outlineLevel="0" collapsed="false">
      <c r="H1825" s="26"/>
      <c r="I1825" s="27" t="str">
        <f aca="false">IF(A1825="","",IF(H1825&lt;&gt;"",UPPER(TRIM(H1825)),IFERROR(CHOOSE(VALUE(E1825)+1,"A","B","C","D"),IF(OR(LEFT(UPPER(TRIM(E1825)),1)="F",UPPER(TRIM(E1825))="A"),"A",IF(OR(LEFT(UPPER(TRIM(E1825)),1)="M",UPPER(TRIM(E1825))="B"),"B",IF(OR(LEFT(UPPER(TRIM(E1825)),2)="SL",UPPER(TRIM(E1825))="C"),"C",IF(OR(LEFT(UPPER(TRIM(E1825)),1)="D",UPPER(TRIM(E1825))="D"),"D","")))))))</f>
        <v/>
      </c>
      <c r="J1825" s="27" t="str">
        <f aca="false">IF(I1825="","",IF(AND(I1825="D",Settings!$B$6&lt;&gt;"Yes"),"",IFERROR(INDEX(Settings!$C$9:$C$12,MATCH(I1825,Settings!$A$9:$A$12,0)),"")))</f>
        <v/>
      </c>
      <c r="K1825" s="27" t="str">
        <f aca="false">IF(J1825="","",COUNTIF($I$2:I1825,I1825))</f>
        <v/>
      </c>
      <c r="L1825" s="27" t="str">
        <f aca="false">IF(J1825="","",CHOOSE(Q1825+1,"Tue","Wed","Thu","Fri"))</f>
        <v/>
      </c>
      <c r="M1825" s="27" t="str">
        <f aca="false">IF(J1825="","",IF(J1825=1,"Every week",R1825+1&amp;" of "&amp;J1825))</f>
        <v/>
      </c>
      <c r="N1825" s="28" t="str">
        <f aca="false">IF(J1825="","",Settings!$B$4+R1825*7+Q1825)</f>
        <v/>
      </c>
      <c r="O1825" s="28" t="str">
        <f aca="true">IF(J1825="","",N1825+MAX(0,ROUNDUP((TODAY()-N1825)/(J1825*7),0))*J1825*7)</f>
        <v/>
      </c>
      <c r="P1825" s="27" t="str">
        <f aca="false">IF(J1825="","",MOD(K1825-1,J1825*4))</f>
        <v/>
      </c>
      <c r="Q1825" s="27" t="str">
        <f aca="false">IF(J1825="","",MOD(P1825,4))</f>
        <v/>
      </c>
      <c r="R1825" s="27" t="str">
        <f aca="false">IF(J1825="","",INT(P1825/4))</f>
        <v/>
      </c>
      <c r="S1825" s="27" t="str">
        <f aca="false">IF(J1825="","",IF(AND('Daily Count Sheet'!$H$3=Q1825,MOD('Daily Count Sheet'!$I$3,J1825)=R1825),1,""))</f>
        <v/>
      </c>
      <c r="T1825" s="27" t="str">
        <f aca="false">IF(S1825=1,COUNTIF($S$2:S1825,1),"")</f>
        <v/>
      </c>
    </row>
    <row r="1826" customFormat="false" ht="15" hidden="false" customHeight="false" outlineLevel="0" collapsed="false">
      <c r="H1826" s="26"/>
      <c r="I1826" s="27" t="str">
        <f aca="false">IF(A1826="","",IF(H1826&lt;&gt;"",UPPER(TRIM(H1826)),IFERROR(CHOOSE(VALUE(E1826)+1,"A","B","C","D"),IF(OR(LEFT(UPPER(TRIM(E1826)),1)="F",UPPER(TRIM(E1826))="A"),"A",IF(OR(LEFT(UPPER(TRIM(E1826)),1)="M",UPPER(TRIM(E1826))="B"),"B",IF(OR(LEFT(UPPER(TRIM(E1826)),2)="SL",UPPER(TRIM(E1826))="C"),"C",IF(OR(LEFT(UPPER(TRIM(E1826)),1)="D",UPPER(TRIM(E1826))="D"),"D","")))))))</f>
        <v/>
      </c>
      <c r="J1826" s="27" t="str">
        <f aca="false">IF(I1826="","",IF(AND(I1826="D",Settings!$B$6&lt;&gt;"Yes"),"",IFERROR(INDEX(Settings!$C$9:$C$12,MATCH(I1826,Settings!$A$9:$A$12,0)),"")))</f>
        <v/>
      </c>
      <c r="K1826" s="27" t="str">
        <f aca="false">IF(J1826="","",COUNTIF($I$2:I1826,I1826))</f>
        <v/>
      </c>
      <c r="L1826" s="27" t="str">
        <f aca="false">IF(J1826="","",CHOOSE(Q1826+1,"Tue","Wed","Thu","Fri"))</f>
        <v/>
      </c>
      <c r="M1826" s="27" t="str">
        <f aca="false">IF(J1826="","",IF(J1826=1,"Every week",R1826+1&amp;" of "&amp;J1826))</f>
        <v/>
      </c>
      <c r="N1826" s="28" t="str">
        <f aca="false">IF(J1826="","",Settings!$B$4+R1826*7+Q1826)</f>
        <v/>
      </c>
      <c r="O1826" s="28" t="str">
        <f aca="true">IF(J1826="","",N1826+MAX(0,ROUNDUP((TODAY()-N1826)/(J1826*7),0))*J1826*7)</f>
        <v/>
      </c>
      <c r="P1826" s="27" t="str">
        <f aca="false">IF(J1826="","",MOD(K1826-1,J1826*4))</f>
        <v/>
      </c>
      <c r="Q1826" s="27" t="str">
        <f aca="false">IF(J1826="","",MOD(P1826,4))</f>
        <v/>
      </c>
      <c r="R1826" s="27" t="str">
        <f aca="false">IF(J1826="","",INT(P1826/4))</f>
        <v/>
      </c>
      <c r="S1826" s="27" t="str">
        <f aca="false">IF(J1826="","",IF(AND('Daily Count Sheet'!$H$3=Q1826,MOD('Daily Count Sheet'!$I$3,J1826)=R1826),1,""))</f>
        <v/>
      </c>
      <c r="T1826" s="27" t="str">
        <f aca="false">IF(S1826=1,COUNTIF($S$2:S1826,1),"")</f>
        <v/>
      </c>
    </row>
    <row r="1827" customFormat="false" ht="15" hidden="false" customHeight="false" outlineLevel="0" collapsed="false">
      <c r="H1827" s="26"/>
      <c r="I1827" s="27" t="str">
        <f aca="false">IF(A1827="","",IF(H1827&lt;&gt;"",UPPER(TRIM(H1827)),IFERROR(CHOOSE(VALUE(E1827)+1,"A","B","C","D"),IF(OR(LEFT(UPPER(TRIM(E1827)),1)="F",UPPER(TRIM(E1827))="A"),"A",IF(OR(LEFT(UPPER(TRIM(E1827)),1)="M",UPPER(TRIM(E1827))="B"),"B",IF(OR(LEFT(UPPER(TRIM(E1827)),2)="SL",UPPER(TRIM(E1827))="C"),"C",IF(OR(LEFT(UPPER(TRIM(E1827)),1)="D",UPPER(TRIM(E1827))="D"),"D","")))))))</f>
        <v/>
      </c>
      <c r="J1827" s="27" t="str">
        <f aca="false">IF(I1827="","",IF(AND(I1827="D",Settings!$B$6&lt;&gt;"Yes"),"",IFERROR(INDEX(Settings!$C$9:$C$12,MATCH(I1827,Settings!$A$9:$A$12,0)),"")))</f>
        <v/>
      </c>
      <c r="K1827" s="27" t="str">
        <f aca="false">IF(J1827="","",COUNTIF($I$2:I1827,I1827))</f>
        <v/>
      </c>
      <c r="L1827" s="27" t="str">
        <f aca="false">IF(J1827="","",CHOOSE(Q1827+1,"Tue","Wed","Thu","Fri"))</f>
        <v/>
      </c>
      <c r="M1827" s="27" t="str">
        <f aca="false">IF(J1827="","",IF(J1827=1,"Every week",R1827+1&amp;" of "&amp;J1827))</f>
        <v/>
      </c>
      <c r="N1827" s="28" t="str">
        <f aca="false">IF(J1827="","",Settings!$B$4+R1827*7+Q1827)</f>
        <v/>
      </c>
      <c r="O1827" s="28" t="str">
        <f aca="true">IF(J1827="","",N1827+MAX(0,ROUNDUP((TODAY()-N1827)/(J1827*7),0))*J1827*7)</f>
        <v/>
      </c>
      <c r="P1827" s="27" t="str">
        <f aca="false">IF(J1827="","",MOD(K1827-1,J1827*4))</f>
        <v/>
      </c>
      <c r="Q1827" s="27" t="str">
        <f aca="false">IF(J1827="","",MOD(P1827,4))</f>
        <v/>
      </c>
      <c r="R1827" s="27" t="str">
        <f aca="false">IF(J1827="","",INT(P1827/4))</f>
        <v/>
      </c>
      <c r="S1827" s="27" t="str">
        <f aca="false">IF(J1827="","",IF(AND('Daily Count Sheet'!$H$3=Q1827,MOD('Daily Count Sheet'!$I$3,J1827)=R1827),1,""))</f>
        <v/>
      </c>
      <c r="T1827" s="27" t="str">
        <f aca="false">IF(S1827=1,COUNTIF($S$2:S1827,1),"")</f>
        <v/>
      </c>
    </row>
    <row r="1828" customFormat="false" ht="15" hidden="false" customHeight="false" outlineLevel="0" collapsed="false">
      <c r="H1828" s="26"/>
      <c r="I1828" s="27" t="str">
        <f aca="false">IF(A1828="","",IF(H1828&lt;&gt;"",UPPER(TRIM(H1828)),IFERROR(CHOOSE(VALUE(E1828)+1,"A","B","C","D"),IF(OR(LEFT(UPPER(TRIM(E1828)),1)="F",UPPER(TRIM(E1828))="A"),"A",IF(OR(LEFT(UPPER(TRIM(E1828)),1)="M",UPPER(TRIM(E1828))="B"),"B",IF(OR(LEFT(UPPER(TRIM(E1828)),2)="SL",UPPER(TRIM(E1828))="C"),"C",IF(OR(LEFT(UPPER(TRIM(E1828)),1)="D",UPPER(TRIM(E1828))="D"),"D","")))))))</f>
        <v/>
      </c>
      <c r="J1828" s="27" t="str">
        <f aca="false">IF(I1828="","",IF(AND(I1828="D",Settings!$B$6&lt;&gt;"Yes"),"",IFERROR(INDEX(Settings!$C$9:$C$12,MATCH(I1828,Settings!$A$9:$A$12,0)),"")))</f>
        <v/>
      </c>
      <c r="K1828" s="27" t="str">
        <f aca="false">IF(J1828="","",COUNTIF($I$2:I1828,I1828))</f>
        <v/>
      </c>
      <c r="L1828" s="27" t="str">
        <f aca="false">IF(J1828="","",CHOOSE(Q1828+1,"Tue","Wed","Thu","Fri"))</f>
        <v/>
      </c>
      <c r="M1828" s="27" t="str">
        <f aca="false">IF(J1828="","",IF(J1828=1,"Every week",R1828+1&amp;" of "&amp;J1828))</f>
        <v/>
      </c>
      <c r="N1828" s="28" t="str">
        <f aca="false">IF(J1828="","",Settings!$B$4+R1828*7+Q1828)</f>
        <v/>
      </c>
      <c r="O1828" s="28" t="str">
        <f aca="true">IF(J1828="","",N1828+MAX(0,ROUNDUP((TODAY()-N1828)/(J1828*7),0))*J1828*7)</f>
        <v/>
      </c>
      <c r="P1828" s="27" t="str">
        <f aca="false">IF(J1828="","",MOD(K1828-1,J1828*4))</f>
        <v/>
      </c>
      <c r="Q1828" s="27" t="str">
        <f aca="false">IF(J1828="","",MOD(P1828,4))</f>
        <v/>
      </c>
      <c r="R1828" s="27" t="str">
        <f aca="false">IF(J1828="","",INT(P1828/4))</f>
        <v/>
      </c>
      <c r="S1828" s="27" t="str">
        <f aca="false">IF(J1828="","",IF(AND('Daily Count Sheet'!$H$3=Q1828,MOD('Daily Count Sheet'!$I$3,J1828)=R1828),1,""))</f>
        <v/>
      </c>
      <c r="T1828" s="27" t="str">
        <f aca="false">IF(S1828=1,COUNTIF($S$2:S1828,1),"")</f>
        <v/>
      </c>
    </row>
    <row r="1829" customFormat="false" ht="15" hidden="false" customHeight="false" outlineLevel="0" collapsed="false">
      <c r="H1829" s="26"/>
      <c r="I1829" s="27" t="str">
        <f aca="false">IF(A1829="","",IF(H1829&lt;&gt;"",UPPER(TRIM(H1829)),IFERROR(CHOOSE(VALUE(E1829)+1,"A","B","C","D"),IF(OR(LEFT(UPPER(TRIM(E1829)),1)="F",UPPER(TRIM(E1829))="A"),"A",IF(OR(LEFT(UPPER(TRIM(E1829)),1)="M",UPPER(TRIM(E1829))="B"),"B",IF(OR(LEFT(UPPER(TRIM(E1829)),2)="SL",UPPER(TRIM(E1829))="C"),"C",IF(OR(LEFT(UPPER(TRIM(E1829)),1)="D",UPPER(TRIM(E1829))="D"),"D","")))))))</f>
        <v/>
      </c>
      <c r="J1829" s="27" t="str">
        <f aca="false">IF(I1829="","",IF(AND(I1829="D",Settings!$B$6&lt;&gt;"Yes"),"",IFERROR(INDEX(Settings!$C$9:$C$12,MATCH(I1829,Settings!$A$9:$A$12,0)),"")))</f>
        <v/>
      </c>
      <c r="K1829" s="27" t="str">
        <f aca="false">IF(J1829="","",COUNTIF($I$2:I1829,I1829))</f>
        <v/>
      </c>
      <c r="L1829" s="27" t="str">
        <f aca="false">IF(J1829="","",CHOOSE(Q1829+1,"Tue","Wed","Thu","Fri"))</f>
        <v/>
      </c>
      <c r="M1829" s="27" t="str">
        <f aca="false">IF(J1829="","",IF(J1829=1,"Every week",R1829+1&amp;" of "&amp;J1829))</f>
        <v/>
      </c>
      <c r="N1829" s="28" t="str">
        <f aca="false">IF(J1829="","",Settings!$B$4+R1829*7+Q1829)</f>
        <v/>
      </c>
      <c r="O1829" s="28" t="str">
        <f aca="true">IF(J1829="","",N1829+MAX(0,ROUNDUP((TODAY()-N1829)/(J1829*7),0))*J1829*7)</f>
        <v/>
      </c>
      <c r="P1829" s="27" t="str">
        <f aca="false">IF(J1829="","",MOD(K1829-1,J1829*4))</f>
        <v/>
      </c>
      <c r="Q1829" s="27" t="str">
        <f aca="false">IF(J1829="","",MOD(P1829,4))</f>
        <v/>
      </c>
      <c r="R1829" s="27" t="str">
        <f aca="false">IF(J1829="","",INT(P1829/4))</f>
        <v/>
      </c>
      <c r="S1829" s="27" t="str">
        <f aca="false">IF(J1829="","",IF(AND('Daily Count Sheet'!$H$3=Q1829,MOD('Daily Count Sheet'!$I$3,J1829)=R1829),1,""))</f>
        <v/>
      </c>
      <c r="T1829" s="27" t="str">
        <f aca="false">IF(S1829=1,COUNTIF($S$2:S1829,1),"")</f>
        <v/>
      </c>
    </row>
    <row r="1830" customFormat="false" ht="15" hidden="false" customHeight="false" outlineLevel="0" collapsed="false">
      <c r="H1830" s="26"/>
      <c r="I1830" s="27" t="str">
        <f aca="false">IF(A1830="","",IF(H1830&lt;&gt;"",UPPER(TRIM(H1830)),IFERROR(CHOOSE(VALUE(E1830)+1,"A","B","C","D"),IF(OR(LEFT(UPPER(TRIM(E1830)),1)="F",UPPER(TRIM(E1830))="A"),"A",IF(OR(LEFT(UPPER(TRIM(E1830)),1)="M",UPPER(TRIM(E1830))="B"),"B",IF(OR(LEFT(UPPER(TRIM(E1830)),2)="SL",UPPER(TRIM(E1830))="C"),"C",IF(OR(LEFT(UPPER(TRIM(E1830)),1)="D",UPPER(TRIM(E1830))="D"),"D","")))))))</f>
        <v/>
      </c>
      <c r="J1830" s="27" t="str">
        <f aca="false">IF(I1830="","",IF(AND(I1830="D",Settings!$B$6&lt;&gt;"Yes"),"",IFERROR(INDEX(Settings!$C$9:$C$12,MATCH(I1830,Settings!$A$9:$A$12,0)),"")))</f>
        <v/>
      </c>
      <c r="K1830" s="27" t="str">
        <f aca="false">IF(J1830="","",COUNTIF($I$2:I1830,I1830))</f>
        <v/>
      </c>
      <c r="L1830" s="27" t="str">
        <f aca="false">IF(J1830="","",CHOOSE(Q1830+1,"Tue","Wed","Thu","Fri"))</f>
        <v/>
      </c>
      <c r="M1830" s="27" t="str">
        <f aca="false">IF(J1830="","",IF(J1830=1,"Every week",R1830+1&amp;" of "&amp;J1830))</f>
        <v/>
      </c>
      <c r="N1830" s="28" t="str">
        <f aca="false">IF(J1830="","",Settings!$B$4+R1830*7+Q1830)</f>
        <v/>
      </c>
      <c r="O1830" s="28" t="str">
        <f aca="true">IF(J1830="","",N1830+MAX(0,ROUNDUP((TODAY()-N1830)/(J1830*7),0))*J1830*7)</f>
        <v/>
      </c>
      <c r="P1830" s="27" t="str">
        <f aca="false">IF(J1830="","",MOD(K1830-1,J1830*4))</f>
        <v/>
      </c>
      <c r="Q1830" s="27" t="str">
        <f aca="false">IF(J1830="","",MOD(P1830,4))</f>
        <v/>
      </c>
      <c r="R1830" s="27" t="str">
        <f aca="false">IF(J1830="","",INT(P1830/4))</f>
        <v/>
      </c>
      <c r="S1830" s="27" t="str">
        <f aca="false">IF(J1830="","",IF(AND('Daily Count Sheet'!$H$3=Q1830,MOD('Daily Count Sheet'!$I$3,J1830)=R1830),1,""))</f>
        <v/>
      </c>
      <c r="T1830" s="27" t="str">
        <f aca="false">IF(S1830=1,COUNTIF($S$2:S1830,1),"")</f>
        <v/>
      </c>
    </row>
    <row r="1831" customFormat="false" ht="15" hidden="false" customHeight="false" outlineLevel="0" collapsed="false">
      <c r="H1831" s="26"/>
      <c r="I1831" s="27" t="str">
        <f aca="false">IF(A1831="","",IF(H1831&lt;&gt;"",UPPER(TRIM(H1831)),IFERROR(CHOOSE(VALUE(E1831)+1,"A","B","C","D"),IF(OR(LEFT(UPPER(TRIM(E1831)),1)="F",UPPER(TRIM(E1831))="A"),"A",IF(OR(LEFT(UPPER(TRIM(E1831)),1)="M",UPPER(TRIM(E1831))="B"),"B",IF(OR(LEFT(UPPER(TRIM(E1831)),2)="SL",UPPER(TRIM(E1831))="C"),"C",IF(OR(LEFT(UPPER(TRIM(E1831)),1)="D",UPPER(TRIM(E1831))="D"),"D","")))))))</f>
        <v/>
      </c>
      <c r="J1831" s="27" t="str">
        <f aca="false">IF(I1831="","",IF(AND(I1831="D",Settings!$B$6&lt;&gt;"Yes"),"",IFERROR(INDEX(Settings!$C$9:$C$12,MATCH(I1831,Settings!$A$9:$A$12,0)),"")))</f>
        <v/>
      </c>
      <c r="K1831" s="27" t="str">
        <f aca="false">IF(J1831="","",COUNTIF($I$2:I1831,I1831))</f>
        <v/>
      </c>
      <c r="L1831" s="27" t="str">
        <f aca="false">IF(J1831="","",CHOOSE(Q1831+1,"Tue","Wed","Thu","Fri"))</f>
        <v/>
      </c>
      <c r="M1831" s="27" t="str">
        <f aca="false">IF(J1831="","",IF(J1831=1,"Every week",R1831+1&amp;" of "&amp;J1831))</f>
        <v/>
      </c>
      <c r="N1831" s="28" t="str">
        <f aca="false">IF(J1831="","",Settings!$B$4+R1831*7+Q1831)</f>
        <v/>
      </c>
      <c r="O1831" s="28" t="str">
        <f aca="true">IF(J1831="","",N1831+MAX(0,ROUNDUP((TODAY()-N1831)/(J1831*7),0))*J1831*7)</f>
        <v/>
      </c>
      <c r="P1831" s="27" t="str">
        <f aca="false">IF(J1831="","",MOD(K1831-1,J1831*4))</f>
        <v/>
      </c>
      <c r="Q1831" s="27" t="str">
        <f aca="false">IF(J1831="","",MOD(P1831,4))</f>
        <v/>
      </c>
      <c r="R1831" s="27" t="str">
        <f aca="false">IF(J1831="","",INT(P1831/4))</f>
        <v/>
      </c>
      <c r="S1831" s="27" t="str">
        <f aca="false">IF(J1831="","",IF(AND('Daily Count Sheet'!$H$3=Q1831,MOD('Daily Count Sheet'!$I$3,J1831)=R1831),1,""))</f>
        <v/>
      </c>
      <c r="T1831" s="27" t="str">
        <f aca="false">IF(S1831=1,COUNTIF($S$2:S1831,1),"")</f>
        <v/>
      </c>
    </row>
    <row r="1832" customFormat="false" ht="15" hidden="false" customHeight="false" outlineLevel="0" collapsed="false">
      <c r="H1832" s="26"/>
      <c r="I1832" s="27" t="str">
        <f aca="false">IF(A1832="","",IF(H1832&lt;&gt;"",UPPER(TRIM(H1832)),IFERROR(CHOOSE(VALUE(E1832)+1,"A","B","C","D"),IF(OR(LEFT(UPPER(TRIM(E1832)),1)="F",UPPER(TRIM(E1832))="A"),"A",IF(OR(LEFT(UPPER(TRIM(E1832)),1)="M",UPPER(TRIM(E1832))="B"),"B",IF(OR(LEFT(UPPER(TRIM(E1832)),2)="SL",UPPER(TRIM(E1832))="C"),"C",IF(OR(LEFT(UPPER(TRIM(E1832)),1)="D",UPPER(TRIM(E1832))="D"),"D","")))))))</f>
        <v/>
      </c>
      <c r="J1832" s="27" t="str">
        <f aca="false">IF(I1832="","",IF(AND(I1832="D",Settings!$B$6&lt;&gt;"Yes"),"",IFERROR(INDEX(Settings!$C$9:$C$12,MATCH(I1832,Settings!$A$9:$A$12,0)),"")))</f>
        <v/>
      </c>
      <c r="K1832" s="27" t="str">
        <f aca="false">IF(J1832="","",COUNTIF($I$2:I1832,I1832))</f>
        <v/>
      </c>
      <c r="L1832" s="27" t="str">
        <f aca="false">IF(J1832="","",CHOOSE(Q1832+1,"Tue","Wed","Thu","Fri"))</f>
        <v/>
      </c>
      <c r="M1832" s="27" t="str">
        <f aca="false">IF(J1832="","",IF(J1832=1,"Every week",R1832+1&amp;" of "&amp;J1832))</f>
        <v/>
      </c>
      <c r="N1832" s="28" t="str">
        <f aca="false">IF(J1832="","",Settings!$B$4+R1832*7+Q1832)</f>
        <v/>
      </c>
      <c r="O1832" s="28" t="str">
        <f aca="true">IF(J1832="","",N1832+MAX(0,ROUNDUP((TODAY()-N1832)/(J1832*7),0))*J1832*7)</f>
        <v/>
      </c>
      <c r="P1832" s="27" t="str">
        <f aca="false">IF(J1832="","",MOD(K1832-1,J1832*4))</f>
        <v/>
      </c>
      <c r="Q1832" s="27" t="str">
        <f aca="false">IF(J1832="","",MOD(P1832,4))</f>
        <v/>
      </c>
      <c r="R1832" s="27" t="str">
        <f aca="false">IF(J1832="","",INT(P1832/4))</f>
        <v/>
      </c>
      <c r="S1832" s="27" t="str">
        <f aca="false">IF(J1832="","",IF(AND('Daily Count Sheet'!$H$3=Q1832,MOD('Daily Count Sheet'!$I$3,J1832)=R1832),1,""))</f>
        <v/>
      </c>
      <c r="T1832" s="27" t="str">
        <f aca="false">IF(S1832=1,COUNTIF($S$2:S1832,1),"")</f>
        <v/>
      </c>
    </row>
    <row r="1833" customFormat="false" ht="15" hidden="false" customHeight="false" outlineLevel="0" collapsed="false">
      <c r="H1833" s="26"/>
      <c r="I1833" s="27" t="str">
        <f aca="false">IF(A1833="","",IF(H1833&lt;&gt;"",UPPER(TRIM(H1833)),IFERROR(CHOOSE(VALUE(E1833)+1,"A","B","C","D"),IF(OR(LEFT(UPPER(TRIM(E1833)),1)="F",UPPER(TRIM(E1833))="A"),"A",IF(OR(LEFT(UPPER(TRIM(E1833)),1)="M",UPPER(TRIM(E1833))="B"),"B",IF(OR(LEFT(UPPER(TRIM(E1833)),2)="SL",UPPER(TRIM(E1833))="C"),"C",IF(OR(LEFT(UPPER(TRIM(E1833)),1)="D",UPPER(TRIM(E1833))="D"),"D","")))))))</f>
        <v/>
      </c>
      <c r="J1833" s="27" t="str">
        <f aca="false">IF(I1833="","",IF(AND(I1833="D",Settings!$B$6&lt;&gt;"Yes"),"",IFERROR(INDEX(Settings!$C$9:$C$12,MATCH(I1833,Settings!$A$9:$A$12,0)),"")))</f>
        <v/>
      </c>
      <c r="K1833" s="27" t="str">
        <f aca="false">IF(J1833="","",COUNTIF($I$2:I1833,I1833))</f>
        <v/>
      </c>
      <c r="L1833" s="27" t="str">
        <f aca="false">IF(J1833="","",CHOOSE(Q1833+1,"Tue","Wed","Thu","Fri"))</f>
        <v/>
      </c>
      <c r="M1833" s="27" t="str">
        <f aca="false">IF(J1833="","",IF(J1833=1,"Every week",R1833+1&amp;" of "&amp;J1833))</f>
        <v/>
      </c>
      <c r="N1833" s="28" t="str">
        <f aca="false">IF(J1833="","",Settings!$B$4+R1833*7+Q1833)</f>
        <v/>
      </c>
      <c r="O1833" s="28" t="str">
        <f aca="true">IF(J1833="","",N1833+MAX(0,ROUNDUP((TODAY()-N1833)/(J1833*7),0))*J1833*7)</f>
        <v/>
      </c>
      <c r="P1833" s="27" t="str">
        <f aca="false">IF(J1833="","",MOD(K1833-1,J1833*4))</f>
        <v/>
      </c>
      <c r="Q1833" s="27" t="str">
        <f aca="false">IF(J1833="","",MOD(P1833,4))</f>
        <v/>
      </c>
      <c r="R1833" s="27" t="str">
        <f aca="false">IF(J1833="","",INT(P1833/4))</f>
        <v/>
      </c>
      <c r="S1833" s="27" t="str">
        <f aca="false">IF(J1833="","",IF(AND('Daily Count Sheet'!$H$3=Q1833,MOD('Daily Count Sheet'!$I$3,J1833)=R1833),1,""))</f>
        <v/>
      </c>
      <c r="T1833" s="27" t="str">
        <f aca="false">IF(S1833=1,COUNTIF($S$2:S1833,1),"")</f>
        <v/>
      </c>
    </row>
    <row r="1834" customFormat="false" ht="15" hidden="false" customHeight="false" outlineLevel="0" collapsed="false">
      <c r="H1834" s="26"/>
      <c r="I1834" s="27" t="str">
        <f aca="false">IF(A1834="","",IF(H1834&lt;&gt;"",UPPER(TRIM(H1834)),IFERROR(CHOOSE(VALUE(E1834)+1,"A","B","C","D"),IF(OR(LEFT(UPPER(TRIM(E1834)),1)="F",UPPER(TRIM(E1834))="A"),"A",IF(OR(LEFT(UPPER(TRIM(E1834)),1)="M",UPPER(TRIM(E1834))="B"),"B",IF(OR(LEFT(UPPER(TRIM(E1834)),2)="SL",UPPER(TRIM(E1834))="C"),"C",IF(OR(LEFT(UPPER(TRIM(E1834)),1)="D",UPPER(TRIM(E1834))="D"),"D","")))))))</f>
        <v/>
      </c>
      <c r="J1834" s="27" t="str">
        <f aca="false">IF(I1834="","",IF(AND(I1834="D",Settings!$B$6&lt;&gt;"Yes"),"",IFERROR(INDEX(Settings!$C$9:$C$12,MATCH(I1834,Settings!$A$9:$A$12,0)),"")))</f>
        <v/>
      </c>
      <c r="K1834" s="27" t="str">
        <f aca="false">IF(J1834="","",COUNTIF($I$2:I1834,I1834))</f>
        <v/>
      </c>
      <c r="L1834" s="27" t="str">
        <f aca="false">IF(J1834="","",CHOOSE(Q1834+1,"Tue","Wed","Thu","Fri"))</f>
        <v/>
      </c>
      <c r="M1834" s="27" t="str">
        <f aca="false">IF(J1834="","",IF(J1834=1,"Every week",R1834+1&amp;" of "&amp;J1834))</f>
        <v/>
      </c>
      <c r="N1834" s="28" t="str">
        <f aca="false">IF(J1834="","",Settings!$B$4+R1834*7+Q1834)</f>
        <v/>
      </c>
      <c r="O1834" s="28" t="str">
        <f aca="true">IF(J1834="","",N1834+MAX(0,ROUNDUP((TODAY()-N1834)/(J1834*7),0))*J1834*7)</f>
        <v/>
      </c>
      <c r="P1834" s="27" t="str">
        <f aca="false">IF(J1834="","",MOD(K1834-1,J1834*4))</f>
        <v/>
      </c>
      <c r="Q1834" s="27" t="str">
        <f aca="false">IF(J1834="","",MOD(P1834,4))</f>
        <v/>
      </c>
      <c r="R1834" s="27" t="str">
        <f aca="false">IF(J1834="","",INT(P1834/4))</f>
        <v/>
      </c>
      <c r="S1834" s="27" t="str">
        <f aca="false">IF(J1834="","",IF(AND('Daily Count Sheet'!$H$3=Q1834,MOD('Daily Count Sheet'!$I$3,J1834)=R1834),1,""))</f>
        <v/>
      </c>
      <c r="T1834" s="27" t="str">
        <f aca="false">IF(S1834=1,COUNTIF($S$2:S1834,1),"")</f>
        <v/>
      </c>
    </row>
    <row r="1835" customFormat="false" ht="15" hidden="false" customHeight="false" outlineLevel="0" collapsed="false">
      <c r="H1835" s="26"/>
      <c r="I1835" s="27" t="str">
        <f aca="false">IF(A1835="","",IF(H1835&lt;&gt;"",UPPER(TRIM(H1835)),IFERROR(CHOOSE(VALUE(E1835)+1,"A","B","C","D"),IF(OR(LEFT(UPPER(TRIM(E1835)),1)="F",UPPER(TRIM(E1835))="A"),"A",IF(OR(LEFT(UPPER(TRIM(E1835)),1)="M",UPPER(TRIM(E1835))="B"),"B",IF(OR(LEFT(UPPER(TRIM(E1835)),2)="SL",UPPER(TRIM(E1835))="C"),"C",IF(OR(LEFT(UPPER(TRIM(E1835)),1)="D",UPPER(TRIM(E1835))="D"),"D","")))))))</f>
        <v/>
      </c>
      <c r="J1835" s="27" t="str">
        <f aca="false">IF(I1835="","",IF(AND(I1835="D",Settings!$B$6&lt;&gt;"Yes"),"",IFERROR(INDEX(Settings!$C$9:$C$12,MATCH(I1835,Settings!$A$9:$A$12,0)),"")))</f>
        <v/>
      </c>
      <c r="K1835" s="27" t="str">
        <f aca="false">IF(J1835="","",COUNTIF($I$2:I1835,I1835))</f>
        <v/>
      </c>
      <c r="L1835" s="27" t="str">
        <f aca="false">IF(J1835="","",CHOOSE(Q1835+1,"Tue","Wed","Thu","Fri"))</f>
        <v/>
      </c>
      <c r="M1835" s="27" t="str">
        <f aca="false">IF(J1835="","",IF(J1835=1,"Every week",R1835+1&amp;" of "&amp;J1835))</f>
        <v/>
      </c>
      <c r="N1835" s="28" t="str">
        <f aca="false">IF(J1835="","",Settings!$B$4+R1835*7+Q1835)</f>
        <v/>
      </c>
      <c r="O1835" s="28" t="str">
        <f aca="true">IF(J1835="","",N1835+MAX(0,ROUNDUP((TODAY()-N1835)/(J1835*7),0))*J1835*7)</f>
        <v/>
      </c>
      <c r="P1835" s="27" t="str">
        <f aca="false">IF(J1835="","",MOD(K1835-1,J1835*4))</f>
        <v/>
      </c>
      <c r="Q1835" s="27" t="str">
        <f aca="false">IF(J1835="","",MOD(P1835,4))</f>
        <v/>
      </c>
      <c r="R1835" s="27" t="str">
        <f aca="false">IF(J1835="","",INT(P1835/4))</f>
        <v/>
      </c>
      <c r="S1835" s="27" t="str">
        <f aca="false">IF(J1835="","",IF(AND('Daily Count Sheet'!$H$3=Q1835,MOD('Daily Count Sheet'!$I$3,J1835)=R1835),1,""))</f>
        <v/>
      </c>
      <c r="T1835" s="27" t="str">
        <f aca="false">IF(S1835=1,COUNTIF($S$2:S1835,1),"")</f>
        <v/>
      </c>
    </row>
    <row r="1836" customFormat="false" ht="15" hidden="false" customHeight="false" outlineLevel="0" collapsed="false">
      <c r="H1836" s="26"/>
      <c r="I1836" s="27" t="str">
        <f aca="false">IF(A1836="","",IF(H1836&lt;&gt;"",UPPER(TRIM(H1836)),IFERROR(CHOOSE(VALUE(E1836)+1,"A","B","C","D"),IF(OR(LEFT(UPPER(TRIM(E1836)),1)="F",UPPER(TRIM(E1836))="A"),"A",IF(OR(LEFT(UPPER(TRIM(E1836)),1)="M",UPPER(TRIM(E1836))="B"),"B",IF(OR(LEFT(UPPER(TRIM(E1836)),2)="SL",UPPER(TRIM(E1836))="C"),"C",IF(OR(LEFT(UPPER(TRIM(E1836)),1)="D",UPPER(TRIM(E1836))="D"),"D","")))))))</f>
        <v/>
      </c>
      <c r="J1836" s="27" t="str">
        <f aca="false">IF(I1836="","",IF(AND(I1836="D",Settings!$B$6&lt;&gt;"Yes"),"",IFERROR(INDEX(Settings!$C$9:$C$12,MATCH(I1836,Settings!$A$9:$A$12,0)),"")))</f>
        <v/>
      </c>
      <c r="K1836" s="27" t="str">
        <f aca="false">IF(J1836="","",COUNTIF($I$2:I1836,I1836))</f>
        <v/>
      </c>
      <c r="L1836" s="27" t="str">
        <f aca="false">IF(J1836="","",CHOOSE(Q1836+1,"Tue","Wed","Thu","Fri"))</f>
        <v/>
      </c>
      <c r="M1836" s="27" t="str">
        <f aca="false">IF(J1836="","",IF(J1836=1,"Every week",R1836+1&amp;" of "&amp;J1836))</f>
        <v/>
      </c>
      <c r="N1836" s="28" t="str">
        <f aca="false">IF(J1836="","",Settings!$B$4+R1836*7+Q1836)</f>
        <v/>
      </c>
      <c r="O1836" s="28" t="str">
        <f aca="true">IF(J1836="","",N1836+MAX(0,ROUNDUP((TODAY()-N1836)/(J1836*7),0))*J1836*7)</f>
        <v/>
      </c>
      <c r="P1836" s="27" t="str">
        <f aca="false">IF(J1836="","",MOD(K1836-1,J1836*4))</f>
        <v/>
      </c>
      <c r="Q1836" s="27" t="str">
        <f aca="false">IF(J1836="","",MOD(P1836,4))</f>
        <v/>
      </c>
      <c r="R1836" s="27" t="str">
        <f aca="false">IF(J1836="","",INT(P1836/4))</f>
        <v/>
      </c>
      <c r="S1836" s="27" t="str">
        <f aca="false">IF(J1836="","",IF(AND('Daily Count Sheet'!$H$3=Q1836,MOD('Daily Count Sheet'!$I$3,J1836)=R1836),1,""))</f>
        <v/>
      </c>
      <c r="T1836" s="27" t="str">
        <f aca="false">IF(S1836=1,COUNTIF($S$2:S1836,1),"")</f>
        <v/>
      </c>
    </row>
    <row r="1837" customFormat="false" ht="15" hidden="false" customHeight="false" outlineLevel="0" collapsed="false">
      <c r="H1837" s="26"/>
      <c r="I1837" s="27" t="str">
        <f aca="false">IF(A1837="","",IF(H1837&lt;&gt;"",UPPER(TRIM(H1837)),IFERROR(CHOOSE(VALUE(E1837)+1,"A","B","C","D"),IF(OR(LEFT(UPPER(TRIM(E1837)),1)="F",UPPER(TRIM(E1837))="A"),"A",IF(OR(LEFT(UPPER(TRIM(E1837)),1)="M",UPPER(TRIM(E1837))="B"),"B",IF(OR(LEFT(UPPER(TRIM(E1837)),2)="SL",UPPER(TRIM(E1837))="C"),"C",IF(OR(LEFT(UPPER(TRIM(E1837)),1)="D",UPPER(TRIM(E1837))="D"),"D","")))))))</f>
        <v/>
      </c>
      <c r="J1837" s="27" t="str">
        <f aca="false">IF(I1837="","",IF(AND(I1837="D",Settings!$B$6&lt;&gt;"Yes"),"",IFERROR(INDEX(Settings!$C$9:$C$12,MATCH(I1837,Settings!$A$9:$A$12,0)),"")))</f>
        <v/>
      </c>
      <c r="K1837" s="27" t="str">
        <f aca="false">IF(J1837="","",COUNTIF($I$2:I1837,I1837))</f>
        <v/>
      </c>
      <c r="L1837" s="27" t="str">
        <f aca="false">IF(J1837="","",CHOOSE(Q1837+1,"Tue","Wed","Thu","Fri"))</f>
        <v/>
      </c>
      <c r="M1837" s="27" t="str">
        <f aca="false">IF(J1837="","",IF(J1837=1,"Every week",R1837+1&amp;" of "&amp;J1837))</f>
        <v/>
      </c>
      <c r="N1837" s="28" t="str">
        <f aca="false">IF(J1837="","",Settings!$B$4+R1837*7+Q1837)</f>
        <v/>
      </c>
      <c r="O1837" s="28" t="str">
        <f aca="true">IF(J1837="","",N1837+MAX(0,ROUNDUP((TODAY()-N1837)/(J1837*7),0))*J1837*7)</f>
        <v/>
      </c>
      <c r="P1837" s="27" t="str">
        <f aca="false">IF(J1837="","",MOD(K1837-1,J1837*4))</f>
        <v/>
      </c>
      <c r="Q1837" s="27" t="str">
        <f aca="false">IF(J1837="","",MOD(P1837,4))</f>
        <v/>
      </c>
      <c r="R1837" s="27" t="str">
        <f aca="false">IF(J1837="","",INT(P1837/4))</f>
        <v/>
      </c>
      <c r="S1837" s="27" t="str">
        <f aca="false">IF(J1837="","",IF(AND('Daily Count Sheet'!$H$3=Q1837,MOD('Daily Count Sheet'!$I$3,J1837)=R1837),1,""))</f>
        <v/>
      </c>
      <c r="T1837" s="27" t="str">
        <f aca="false">IF(S1837=1,COUNTIF($S$2:S1837,1),"")</f>
        <v/>
      </c>
    </row>
    <row r="1838" customFormat="false" ht="15" hidden="false" customHeight="false" outlineLevel="0" collapsed="false">
      <c r="H1838" s="26"/>
      <c r="I1838" s="27" t="str">
        <f aca="false">IF(A1838="","",IF(H1838&lt;&gt;"",UPPER(TRIM(H1838)),IFERROR(CHOOSE(VALUE(E1838)+1,"A","B","C","D"),IF(OR(LEFT(UPPER(TRIM(E1838)),1)="F",UPPER(TRIM(E1838))="A"),"A",IF(OR(LEFT(UPPER(TRIM(E1838)),1)="M",UPPER(TRIM(E1838))="B"),"B",IF(OR(LEFT(UPPER(TRIM(E1838)),2)="SL",UPPER(TRIM(E1838))="C"),"C",IF(OR(LEFT(UPPER(TRIM(E1838)),1)="D",UPPER(TRIM(E1838))="D"),"D","")))))))</f>
        <v/>
      </c>
      <c r="J1838" s="27" t="str">
        <f aca="false">IF(I1838="","",IF(AND(I1838="D",Settings!$B$6&lt;&gt;"Yes"),"",IFERROR(INDEX(Settings!$C$9:$C$12,MATCH(I1838,Settings!$A$9:$A$12,0)),"")))</f>
        <v/>
      </c>
      <c r="K1838" s="27" t="str">
        <f aca="false">IF(J1838="","",COUNTIF($I$2:I1838,I1838))</f>
        <v/>
      </c>
      <c r="L1838" s="27" t="str">
        <f aca="false">IF(J1838="","",CHOOSE(Q1838+1,"Tue","Wed","Thu","Fri"))</f>
        <v/>
      </c>
      <c r="M1838" s="27" t="str">
        <f aca="false">IF(J1838="","",IF(J1838=1,"Every week",R1838+1&amp;" of "&amp;J1838))</f>
        <v/>
      </c>
      <c r="N1838" s="28" t="str">
        <f aca="false">IF(J1838="","",Settings!$B$4+R1838*7+Q1838)</f>
        <v/>
      </c>
      <c r="O1838" s="28" t="str">
        <f aca="true">IF(J1838="","",N1838+MAX(0,ROUNDUP((TODAY()-N1838)/(J1838*7),0))*J1838*7)</f>
        <v/>
      </c>
      <c r="P1838" s="27" t="str">
        <f aca="false">IF(J1838="","",MOD(K1838-1,J1838*4))</f>
        <v/>
      </c>
      <c r="Q1838" s="27" t="str">
        <f aca="false">IF(J1838="","",MOD(P1838,4))</f>
        <v/>
      </c>
      <c r="R1838" s="27" t="str">
        <f aca="false">IF(J1838="","",INT(P1838/4))</f>
        <v/>
      </c>
      <c r="S1838" s="27" t="str">
        <f aca="false">IF(J1838="","",IF(AND('Daily Count Sheet'!$H$3=Q1838,MOD('Daily Count Sheet'!$I$3,J1838)=R1838),1,""))</f>
        <v/>
      </c>
      <c r="T1838" s="27" t="str">
        <f aca="false">IF(S1838=1,COUNTIF($S$2:S1838,1),"")</f>
        <v/>
      </c>
    </row>
    <row r="1839" customFormat="false" ht="15" hidden="false" customHeight="false" outlineLevel="0" collapsed="false">
      <c r="H1839" s="26"/>
      <c r="I1839" s="27" t="str">
        <f aca="false">IF(A1839="","",IF(H1839&lt;&gt;"",UPPER(TRIM(H1839)),IFERROR(CHOOSE(VALUE(E1839)+1,"A","B","C","D"),IF(OR(LEFT(UPPER(TRIM(E1839)),1)="F",UPPER(TRIM(E1839))="A"),"A",IF(OR(LEFT(UPPER(TRIM(E1839)),1)="M",UPPER(TRIM(E1839))="B"),"B",IF(OR(LEFT(UPPER(TRIM(E1839)),2)="SL",UPPER(TRIM(E1839))="C"),"C",IF(OR(LEFT(UPPER(TRIM(E1839)),1)="D",UPPER(TRIM(E1839))="D"),"D","")))))))</f>
        <v/>
      </c>
      <c r="J1839" s="27" t="str">
        <f aca="false">IF(I1839="","",IF(AND(I1839="D",Settings!$B$6&lt;&gt;"Yes"),"",IFERROR(INDEX(Settings!$C$9:$C$12,MATCH(I1839,Settings!$A$9:$A$12,0)),"")))</f>
        <v/>
      </c>
      <c r="K1839" s="27" t="str">
        <f aca="false">IF(J1839="","",COUNTIF($I$2:I1839,I1839))</f>
        <v/>
      </c>
      <c r="L1839" s="27" t="str">
        <f aca="false">IF(J1839="","",CHOOSE(Q1839+1,"Tue","Wed","Thu","Fri"))</f>
        <v/>
      </c>
      <c r="M1839" s="27" t="str">
        <f aca="false">IF(J1839="","",IF(J1839=1,"Every week",R1839+1&amp;" of "&amp;J1839))</f>
        <v/>
      </c>
      <c r="N1839" s="28" t="str">
        <f aca="false">IF(J1839="","",Settings!$B$4+R1839*7+Q1839)</f>
        <v/>
      </c>
      <c r="O1839" s="28" t="str">
        <f aca="true">IF(J1839="","",N1839+MAX(0,ROUNDUP((TODAY()-N1839)/(J1839*7),0))*J1839*7)</f>
        <v/>
      </c>
      <c r="P1839" s="27" t="str">
        <f aca="false">IF(J1839="","",MOD(K1839-1,J1839*4))</f>
        <v/>
      </c>
      <c r="Q1839" s="27" t="str">
        <f aca="false">IF(J1839="","",MOD(P1839,4))</f>
        <v/>
      </c>
      <c r="R1839" s="27" t="str">
        <f aca="false">IF(J1839="","",INT(P1839/4))</f>
        <v/>
      </c>
      <c r="S1839" s="27" t="str">
        <f aca="false">IF(J1839="","",IF(AND('Daily Count Sheet'!$H$3=Q1839,MOD('Daily Count Sheet'!$I$3,J1839)=R1839),1,""))</f>
        <v/>
      </c>
      <c r="T1839" s="27" t="str">
        <f aca="false">IF(S1839=1,COUNTIF($S$2:S1839,1),"")</f>
        <v/>
      </c>
    </row>
    <row r="1840" customFormat="false" ht="15" hidden="false" customHeight="false" outlineLevel="0" collapsed="false">
      <c r="H1840" s="26"/>
      <c r="I1840" s="27" t="str">
        <f aca="false">IF(A1840="","",IF(H1840&lt;&gt;"",UPPER(TRIM(H1840)),IFERROR(CHOOSE(VALUE(E1840)+1,"A","B","C","D"),IF(OR(LEFT(UPPER(TRIM(E1840)),1)="F",UPPER(TRIM(E1840))="A"),"A",IF(OR(LEFT(UPPER(TRIM(E1840)),1)="M",UPPER(TRIM(E1840))="B"),"B",IF(OR(LEFT(UPPER(TRIM(E1840)),2)="SL",UPPER(TRIM(E1840))="C"),"C",IF(OR(LEFT(UPPER(TRIM(E1840)),1)="D",UPPER(TRIM(E1840))="D"),"D","")))))))</f>
        <v/>
      </c>
      <c r="J1840" s="27" t="str">
        <f aca="false">IF(I1840="","",IF(AND(I1840="D",Settings!$B$6&lt;&gt;"Yes"),"",IFERROR(INDEX(Settings!$C$9:$C$12,MATCH(I1840,Settings!$A$9:$A$12,0)),"")))</f>
        <v/>
      </c>
      <c r="K1840" s="27" t="str">
        <f aca="false">IF(J1840="","",COUNTIF($I$2:I1840,I1840))</f>
        <v/>
      </c>
      <c r="L1840" s="27" t="str">
        <f aca="false">IF(J1840="","",CHOOSE(Q1840+1,"Tue","Wed","Thu","Fri"))</f>
        <v/>
      </c>
      <c r="M1840" s="27" t="str">
        <f aca="false">IF(J1840="","",IF(J1840=1,"Every week",R1840+1&amp;" of "&amp;J1840))</f>
        <v/>
      </c>
      <c r="N1840" s="28" t="str">
        <f aca="false">IF(J1840="","",Settings!$B$4+R1840*7+Q1840)</f>
        <v/>
      </c>
      <c r="O1840" s="28" t="str">
        <f aca="true">IF(J1840="","",N1840+MAX(0,ROUNDUP((TODAY()-N1840)/(J1840*7),0))*J1840*7)</f>
        <v/>
      </c>
      <c r="P1840" s="27" t="str">
        <f aca="false">IF(J1840="","",MOD(K1840-1,J1840*4))</f>
        <v/>
      </c>
      <c r="Q1840" s="27" t="str">
        <f aca="false">IF(J1840="","",MOD(P1840,4))</f>
        <v/>
      </c>
      <c r="R1840" s="27" t="str">
        <f aca="false">IF(J1840="","",INT(P1840/4))</f>
        <v/>
      </c>
      <c r="S1840" s="27" t="str">
        <f aca="false">IF(J1840="","",IF(AND('Daily Count Sheet'!$H$3=Q1840,MOD('Daily Count Sheet'!$I$3,J1840)=R1840),1,""))</f>
        <v/>
      </c>
      <c r="T1840" s="27" t="str">
        <f aca="false">IF(S1840=1,COUNTIF($S$2:S1840,1),"")</f>
        <v/>
      </c>
    </row>
    <row r="1841" customFormat="false" ht="15" hidden="false" customHeight="false" outlineLevel="0" collapsed="false">
      <c r="H1841" s="26"/>
      <c r="I1841" s="27" t="str">
        <f aca="false">IF(A1841="","",IF(H1841&lt;&gt;"",UPPER(TRIM(H1841)),IFERROR(CHOOSE(VALUE(E1841)+1,"A","B","C","D"),IF(OR(LEFT(UPPER(TRIM(E1841)),1)="F",UPPER(TRIM(E1841))="A"),"A",IF(OR(LEFT(UPPER(TRIM(E1841)),1)="M",UPPER(TRIM(E1841))="B"),"B",IF(OR(LEFT(UPPER(TRIM(E1841)),2)="SL",UPPER(TRIM(E1841))="C"),"C",IF(OR(LEFT(UPPER(TRIM(E1841)),1)="D",UPPER(TRIM(E1841))="D"),"D","")))))))</f>
        <v/>
      </c>
      <c r="J1841" s="27" t="str">
        <f aca="false">IF(I1841="","",IF(AND(I1841="D",Settings!$B$6&lt;&gt;"Yes"),"",IFERROR(INDEX(Settings!$C$9:$C$12,MATCH(I1841,Settings!$A$9:$A$12,0)),"")))</f>
        <v/>
      </c>
      <c r="K1841" s="27" t="str">
        <f aca="false">IF(J1841="","",COUNTIF($I$2:I1841,I1841))</f>
        <v/>
      </c>
      <c r="L1841" s="27" t="str">
        <f aca="false">IF(J1841="","",CHOOSE(Q1841+1,"Tue","Wed","Thu","Fri"))</f>
        <v/>
      </c>
      <c r="M1841" s="27" t="str">
        <f aca="false">IF(J1841="","",IF(J1841=1,"Every week",R1841+1&amp;" of "&amp;J1841))</f>
        <v/>
      </c>
      <c r="N1841" s="28" t="str">
        <f aca="false">IF(J1841="","",Settings!$B$4+R1841*7+Q1841)</f>
        <v/>
      </c>
      <c r="O1841" s="28" t="str">
        <f aca="true">IF(J1841="","",N1841+MAX(0,ROUNDUP((TODAY()-N1841)/(J1841*7),0))*J1841*7)</f>
        <v/>
      </c>
      <c r="P1841" s="27" t="str">
        <f aca="false">IF(J1841="","",MOD(K1841-1,J1841*4))</f>
        <v/>
      </c>
      <c r="Q1841" s="27" t="str">
        <f aca="false">IF(J1841="","",MOD(P1841,4))</f>
        <v/>
      </c>
      <c r="R1841" s="27" t="str">
        <f aca="false">IF(J1841="","",INT(P1841/4))</f>
        <v/>
      </c>
      <c r="S1841" s="27" t="str">
        <f aca="false">IF(J1841="","",IF(AND('Daily Count Sheet'!$H$3=Q1841,MOD('Daily Count Sheet'!$I$3,J1841)=R1841),1,""))</f>
        <v/>
      </c>
      <c r="T1841" s="27" t="str">
        <f aca="false">IF(S1841=1,COUNTIF($S$2:S1841,1),"")</f>
        <v/>
      </c>
    </row>
    <row r="1842" customFormat="false" ht="15" hidden="false" customHeight="false" outlineLevel="0" collapsed="false">
      <c r="H1842" s="26"/>
      <c r="I1842" s="27" t="str">
        <f aca="false">IF(A1842="","",IF(H1842&lt;&gt;"",UPPER(TRIM(H1842)),IFERROR(CHOOSE(VALUE(E1842)+1,"A","B","C","D"),IF(OR(LEFT(UPPER(TRIM(E1842)),1)="F",UPPER(TRIM(E1842))="A"),"A",IF(OR(LEFT(UPPER(TRIM(E1842)),1)="M",UPPER(TRIM(E1842))="B"),"B",IF(OR(LEFT(UPPER(TRIM(E1842)),2)="SL",UPPER(TRIM(E1842))="C"),"C",IF(OR(LEFT(UPPER(TRIM(E1842)),1)="D",UPPER(TRIM(E1842))="D"),"D","")))))))</f>
        <v/>
      </c>
      <c r="J1842" s="27" t="str">
        <f aca="false">IF(I1842="","",IF(AND(I1842="D",Settings!$B$6&lt;&gt;"Yes"),"",IFERROR(INDEX(Settings!$C$9:$C$12,MATCH(I1842,Settings!$A$9:$A$12,0)),"")))</f>
        <v/>
      </c>
      <c r="K1842" s="27" t="str">
        <f aca="false">IF(J1842="","",COUNTIF($I$2:I1842,I1842))</f>
        <v/>
      </c>
      <c r="L1842" s="27" t="str">
        <f aca="false">IF(J1842="","",CHOOSE(Q1842+1,"Tue","Wed","Thu","Fri"))</f>
        <v/>
      </c>
      <c r="M1842" s="27" t="str">
        <f aca="false">IF(J1842="","",IF(J1842=1,"Every week",R1842+1&amp;" of "&amp;J1842))</f>
        <v/>
      </c>
      <c r="N1842" s="28" t="str">
        <f aca="false">IF(J1842="","",Settings!$B$4+R1842*7+Q1842)</f>
        <v/>
      </c>
      <c r="O1842" s="28" t="str">
        <f aca="true">IF(J1842="","",N1842+MAX(0,ROUNDUP((TODAY()-N1842)/(J1842*7),0))*J1842*7)</f>
        <v/>
      </c>
      <c r="P1842" s="27" t="str">
        <f aca="false">IF(J1842="","",MOD(K1842-1,J1842*4))</f>
        <v/>
      </c>
      <c r="Q1842" s="27" t="str">
        <f aca="false">IF(J1842="","",MOD(P1842,4))</f>
        <v/>
      </c>
      <c r="R1842" s="27" t="str">
        <f aca="false">IF(J1842="","",INT(P1842/4))</f>
        <v/>
      </c>
      <c r="S1842" s="27" t="str">
        <f aca="false">IF(J1842="","",IF(AND('Daily Count Sheet'!$H$3=Q1842,MOD('Daily Count Sheet'!$I$3,J1842)=R1842),1,""))</f>
        <v/>
      </c>
      <c r="T1842" s="27" t="str">
        <f aca="false">IF(S1842=1,COUNTIF($S$2:S1842,1),"")</f>
        <v/>
      </c>
    </row>
    <row r="1843" customFormat="false" ht="15" hidden="false" customHeight="false" outlineLevel="0" collapsed="false">
      <c r="H1843" s="26"/>
      <c r="I1843" s="27" t="str">
        <f aca="false">IF(A1843="","",IF(H1843&lt;&gt;"",UPPER(TRIM(H1843)),IFERROR(CHOOSE(VALUE(E1843)+1,"A","B","C","D"),IF(OR(LEFT(UPPER(TRIM(E1843)),1)="F",UPPER(TRIM(E1843))="A"),"A",IF(OR(LEFT(UPPER(TRIM(E1843)),1)="M",UPPER(TRIM(E1843))="B"),"B",IF(OR(LEFT(UPPER(TRIM(E1843)),2)="SL",UPPER(TRIM(E1843))="C"),"C",IF(OR(LEFT(UPPER(TRIM(E1843)),1)="D",UPPER(TRIM(E1843))="D"),"D","")))))))</f>
        <v/>
      </c>
      <c r="J1843" s="27" t="str">
        <f aca="false">IF(I1843="","",IF(AND(I1843="D",Settings!$B$6&lt;&gt;"Yes"),"",IFERROR(INDEX(Settings!$C$9:$C$12,MATCH(I1843,Settings!$A$9:$A$12,0)),"")))</f>
        <v/>
      </c>
      <c r="K1843" s="27" t="str">
        <f aca="false">IF(J1843="","",COUNTIF($I$2:I1843,I1843))</f>
        <v/>
      </c>
      <c r="L1843" s="27" t="str">
        <f aca="false">IF(J1843="","",CHOOSE(Q1843+1,"Tue","Wed","Thu","Fri"))</f>
        <v/>
      </c>
      <c r="M1843" s="27" t="str">
        <f aca="false">IF(J1843="","",IF(J1843=1,"Every week",R1843+1&amp;" of "&amp;J1843))</f>
        <v/>
      </c>
      <c r="N1843" s="28" t="str">
        <f aca="false">IF(J1843="","",Settings!$B$4+R1843*7+Q1843)</f>
        <v/>
      </c>
      <c r="O1843" s="28" t="str">
        <f aca="true">IF(J1843="","",N1843+MAX(0,ROUNDUP((TODAY()-N1843)/(J1843*7),0))*J1843*7)</f>
        <v/>
      </c>
      <c r="P1843" s="27" t="str">
        <f aca="false">IF(J1843="","",MOD(K1843-1,J1843*4))</f>
        <v/>
      </c>
      <c r="Q1843" s="27" t="str">
        <f aca="false">IF(J1843="","",MOD(P1843,4))</f>
        <v/>
      </c>
      <c r="R1843" s="27" t="str">
        <f aca="false">IF(J1843="","",INT(P1843/4))</f>
        <v/>
      </c>
      <c r="S1843" s="27" t="str">
        <f aca="false">IF(J1843="","",IF(AND('Daily Count Sheet'!$H$3=Q1843,MOD('Daily Count Sheet'!$I$3,J1843)=R1843),1,""))</f>
        <v/>
      </c>
      <c r="T1843" s="27" t="str">
        <f aca="false">IF(S1843=1,COUNTIF($S$2:S1843,1),"")</f>
        <v/>
      </c>
    </row>
    <row r="1844" customFormat="false" ht="15" hidden="false" customHeight="false" outlineLevel="0" collapsed="false">
      <c r="H1844" s="26"/>
      <c r="I1844" s="27" t="str">
        <f aca="false">IF(A1844="","",IF(H1844&lt;&gt;"",UPPER(TRIM(H1844)),IFERROR(CHOOSE(VALUE(E1844)+1,"A","B","C","D"),IF(OR(LEFT(UPPER(TRIM(E1844)),1)="F",UPPER(TRIM(E1844))="A"),"A",IF(OR(LEFT(UPPER(TRIM(E1844)),1)="M",UPPER(TRIM(E1844))="B"),"B",IF(OR(LEFT(UPPER(TRIM(E1844)),2)="SL",UPPER(TRIM(E1844))="C"),"C",IF(OR(LEFT(UPPER(TRIM(E1844)),1)="D",UPPER(TRIM(E1844))="D"),"D","")))))))</f>
        <v/>
      </c>
      <c r="J1844" s="27" t="str">
        <f aca="false">IF(I1844="","",IF(AND(I1844="D",Settings!$B$6&lt;&gt;"Yes"),"",IFERROR(INDEX(Settings!$C$9:$C$12,MATCH(I1844,Settings!$A$9:$A$12,0)),"")))</f>
        <v/>
      </c>
      <c r="K1844" s="27" t="str">
        <f aca="false">IF(J1844="","",COUNTIF($I$2:I1844,I1844))</f>
        <v/>
      </c>
      <c r="L1844" s="27" t="str">
        <f aca="false">IF(J1844="","",CHOOSE(Q1844+1,"Tue","Wed","Thu","Fri"))</f>
        <v/>
      </c>
      <c r="M1844" s="27" t="str">
        <f aca="false">IF(J1844="","",IF(J1844=1,"Every week",R1844+1&amp;" of "&amp;J1844))</f>
        <v/>
      </c>
      <c r="N1844" s="28" t="str">
        <f aca="false">IF(J1844="","",Settings!$B$4+R1844*7+Q1844)</f>
        <v/>
      </c>
      <c r="O1844" s="28" t="str">
        <f aca="true">IF(J1844="","",N1844+MAX(0,ROUNDUP((TODAY()-N1844)/(J1844*7),0))*J1844*7)</f>
        <v/>
      </c>
      <c r="P1844" s="27" t="str">
        <f aca="false">IF(J1844="","",MOD(K1844-1,J1844*4))</f>
        <v/>
      </c>
      <c r="Q1844" s="27" t="str">
        <f aca="false">IF(J1844="","",MOD(P1844,4))</f>
        <v/>
      </c>
      <c r="R1844" s="27" t="str">
        <f aca="false">IF(J1844="","",INT(P1844/4))</f>
        <v/>
      </c>
      <c r="S1844" s="27" t="str">
        <f aca="false">IF(J1844="","",IF(AND('Daily Count Sheet'!$H$3=Q1844,MOD('Daily Count Sheet'!$I$3,J1844)=R1844),1,""))</f>
        <v/>
      </c>
      <c r="T1844" s="27" t="str">
        <f aca="false">IF(S1844=1,COUNTIF($S$2:S1844,1),"")</f>
        <v/>
      </c>
    </row>
    <row r="1845" customFormat="false" ht="15" hidden="false" customHeight="false" outlineLevel="0" collapsed="false">
      <c r="H1845" s="26"/>
      <c r="I1845" s="27" t="str">
        <f aca="false">IF(A1845="","",IF(H1845&lt;&gt;"",UPPER(TRIM(H1845)),IFERROR(CHOOSE(VALUE(E1845)+1,"A","B","C","D"),IF(OR(LEFT(UPPER(TRIM(E1845)),1)="F",UPPER(TRIM(E1845))="A"),"A",IF(OR(LEFT(UPPER(TRIM(E1845)),1)="M",UPPER(TRIM(E1845))="B"),"B",IF(OR(LEFT(UPPER(TRIM(E1845)),2)="SL",UPPER(TRIM(E1845))="C"),"C",IF(OR(LEFT(UPPER(TRIM(E1845)),1)="D",UPPER(TRIM(E1845))="D"),"D","")))))))</f>
        <v/>
      </c>
      <c r="J1845" s="27" t="str">
        <f aca="false">IF(I1845="","",IF(AND(I1845="D",Settings!$B$6&lt;&gt;"Yes"),"",IFERROR(INDEX(Settings!$C$9:$C$12,MATCH(I1845,Settings!$A$9:$A$12,0)),"")))</f>
        <v/>
      </c>
      <c r="K1845" s="27" t="str">
        <f aca="false">IF(J1845="","",COUNTIF($I$2:I1845,I1845))</f>
        <v/>
      </c>
      <c r="L1845" s="27" t="str">
        <f aca="false">IF(J1845="","",CHOOSE(Q1845+1,"Tue","Wed","Thu","Fri"))</f>
        <v/>
      </c>
      <c r="M1845" s="27" t="str">
        <f aca="false">IF(J1845="","",IF(J1845=1,"Every week",R1845+1&amp;" of "&amp;J1845))</f>
        <v/>
      </c>
      <c r="N1845" s="28" t="str">
        <f aca="false">IF(J1845="","",Settings!$B$4+R1845*7+Q1845)</f>
        <v/>
      </c>
      <c r="O1845" s="28" t="str">
        <f aca="true">IF(J1845="","",N1845+MAX(0,ROUNDUP((TODAY()-N1845)/(J1845*7),0))*J1845*7)</f>
        <v/>
      </c>
      <c r="P1845" s="27" t="str">
        <f aca="false">IF(J1845="","",MOD(K1845-1,J1845*4))</f>
        <v/>
      </c>
      <c r="Q1845" s="27" t="str">
        <f aca="false">IF(J1845="","",MOD(P1845,4))</f>
        <v/>
      </c>
      <c r="R1845" s="27" t="str">
        <f aca="false">IF(J1845="","",INT(P1845/4))</f>
        <v/>
      </c>
      <c r="S1845" s="27" t="str">
        <f aca="false">IF(J1845="","",IF(AND('Daily Count Sheet'!$H$3=Q1845,MOD('Daily Count Sheet'!$I$3,J1845)=R1845),1,""))</f>
        <v/>
      </c>
      <c r="T1845" s="27" t="str">
        <f aca="false">IF(S1845=1,COUNTIF($S$2:S1845,1),"")</f>
        <v/>
      </c>
    </row>
    <row r="1846" customFormat="false" ht="15" hidden="false" customHeight="false" outlineLevel="0" collapsed="false">
      <c r="H1846" s="26"/>
      <c r="I1846" s="27" t="str">
        <f aca="false">IF(A1846="","",IF(H1846&lt;&gt;"",UPPER(TRIM(H1846)),IFERROR(CHOOSE(VALUE(E1846)+1,"A","B","C","D"),IF(OR(LEFT(UPPER(TRIM(E1846)),1)="F",UPPER(TRIM(E1846))="A"),"A",IF(OR(LEFT(UPPER(TRIM(E1846)),1)="M",UPPER(TRIM(E1846))="B"),"B",IF(OR(LEFT(UPPER(TRIM(E1846)),2)="SL",UPPER(TRIM(E1846))="C"),"C",IF(OR(LEFT(UPPER(TRIM(E1846)),1)="D",UPPER(TRIM(E1846))="D"),"D","")))))))</f>
        <v/>
      </c>
      <c r="J1846" s="27" t="str">
        <f aca="false">IF(I1846="","",IF(AND(I1846="D",Settings!$B$6&lt;&gt;"Yes"),"",IFERROR(INDEX(Settings!$C$9:$C$12,MATCH(I1846,Settings!$A$9:$A$12,0)),"")))</f>
        <v/>
      </c>
      <c r="K1846" s="27" t="str">
        <f aca="false">IF(J1846="","",COUNTIF($I$2:I1846,I1846))</f>
        <v/>
      </c>
      <c r="L1846" s="27" t="str">
        <f aca="false">IF(J1846="","",CHOOSE(Q1846+1,"Tue","Wed","Thu","Fri"))</f>
        <v/>
      </c>
      <c r="M1846" s="27" t="str">
        <f aca="false">IF(J1846="","",IF(J1846=1,"Every week",R1846+1&amp;" of "&amp;J1846))</f>
        <v/>
      </c>
      <c r="N1846" s="28" t="str">
        <f aca="false">IF(J1846="","",Settings!$B$4+R1846*7+Q1846)</f>
        <v/>
      </c>
      <c r="O1846" s="28" t="str">
        <f aca="true">IF(J1846="","",N1846+MAX(0,ROUNDUP((TODAY()-N1846)/(J1846*7),0))*J1846*7)</f>
        <v/>
      </c>
      <c r="P1846" s="27" t="str">
        <f aca="false">IF(J1846="","",MOD(K1846-1,J1846*4))</f>
        <v/>
      </c>
      <c r="Q1846" s="27" t="str">
        <f aca="false">IF(J1846="","",MOD(P1846,4))</f>
        <v/>
      </c>
      <c r="R1846" s="27" t="str">
        <f aca="false">IF(J1846="","",INT(P1846/4))</f>
        <v/>
      </c>
      <c r="S1846" s="27" t="str">
        <f aca="false">IF(J1846="","",IF(AND('Daily Count Sheet'!$H$3=Q1846,MOD('Daily Count Sheet'!$I$3,J1846)=R1846),1,""))</f>
        <v/>
      </c>
      <c r="T1846" s="27" t="str">
        <f aca="false">IF(S1846=1,COUNTIF($S$2:S1846,1),"")</f>
        <v/>
      </c>
    </row>
    <row r="1847" customFormat="false" ht="15" hidden="false" customHeight="false" outlineLevel="0" collapsed="false">
      <c r="H1847" s="26"/>
      <c r="I1847" s="27" t="str">
        <f aca="false">IF(A1847="","",IF(H1847&lt;&gt;"",UPPER(TRIM(H1847)),IFERROR(CHOOSE(VALUE(E1847)+1,"A","B","C","D"),IF(OR(LEFT(UPPER(TRIM(E1847)),1)="F",UPPER(TRIM(E1847))="A"),"A",IF(OR(LEFT(UPPER(TRIM(E1847)),1)="M",UPPER(TRIM(E1847))="B"),"B",IF(OR(LEFT(UPPER(TRIM(E1847)),2)="SL",UPPER(TRIM(E1847))="C"),"C",IF(OR(LEFT(UPPER(TRIM(E1847)),1)="D",UPPER(TRIM(E1847))="D"),"D","")))))))</f>
        <v/>
      </c>
      <c r="J1847" s="27" t="str">
        <f aca="false">IF(I1847="","",IF(AND(I1847="D",Settings!$B$6&lt;&gt;"Yes"),"",IFERROR(INDEX(Settings!$C$9:$C$12,MATCH(I1847,Settings!$A$9:$A$12,0)),"")))</f>
        <v/>
      </c>
      <c r="K1847" s="27" t="str">
        <f aca="false">IF(J1847="","",COUNTIF($I$2:I1847,I1847))</f>
        <v/>
      </c>
      <c r="L1847" s="27" t="str">
        <f aca="false">IF(J1847="","",CHOOSE(Q1847+1,"Tue","Wed","Thu","Fri"))</f>
        <v/>
      </c>
      <c r="M1847" s="27" t="str">
        <f aca="false">IF(J1847="","",IF(J1847=1,"Every week",R1847+1&amp;" of "&amp;J1847))</f>
        <v/>
      </c>
      <c r="N1847" s="28" t="str">
        <f aca="false">IF(J1847="","",Settings!$B$4+R1847*7+Q1847)</f>
        <v/>
      </c>
      <c r="O1847" s="28" t="str">
        <f aca="true">IF(J1847="","",N1847+MAX(0,ROUNDUP((TODAY()-N1847)/(J1847*7),0))*J1847*7)</f>
        <v/>
      </c>
      <c r="P1847" s="27" t="str">
        <f aca="false">IF(J1847="","",MOD(K1847-1,J1847*4))</f>
        <v/>
      </c>
      <c r="Q1847" s="27" t="str">
        <f aca="false">IF(J1847="","",MOD(P1847,4))</f>
        <v/>
      </c>
      <c r="R1847" s="27" t="str">
        <f aca="false">IF(J1847="","",INT(P1847/4))</f>
        <v/>
      </c>
      <c r="S1847" s="27" t="str">
        <f aca="false">IF(J1847="","",IF(AND('Daily Count Sheet'!$H$3=Q1847,MOD('Daily Count Sheet'!$I$3,J1847)=R1847),1,""))</f>
        <v/>
      </c>
      <c r="T1847" s="27" t="str">
        <f aca="false">IF(S1847=1,COUNTIF($S$2:S1847,1),"")</f>
        <v/>
      </c>
    </row>
    <row r="1848" customFormat="false" ht="15" hidden="false" customHeight="false" outlineLevel="0" collapsed="false">
      <c r="H1848" s="26"/>
      <c r="I1848" s="27" t="str">
        <f aca="false">IF(A1848="","",IF(H1848&lt;&gt;"",UPPER(TRIM(H1848)),IFERROR(CHOOSE(VALUE(E1848)+1,"A","B","C","D"),IF(OR(LEFT(UPPER(TRIM(E1848)),1)="F",UPPER(TRIM(E1848))="A"),"A",IF(OR(LEFT(UPPER(TRIM(E1848)),1)="M",UPPER(TRIM(E1848))="B"),"B",IF(OR(LEFT(UPPER(TRIM(E1848)),2)="SL",UPPER(TRIM(E1848))="C"),"C",IF(OR(LEFT(UPPER(TRIM(E1848)),1)="D",UPPER(TRIM(E1848))="D"),"D","")))))))</f>
        <v/>
      </c>
      <c r="J1848" s="27" t="str">
        <f aca="false">IF(I1848="","",IF(AND(I1848="D",Settings!$B$6&lt;&gt;"Yes"),"",IFERROR(INDEX(Settings!$C$9:$C$12,MATCH(I1848,Settings!$A$9:$A$12,0)),"")))</f>
        <v/>
      </c>
      <c r="K1848" s="27" t="str">
        <f aca="false">IF(J1848="","",COUNTIF($I$2:I1848,I1848))</f>
        <v/>
      </c>
      <c r="L1848" s="27" t="str">
        <f aca="false">IF(J1848="","",CHOOSE(Q1848+1,"Tue","Wed","Thu","Fri"))</f>
        <v/>
      </c>
      <c r="M1848" s="27" t="str">
        <f aca="false">IF(J1848="","",IF(J1848=1,"Every week",R1848+1&amp;" of "&amp;J1848))</f>
        <v/>
      </c>
      <c r="N1848" s="28" t="str">
        <f aca="false">IF(J1848="","",Settings!$B$4+R1848*7+Q1848)</f>
        <v/>
      </c>
      <c r="O1848" s="28" t="str">
        <f aca="true">IF(J1848="","",N1848+MAX(0,ROUNDUP((TODAY()-N1848)/(J1848*7),0))*J1848*7)</f>
        <v/>
      </c>
      <c r="P1848" s="27" t="str">
        <f aca="false">IF(J1848="","",MOD(K1848-1,J1848*4))</f>
        <v/>
      </c>
      <c r="Q1848" s="27" t="str">
        <f aca="false">IF(J1848="","",MOD(P1848,4))</f>
        <v/>
      </c>
      <c r="R1848" s="27" t="str">
        <f aca="false">IF(J1848="","",INT(P1848/4))</f>
        <v/>
      </c>
      <c r="S1848" s="27" t="str">
        <f aca="false">IF(J1848="","",IF(AND('Daily Count Sheet'!$H$3=Q1848,MOD('Daily Count Sheet'!$I$3,J1848)=R1848),1,""))</f>
        <v/>
      </c>
      <c r="T1848" s="27" t="str">
        <f aca="false">IF(S1848=1,COUNTIF($S$2:S1848,1),"")</f>
        <v/>
      </c>
    </row>
    <row r="1849" customFormat="false" ht="15" hidden="false" customHeight="false" outlineLevel="0" collapsed="false">
      <c r="H1849" s="26"/>
      <c r="I1849" s="27" t="str">
        <f aca="false">IF(A1849="","",IF(H1849&lt;&gt;"",UPPER(TRIM(H1849)),IFERROR(CHOOSE(VALUE(E1849)+1,"A","B","C","D"),IF(OR(LEFT(UPPER(TRIM(E1849)),1)="F",UPPER(TRIM(E1849))="A"),"A",IF(OR(LEFT(UPPER(TRIM(E1849)),1)="M",UPPER(TRIM(E1849))="B"),"B",IF(OR(LEFT(UPPER(TRIM(E1849)),2)="SL",UPPER(TRIM(E1849))="C"),"C",IF(OR(LEFT(UPPER(TRIM(E1849)),1)="D",UPPER(TRIM(E1849))="D"),"D","")))))))</f>
        <v/>
      </c>
      <c r="J1849" s="27" t="str">
        <f aca="false">IF(I1849="","",IF(AND(I1849="D",Settings!$B$6&lt;&gt;"Yes"),"",IFERROR(INDEX(Settings!$C$9:$C$12,MATCH(I1849,Settings!$A$9:$A$12,0)),"")))</f>
        <v/>
      </c>
      <c r="K1849" s="27" t="str">
        <f aca="false">IF(J1849="","",COUNTIF($I$2:I1849,I1849))</f>
        <v/>
      </c>
      <c r="L1849" s="27" t="str">
        <f aca="false">IF(J1849="","",CHOOSE(Q1849+1,"Tue","Wed","Thu","Fri"))</f>
        <v/>
      </c>
      <c r="M1849" s="27" t="str">
        <f aca="false">IF(J1849="","",IF(J1849=1,"Every week",R1849+1&amp;" of "&amp;J1849))</f>
        <v/>
      </c>
      <c r="N1849" s="28" t="str">
        <f aca="false">IF(J1849="","",Settings!$B$4+R1849*7+Q1849)</f>
        <v/>
      </c>
      <c r="O1849" s="28" t="str">
        <f aca="true">IF(J1849="","",N1849+MAX(0,ROUNDUP((TODAY()-N1849)/(J1849*7),0))*J1849*7)</f>
        <v/>
      </c>
      <c r="P1849" s="27" t="str">
        <f aca="false">IF(J1849="","",MOD(K1849-1,J1849*4))</f>
        <v/>
      </c>
      <c r="Q1849" s="27" t="str">
        <f aca="false">IF(J1849="","",MOD(P1849,4))</f>
        <v/>
      </c>
      <c r="R1849" s="27" t="str">
        <f aca="false">IF(J1849="","",INT(P1849/4))</f>
        <v/>
      </c>
      <c r="S1849" s="27" t="str">
        <f aca="false">IF(J1849="","",IF(AND('Daily Count Sheet'!$H$3=Q1849,MOD('Daily Count Sheet'!$I$3,J1849)=R1849),1,""))</f>
        <v/>
      </c>
      <c r="T1849" s="27" t="str">
        <f aca="false">IF(S1849=1,COUNTIF($S$2:S1849,1),"")</f>
        <v/>
      </c>
    </row>
    <row r="1850" customFormat="false" ht="15" hidden="false" customHeight="false" outlineLevel="0" collapsed="false">
      <c r="H1850" s="26"/>
      <c r="I1850" s="27" t="str">
        <f aca="false">IF(A1850="","",IF(H1850&lt;&gt;"",UPPER(TRIM(H1850)),IFERROR(CHOOSE(VALUE(E1850)+1,"A","B","C","D"),IF(OR(LEFT(UPPER(TRIM(E1850)),1)="F",UPPER(TRIM(E1850))="A"),"A",IF(OR(LEFT(UPPER(TRIM(E1850)),1)="M",UPPER(TRIM(E1850))="B"),"B",IF(OR(LEFT(UPPER(TRIM(E1850)),2)="SL",UPPER(TRIM(E1850))="C"),"C",IF(OR(LEFT(UPPER(TRIM(E1850)),1)="D",UPPER(TRIM(E1850))="D"),"D","")))))))</f>
        <v/>
      </c>
      <c r="J1850" s="27" t="str">
        <f aca="false">IF(I1850="","",IF(AND(I1850="D",Settings!$B$6&lt;&gt;"Yes"),"",IFERROR(INDEX(Settings!$C$9:$C$12,MATCH(I1850,Settings!$A$9:$A$12,0)),"")))</f>
        <v/>
      </c>
      <c r="K1850" s="27" t="str">
        <f aca="false">IF(J1850="","",COUNTIF($I$2:I1850,I1850))</f>
        <v/>
      </c>
      <c r="L1850" s="27" t="str">
        <f aca="false">IF(J1850="","",CHOOSE(Q1850+1,"Tue","Wed","Thu","Fri"))</f>
        <v/>
      </c>
      <c r="M1850" s="27" t="str">
        <f aca="false">IF(J1850="","",IF(J1850=1,"Every week",R1850+1&amp;" of "&amp;J1850))</f>
        <v/>
      </c>
      <c r="N1850" s="28" t="str">
        <f aca="false">IF(J1850="","",Settings!$B$4+R1850*7+Q1850)</f>
        <v/>
      </c>
      <c r="O1850" s="28" t="str">
        <f aca="true">IF(J1850="","",N1850+MAX(0,ROUNDUP((TODAY()-N1850)/(J1850*7),0))*J1850*7)</f>
        <v/>
      </c>
      <c r="P1850" s="27" t="str">
        <f aca="false">IF(J1850="","",MOD(K1850-1,J1850*4))</f>
        <v/>
      </c>
      <c r="Q1850" s="27" t="str">
        <f aca="false">IF(J1850="","",MOD(P1850,4))</f>
        <v/>
      </c>
      <c r="R1850" s="27" t="str">
        <f aca="false">IF(J1850="","",INT(P1850/4))</f>
        <v/>
      </c>
      <c r="S1850" s="27" t="str">
        <f aca="false">IF(J1850="","",IF(AND('Daily Count Sheet'!$H$3=Q1850,MOD('Daily Count Sheet'!$I$3,J1850)=R1850),1,""))</f>
        <v/>
      </c>
      <c r="T1850" s="27" t="str">
        <f aca="false">IF(S1850=1,COUNTIF($S$2:S1850,1),"")</f>
        <v/>
      </c>
    </row>
    <row r="1851" customFormat="false" ht="15" hidden="false" customHeight="false" outlineLevel="0" collapsed="false">
      <c r="H1851" s="26"/>
      <c r="I1851" s="27" t="str">
        <f aca="false">IF(A1851="","",IF(H1851&lt;&gt;"",UPPER(TRIM(H1851)),IFERROR(CHOOSE(VALUE(E1851)+1,"A","B","C","D"),IF(OR(LEFT(UPPER(TRIM(E1851)),1)="F",UPPER(TRIM(E1851))="A"),"A",IF(OR(LEFT(UPPER(TRIM(E1851)),1)="M",UPPER(TRIM(E1851))="B"),"B",IF(OR(LEFT(UPPER(TRIM(E1851)),2)="SL",UPPER(TRIM(E1851))="C"),"C",IF(OR(LEFT(UPPER(TRIM(E1851)),1)="D",UPPER(TRIM(E1851))="D"),"D","")))))))</f>
        <v/>
      </c>
      <c r="J1851" s="27" t="str">
        <f aca="false">IF(I1851="","",IF(AND(I1851="D",Settings!$B$6&lt;&gt;"Yes"),"",IFERROR(INDEX(Settings!$C$9:$C$12,MATCH(I1851,Settings!$A$9:$A$12,0)),"")))</f>
        <v/>
      </c>
      <c r="K1851" s="27" t="str">
        <f aca="false">IF(J1851="","",COUNTIF($I$2:I1851,I1851))</f>
        <v/>
      </c>
      <c r="L1851" s="27" t="str">
        <f aca="false">IF(J1851="","",CHOOSE(Q1851+1,"Tue","Wed","Thu","Fri"))</f>
        <v/>
      </c>
      <c r="M1851" s="27" t="str">
        <f aca="false">IF(J1851="","",IF(J1851=1,"Every week",R1851+1&amp;" of "&amp;J1851))</f>
        <v/>
      </c>
      <c r="N1851" s="28" t="str">
        <f aca="false">IF(J1851="","",Settings!$B$4+R1851*7+Q1851)</f>
        <v/>
      </c>
      <c r="O1851" s="28" t="str">
        <f aca="true">IF(J1851="","",N1851+MAX(0,ROUNDUP((TODAY()-N1851)/(J1851*7),0))*J1851*7)</f>
        <v/>
      </c>
      <c r="P1851" s="27" t="str">
        <f aca="false">IF(J1851="","",MOD(K1851-1,J1851*4))</f>
        <v/>
      </c>
      <c r="Q1851" s="27" t="str">
        <f aca="false">IF(J1851="","",MOD(P1851,4))</f>
        <v/>
      </c>
      <c r="R1851" s="27" t="str">
        <f aca="false">IF(J1851="","",INT(P1851/4))</f>
        <v/>
      </c>
      <c r="S1851" s="27" t="str">
        <f aca="false">IF(J1851="","",IF(AND('Daily Count Sheet'!$H$3=Q1851,MOD('Daily Count Sheet'!$I$3,J1851)=R1851),1,""))</f>
        <v/>
      </c>
      <c r="T1851" s="27" t="str">
        <f aca="false">IF(S1851=1,COUNTIF($S$2:S1851,1),"")</f>
        <v/>
      </c>
    </row>
    <row r="1852" customFormat="false" ht="15" hidden="false" customHeight="false" outlineLevel="0" collapsed="false">
      <c r="H1852" s="26"/>
      <c r="I1852" s="27" t="str">
        <f aca="false">IF(A1852="","",IF(H1852&lt;&gt;"",UPPER(TRIM(H1852)),IFERROR(CHOOSE(VALUE(E1852)+1,"A","B","C","D"),IF(OR(LEFT(UPPER(TRIM(E1852)),1)="F",UPPER(TRIM(E1852))="A"),"A",IF(OR(LEFT(UPPER(TRIM(E1852)),1)="M",UPPER(TRIM(E1852))="B"),"B",IF(OR(LEFT(UPPER(TRIM(E1852)),2)="SL",UPPER(TRIM(E1852))="C"),"C",IF(OR(LEFT(UPPER(TRIM(E1852)),1)="D",UPPER(TRIM(E1852))="D"),"D","")))))))</f>
        <v/>
      </c>
      <c r="J1852" s="27" t="str">
        <f aca="false">IF(I1852="","",IF(AND(I1852="D",Settings!$B$6&lt;&gt;"Yes"),"",IFERROR(INDEX(Settings!$C$9:$C$12,MATCH(I1852,Settings!$A$9:$A$12,0)),"")))</f>
        <v/>
      </c>
      <c r="K1852" s="27" t="str">
        <f aca="false">IF(J1852="","",COUNTIF($I$2:I1852,I1852))</f>
        <v/>
      </c>
      <c r="L1852" s="27" t="str">
        <f aca="false">IF(J1852="","",CHOOSE(Q1852+1,"Tue","Wed","Thu","Fri"))</f>
        <v/>
      </c>
      <c r="M1852" s="27" t="str">
        <f aca="false">IF(J1852="","",IF(J1852=1,"Every week",R1852+1&amp;" of "&amp;J1852))</f>
        <v/>
      </c>
      <c r="N1852" s="28" t="str">
        <f aca="false">IF(J1852="","",Settings!$B$4+R1852*7+Q1852)</f>
        <v/>
      </c>
      <c r="O1852" s="28" t="str">
        <f aca="true">IF(J1852="","",N1852+MAX(0,ROUNDUP((TODAY()-N1852)/(J1852*7),0))*J1852*7)</f>
        <v/>
      </c>
      <c r="P1852" s="27" t="str">
        <f aca="false">IF(J1852="","",MOD(K1852-1,J1852*4))</f>
        <v/>
      </c>
      <c r="Q1852" s="27" t="str">
        <f aca="false">IF(J1852="","",MOD(P1852,4))</f>
        <v/>
      </c>
      <c r="R1852" s="27" t="str">
        <f aca="false">IF(J1852="","",INT(P1852/4))</f>
        <v/>
      </c>
      <c r="S1852" s="27" t="str">
        <f aca="false">IF(J1852="","",IF(AND('Daily Count Sheet'!$H$3=Q1852,MOD('Daily Count Sheet'!$I$3,J1852)=R1852),1,""))</f>
        <v/>
      </c>
      <c r="T1852" s="27" t="str">
        <f aca="false">IF(S1852=1,COUNTIF($S$2:S1852,1),"")</f>
        <v/>
      </c>
    </row>
    <row r="1853" customFormat="false" ht="15" hidden="false" customHeight="false" outlineLevel="0" collapsed="false">
      <c r="H1853" s="26"/>
      <c r="I1853" s="27" t="str">
        <f aca="false">IF(A1853="","",IF(H1853&lt;&gt;"",UPPER(TRIM(H1853)),IFERROR(CHOOSE(VALUE(E1853)+1,"A","B","C","D"),IF(OR(LEFT(UPPER(TRIM(E1853)),1)="F",UPPER(TRIM(E1853))="A"),"A",IF(OR(LEFT(UPPER(TRIM(E1853)),1)="M",UPPER(TRIM(E1853))="B"),"B",IF(OR(LEFT(UPPER(TRIM(E1853)),2)="SL",UPPER(TRIM(E1853))="C"),"C",IF(OR(LEFT(UPPER(TRIM(E1853)),1)="D",UPPER(TRIM(E1853))="D"),"D","")))))))</f>
        <v/>
      </c>
      <c r="J1853" s="27" t="str">
        <f aca="false">IF(I1853="","",IF(AND(I1853="D",Settings!$B$6&lt;&gt;"Yes"),"",IFERROR(INDEX(Settings!$C$9:$C$12,MATCH(I1853,Settings!$A$9:$A$12,0)),"")))</f>
        <v/>
      </c>
      <c r="K1853" s="27" t="str">
        <f aca="false">IF(J1853="","",COUNTIF($I$2:I1853,I1853))</f>
        <v/>
      </c>
      <c r="L1853" s="27" t="str">
        <f aca="false">IF(J1853="","",CHOOSE(Q1853+1,"Tue","Wed","Thu","Fri"))</f>
        <v/>
      </c>
      <c r="M1853" s="27" t="str">
        <f aca="false">IF(J1853="","",IF(J1853=1,"Every week",R1853+1&amp;" of "&amp;J1853))</f>
        <v/>
      </c>
      <c r="N1853" s="28" t="str">
        <f aca="false">IF(J1853="","",Settings!$B$4+R1853*7+Q1853)</f>
        <v/>
      </c>
      <c r="O1853" s="28" t="str">
        <f aca="true">IF(J1853="","",N1853+MAX(0,ROUNDUP((TODAY()-N1853)/(J1853*7),0))*J1853*7)</f>
        <v/>
      </c>
      <c r="P1853" s="27" t="str">
        <f aca="false">IF(J1853="","",MOD(K1853-1,J1853*4))</f>
        <v/>
      </c>
      <c r="Q1853" s="27" t="str">
        <f aca="false">IF(J1853="","",MOD(P1853,4))</f>
        <v/>
      </c>
      <c r="R1853" s="27" t="str">
        <f aca="false">IF(J1853="","",INT(P1853/4))</f>
        <v/>
      </c>
      <c r="S1853" s="27" t="str">
        <f aca="false">IF(J1853="","",IF(AND('Daily Count Sheet'!$H$3=Q1853,MOD('Daily Count Sheet'!$I$3,J1853)=R1853),1,""))</f>
        <v/>
      </c>
      <c r="T1853" s="27" t="str">
        <f aca="false">IF(S1853=1,COUNTIF($S$2:S1853,1),"")</f>
        <v/>
      </c>
    </row>
    <row r="1854" customFormat="false" ht="15" hidden="false" customHeight="false" outlineLevel="0" collapsed="false">
      <c r="H1854" s="26"/>
      <c r="I1854" s="27" t="str">
        <f aca="false">IF(A1854="","",IF(H1854&lt;&gt;"",UPPER(TRIM(H1854)),IFERROR(CHOOSE(VALUE(E1854)+1,"A","B","C","D"),IF(OR(LEFT(UPPER(TRIM(E1854)),1)="F",UPPER(TRIM(E1854))="A"),"A",IF(OR(LEFT(UPPER(TRIM(E1854)),1)="M",UPPER(TRIM(E1854))="B"),"B",IF(OR(LEFT(UPPER(TRIM(E1854)),2)="SL",UPPER(TRIM(E1854))="C"),"C",IF(OR(LEFT(UPPER(TRIM(E1854)),1)="D",UPPER(TRIM(E1854))="D"),"D","")))))))</f>
        <v/>
      </c>
      <c r="J1854" s="27" t="str">
        <f aca="false">IF(I1854="","",IF(AND(I1854="D",Settings!$B$6&lt;&gt;"Yes"),"",IFERROR(INDEX(Settings!$C$9:$C$12,MATCH(I1854,Settings!$A$9:$A$12,0)),"")))</f>
        <v/>
      </c>
      <c r="K1854" s="27" t="str">
        <f aca="false">IF(J1854="","",COUNTIF($I$2:I1854,I1854))</f>
        <v/>
      </c>
      <c r="L1854" s="27" t="str">
        <f aca="false">IF(J1854="","",CHOOSE(Q1854+1,"Tue","Wed","Thu","Fri"))</f>
        <v/>
      </c>
      <c r="M1854" s="27" t="str">
        <f aca="false">IF(J1854="","",IF(J1854=1,"Every week",R1854+1&amp;" of "&amp;J1854))</f>
        <v/>
      </c>
      <c r="N1854" s="28" t="str">
        <f aca="false">IF(J1854="","",Settings!$B$4+R1854*7+Q1854)</f>
        <v/>
      </c>
      <c r="O1854" s="28" t="str">
        <f aca="true">IF(J1854="","",N1854+MAX(0,ROUNDUP((TODAY()-N1854)/(J1854*7),0))*J1854*7)</f>
        <v/>
      </c>
      <c r="P1854" s="27" t="str">
        <f aca="false">IF(J1854="","",MOD(K1854-1,J1854*4))</f>
        <v/>
      </c>
      <c r="Q1854" s="27" t="str">
        <f aca="false">IF(J1854="","",MOD(P1854,4))</f>
        <v/>
      </c>
      <c r="R1854" s="27" t="str">
        <f aca="false">IF(J1854="","",INT(P1854/4))</f>
        <v/>
      </c>
      <c r="S1854" s="27" t="str">
        <f aca="false">IF(J1854="","",IF(AND('Daily Count Sheet'!$H$3=Q1854,MOD('Daily Count Sheet'!$I$3,J1854)=R1854),1,""))</f>
        <v/>
      </c>
      <c r="T1854" s="27" t="str">
        <f aca="false">IF(S1854=1,COUNTIF($S$2:S1854,1),"")</f>
        <v/>
      </c>
    </row>
    <row r="1855" customFormat="false" ht="15" hidden="false" customHeight="false" outlineLevel="0" collapsed="false">
      <c r="H1855" s="26"/>
      <c r="I1855" s="27" t="str">
        <f aca="false">IF(A1855="","",IF(H1855&lt;&gt;"",UPPER(TRIM(H1855)),IFERROR(CHOOSE(VALUE(E1855)+1,"A","B","C","D"),IF(OR(LEFT(UPPER(TRIM(E1855)),1)="F",UPPER(TRIM(E1855))="A"),"A",IF(OR(LEFT(UPPER(TRIM(E1855)),1)="M",UPPER(TRIM(E1855))="B"),"B",IF(OR(LEFT(UPPER(TRIM(E1855)),2)="SL",UPPER(TRIM(E1855))="C"),"C",IF(OR(LEFT(UPPER(TRIM(E1855)),1)="D",UPPER(TRIM(E1855))="D"),"D","")))))))</f>
        <v/>
      </c>
      <c r="J1855" s="27" t="str">
        <f aca="false">IF(I1855="","",IF(AND(I1855="D",Settings!$B$6&lt;&gt;"Yes"),"",IFERROR(INDEX(Settings!$C$9:$C$12,MATCH(I1855,Settings!$A$9:$A$12,0)),"")))</f>
        <v/>
      </c>
      <c r="K1855" s="27" t="str">
        <f aca="false">IF(J1855="","",COUNTIF($I$2:I1855,I1855))</f>
        <v/>
      </c>
      <c r="L1855" s="27" t="str">
        <f aca="false">IF(J1855="","",CHOOSE(Q1855+1,"Tue","Wed","Thu","Fri"))</f>
        <v/>
      </c>
      <c r="M1855" s="27" t="str">
        <f aca="false">IF(J1855="","",IF(J1855=1,"Every week",R1855+1&amp;" of "&amp;J1855))</f>
        <v/>
      </c>
      <c r="N1855" s="28" t="str">
        <f aca="false">IF(J1855="","",Settings!$B$4+R1855*7+Q1855)</f>
        <v/>
      </c>
      <c r="O1855" s="28" t="str">
        <f aca="true">IF(J1855="","",N1855+MAX(0,ROUNDUP((TODAY()-N1855)/(J1855*7),0))*J1855*7)</f>
        <v/>
      </c>
      <c r="P1855" s="27" t="str">
        <f aca="false">IF(J1855="","",MOD(K1855-1,J1855*4))</f>
        <v/>
      </c>
      <c r="Q1855" s="27" t="str">
        <f aca="false">IF(J1855="","",MOD(P1855,4))</f>
        <v/>
      </c>
      <c r="R1855" s="27" t="str">
        <f aca="false">IF(J1855="","",INT(P1855/4))</f>
        <v/>
      </c>
      <c r="S1855" s="27" t="str">
        <f aca="false">IF(J1855="","",IF(AND('Daily Count Sheet'!$H$3=Q1855,MOD('Daily Count Sheet'!$I$3,J1855)=R1855),1,""))</f>
        <v/>
      </c>
      <c r="T1855" s="27" t="str">
        <f aca="false">IF(S1855=1,COUNTIF($S$2:S1855,1),"")</f>
        <v/>
      </c>
    </row>
    <row r="1856" customFormat="false" ht="15" hidden="false" customHeight="false" outlineLevel="0" collapsed="false">
      <c r="H1856" s="26"/>
      <c r="I1856" s="27" t="str">
        <f aca="false">IF(A1856="","",IF(H1856&lt;&gt;"",UPPER(TRIM(H1856)),IFERROR(CHOOSE(VALUE(E1856)+1,"A","B","C","D"),IF(OR(LEFT(UPPER(TRIM(E1856)),1)="F",UPPER(TRIM(E1856))="A"),"A",IF(OR(LEFT(UPPER(TRIM(E1856)),1)="M",UPPER(TRIM(E1856))="B"),"B",IF(OR(LEFT(UPPER(TRIM(E1856)),2)="SL",UPPER(TRIM(E1856))="C"),"C",IF(OR(LEFT(UPPER(TRIM(E1856)),1)="D",UPPER(TRIM(E1856))="D"),"D","")))))))</f>
        <v/>
      </c>
      <c r="J1856" s="27" t="str">
        <f aca="false">IF(I1856="","",IF(AND(I1856="D",Settings!$B$6&lt;&gt;"Yes"),"",IFERROR(INDEX(Settings!$C$9:$C$12,MATCH(I1856,Settings!$A$9:$A$12,0)),"")))</f>
        <v/>
      </c>
      <c r="K1856" s="27" t="str">
        <f aca="false">IF(J1856="","",COUNTIF($I$2:I1856,I1856))</f>
        <v/>
      </c>
      <c r="L1856" s="27" t="str">
        <f aca="false">IF(J1856="","",CHOOSE(Q1856+1,"Tue","Wed","Thu","Fri"))</f>
        <v/>
      </c>
      <c r="M1856" s="27" t="str">
        <f aca="false">IF(J1856="","",IF(J1856=1,"Every week",R1856+1&amp;" of "&amp;J1856))</f>
        <v/>
      </c>
      <c r="N1856" s="28" t="str">
        <f aca="false">IF(J1856="","",Settings!$B$4+R1856*7+Q1856)</f>
        <v/>
      </c>
      <c r="O1856" s="28" t="str">
        <f aca="true">IF(J1856="","",N1856+MAX(0,ROUNDUP((TODAY()-N1856)/(J1856*7),0))*J1856*7)</f>
        <v/>
      </c>
      <c r="P1856" s="27" t="str">
        <f aca="false">IF(J1856="","",MOD(K1856-1,J1856*4))</f>
        <v/>
      </c>
      <c r="Q1856" s="27" t="str">
        <f aca="false">IF(J1856="","",MOD(P1856,4))</f>
        <v/>
      </c>
      <c r="R1856" s="27" t="str">
        <f aca="false">IF(J1856="","",INT(P1856/4))</f>
        <v/>
      </c>
      <c r="S1856" s="27" t="str">
        <f aca="false">IF(J1856="","",IF(AND('Daily Count Sheet'!$H$3=Q1856,MOD('Daily Count Sheet'!$I$3,J1856)=R1856),1,""))</f>
        <v/>
      </c>
      <c r="T1856" s="27" t="str">
        <f aca="false">IF(S1856=1,COUNTIF($S$2:S1856,1),"")</f>
        <v/>
      </c>
    </row>
    <row r="1857" customFormat="false" ht="15" hidden="false" customHeight="false" outlineLevel="0" collapsed="false">
      <c r="H1857" s="26"/>
      <c r="I1857" s="27" t="str">
        <f aca="false">IF(A1857="","",IF(H1857&lt;&gt;"",UPPER(TRIM(H1857)),IFERROR(CHOOSE(VALUE(E1857)+1,"A","B","C","D"),IF(OR(LEFT(UPPER(TRIM(E1857)),1)="F",UPPER(TRIM(E1857))="A"),"A",IF(OR(LEFT(UPPER(TRIM(E1857)),1)="M",UPPER(TRIM(E1857))="B"),"B",IF(OR(LEFT(UPPER(TRIM(E1857)),2)="SL",UPPER(TRIM(E1857))="C"),"C",IF(OR(LEFT(UPPER(TRIM(E1857)),1)="D",UPPER(TRIM(E1857))="D"),"D","")))))))</f>
        <v/>
      </c>
      <c r="J1857" s="27" t="str">
        <f aca="false">IF(I1857="","",IF(AND(I1857="D",Settings!$B$6&lt;&gt;"Yes"),"",IFERROR(INDEX(Settings!$C$9:$C$12,MATCH(I1857,Settings!$A$9:$A$12,0)),"")))</f>
        <v/>
      </c>
      <c r="K1857" s="27" t="str">
        <f aca="false">IF(J1857="","",COUNTIF($I$2:I1857,I1857))</f>
        <v/>
      </c>
      <c r="L1857" s="27" t="str">
        <f aca="false">IF(J1857="","",CHOOSE(Q1857+1,"Tue","Wed","Thu","Fri"))</f>
        <v/>
      </c>
      <c r="M1857" s="27" t="str">
        <f aca="false">IF(J1857="","",IF(J1857=1,"Every week",R1857+1&amp;" of "&amp;J1857))</f>
        <v/>
      </c>
      <c r="N1857" s="28" t="str">
        <f aca="false">IF(J1857="","",Settings!$B$4+R1857*7+Q1857)</f>
        <v/>
      </c>
      <c r="O1857" s="28" t="str">
        <f aca="true">IF(J1857="","",N1857+MAX(0,ROUNDUP((TODAY()-N1857)/(J1857*7),0))*J1857*7)</f>
        <v/>
      </c>
      <c r="P1857" s="27" t="str">
        <f aca="false">IF(J1857="","",MOD(K1857-1,J1857*4))</f>
        <v/>
      </c>
      <c r="Q1857" s="27" t="str">
        <f aca="false">IF(J1857="","",MOD(P1857,4))</f>
        <v/>
      </c>
      <c r="R1857" s="27" t="str">
        <f aca="false">IF(J1857="","",INT(P1857/4))</f>
        <v/>
      </c>
      <c r="S1857" s="27" t="str">
        <f aca="false">IF(J1857="","",IF(AND('Daily Count Sheet'!$H$3=Q1857,MOD('Daily Count Sheet'!$I$3,J1857)=R1857),1,""))</f>
        <v/>
      </c>
      <c r="T1857" s="27" t="str">
        <f aca="false">IF(S1857=1,COUNTIF($S$2:S1857,1),"")</f>
        <v/>
      </c>
    </row>
    <row r="1858" customFormat="false" ht="15" hidden="false" customHeight="false" outlineLevel="0" collapsed="false">
      <c r="H1858" s="26"/>
      <c r="I1858" s="27" t="str">
        <f aca="false">IF(A1858="","",IF(H1858&lt;&gt;"",UPPER(TRIM(H1858)),IFERROR(CHOOSE(VALUE(E1858)+1,"A","B","C","D"),IF(OR(LEFT(UPPER(TRIM(E1858)),1)="F",UPPER(TRIM(E1858))="A"),"A",IF(OR(LEFT(UPPER(TRIM(E1858)),1)="M",UPPER(TRIM(E1858))="B"),"B",IF(OR(LEFT(UPPER(TRIM(E1858)),2)="SL",UPPER(TRIM(E1858))="C"),"C",IF(OR(LEFT(UPPER(TRIM(E1858)),1)="D",UPPER(TRIM(E1858))="D"),"D","")))))))</f>
        <v/>
      </c>
      <c r="J1858" s="27" t="str">
        <f aca="false">IF(I1858="","",IF(AND(I1858="D",Settings!$B$6&lt;&gt;"Yes"),"",IFERROR(INDEX(Settings!$C$9:$C$12,MATCH(I1858,Settings!$A$9:$A$12,0)),"")))</f>
        <v/>
      </c>
      <c r="K1858" s="27" t="str">
        <f aca="false">IF(J1858="","",COUNTIF($I$2:I1858,I1858))</f>
        <v/>
      </c>
      <c r="L1858" s="27" t="str">
        <f aca="false">IF(J1858="","",CHOOSE(Q1858+1,"Tue","Wed","Thu","Fri"))</f>
        <v/>
      </c>
      <c r="M1858" s="27" t="str">
        <f aca="false">IF(J1858="","",IF(J1858=1,"Every week",R1858+1&amp;" of "&amp;J1858))</f>
        <v/>
      </c>
      <c r="N1858" s="28" t="str">
        <f aca="false">IF(J1858="","",Settings!$B$4+R1858*7+Q1858)</f>
        <v/>
      </c>
      <c r="O1858" s="28" t="str">
        <f aca="true">IF(J1858="","",N1858+MAX(0,ROUNDUP((TODAY()-N1858)/(J1858*7),0))*J1858*7)</f>
        <v/>
      </c>
      <c r="P1858" s="27" t="str">
        <f aca="false">IF(J1858="","",MOD(K1858-1,J1858*4))</f>
        <v/>
      </c>
      <c r="Q1858" s="27" t="str">
        <f aca="false">IF(J1858="","",MOD(P1858,4))</f>
        <v/>
      </c>
      <c r="R1858" s="27" t="str">
        <f aca="false">IF(J1858="","",INT(P1858/4))</f>
        <v/>
      </c>
      <c r="S1858" s="27" t="str">
        <f aca="false">IF(J1858="","",IF(AND('Daily Count Sheet'!$H$3=Q1858,MOD('Daily Count Sheet'!$I$3,J1858)=R1858),1,""))</f>
        <v/>
      </c>
      <c r="T1858" s="27" t="str">
        <f aca="false">IF(S1858=1,COUNTIF($S$2:S1858,1),"")</f>
        <v/>
      </c>
    </row>
    <row r="1859" customFormat="false" ht="15" hidden="false" customHeight="false" outlineLevel="0" collapsed="false">
      <c r="H1859" s="26"/>
      <c r="I1859" s="27" t="str">
        <f aca="false">IF(A1859="","",IF(H1859&lt;&gt;"",UPPER(TRIM(H1859)),IFERROR(CHOOSE(VALUE(E1859)+1,"A","B","C","D"),IF(OR(LEFT(UPPER(TRIM(E1859)),1)="F",UPPER(TRIM(E1859))="A"),"A",IF(OR(LEFT(UPPER(TRIM(E1859)),1)="M",UPPER(TRIM(E1859))="B"),"B",IF(OR(LEFT(UPPER(TRIM(E1859)),2)="SL",UPPER(TRIM(E1859))="C"),"C",IF(OR(LEFT(UPPER(TRIM(E1859)),1)="D",UPPER(TRIM(E1859))="D"),"D","")))))))</f>
        <v/>
      </c>
      <c r="J1859" s="27" t="str">
        <f aca="false">IF(I1859="","",IF(AND(I1859="D",Settings!$B$6&lt;&gt;"Yes"),"",IFERROR(INDEX(Settings!$C$9:$C$12,MATCH(I1859,Settings!$A$9:$A$12,0)),"")))</f>
        <v/>
      </c>
      <c r="K1859" s="27" t="str">
        <f aca="false">IF(J1859="","",COUNTIF($I$2:I1859,I1859))</f>
        <v/>
      </c>
      <c r="L1859" s="27" t="str">
        <f aca="false">IF(J1859="","",CHOOSE(Q1859+1,"Tue","Wed","Thu","Fri"))</f>
        <v/>
      </c>
      <c r="M1859" s="27" t="str">
        <f aca="false">IF(J1859="","",IF(J1859=1,"Every week",R1859+1&amp;" of "&amp;J1859))</f>
        <v/>
      </c>
      <c r="N1859" s="28" t="str">
        <f aca="false">IF(J1859="","",Settings!$B$4+R1859*7+Q1859)</f>
        <v/>
      </c>
      <c r="O1859" s="28" t="str">
        <f aca="true">IF(J1859="","",N1859+MAX(0,ROUNDUP((TODAY()-N1859)/(J1859*7),0))*J1859*7)</f>
        <v/>
      </c>
      <c r="P1859" s="27" t="str">
        <f aca="false">IF(J1859="","",MOD(K1859-1,J1859*4))</f>
        <v/>
      </c>
      <c r="Q1859" s="27" t="str">
        <f aca="false">IF(J1859="","",MOD(P1859,4))</f>
        <v/>
      </c>
      <c r="R1859" s="27" t="str">
        <f aca="false">IF(J1859="","",INT(P1859/4))</f>
        <v/>
      </c>
      <c r="S1859" s="27" t="str">
        <f aca="false">IF(J1859="","",IF(AND('Daily Count Sheet'!$H$3=Q1859,MOD('Daily Count Sheet'!$I$3,J1859)=R1859),1,""))</f>
        <v/>
      </c>
      <c r="T1859" s="27" t="str">
        <f aca="false">IF(S1859=1,COUNTIF($S$2:S1859,1),"")</f>
        <v/>
      </c>
    </row>
    <row r="1860" customFormat="false" ht="15" hidden="false" customHeight="false" outlineLevel="0" collapsed="false">
      <c r="H1860" s="26"/>
      <c r="I1860" s="27" t="str">
        <f aca="false">IF(A1860="","",IF(H1860&lt;&gt;"",UPPER(TRIM(H1860)),IFERROR(CHOOSE(VALUE(E1860)+1,"A","B","C","D"),IF(OR(LEFT(UPPER(TRIM(E1860)),1)="F",UPPER(TRIM(E1860))="A"),"A",IF(OR(LEFT(UPPER(TRIM(E1860)),1)="M",UPPER(TRIM(E1860))="B"),"B",IF(OR(LEFT(UPPER(TRIM(E1860)),2)="SL",UPPER(TRIM(E1860))="C"),"C",IF(OR(LEFT(UPPER(TRIM(E1860)),1)="D",UPPER(TRIM(E1860))="D"),"D","")))))))</f>
        <v/>
      </c>
      <c r="J1860" s="27" t="str">
        <f aca="false">IF(I1860="","",IF(AND(I1860="D",Settings!$B$6&lt;&gt;"Yes"),"",IFERROR(INDEX(Settings!$C$9:$C$12,MATCH(I1860,Settings!$A$9:$A$12,0)),"")))</f>
        <v/>
      </c>
      <c r="K1860" s="27" t="str">
        <f aca="false">IF(J1860="","",COUNTIF($I$2:I1860,I1860))</f>
        <v/>
      </c>
      <c r="L1860" s="27" t="str">
        <f aca="false">IF(J1860="","",CHOOSE(Q1860+1,"Tue","Wed","Thu","Fri"))</f>
        <v/>
      </c>
      <c r="M1860" s="27" t="str">
        <f aca="false">IF(J1860="","",IF(J1860=1,"Every week",R1860+1&amp;" of "&amp;J1860))</f>
        <v/>
      </c>
      <c r="N1860" s="28" t="str">
        <f aca="false">IF(J1860="","",Settings!$B$4+R1860*7+Q1860)</f>
        <v/>
      </c>
      <c r="O1860" s="28" t="str">
        <f aca="true">IF(J1860="","",N1860+MAX(0,ROUNDUP((TODAY()-N1860)/(J1860*7),0))*J1860*7)</f>
        <v/>
      </c>
      <c r="P1860" s="27" t="str">
        <f aca="false">IF(J1860="","",MOD(K1860-1,J1860*4))</f>
        <v/>
      </c>
      <c r="Q1860" s="27" t="str">
        <f aca="false">IF(J1860="","",MOD(P1860,4))</f>
        <v/>
      </c>
      <c r="R1860" s="27" t="str">
        <f aca="false">IF(J1860="","",INT(P1860/4))</f>
        <v/>
      </c>
      <c r="S1860" s="27" t="str">
        <f aca="false">IF(J1860="","",IF(AND('Daily Count Sheet'!$H$3=Q1860,MOD('Daily Count Sheet'!$I$3,J1860)=R1860),1,""))</f>
        <v/>
      </c>
      <c r="T1860" s="27" t="str">
        <f aca="false">IF(S1860=1,COUNTIF($S$2:S1860,1),"")</f>
        <v/>
      </c>
    </row>
    <row r="1861" customFormat="false" ht="15" hidden="false" customHeight="false" outlineLevel="0" collapsed="false">
      <c r="H1861" s="26"/>
      <c r="I1861" s="27" t="str">
        <f aca="false">IF(A1861="","",IF(H1861&lt;&gt;"",UPPER(TRIM(H1861)),IFERROR(CHOOSE(VALUE(E1861)+1,"A","B","C","D"),IF(OR(LEFT(UPPER(TRIM(E1861)),1)="F",UPPER(TRIM(E1861))="A"),"A",IF(OR(LEFT(UPPER(TRIM(E1861)),1)="M",UPPER(TRIM(E1861))="B"),"B",IF(OR(LEFT(UPPER(TRIM(E1861)),2)="SL",UPPER(TRIM(E1861))="C"),"C",IF(OR(LEFT(UPPER(TRIM(E1861)),1)="D",UPPER(TRIM(E1861))="D"),"D","")))))))</f>
        <v/>
      </c>
      <c r="J1861" s="27" t="str">
        <f aca="false">IF(I1861="","",IF(AND(I1861="D",Settings!$B$6&lt;&gt;"Yes"),"",IFERROR(INDEX(Settings!$C$9:$C$12,MATCH(I1861,Settings!$A$9:$A$12,0)),"")))</f>
        <v/>
      </c>
      <c r="K1861" s="27" t="str">
        <f aca="false">IF(J1861="","",COUNTIF($I$2:I1861,I1861))</f>
        <v/>
      </c>
      <c r="L1861" s="27" t="str">
        <f aca="false">IF(J1861="","",CHOOSE(Q1861+1,"Tue","Wed","Thu","Fri"))</f>
        <v/>
      </c>
      <c r="M1861" s="27" t="str">
        <f aca="false">IF(J1861="","",IF(J1861=1,"Every week",R1861+1&amp;" of "&amp;J1861))</f>
        <v/>
      </c>
      <c r="N1861" s="28" t="str">
        <f aca="false">IF(J1861="","",Settings!$B$4+R1861*7+Q1861)</f>
        <v/>
      </c>
      <c r="O1861" s="28" t="str">
        <f aca="true">IF(J1861="","",N1861+MAX(0,ROUNDUP((TODAY()-N1861)/(J1861*7),0))*J1861*7)</f>
        <v/>
      </c>
      <c r="P1861" s="27" t="str">
        <f aca="false">IF(J1861="","",MOD(K1861-1,J1861*4))</f>
        <v/>
      </c>
      <c r="Q1861" s="27" t="str">
        <f aca="false">IF(J1861="","",MOD(P1861,4))</f>
        <v/>
      </c>
      <c r="R1861" s="27" t="str">
        <f aca="false">IF(J1861="","",INT(P1861/4))</f>
        <v/>
      </c>
      <c r="S1861" s="27" t="str">
        <f aca="false">IF(J1861="","",IF(AND('Daily Count Sheet'!$H$3=Q1861,MOD('Daily Count Sheet'!$I$3,J1861)=R1861),1,""))</f>
        <v/>
      </c>
      <c r="T1861" s="27" t="str">
        <f aca="false">IF(S1861=1,COUNTIF($S$2:S1861,1),"")</f>
        <v/>
      </c>
    </row>
    <row r="1862" customFormat="false" ht="15" hidden="false" customHeight="false" outlineLevel="0" collapsed="false">
      <c r="H1862" s="26"/>
      <c r="I1862" s="27" t="str">
        <f aca="false">IF(A1862="","",IF(H1862&lt;&gt;"",UPPER(TRIM(H1862)),IFERROR(CHOOSE(VALUE(E1862)+1,"A","B","C","D"),IF(OR(LEFT(UPPER(TRIM(E1862)),1)="F",UPPER(TRIM(E1862))="A"),"A",IF(OR(LEFT(UPPER(TRIM(E1862)),1)="M",UPPER(TRIM(E1862))="B"),"B",IF(OR(LEFT(UPPER(TRIM(E1862)),2)="SL",UPPER(TRIM(E1862))="C"),"C",IF(OR(LEFT(UPPER(TRIM(E1862)),1)="D",UPPER(TRIM(E1862))="D"),"D","")))))))</f>
        <v/>
      </c>
      <c r="J1862" s="27" t="str">
        <f aca="false">IF(I1862="","",IF(AND(I1862="D",Settings!$B$6&lt;&gt;"Yes"),"",IFERROR(INDEX(Settings!$C$9:$C$12,MATCH(I1862,Settings!$A$9:$A$12,0)),"")))</f>
        <v/>
      </c>
      <c r="K1862" s="27" t="str">
        <f aca="false">IF(J1862="","",COUNTIF($I$2:I1862,I1862))</f>
        <v/>
      </c>
      <c r="L1862" s="27" t="str">
        <f aca="false">IF(J1862="","",CHOOSE(Q1862+1,"Tue","Wed","Thu","Fri"))</f>
        <v/>
      </c>
      <c r="M1862" s="27" t="str">
        <f aca="false">IF(J1862="","",IF(J1862=1,"Every week",R1862+1&amp;" of "&amp;J1862))</f>
        <v/>
      </c>
      <c r="N1862" s="28" t="str">
        <f aca="false">IF(J1862="","",Settings!$B$4+R1862*7+Q1862)</f>
        <v/>
      </c>
      <c r="O1862" s="28" t="str">
        <f aca="true">IF(J1862="","",N1862+MAX(0,ROUNDUP((TODAY()-N1862)/(J1862*7),0))*J1862*7)</f>
        <v/>
      </c>
      <c r="P1862" s="27" t="str">
        <f aca="false">IF(J1862="","",MOD(K1862-1,J1862*4))</f>
        <v/>
      </c>
      <c r="Q1862" s="27" t="str">
        <f aca="false">IF(J1862="","",MOD(P1862,4))</f>
        <v/>
      </c>
      <c r="R1862" s="27" t="str">
        <f aca="false">IF(J1862="","",INT(P1862/4))</f>
        <v/>
      </c>
      <c r="S1862" s="27" t="str">
        <f aca="false">IF(J1862="","",IF(AND('Daily Count Sheet'!$H$3=Q1862,MOD('Daily Count Sheet'!$I$3,J1862)=R1862),1,""))</f>
        <v/>
      </c>
      <c r="T1862" s="27" t="str">
        <f aca="false">IF(S1862=1,COUNTIF($S$2:S1862,1),"")</f>
        <v/>
      </c>
    </row>
    <row r="1863" customFormat="false" ht="15" hidden="false" customHeight="false" outlineLevel="0" collapsed="false">
      <c r="H1863" s="26"/>
      <c r="I1863" s="27" t="str">
        <f aca="false">IF(A1863="","",IF(H1863&lt;&gt;"",UPPER(TRIM(H1863)),IFERROR(CHOOSE(VALUE(E1863)+1,"A","B","C","D"),IF(OR(LEFT(UPPER(TRIM(E1863)),1)="F",UPPER(TRIM(E1863))="A"),"A",IF(OR(LEFT(UPPER(TRIM(E1863)),1)="M",UPPER(TRIM(E1863))="B"),"B",IF(OR(LEFT(UPPER(TRIM(E1863)),2)="SL",UPPER(TRIM(E1863))="C"),"C",IF(OR(LEFT(UPPER(TRIM(E1863)),1)="D",UPPER(TRIM(E1863))="D"),"D","")))))))</f>
        <v/>
      </c>
      <c r="J1863" s="27" t="str">
        <f aca="false">IF(I1863="","",IF(AND(I1863="D",Settings!$B$6&lt;&gt;"Yes"),"",IFERROR(INDEX(Settings!$C$9:$C$12,MATCH(I1863,Settings!$A$9:$A$12,0)),"")))</f>
        <v/>
      </c>
      <c r="K1863" s="27" t="str">
        <f aca="false">IF(J1863="","",COUNTIF($I$2:I1863,I1863))</f>
        <v/>
      </c>
      <c r="L1863" s="27" t="str">
        <f aca="false">IF(J1863="","",CHOOSE(Q1863+1,"Tue","Wed","Thu","Fri"))</f>
        <v/>
      </c>
      <c r="M1863" s="27" t="str">
        <f aca="false">IF(J1863="","",IF(J1863=1,"Every week",R1863+1&amp;" of "&amp;J1863))</f>
        <v/>
      </c>
      <c r="N1863" s="28" t="str">
        <f aca="false">IF(J1863="","",Settings!$B$4+R1863*7+Q1863)</f>
        <v/>
      </c>
      <c r="O1863" s="28" t="str">
        <f aca="true">IF(J1863="","",N1863+MAX(0,ROUNDUP((TODAY()-N1863)/(J1863*7),0))*J1863*7)</f>
        <v/>
      </c>
      <c r="P1863" s="27" t="str">
        <f aca="false">IF(J1863="","",MOD(K1863-1,J1863*4))</f>
        <v/>
      </c>
      <c r="Q1863" s="27" t="str">
        <f aca="false">IF(J1863="","",MOD(P1863,4))</f>
        <v/>
      </c>
      <c r="R1863" s="27" t="str">
        <f aca="false">IF(J1863="","",INT(P1863/4))</f>
        <v/>
      </c>
      <c r="S1863" s="27" t="str">
        <f aca="false">IF(J1863="","",IF(AND('Daily Count Sheet'!$H$3=Q1863,MOD('Daily Count Sheet'!$I$3,J1863)=R1863),1,""))</f>
        <v/>
      </c>
      <c r="T1863" s="27" t="str">
        <f aca="false">IF(S1863=1,COUNTIF($S$2:S1863,1),"")</f>
        <v/>
      </c>
    </row>
    <row r="1864" customFormat="false" ht="15" hidden="false" customHeight="false" outlineLevel="0" collapsed="false">
      <c r="H1864" s="26"/>
      <c r="I1864" s="27" t="str">
        <f aca="false">IF(A1864="","",IF(H1864&lt;&gt;"",UPPER(TRIM(H1864)),IFERROR(CHOOSE(VALUE(E1864)+1,"A","B","C","D"),IF(OR(LEFT(UPPER(TRIM(E1864)),1)="F",UPPER(TRIM(E1864))="A"),"A",IF(OR(LEFT(UPPER(TRIM(E1864)),1)="M",UPPER(TRIM(E1864))="B"),"B",IF(OR(LEFT(UPPER(TRIM(E1864)),2)="SL",UPPER(TRIM(E1864))="C"),"C",IF(OR(LEFT(UPPER(TRIM(E1864)),1)="D",UPPER(TRIM(E1864))="D"),"D","")))))))</f>
        <v/>
      </c>
      <c r="J1864" s="27" t="str">
        <f aca="false">IF(I1864="","",IF(AND(I1864="D",Settings!$B$6&lt;&gt;"Yes"),"",IFERROR(INDEX(Settings!$C$9:$C$12,MATCH(I1864,Settings!$A$9:$A$12,0)),"")))</f>
        <v/>
      </c>
      <c r="K1864" s="27" t="str">
        <f aca="false">IF(J1864="","",COUNTIF($I$2:I1864,I1864))</f>
        <v/>
      </c>
      <c r="L1864" s="27" t="str">
        <f aca="false">IF(J1864="","",CHOOSE(Q1864+1,"Tue","Wed","Thu","Fri"))</f>
        <v/>
      </c>
      <c r="M1864" s="27" t="str">
        <f aca="false">IF(J1864="","",IF(J1864=1,"Every week",R1864+1&amp;" of "&amp;J1864))</f>
        <v/>
      </c>
      <c r="N1864" s="28" t="str">
        <f aca="false">IF(J1864="","",Settings!$B$4+R1864*7+Q1864)</f>
        <v/>
      </c>
      <c r="O1864" s="28" t="str">
        <f aca="true">IF(J1864="","",N1864+MAX(0,ROUNDUP((TODAY()-N1864)/(J1864*7),0))*J1864*7)</f>
        <v/>
      </c>
      <c r="P1864" s="27" t="str">
        <f aca="false">IF(J1864="","",MOD(K1864-1,J1864*4))</f>
        <v/>
      </c>
      <c r="Q1864" s="27" t="str">
        <f aca="false">IF(J1864="","",MOD(P1864,4))</f>
        <v/>
      </c>
      <c r="R1864" s="27" t="str">
        <f aca="false">IF(J1864="","",INT(P1864/4))</f>
        <v/>
      </c>
      <c r="S1864" s="27" t="str">
        <f aca="false">IF(J1864="","",IF(AND('Daily Count Sheet'!$H$3=Q1864,MOD('Daily Count Sheet'!$I$3,J1864)=R1864),1,""))</f>
        <v/>
      </c>
      <c r="T1864" s="27" t="str">
        <f aca="false">IF(S1864=1,COUNTIF($S$2:S1864,1),"")</f>
        <v/>
      </c>
    </row>
    <row r="1865" customFormat="false" ht="15" hidden="false" customHeight="false" outlineLevel="0" collapsed="false">
      <c r="H1865" s="26"/>
      <c r="I1865" s="27" t="str">
        <f aca="false">IF(A1865="","",IF(H1865&lt;&gt;"",UPPER(TRIM(H1865)),IFERROR(CHOOSE(VALUE(E1865)+1,"A","B","C","D"),IF(OR(LEFT(UPPER(TRIM(E1865)),1)="F",UPPER(TRIM(E1865))="A"),"A",IF(OR(LEFT(UPPER(TRIM(E1865)),1)="M",UPPER(TRIM(E1865))="B"),"B",IF(OR(LEFT(UPPER(TRIM(E1865)),2)="SL",UPPER(TRIM(E1865))="C"),"C",IF(OR(LEFT(UPPER(TRIM(E1865)),1)="D",UPPER(TRIM(E1865))="D"),"D","")))))))</f>
        <v/>
      </c>
      <c r="J1865" s="27" t="str">
        <f aca="false">IF(I1865="","",IF(AND(I1865="D",Settings!$B$6&lt;&gt;"Yes"),"",IFERROR(INDEX(Settings!$C$9:$C$12,MATCH(I1865,Settings!$A$9:$A$12,0)),"")))</f>
        <v/>
      </c>
      <c r="K1865" s="27" t="str">
        <f aca="false">IF(J1865="","",COUNTIF($I$2:I1865,I1865))</f>
        <v/>
      </c>
      <c r="L1865" s="27" t="str">
        <f aca="false">IF(J1865="","",CHOOSE(Q1865+1,"Tue","Wed","Thu","Fri"))</f>
        <v/>
      </c>
      <c r="M1865" s="27" t="str">
        <f aca="false">IF(J1865="","",IF(J1865=1,"Every week",R1865+1&amp;" of "&amp;J1865))</f>
        <v/>
      </c>
      <c r="N1865" s="28" t="str">
        <f aca="false">IF(J1865="","",Settings!$B$4+R1865*7+Q1865)</f>
        <v/>
      </c>
      <c r="O1865" s="28" t="str">
        <f aca="true">IF(J1865="","",N1865+MAX(0,ROUNDUP((TODAY()-N1865)/(J1865*7),0))*J1865*7)</f>
        <v/>
      </c>
      <c r="P1865" s="27" t="str">
        <f aca="false">IF(J1865="","",MOD(K1865-1,J1865*4))</f>
        <v/>
      </c>
      <c r="Q1865" s="27" t="str">
        <f aca="false">IF(J1865="","",MOD(P1865,4))</f>
        <v/>
      </c>
      <c r="R1865" s="27" t="str">
        <f aca="false">IF(J1865="","",INT(P1865/4))</f>
        <v/>
      </c>
      <c r="S1865" s="27" t="str">
        <f aca="false">IF(J1865="","",IF(AND('Daily Count Sheet'!$H$3=Q1865,MOD('Daily Count Sheet'!$I$3,J1865)=R1865),1,""))</f>
        <v/>
      </c>
      <c r="T1865" s="27" t="str">
        <f aca="false">IF(S1865=1,COUNTIF($S$2:S1865,1),"")</f>
        <v/>
      </c>
    </row>
    <row r="1866" customFormat="false" ht="15" hidden="false" customHeight="false" outlineLevel="0" collapsed="false">
      <c r="H1866" s="26"/>
      <c r="I1866" s="27" t="str">
        <f aca="false">IF(A1866="","",IF(H1866&lt;&gt;"",UPPER(TRIM(H1866)),IFERROR(CHOOSE(VALUE(E1866)+1,"A","B","C","D"),IF(OR(LEFT(UPPER(TRIM(E1866)),1)="F",UPPER(TRIM(E1866))="A"),"A",IF(OR(LEFT(UPPER(TRIM(E1866)),1)="M",UPPER(TRIM(E1866))="B"),"B",IF(OR(LEFT(UPPER(TRIM(E1866)),2)="SL",UPPER(TRIM(E1866))="C"),"C",IF(OR(LEFT(UPPER(TRIM(E1866)),1)="D",UPPER(TRIM(E1866))="D"),"D","")))))))</f>
        <v/>
      </c>
      <c r="J1866" s="27" t="str">
        <f aca="false">IF(I1866="","",IF(AND(I1866="D",Settings!$B$6&lt;&gt;"Yes"),"",IFERROR(INDEX(Settings!$C$9:$C$12,MATCH(I1866,Settings!$A$9:$A$12,0)),"")))</f>
        <v/>
      </c>
      <c r="K1866" s="27" t="str">
        <f aca="false">IF(J1866="","",COUNTIF($I$2:I1866,I1866))</f>
        <v/>
      </c>
      <c r="L1866" s="27" t="str">
        <f aca="false">IF(J1866="","",CHOOSE(Q1866+1,"Tue","Wed","Thu","Fri"))</f>
        <v/>
      </c>
      <c r="M1866" s="27" t="str">
        <f aca="false">IF(J1866="","",IF(J1866=1,"Every week",R1866+1&amp;" of "&amp;J1866))</f>
        <v/>
      </c>
      <c r="N1866" s="28" t="str">
        <f aca="false">IF(J1866="","",Settings!$B$4+R1866*7+Q1866)</f>
        <v/>
      </c>
      <c r="O1866" s="28" t="str">
        <f aca="true">IF(J1866="","",N1866+MAX(0,ROUNDUP((TODAY()-N1866)/(J1866*7),0))*J1866*7)</f>
        <v/>
      </c>
      <c r="P1866" s="27" t="str">
        <f aca="false">IF(J1866="","",MOD(K1866-1,J1866*4))</f>
        <v/>
      </c>
      <c r="Q1866" s="27" t="str">
        <f aca="false">IF(J1866="","",MOD(P1866,4))</f>
        <v/>
      </c>
      <c r="R1866" s="27" t="str">
        <f aca="false">IF(J1866="","",INT(P1866/4))</f>
        <v/>
      </c>
      <c r="S1866" s="27" t="str">
        <f aca="false">IF(J1866="","",IF(AND('Daily Count Sheet'!$H$3=Q1866,MOD('Daily Count Sheet'!$I$3,J1866)=R1866),1,""))</f>
        <v/>
      </c>
      <c r="T1866" s="27" t="str">
        <f aca="false">IF(S1866=1,COUNTIF($S$2:S1866,1),"")</f>
        <v/>
      </c>
    </row>
    <row r="1867" customFormat="false" ht="15" hidden="false" customHeight="false" outlineLevel="0" collapsed="false">
      <c r="H1867" s="26"/>
      <c r="I1867" s="27" t="str">
        <f aca="false">IF(A1867="","",IF(H1867&lt;&gt;"",UPPER(TRIM(H1867)),IFERROR(CHOOSE(VALUE(E1867)+1,"A","B","C","D"),IF(OR(LEFT(UPPER(TRIM(E1867)),1)="F",UPPER(TRIM(E1867))="A"),"A",IF(OR(LEFT(UPPER(TRIM(E1867)),1)="M",UPPER(TRIM(E1867))="B"),"B",IF(OR(LEFT(UPPER(TRIM(E1867)),2)="SL",UPPER(TRIM(E1867))="C"),"C",IF(OR(LEFT(UPPER(TRIM(E1867)),1)="D",UPPER(TRIM(E1867))="D"),"D","")))))))</f>
        <v/>
      </c>
      <c r="J1867" s="27" t="str">
        <f aca="false">IF(I1867="","",IF(AND(I1867="D",Settings!$B$6&lt;&gt;"Yes"),"",IFERROR(INDEX(Settings!$C$9:$C$12,MATCH(I1867,Settings!$A$9:$A$12,0)),"")))</f>
        <v/>
      </c>
      <c r="K1867" s="27" t="str">
        <f aca="false">IF(J1867="","",COUNTIF($I$2:I1867,I1867))</f>
        <v/>
      </c>
      <c r="L1867" s="27" t="str">
        <f aca="false">IF(J1867="","",CHOOSE(Q1867+1,"Tue","Wed","Thu","Fri"))</f>
        <v/>
      </c>
      <c r="M1867" s="27" t="str">
        <f aca="false">IF(J1867="","",IF(J1867=1,"Every week",R1867+1&amp;" of "&amp;J1867))</f>
        <v/>
      </c>
      <c r="N1867" s="28" t="str">
        <f aca="false">IF(J1867="","",Settings!$B$4+R1867*7+Q1867)</f>
        <v/>
      </c>
      <c r="O1867" s="28" t="str">
        <f aca="true">IF(J1867="","",N1867+MAX(0,ROUNDUP((TODAY()-N1867)/(J1867*7),0))*J1867*7)</f>
        <v/>
      </c>
      <c r="P1867" s="27" t="str">
        <f aca="false">IF(J1867="","",MOD(K1867-1,J1867*4))</f>
        <v/>
      </c>
      <c r="Q1867" s="27" t="str">
        <f aca="false">IF(J1867="","",MOD(P1867,4))</f>
        <v/>
      </c>
      <c r="R1867" s="27" t="str">
        <f aca="false">IF(J1867="","",INT(P1867/4))</f>
        <v/>
      </c>
      <c r="S1867" s="27" t="str">
        <f aca="false">IF(J1867="","",IF(AND('Daily Count Sheet'!$H$3=Q1867,MOD('Daily Count Sheet'!$I$3,J1867)=R1867),1,""))</f>
        <v/>
      </c>
      <c r="T1867" s="27" t="str">
        <f aca="false">IF(S1867=1,COUNTIF($S$2:S1867,1),"")</f>
        <v/>
      </c>
    </row>
    <row r="1868" customFormat="false" ht="15" hidden="false" customHeight="false" outlineLevel="0" collapsed="false">
      <c r="H1868" s="26"/>
      <c r="I1868" s="27" t="str">
        <f aca="false">IF(A1868="","",IF(H1868&lt;&gt;"",UPPER(TRIM(H1868)),IFERROR(CHOOSE(VALUE(E1868)+1,"A","B","C","D"),IF(OR(LEFT(UPPER(TRIM(E1868)),1)="F",UPPER(TRIM(E1868))="A"),"A",IF(OR(LEFT(UPPER(TRIM(E1868)),1)="M",UPPER(TRIM(E1868))="B"),"B",IF(OR(LEFT(UPPER(TRIM(E1868)),2)="SL",UPPER(TRIM(E1868))="C"),"C",IF(OR(LEFT(UPPER(TRIM(E1868)),1)="D",UPPER(TRIM(E1868))="D"),"D","")))))))</f>
        <v/>
      </c>
      <c r="J1868" s="27" t="str">
        <f aca="false">IF(I1868="","",IF(AND(I1868="D",Settings!$B$6&lt;&gt;"Yes"),"",IFERROR(INDEX(Settings!$C$9:$C$12,MATCH(I1868,Settings!$A$9:$A$12,0)),"")))</f>
        <v/>
      </c>
      <c r="K1868" s="27" t="str">
        <f aca="false">IF(J1868="","",COUNTIF($I$2:I1868,I1868))</f>
        <v/>
      </c>
      <c r="L1868" s="27" t="str">
        <f aca="false">IF(J1868="","",CHOOSE(Q1868+1,"Tue","Wed","Thu","Fri"))</f>
        <v/>
      </c>
      <c r="M1868" s="27" t="str">
        <f aca="false">IF(J1868="","",IF(J1868=1,"Every week",R1868+1&amp;" of "&amp;J1868))</f>
        <v/>
      </c>
      <c r="N1868" s="28" t="str">
        <f aca="false">IF(J1868="","",Settings!$B$4+R1868*7+Q1868)</f>
        <v/>
      </c>
      <c r="O1868" s="28" t="str">
        <f aca="true">IF(J1868="","",N1868+MAX(0,ROUNDUP((TODAY()-N1868)/(J1868*7),0))*J1868*7)</f>
        <v/>
      </c>
      <c r="P1868" s="27" t="str">
        <f aca="false">IF(J1868="","",MOD(K1868-1,J1868*4))</f>
        <v/>
      </c>
      <c r="Q1868" s="27" t="str">
        <f aca="false">IF(J1868="","",MOD(P1868,4))</f>
        <v/>
      </c>
      <c r="R1868" s="27" t="str">
        <f aca="false">IF(J1868="","",INT(P1868/4))</f>
        <v/>
      </c>
      <c r="S1868" s="27" t="str">
        <f aca="false">IF(J1868="","",IF(AND('Daily Count Sheet'!$H$3=Q1868,MOD('Daily Count Sheet'!$I$3,J1868)=R1868),1,""))</f>
        <v/>
      </c>
      <c r="T1868" s="27" t="str">
        <f aca="false">IF(S1868=1,COUNTIF($S$2:S1868,1),"")</f>
        <v/>
      </c>
    </row>
    <row r="1869" customFormat="false" ht="15" hidden="false" customHeight="false" outlineLevel="0" collapsed="false">
      <c r="H1869" s="26"/>
      <c r="I1869" s="27" t="str">
        <f aca="false">IF(A1869="","",IF(H1869&lt;&gt;"",UPPER(TRIM(H1869)),IFERROR(CHOOSE(VALUE(E1869)+1,"A","B","C","D"),IF(OR(LEFT(UPPER(TRIM(E1869)),1)="F",UPPER(TRIM(E1869))="A"),"A",IF(OR(LEFT(UPPER(TRIM(E1869)),1)="M",UPPER(TRIM(E1869))="B"),"B",IF(OR(LEFT(UPPER(TRIM(E1869)),2)="SL",UPPER(TRIM(E1869))="C"),"C",IF(OR(LEFT(UPPER(TRIM(E1869)),1)="D",UPPER(TRIM(E1869))="D"),"D","")))))))</f>
        <v/>
      </c>
      <c r="J1869" s="27" t="str">
        <f aca="false">IF(I1869="","",IF(AND(I1869="D",Settings!$B$6&lt;&gt;"Yes"),"",IFERROR(INDEX(Settings!$C$9:$C$12,MATCH(I1869,Settings!$A$9:$A$12,0)),"")))</f>
        <v/>
      </c>
      <c r="K1869" s="27" t="str">
        <f aca="false">IF(J1869="","",COUNTIF($I$2:I1869,I1869))</f>
        <v/>
      </c>
      <c r="L1869" s="27" t="str">
        <f aca="false">IF(J1869="","",CHOOSE(Q1869+1,"Tue","Wed","Thu","Fri"))</f>
        <v/>
      </c>
      <c r="M1869" s="27" t="str">
        <f aca="false">IF(J1869="","",IF(J1869=1,"Every week",R1869+1&amp;" of "&amp;J1869))</f>
        <v/>
      </c>
      <c r="N1869" s="28" t="str">
        <f aca="false">IF(J1869="","",Settings!$B$4+R1869*7+Q1869)</f>
        <v/>
      </c>
      <c r="O1869" s="28" t="str">
        <f aca="true">IF(J1869="","",N1869+MAX(0,ROUNDUP((TODAY()-N1869)/(J1869*7),0))*J1869*7)</f>
        <v/>
      </c>
      <c r="P1869" s="27" t="str">
        <f aca="false">IF(J1869="","",MOD(K1869-1,J1869*4))</f>
        <v/>
      </c>
      <c r="Q1869" s="27" t="str">
        <f aca="false">IF(J1869="","",MOD(P1869,4))</f>
        <v/>
      </c>
      <c r="R1869" s="27" t="str">
        <f aca="false">IF(J1869="","",INT(P1869/4))</f>
        <v/>
      </c>
      <c r="S1869" s="27" t="str">
        <f aca="false">IF(J1869="","",IF(AND('Daily Count Sheet'!$H$3=Q1869,MOD('Daily Count Sheet'!$I$3,J1869)=R1869),1,""))</f>
        <v/>
      </c>
      <c r="T1869" s="27" t="str">
        <f aca="false">IF(S1869=1,COUNTIF($S$2:S1869,1),"")</f>
        <v/>
      </c>
    </row>
    <row r="1870" customFormat="false" ht="15" hidden="false" customHeight="false" outlineLevel="0" collapsed="false">
      <c r="H1870" s="26"/>
      <c r="I1870" s="27" t="str">
        <f aca="false">IF(A1870="","",IF(H1870&lt;&gt;"",UPPER(TRIM(H1870)),IFERROR(CHOOSE(VALUE(E1870)+1,"A","B","C","D"),IF(OR(LEFT(UPPER(TRIM(E1870)),1)="F",UPPER(TRIM(E1870))="A"),"A",IF(OR(LEFT(UPPER(TRIM(E1870)),1)="M",UPPER(TRIM(E1870))="B"),"B",IF(OR(LEFT(UPPER(TRIM(E1870)),2)="SL",UPPER(TRIM(E1870))="C"),"C",IF(OR(LEFT(UPPER(TRIM(E1870)),1)="D",UPPER(TRIM(E1870))="D"),"D","")))))))</f>
        <v/>
      </c>
      <c r="J1870" s="27" t="str">
        <f aca="false">IF(I1870="","",IF(AND(I1870="D",Settings!$B$6&lt;&gt;"Yes"),"",IFERROR(INDEX(Settings!$C$9:$C$12,MATCH(I1870,Settings!$A$9:$A$12,0)),"")))</f>
        <v/>
      </c>
      <c r="K1870" s="27" t="str">
        <f aca="false">IF(J1870="","",COUNTIF($I$2:I1870,I1870))</f>
        <v/>
      </c>
      <c r="L1870" s="27" t="str">
        <f aca="false">IF(J1870="","",CHOOSE(Q1870+1,"Tue","Wed","Thu","Fri"))</f>
        <v/>
      </c>
      <c r="M1870" s="27" t="str">
        <f aca="false">IF(J1870="","",IF(J1870=1,"Every week",R1870+1&amp;" of "&amp;J1870))</f>
        <v/>
      </c>
      <c r="N1870" s="28" t="str">
        <f aca="false">IF(J1870="","",Settings!$B$4+R1870*7+Q1870)</f>
        <v/>
      </c>
      <c r="O1870" s="28" t="str">
        <f aca="true">IF(J1870="","",N1870+MAX(0,ROUNDUP((TODAY()-N1870)/(J1870*7),0))*J1870*7)</f>
        <v/>
      </c>
      <c r="P1870" s="27" t="str">
        <f aca="false">IF(J1870="","",MOD(K1870-1,J1870*4))</f>
        <v/>
      </c>
      <c r="Q1870" s="27" t="str">
        <f aca="false">IF(J1870="","",MOD(P1870,4))</f>
        <v/>
      </c>
      <c r="R1870" s="27" t="str">
        <f aca="false">IF(J1870="","",INT(P1870/4))</f>
        <v/>
      </c>
      <c r="S1870" s="27" t="str">
        <f aca="false">IF(J1870="","",IF(AND('Daily Count Sheet'!$H$3=Q1870,MOD('Daily Count Sheet'!$I$3,J1870)=R1870),1,""))</f>
        <v/>
      </c>
      <c r="T1870" s="27" t="str">
        <f aca="false">IF(S1870=1,COUNTIF($S$2:S1870,1),"")</f>
        <v/>
      </c>
    </row>
    <row r="1871" customFormat="false" ht="15" hidden="false" customHeight="false" outlineLevel="0" collapsed="false">
      <c r="H1871" s="26"/>
      <c r="I1871" s="27" t="str">
        <f aca="false">IF(A1871="","",IF(H1871&lt;&gt;"",UPPER(TRIM(H1871)),IFERROR(CHOOSE(VALUE(E1871)+1,"A","B","C","D"),IF(OR(LEFT(UPPER(TRIM(E1871)),1)="F",UPPER(TRIM(E1871))="A"),"A",IF(OR(LEFT(UPPER(TRIM(E1871)),1)="M",UPPER(TRIM(E1871))="B"),"B",IF(OR(LEFT(UPPER(TRIM(E1871)),2)="SL",UPPER(TRIM(E1871))="C"),"C",IF(OR(LEFT(UPPER(TRIM(E1871)),1)="D",UPPER(TRIM(E1871))="D"),"D","")))))))</f>
        <v/>
      </c>
      <c r="J1871" s="27" t="str">
        <f aca="false">IF(I1871="","",IF(AND(I1871="D",Settings!$B$6&lt;&gt;"Yes"),"",IFERROR(INDEX(Settings!$C$9:$C$12,MATCH(I1871,Settings!$A$9:$A$12,0)),"")))</f>
        <v/>
      </c>
      <c r="K1871" s="27" t="str">
        <f aca="false">IF(J1871="","",COUNTIF($I$2:I1871,I1871))</f>
        <v/>
      </c>
      <c r="L1871" s="27" t="str">
        <f aca="false">IF(J1871="","",CHOOSE(Q1871+1,"Tue","Wed","Thu","Fri"))</f>
        <v/>
      </c>
      <c r="M1871" s="27" t="str">
        <f aca="false">IF(J1871="","",IF(J1871=1,"Every week",R1871+1&amp;" of "&amp;J1871))</f>
        <v/>
      </c>
      <c r="N1871" s="28" t="str">
        <f aca="false">IF(J1871="","",Settings!$B$4+R1871*7+Q1871)</f>
        <v/>
      </c>
      <c r="O1871" s="28" t="str">
        <f aca="true">IF(J1871="","",N1871+MAX(0,ROUNDUP((TODAY()-N1871)/(J1871*7),0))*J1871*7)</f>
        <v/>
      </c>
      <c r="P1871" s="27" t="str">
        <f aca="false">IF(J1871="","",MOD(K1871-1,J1871*4))</f>
        <v/>
      </c>
      <c r="Q1871" s="27" t="str">
        <f aca="false">IF(J1871="","",MOD(P1871,4))</f>
        <v/>
      </c>
      <c r="R1871" s="27" t="str">
        <f aca="false">IF(J1871="","",INT(P1871/4))</f>
        <v/>
      </c>
      <c r="S1871" s="27" t="str">
        <f aca="false">IF(J1871="","",IF(AND('Daily Count Sheet'!$H$3=Q1871,MOD('Daily Count Sheet'!$I$3,J1871)=R1871),1,""))</f>
        <v/>
      </c>
      <c r="T1871" s="27" t="str">
        <f aca="false">IF(S1871=1,COUNTIF($S$2:S1871,1),"")</f>
        <v/>
      </c>
    </row>
    <row r="1872" customFormat="false" ht="15" hidden="false" customHeight="false" outlineLevel="0" collapsed="false">
      <c r="H1872" s="26"/>
      <c r="I1872" s="27" t="str">
        <f aca="false">IF(A1872="","",IF(H1872&lt;&gt;"",UPPER(TRIM(H1872)),IFERROR(CHOOSE(VALUE(E1872)+1,"A","B","C","D"),IF(OR(LEFT(UPPER(TRIM(E1872)),1)="F",UPPER(TRIM(E1872))="A"),"A",IF(OR(LEFT(UPPER(TRIM(E1872)),1)="M",UPPER(TRIM(E1872))="B"),"B",IF(OR(LEFT(UPPER(TRIM(E1872)),2)="SL",UPPER(TRIM(E1872))="C"),"C",IF(OR(LEFT(UPPER(TRIM(E1872)),1)="D",UPPER(TRIM(E1872))="D"),"D","")))))))</f>
        <v/>
      </c>
      <c r="J1872" s="27" t="str">
        <f aca="false">IF(I1872="","",IF(AND(I1872="D",Settings!$B$6&lt;&gt;"Yes"),"",IFERROR(INDEX(Settings!$C$9:$C$12,MATCH(I1872,Settings!$A$9:$A$12,0)),"")))</f>
        <v/>
      </c>
      <c r="K1872" s="27" t="str">
        <f aca="false">IF(J1872="","",COUNTIF($I$2:I1872,I1872))</f>
        <v/>
      </c>
      <c r="L1872" s="27" t="str">
        <f aca="false">IF(J1872="","",CHOOSE(Q1872+1,"Tue","Wed","Thu","Fri"))</f>
        <v/>
      </c>
      <c r="M1872" s="27" t="str">
        <f aca="false">IF(J1872="","",IF(J1872=1,"Every week",R1872+1&amp;" of "&amp;J1872))</f>
        <v/>
      </c>
      <c r="N1872" s="28" t="str">
        <f aca="false">IF(J1872="","",Settings!$B$4+R1872*7+Q1872)</f>
        <v/>
      </c>
      <c r="O1872" s="28" t="str">
        <f aca="true">IF(J1872="","",N1872+MAX(0,ROUNDUP((TODAY()-N1872)/(J1872*7),0))*J1872*7)</f>
        <v/>
      </c>
      <c r="P1872" s="27" t="str">
        <f aca="false">IF(J1872="","",MOD(K1872-1,J1872*4))</f>
        <v/>
      </c>
      <c r="Q1872" s="27" t="str">
        <f aca="false">IF(J1872="","",MOD(P1872,4))</f>
        <v/>
      </c>
      <c r="R1872" s="27" t="str">
        <f aca="false">IF(J1872="","",INT(P1872/4))</f>
        <v/>
      </c>
      <c r="S1872" s="27" t="str">
        <f aca="false">IF(J1872="","",IF(AND('Daily Count Sheet'!$H$3=Q1872,MOD('Daily Count Sheet'!$I$3,J1872)=R1872),1,""))</f>
        <v/>
      </c>
      <c r="T1872" s="27" t="str">
        <f aca="false">IF(S1872=1,COUNTIF($S$2:S1872,1),"")</f>
        <v/>
      </c>
    </row>
    <row r="1873" customFormat="false" ht="15" hidden="false" customHeight="false" outlineLevel="0" collapsed="false">
      <c r="H1873" s="26"/>
      <c r="I1873" s="27" t="str">
        <f aca="false">IF(A1873="","",IF(H1873&lt;&gt;"",UPPER(TRIM(H1873)),IFERROR(CHOOSE(VALUE(E1873)+1,"A","B","C","D"),IF(OR(LEFT(UPPER(TRIM(E1873)),1)="F",UPPER(TRIM(E1873))="A"),"A",IF(OR(LEFT(UPPER(TRIM(E1873)),1)="M",UPPER(TRIM(E1873))="B"),"B",IF(OR(LEFT(UPPER(TRIM(E1873)),2)="SL",UPPER(TRIM(E1873))="C"),"C",IF(OR(LEFT(UPPER(TRIM(E1873)),1)="D",UPPER(TRIM(E1873))="D"),"D","")))))))</f>
        <v/>
      </c>
      <c r="J1873" s="27" t="str">
        <f aca="false">IF(I1873="","",IF(AND(I1873="D",Settings!$B$6&lt;&gt;"Yes"),"",IFERROR(INDEX(Settings!$C$9:$C$12,MATCH(I1873,Settings!$A$9:$A$12,0)),"")))</f>
        <v/>
      </c>
      <c r="K1873" s="27" t="str">
        <f aca="false">IF(J1873="","",COUNTIF($I$2:I1873,I1873))</f>
        <v/>
      </c>
      <c r="L1873" s="27" t="str">
        <f aca="false">IF(J1873="","",CHOOSE(Q1873+1,"Tue","Wed","Thu","Fri"))</f>
        <v/>
      </c>
      <c r="M1873" s="27" t="str">
        <f aca="false">IF(J1873="","",IF(J1873=1,"Every week",R1873+1&amp;" of "&amp;J1873))</f>
        <v/>
      </c>
      <c r="N1873" s="28" t="str">
        <f aca="false">IF(J1873="","",Settings!$B$4+R1873*7+Q1873)</f>
        <v/>
      </c>
      <c r="O1873" s="28" t="str">
        <f aca="true">IF(J1873="","",N1873+MAX(0,ROUNDUP((TODAY()-N1873)/(J1873*7),0))*J1873*7)</f>
        <v/>
      </c>
      <c r="P1873" s="27" t="str">
        <f aca="false">IF(J1873="","",MOD(K1873-1,J1873*4))</f>
        <v/>
      </c>
      <c r="Q1873" s="27" t="str">
        <f aca="false">IF(J1873="","",MOD(P1873,4))</f>
        <v/>
      </c>
      <c r="R1873" s="27" t="str">
        <f aca="false">IF(J1873="","",INT(P1873/4))</f>
        <v/>
      </c>
      <c r="S1873" s="27" t="str">
        <f aca="false">IF(J1873="","",IF(AND('Daily Count Sheet'!$H$3=Q1873,MOD('Daily Count Sheet'!$I$3,J1873)=R1873),1,""))</f>
        <v/>
      </c>
      <c r="T1873" s="27" t="str">
        <f aca="false">IF(S1873=1,COUNTIF($S$2:S1873,1),"")</f>
        <v/>
      </c>
    </row>
    <row r="1874" customFormat="false" ht="15" hidden="false" customHeight="false" outlineLevel="0" collapsed="false">
      <c r="H1874" s="26"/>
      <c r="I1874" s="27" t="str">
        <f aca="false">IF(A1874="","",IF(H1874&lt;&gt;"",UPPER(TRIM(H1874)),IFERROR(CHOOSE(VALUE(E1874)+1,"A","B","C","D"),IF(OR(LEFT(UPPER(TRIM(E1874)),1)="F",UPPER(TRIM(E1874))="A"),"A",IF(OR(LEFT(UPPER(TRIM(E1874)),1)="M",UPPER(TRIM(E1874))="B"),"B",IF(OR(LEFT(UPPER(TRIM(E1874)),2)="SL",UPPER(TRIM(E1874))="C"),"C",IF(OR(LEFT(UPPER(TRIM(E1874)),1)="D",UPPER(TRIM(E1874))="D"),"D","")))))))</f>
        <v/>
      </c>
      <c r="J1874" s="27" t="str">
        <f aca="false">IF(I1874="","",IF(AND(I1874="D",Settings!$B$6&lt;&gt;"Yes"),"",IFERROR(INDEX(Settings!$C$9:$C$12,MATCH(I1874,Settings!$A$9:$A$12,0)),"")))</f>
        <v/>
      </c>
      <c r="K1874" s="27" t="str">
        <f aca="false">IF(J1874="","",COUNTIF($I$2:I1874,I1874))</f>
        <v/>
      </c>
      <c r="L1874" s="27" t="str">
        <f aca="false">IF(J1874="","",CHOOSE(Q1874+1,"Tue","Wed","Thu","Fri"))</f>
        <v/>
      </c>
      <c r="M1874" s="27" t="str">
        <f aca="false">IF(J1874="","",IF(J1874=1,"Every week",R1874+1&amp;" of "&amp;J1874))</f>
        <v/>
      </c>
      <c r="N1874" s="28" t="str">
        <f aca="false">IF(J1874="","",Settings!$B$4+R1874*7+Q1874)</f>
        <v/>
      </c>
      <c r="O1874" s="28" t="str">
        <f aca="true">IF(J1874="","",N1874+MAX(0,ROUNDUP((TODAY()-N1874)/(J1874*7),0))*J1874*7)</f>
        <v/>
      </c>
      <c r="P1874" s="27" t="str">
        <f aca="false">IF(J1874="","",MOD(K1874-1,J1874*4))</f>
        <v/>
      </c>
      <c r="Q1874" s="27" t="str">
        <f aca="false">IF(J1874="","",MOD(P1874,4))</f>
        <v/>
      </c>
      <c r="R1874" s="27" t="str">
        <f aca="false">IF(J1874="","",INT(P1874/4))</f>
        <v/>
      </c>
      <c r="S1874" s="27" t="str">
        <f aca="false">IF(J1874="","",IF(AND('Daily Count Sheet'!$H$3=Q1874,MOD('Daily Count Sheet'!$I$3,J1874)=R1874),1,""))</f>
        <v/>
      </c>
      <c r="T1874" s="27" t="str">
        <f aca="false">IF(S1874=1,COUNTIF($S$2:S1874,1),"")</f>
        <v/>
      </c>
    </row>
    <row r="1875" customFormat="false" ht="15" hidden="false" customHeight="false" outlineLevel="0" collapsed="false">
      <c r="H1875" s="26"/>
      <c r="I1875" s="27" t="str">
        <f aca="false">IF(A1875="","",IF(H1875&lt;&gt;"",UPPER(TRIM(H1875)),IFERROR(CHOOSE(VALUE(E1875)+1,"A","B","C","D"),IF(OR(LEFT(UPPER(TRIM(E1875)),1)="F",UPPER(TRIM(E1875))="A"),"A",IF(OR(LEFT(UPPER(TRIM(E1875)),1)="M",UPPER(TRIM(E1875))="B"),"B",IF(OR(LEFT(UPPER(TRIM(E1875)),2)="SL",UPPER(TRIM(E1875))="C"),"C",IF(OR(LEFT(UPPER(TRIM(E1875)),1)="D",UPPER(TRIM(E1875))="D"),"D","")))))))</f>
        <v/>
      </c>
      <c r="J1875" s="27" t="str">
        <f aca="false">IF(I1875="","",IF(AND(I1875="D",Settings!$B$6&lt;&gt;"Yes"),"",IFERROR(INDEX(Settings!$C$9:$C$12,MATCH(I1875,Settings!$A$9:$A$12,0)),"")))</f>
        <v/>
      </c>
      <c r="K1875" s="27" t="str">
        <f aca="false">IF(J1875="","",COUNTIF($I$2:I1875,I1875))</f>
        <v/>
      </c>
      <c r="L1875" s="27" t="str">
        <f aca="false">IF(J1875="","",CHOOSE(Q1875+1,"Tue","Wed","Thu","Fri"))</f>
        <v/>
      </c>
      <c r="M1875" s="27" t="str">
        <f aca="false">IF(J1875="","",IF(J1875=1,"Every week",R1875+1&amp;" of "&amp;J1875))</f>
        <v/>
      </c>
      <c r="N1875" s="28" t="str">
        <f aca="false">IF(J1875="","",Settings!$B$4+R1875*7+Q1875)</f>
        <v/>
      </c>
      <c r="O1875" s="28" t="str">
        <f aca="true">IF(J1875="","",N1875+MAX(0,ROUNDUP((TODAY()-N1875)/(J1875*7),0))*J1875*7)</f>
        <v/>
      </c>
      <c r="P1875" s="27" t="str">
        <f aca="false">IF(J1875="","",MOD(K1875-1,J1875*4))</f>
        <v/>
      </c>
      <c r="Q1875" s="27" t="str">
        <f aca="false">IF(J1875="","",MOD(P1875,4))</f>
        <v/>
      </c>
      <c r="R1875" s="27" t="str">
        <f aca="false">IF(J1875="","",INT(P1875/4))</f>
        <v/>
      </c>
      <c r="S1875" s="27" t="str">
        <f aca="false">IF(J1875="","",IF(AND('Daily Count Sheet'!$H$3=Q1875,MOD('Daily Count Sheet'!$I$3,J1875)=R1875),1,""))</f>
        <v/>
      </c>
      <c r="T1875" s="27" t="str">
        <f aca="false">IF(S1875=1,COUNTIF($S$2:S1875,1),"")</f>
        <v/>
      </c>
    </row>
    <row r="1876" customFormat="false" ht="15" hidden="false" customHeight="false" outlineLevel="0" collapsed="false">
      <c r="H1876" s="26"/>
      <c r="I1876" s="27" t="str">
        <f aca="false">IF(A1876="","",IF(H1876&lt;&gt;"",UPPER(TRIM(H1876)),IFERROR(CHOOSE(VALUE(E1876)+1,"A","B","C","D"),IF(OR(LEFT(UPPER(TRIM(E1876)),1)="F",UPPER(TRIM(E1876))="A"),"A",IF(OR(LEFT(UPPER(TRIM(E1876)),1)="M",UPPER(TRIM(E1876))="B"),"B",IF(OR(LEFT(UPPER(TRIM(E1876)),2)="SL",UPPER(TRIM(E1876))="C"),"C",IF(OR(LEFT(UPPER(TRIM(E1876)),1)="D",UPPER(TRIM(E1876))="D"),"D","")))))))</f>
        <v/>
      </c>
      <c r="J1876" s="27" t="str">
        <f aca="false">IF(I1876="","",IF(AND(I1876="D",Settings!$B$6&lt;&gt;"Yes"),"",IFERROR(INDEX(Settings!$C$9:$C$12,MATCH(I1876,Settings!$A$9:$A$12,0)),"")))</f>
        <v/>
      </c>
      <c r="K1876" s="27" t="str">
        <f aca="false">IF(J1876="","",COUNTIF($I$2:I1876,I1876))</f>
        <v/>
      </c>
      <c r="L1876" s="27" t="str">
        <f aca="false">IF(J1876="","",CHOOSE(Q1876+1,"Tue","Wed","Thu","Fri"))</f>
        <v/>
      </c>
      <c r="M1876" s="27" t="str">
        <f aca="false">IF(J1876="","",IF(J1876=1,"Every week",R1876+1&amp;" of "&amp;J1876))</f>
        <v/>
      </c>
      <c r="N1876" s="28" t="str">
        <f aca="false">IF(J1876="","",Settings!$B$4+R1876*7+Q1876)</f>
        <v/>
      </c>
      <c r="O1876" s="28" t="str">
        <f aca="true">IF(J1876="","",N1876+MAX(0,ROUNDUP((TODAY()-N1876)/(J1876*7),0))*J1876*7)</f>
        <v/>
      </c>
      <c r="P1876" s="27" t="str">
        <f aca="false">IF(J1876="","",MOD(K1876-1,J1876*4))</f>
        <v/>
      </c>
      <c r="Q1876" s="27" t="str">
        <f aca="false">IF(J1876="","",MOD(P1876,4))</f>
        <v/>
      </c>
      <c r="R1876" s="27" t="str">
        <f aca="false">IF(J1876="","",INT(P1876/4))</f>
        <v/>
      </c>
      <c r="S1876" s="27" t="str">
        <f aca="false">IF(J1876="","",IF(AND('Daily Count Sheet'!$H$3=Q1876,MOD('Daily Count Sheet'!$I$3,J1876)=R1876),1,""))</f>
        <v/>
      </c>
      <c r="T1876" s="27" t="str">
        <f aca="false">IF(S1876=1,COUNTIF($S$2:S1876,1),"")</f>
        <v/>
      </c>
    </row>
    <row r="1877" customFormat="false" ht="15" hidden="false" customHeight="false" outlineLevel="0" collapsed="false">
      <c r="H1877" s="26"/>
      <c r="I1877" s="27" t="str">
        <f aca="false">IF(A1877="","",IF(H1877&lt;&gt;"",UPPER(TRIM(H1877)),IFERROR(CHOOSE(VALUE(E1877)+1,"A","B","C","D"),IF(OR(LEFT(UPPER(TRIM(E1877)),1)="F",UPPER(TRIM(E1877))="A"),"A",IF(OR(LEFT(UPPER(TRIM(E1877)),1)="M",UPPER(TRIM(E1877))="B"),"B",IF(OR(LEFT(UPPER(TRIM(E1877)),2)="SL",UPPER(TRIM(E1877))="C"),"C",IF(OR(LEFT(UPPER(TRIM(E1877)),1)="D",UPPER(TRIM(E1877))="D"),"D","")))))))</f>
        <v/>
      </c>
      <c r="J1877" s="27" t="str">
        <f aca="false">IF(I1877="","",IF(AND(I1877="D",Settings!$B$6&lt;&gt;"Yes"),"",IFERROR(INDEX(Settings!$C$9:$C$12,MATCH(I1877,Settings!$A$9:$A$12,0)),"")))</f>
        <v/>
      </c>
      <c r="K1877" s="27" t="str">
        <f aca="false">IF(J1877="","",COUNTIF($I$2:I1877,I1877))</f>
        <v/>
      </c>
      <c r="L1877" s="27" t="str">
        <f aca="false">IF(J1877="","",CHOOSE(Q1877+1,"Tue","Wed","Thu","Fri"))</f>
        <v/>
      </c>
      <c r="M1877" s="27" t="str">
        <f aca="false">IF(J1877="","",IF(J1877=1,"Every week",R1877+1&amp;" of "&amp;J1877))</f>
        <v/>
      </c>
      <c r="N1877" s="28" t="str">
        <f aca="false">IF(J1877="","",Settings!$B$4+R1877*7+Q1877)</f>
        <v/>
      </c>
      <c r="O1877" s="28" t="str">
        <f aca="true">IF(J1877="","",N1877+MAX(0,ROUNDUP((TODAY()-N1877)/(J1877*7),0))*J1877*7)</f>
        <v/>
      </c>
      <c r="P1877" s="27" t="str">
        <f aca="false">IF(J1877="","",MOD(K1877-1,J1877*4))</f>
        <v/>
      </c>
      <c r="Q1877" s="27" t="str">
        <f aca="false">IF(J1877="","",MOD(P1877,4))</f>
        <v/>
      </c>
      <c r="R1877" s="27" t="str">
        <f aca="false">IF(J1877="","",INT(P1877/4))</f>
        <v/>
      </c>
      <c r="S1877" s="27" t="str">
        <f aca="false">IF(J1877="","",IF(AND('Daily Count Sheet'!$H$3=Q1877,MOD('Daily Count Sheet'!$I$3,J1877)=R1877),1,""))</f>
        <v/>
      </c>
      <c r="T1877" s="27" t="str">
        <f aca="false">IF(S1877=1,COUNTIF($S$2:S1877,1),"")</f>
        <v/>
      </c>
    </row>
    <row r="1878" customFormat="false" ht="15" hidden="false" customHeight="false" outlineLevel="0" collapsed="false">
      <c r="H1878" s="26"/>
      <c r="I1878" s="27" t="str">
        <f aca="false">IF(A1878="","",IF(H1878&lt;&gt;"",UPPER(TRIM(H1878)),IFERROR(CHOOSE(VALUE(E1878)+1,"A","B","C","D"),IF(OR(LEFT(UPPER(TRIM(E1878)),1)="F",UPPER(TRIM(E1878))="A"),"A",IF(OR(LEFT(UPPER(TRIM(E1878)),1)="M",UPPER(TRIM(E1878))="B"),"B",IF(OR(LEFT(UPPER(TRIM(E1878)),2)="SL",UPPER(TRIM(E1878))="C"),"C",IF(OR(LEFT(UPPER(TRIM(E1878)),1)="D",UPPER(TRIM(E1878))="D"),"D","")))))))</f>
        <v/>
      </c>
      <c r="J1878" s="27" t="str">
        <f aca="false">IF(I1878="","",IF(AND(I1878="D",Settings!$B$6&lt;&gt;"Yes"),"",IFERROR(INDEX(Settings!$C$9:$C$12,MATCH(I1878,Settings!$A$9:$A$12,0)),"")))</f>
        <v/>
      </c>
      <c r="K1878" s="27" t="str">
        <f aca="false">IF(J1878="","",COUNTIF($I$2:I1878,I1878))</f>
        <v/>
      </c>
      <c r="L1878" s="27" t="str">
        <f aca="false">IF(J1878="","",CHOOSE(Q1878+1,"Tue","Wed","Thu","Fri"))</f>
        <v/>
      </c>
      <c r="M1878" s="27" t="str">
        <f aca="false">IF(J1878="","",IF(J1878=1,"Every week",R1878+1&amp;" of "&amp;J1878))</f>
        <v/>
      </c>
      <c r="N1878" s="28" t="str">
        <f aca="false">IF(J1878="","",Settings!$B$4+R1878*7+Q1878)</f>
        <v/>
      </c>
      <c r="O1878" s="28" t="str">
        <f aca="true">IF(J1878="","",N1878+MAX(0,ROUNDUP((TODAY()-N1878)/(J1878*7),0))*J1878*7)</f>
        <v/>
      </c>
      <c r="P1878" s="27" t="str">
        <f aca="false">IF(J1878="","",MOD(K1878-1,J1878*4))</f>
        <v/>
      </c>
      <c r="Q1878" s="27" t="str">
        <f aca="false">IF(J1878="","",MOD(P1878,4))</f>
        <v/>
      </c>
      <c r="R1878" s="27" t="str">
        <f aca="false">IF(J1878="","",INT(P1878/4))</f>
        <v/>
      </c>
      <c r="S1878" s="27" t="str">
        <f aca="false">IF(J1878="","",IF(AND('Daily Count Sheet'!$H$3=Q1878,MOD('Daily Count Sheet'!$I$3,J1878)=R1878),1,""))</f>
        <v/>
      </c>
      <c r="T1878" s="27" t="str">
        <f aca="false">IF(S1878=1,COUNTIF($S$2:S1878,1),"")</f>
        <v/>
      </c>
    </row>
    <row r="1879" customFormat="false" ht="15" hidden="false" customHeight="false" outlineLevel="0" collapsed="false">
      <c r="H1879" s="26"/>
      <c r="I1879" s="27" t="str">
        <f aca="false">IF(A1879="","",IF(H1879&lt;&gt;"",UPPER(TRIM(H1879)),IFERROR(CHOOSE(VALUE(E1879)+1,"A","B","C","D"),IF(OR(LEFT(UPPER(TRIM(E1879)),1)="F",UPPER(TRIM(E1879))="A"),"A",IF(OR(LEFT(UPPER(TRIM(E1879)),1)="M",UPPER(TRIM(E1879))="B"),"B",IF(OR(LEFT(UPPER(TRIM(E1879)),2)="SL",UPPER(TRIM(E1879))="C"),"C",IF(OR(LEFT(UPPER(TRIM(E1879)),1)="D",UPPER(TRIM(E1879))="D"),"D","")))))))</f>
        <v/>
      </c>
      <c r="J1879" s="27" t="str">
        <f aca="false">IF(I1879="","",IF(AND(I1879="D",Settings!$B$6&lt;&gt;"Yes"),"",IFERROR(INDEX(Settings!$C$9:$C$12,MATCH(I1879,Settings!$A$9:$A$12,0)),"")))</f>
        <v/>
      </c>
      <c r="K1879" s="27" t="str">
        <f aca="false">IF(J1879="","",COUNTIF($I$2:I1879,I1879))</f>
        <v/>
      </c>
      <c r="L1879" s="27" t="str">
        <f aca="false">IF(J1879="","",CHOOSE(Q1879+1,"Tue","Wed","Thu","Fri"))</f>
        <v/>
      </c>
      <c r="M1879" s="27" t="str">
        <f aca="false">IF(J1879="","",IF(J1879=1,"Every week",R1879+1&amp;" of "&amp;J1879))</f>
        <v/>
      </c>
      <c r="N1879" s="28" t="str">
        <f aca="false">IF(J1879="","",Settings!$B$4+R1879*7+Q1879)</f>
        <v/>
      </c>
      <c r="O1879" s="28" t="str">
        <f aca="true">IF(J1879="","",N1879+MAX(0,ROUNDUP((TODAY()-N1879)/(J1879*7),0))*J1879*7)</f>
        <v/>
      </c>
      <c r="P1879" s="27" t="str">
        <f aca="false">IF(J1879="","",MOD(K1879-1,J1879*4))</f>
        <v/>
      </c>
      <c r="Q1879" s="27" t="str">
        <f aca="false">IF(J1879="","",MOD(P1879,4))</f>
        <v/>
      </c>
      <c r="R1879" s="27" t="str">
        <f aca="false">IF(J1879="","",INT(P1879/4))</f>
        <v/>
      </c>
      <c r="S1879" s="27" t="str">
        <f aca="false">IF(J1879="","",IF(AND('Daily Count Sheet'!$H$3=Q1879,MOD('Daily Count Sheet'!$I$3,J1879)=R1879),1,""))</f>
        <v/>
      </c>
      <c r="T1879" s="27" t="str">
        <f aca="false">IF(S1879=1,COUNTIF($S$2:S1879,1),"")</f>
        <v/>
      </c>
    </row>
    <row r="1880" customFormat="false" ht="15" hidden="false" customHeight="false" outlineLevel="0" collapsed="false">
      <c r="H1880" s="26"/>
      <c r="I1880" s="27" t="str">
        <f aca="false">IF(A1880="","",IF(H1880&lt;&gt;"",UPPER(TRIM(H1880)),IFERROR(CHOOSE(VALUE(E1880)+1,"A","B","C","D"),IF(OR(LEFT(UPPER(TRIM(E1880)),1)="F",UPPER(TRIM(E1880))="A"),"A",IF(OR(LEFT(UPPER(TRIM(E1880)),1)="M",UPPER(TRIM(E1880))="B"),"B",IF(OR(LEFT(UPPER(TRIM(E1880)),2)="SL",UPPER(TRIM(E1880))="C"),"C",IF(OR(LEFT(UPPER(TRIM(E1880)),1)="D",UPPER(TRIM(E1880))="D"),"D","")))))))</f>
        <v/>
      </c>
      <c r="J1880" s="27" t="str">
        <f aca="false">IF(I1880="","",IF(AND(I1880="D",Settings!$B$6&lt;&gt;"Yes"),"",IFERROR(INDEX(Settings!$C$9:$C$12,MATCH(I1880,Settings!$A$9:$A$12,0)),"")))</f>
        <v/>
      </c>
      <c r="K1880" s="27" t="str">
        <f aca="false">IF(J1880="","",COUNTIF($I$2:I1880,I1880))</f>
        <v/>
      </c>
      <c r="L1880" s="27" t="str">
        <f aca="false">IF(J1880="","",CHOOSE(Q1880+1,"Tue","Wed","Thu","Fri"))</f>
        <v/>
      </c>
      <c r="M1880" s="27" t="str">
        <f aca="false">IF(J1880="","",IF(J1880=1,"Every week",R1880+1&amp;" of "&amp;J1880))</f>
        <v/>
      </c>
      <c r="N1880" s="28" t="str">
        <f aca="false">IF(J1880="","",Settings!$B$4+R1880*7+Q1880)</f>
        <v/>
      </c>
      <c r="O1880" s="28" t="str">
        <f aca="true">IF(J1880="","",N1880+MAX(0,ROUNDUP((TODAY()-N1880)/(J1880*7),0))*J1880*7)</f>
        <v/>
      </c>
      <c r="P1880" s="27" t="str">
        <f aca="false">IF(J1880="","",MOD(K1880-1,J1880*4))</f>
        <v/>
      </c>
      <c r="Q1880" s="27" t="str">
        <f aca="false">IF(J1880="","",MOD(P1880,4))</f>
        <v/>
      </c>
      <c r="R1880" s="27" t="str">
        <f aca="false">IF(J1880="","",INT(P1880/4))</f>
        <v/>
      </c>
      <c r="S1880" s="27" t="str">
        <f aca="false">IF(J1880="","",IF(AND('Daily Count Sheet'!$H$3=Q1880,MOD('Daily Count Sheet'!$I$3,J1880)=R1880),1,""))</f>
        <v/>
      </c>
      <c r="T1880" s="27" t="str">
        <f aca="false">IF(S1880=1,COUNTIF($S$2:S1880,1),"")</f>
        <v/>
      </c>
    </row>
    <row r="1881" customFormat="false" ht="15" hidden="false" customHeight="false" outlineLevel="0" collapsed="false">
      <c r="H1881" s="26"/>
      <c r="I1881" s="27" t="str">
        <f aca="false">IF(A1881="","",IF(H1881&lt;&gt;"",UPPER(TRIM(H1881)),IFERROR(CHOOSE(VALUE(E1881)+1,"A","B","C","D"),IF(OR(LEFT(UPPER(TRIM(E1881)),1)="F",UPPER(TRIM(E1881))="A"),"A",IF(OR(LEFT(UPPER(TRIM(E1881)),1)="M",UPPER(TRIM(E1881))="B"),"B",IF(OR(LEFT(UPPER(TRIM(E1881)),2)="SL",UPPER(TRIM(E1881))="C"),"C",IF(OR(LEFT(UPPER(TRIM(E1881)),1)="D",UPPER(TRIM(E1881))="D"),"D","")))))))</f>
        <v/>
      </c>
      <c r="J1881" s="27" t="str">
        <f aca="false">IF(I1881="","",IF(AND(I1881="D",Settings!$B$6&lt;&gt;"Yes"),"",IFERROR(INDEX(Settings!$C$9:$C$12,MATCH(I1881,Settings!$A$9:$A$12,0)),"")))</f>
        <v/>
      </c>
      <c r="K1881" s="27" t="str">
        <f aca="false">IF(J1881="","",COUNTIF($I$2:I1881,I1881))</f>
        <v/>
      </c>
      <c r="L1881" s="27" t="str">
        <f aca="false">IF(J1881="","",CHOOSE(Q1881+1,"Tue","Wed","Thu","Fri"))</f>
        <v/>
      </c>
      <c r="M1881" s="27" t="str">
        <f aca="false">IF(J1881="","",IF(J1881=1,"Every week",R1881+1&amp;" of "&amp;J1881))</f>
        <v/>
      </c>
      <c r="N1881" s="28" t="str">
        <f aca="false">IF(J1881="","",Settings!$B$4+R1881*7+Q1881)</f>
        <v/>
      </c>
      <c r="O1881" s="28" t="str">
        <f aca="true">IF(J1881="","",N1881+MAX(0,ROUNDUP((TODAY()-N1881)/(J1881*7),0))*J1881*7)</f>
        <v/>
      </c>
      <c r="P1881" s="27" t="str">
        <f aca="false">IF(J1881="","",MOD(K1881-1,J1881*4))</f>
        <v/>
      </c>
      <c r="Q1881" s="27" t="str">
        <f aca="false">IF(J1881="","",MOD(P1881,4))</f>
        <v/>
      </c>
      <c r="R1881" s="27" t="str">
        <f aca="false">IF(J1881="","",INT(P1881/4))</f>
        <v/>
      </c>
      <c r="S1881" s="27" t="str">
        <f aca="false">IF(J1881="","",IF(AND('Daily Count Sheet'!$H$3=Q1881,MOD('Daily Count Sheet'!$I$3,J1881)=R1881),1,""))</f>
        <v/>
      </c>
      <c r="T1881" s="27" t="str">
        <f aca="false">IF(S1881=1,COUNTIF($S$2:S1881,1),"")</f>
        <v/>
      </c>
    </row>
    <row r="1882" customFormat="false" ht="15" hidden="false" customHeight="false" outlineLevel="0" collapsed="false">
      <c r="H1882" s="26"/>
      <c r="I1882" s="27" t="str">
        <f aca="false">IF(A1882="","",IF(H1882&lt;&gt;"",UPPER(TRIM(H1882)),IFERROR(CHOOSE(VALUE(E1882)+1,"A","B","C","D"),IF(OR(LEFT(UPPER(TRIM(E1882)),1)="F",UPPER(TRIM(E1882))="A"),"A",IF(OR(LEFT(UPPER(TRIM(E1882)),1)="M",UPPER(TRIM(E1882))="B"),"B",IF(OR(LEFT(UPPER(TRIM(E1882)),2)="SL",UPPER(TRIM(E1882))="C"),"C",IF(OR(LEFT(UPPER(TRIM(E1882)),1)="D",UPPER(TRIM(E1882))="D"),"D","")))))))</f>
        <v/>
      </c>
      <c r="J1882" s="27" t="str">
        <f aca="false">IF(I1882="","",IF(AND(I1882="D",Settings!$B$6&lt;&gt;"Yes"),"",IFERROR(INDEX(Settings!$C$9:$C$12,MATCH(I1882,Settings!$A$9:$A$12,0)),"")))</f>
        <v/>
      </c>
      <c r="K1882" s="27" t="str">
        <f aca="false">IF(J1882="","",COUNTIF($I$2:I1882,I1882))</f>
        <v/>
      </c>
      <c r="L1882" s="27" t="str">
        <f aca="false">IF(J1882="","",CHOOSE(Q1882+1,"Tue","Wed","Thu","Fri"))</f>
        <v/>
      </c>
      <c r="M1882" s="27" t="str">
        <f aca="false">IF(J1882="","",IF(J1882=1,"Every week",R1882+1&amp;" of "&amp;J1882))</f>
        <v/>
      </c>
      <c r="N1882" s="28" t="str">
        <f aca="false">IF(J1882="","",Settings!$B$4+R1882*7+Q1882)</f>
        <v/>
      </c>
      <c r="O1882" s="28" t="str">
        <f aca="true">IF(J1882="","",N1882+MAX(0,ROUNDUP((TODAY()-N1882)/(J1882*7),0))*J1882*7)</f>
        <v/>
      </c>
      <c r="P1882" s="27" t="str">
        <f aca="false">IF(J1882="","",MOD(K1882-1,J1882*4))</f>
        <v/>
      </c>
      <c r="Q1882" s="27" t="str">
        <f aca="false">IF(J1882="","",MOD(P1882,4))</f>
        <v/>
      </c>
      <c r="R1882" s="27" t="str">
        <f aca="false">IF(J1882="","",INT(P1882/4))</f>
        <v/>
      </c>
      <c r="S1882" s="27" t="str">
        <f aca="false">IF(J1882="","",IF(AND('Daily Count Sheet'!$H$3=Q1882,MOD('Daily Count Sheet'!$I$3,J1882)=R1882),1,""))</f>
        <v/>
      </c>
      <c r="T1882" s="27" t="str">
        <f aca="false">IF(S1882=1,COUNTIF($S$2:S1882,1),"")</f>
        <v/>
      </c>
    </row>
    <row r="1883" customFormat="false" ht="15" hidden="false" customHeight="false" outlineLevel="0" collapsed="false">
      <c r="H1883" s="26"/>
      <c r="I1883" s="27" t="str">
        <f aca="false">IF(A1883="","",IF(H1883&lt;&gt;"",UPPER(TRIM(H1883)),IFERROR(CHOOSE(VALUE(E1883)+1,"A","B","C","D"),IF(OR(LEFT(UPPER(TRIM(E1883)),1)="F",UPPER(TRIM(E1883))="A"),"A",IF(OR(LEFT(UPPER(TRIM(E1883)),1)="M",UPPER(TRIM(E1883))="B"),"B",IF(OR(LEFT(UPPER(TRIM(E1883)),2)="SL",UPPER(TRIM(E1883))="C"),"C",IF(OR(LEFT(UPPER(TRIM(E1883)),1)="D",UPPER(TRIM(E1883))="D"),"D","")))))))</f>
        <v/>
      </c>
      <c r="J1883" s="27" t="str">
        <f aca="false">IF(I1883="","",IF(AND(I1883="D",Settings!$B$6&lt;&gt;"Yes"),"",IFERROR(INDEX(Settings!$C$9:$C$12,MATCH(I1883,Settings!$A$9:$A$12,0)),"")))</f>
        <v/>
      </c>
      <c r="K1883" s="27" t="str">
        <f aca="false">IF(J1883="","",COUNTIF($I$2:I1883,I1883))</f>
        <v/>
      </c>
      <c r="L1883" s="27" t="str">
        <f aca="false">IF(J1883="","",CHOOSE(Q1883+1,"Tue","Wed","Thu","Fri"))</f>
        <v/>
      </c>
      <c r="M1883" s="27" t="str">
        <f aca="false">IF(J1883="","",IF(J1883=1,"Every week",R1883+1&amp;" of "&amp;J1883))</f>
        <v/>
      </c>
      <c r="N1883" s="28" t="str">
        <f aca="false">IF(J1883="","",Settings!$B$4+R1883*7+Q1883)</f>
        <v/>
      </c>
      <c r="O1883" s="28" t="str">
        <f aca="true">IF(J1883="","",N1883+MAX(0,ROUNDUP((TODAY()-N1883)/(J1883*7),0))*J1883*7)</f>
        <v/>
      </c>
      <c r="P1883" s="27" t="str">
        <f aca="false">IF(J1883="","",MOD(K1883-1,J1883*4))</f>
        <v/>
      </c>
      <c r="Q1883" s="27" t="str">
        <f aca="false">IF(J1883="","",MOD(P1883,4))</f>
        <v/>
      </c>
      <c r="R1883" s="27" t="str">
        <f aca="false">IF(J1883="","",INT(P1883/4))</f>
        <v/>
      </c>
      <c r="S1883" s="27" t="str">
        <f aca="false">IF(J1883="","",IF(AND('Daily Count Sheet'!$H$3=Q1883,MOD('Daily Count Sheet'!$I$3,J1883)=R1883),1,""))</f>
        <v/>
      </c>
      <c r="T1883" s="27" t="str">
        <f aca="false">IF(S1883=1,COUNTIF($S$2:S1883,1),"")</f>
        <v/>
      </c>
    </row>
    <row r="1884" customFormat="false" ht="15" hidden="false" customHeight="false" outlineLevel="0" collapsed="false">
      <c r="H1884" s="26"/>
      <c r="I1884" s="27" t="str">
        <f aca="false">IF(A1884="","",IF(H1884&lt;&gt;"",UPPER(TRIM(H1884)),IFERROR(CHOOSE(VALUE(E1884)+1,"A","B","C","D"),IF(OR(LEFT(UPPER(TRIM(E1884)),1)="F",UPPER(TRIM(E1884))="A"),"A",IF(OR(LEFT(UPPER(TRIM(E1884)),1)="M",UPPER(TRIM(E1884))="B"),"B",IF(OR(LEFT(UPPER(TRIM(E1884)),2)="SL",UPPER(TRIM(E1884))="C"),"C",IF(OR(LEFT(UPPER(TRIM(E1884)),1)="D",UPPER(TRIM(E1884))="D"),"D","")))))))</f>
        <v/>
      </c>
      <c r="J1884" s="27" t="str">
        <f aca="false">IF(I1884="","",IF(AND(I1884="D",Settings!$B$6&lt;&gt;"Yes"),"",IFERROR(INDEX(Settings!$C$9:$C$12,MATCH(I1884,Settings!$A$9:$A$12,0)),"")))</f>
        <v/>
      </c>
      <c r="K1884" s="27" t="str">
        <f aca="false">IF(J1884="","",COUNTIF($I$2:I1884,I1884))</f>
        <v/>
      </c>
      <c r="L1884" s="27" t="str">
        <f aca="false">IF(J1884="","",CHOOSE(Q1884+1,"Tue","Wed","Thu","Fri"))</f>
        <v/>
      </c>
      <c r="M1884" s="27" t="str">
        <f aca="false">IF(J1884="","",IF(J1884=1,"Every week",R1884+1&amp;" of "&amp;J1884))</f>
        <v/>
      </c>
      <c r="N1884" s="28" t="str">
        <f aca="false">IF(J1884="","",Settings!$B$4+R1884*7+Q1884)</f>
        <v/>
      </c>
      <c r="O1884" s="28" t="str">
        <f aca="true">IF(J1884="","",N1884+MAX(0,ROUNDUP((TODAY()-N1884)/(J1884*7),0))*J1884*7)</f>
        <v/>
      </c>
      <c r="P1884" s="27" t="str">
        <f aca="false">IF(J1884="","",MOD(K1884-1,J1884*4))</f>
        <v/>
      </c>
      <c r="Q1884" s="27" t="str">
        <f aca="false">IF(J1884="","",MOD(P1884,4))</f>
        <v/>
      </c>
      <c r="R1884" s="27" t="str">
        <f aca="false">IF(J1884="","",INT(P1884/4))</f>
        <v/>
      </c>
      <c r="S1884" s="27" t="str">
        <f aca="false">IF(J1884="","",IF(AND('Daily Count Sheet'!$H$3=Q1884,MOD('Daily Count Sheet'!$I$3,J1884)=R1884),1,""))</f>
        <v/>
      </c>
      <c r="T1884" s="27" t="str">
        <f aca="false">IF(S1884=1,COUNTIF($S$2:S1884,1),"")</f>
        <v/>
      </c>
    </row>
    <row r="1885" customFormat="false" ht="15" hidden="false" customHeight="false" outlineLevel="0" collapsed="false">
      <c r="H1885" s="26"/>
      <c r="I1885" s="27" t="str">
        <f aca="false">IF(A1885="","",IF(H1885&lt;&gt;"",UPPER(TRIM(H1885)),IFERROR(CHOOSE(VALUE(E1885)+1,"A","B","C","D"),IF(OR(LEFT(UPPER(TRIM(E1885)),1)="F",UPPER(TRIM(E1885))="A"),"A",IF(OR(LEFT(UPPER(TRIM(E1885)),1)="M",UPPER(TRIM(E1885))="B"),"B",IF(OR(LEFT(UPPER(TRIM(E1885)),2)="SL",UPPER(TRIM(E1885))="C"),"C",IF(OR(LEFT(UPPER(TRIM(E1885)),1)="D",UPPER(TRIM(E1885))="D"),"D","")))))))</f>
        <v/>
      </c>
      <c r="J1885" s="27" t="str">
        <f aca="false">IF(I1885="","",IF(AND(I1885="D",Settings!$B$6&lt;&gt;"Yes"),"",IFERROR(INDEX(Settings!$C$9:$C$12,MATCH(I1885,Settings!$A$9:$A$12,0)),"")))</f>
        <v/>
      </c>
      <c r="K1885" s="27" t="str">
        <f aca="false">IF(J1885="","",COUNTIF($I$2:I1885,I1885))</f>
        <v/>
      </c>
      <c r="L1885" s="27" t="str">
        <f aca="false">IF(J1885="","",CHOOSE(Q1885+1,"Tue","Wed","Thu","Fri"))</f>
        <v/>
      </c>
      <c r="M1885" s="27" t="str">
        <f aca="false">IF(J1885="","",IF(J1885=1,"Every week",R1885+1&amp;" of "&amp;J1885))</f>
        <v/>
      </c>
      <c r="N1885" s="28" t="str">
        <f aca="false">IF(J1885="","",Settings!$B$4+R1885*7+Q1885)</f>
        <v/>
      </c>
      <c r="O1885" s="28" t="str">
        <f aca="true">IF(J1885="","",N1885+MAX(0,ROUNDUP((TODAY()-N1885)/(J1885*7),0))*J1885*7)</f>
        <v/>
      </c>
      <c r="P1885" s="27" t="str">
        <f aca="false">IF(J1885="","",MOD(K1885-1,J1885*4))</f>
        <v/>
      </c>
      <c r="Q1885" s="27" t="str">
        <f aca="false">IF(J1885="","",MOD(P1885,4))</f>
        <v/>
      </c>
      <c r="R1885" s="27" t="str">
        <f aca="false">IF(J1885="","",INT(P1885/4))</f>
        <v/>
      </c>
      <c r="S1885" s="27" t="str">
        <f aca="false">IF(J1885="","",IF(AND('Daily Count Sheet'!$H$3=Q1885,MOD('Daily Count Sheet'!$I$3,J1885)=R1885),1,""))</f>
        <v/>
      </c>
      <c r="T1885" s="27" t="str">
        <f aca="false">IF(S1885=1,COUNTIF($S$2:S1885,1),"")</f>
        <v/>
      </c>
    </row>
    <row r="1886" customFormat="false" ht="15" hidden="false" customHeight="false" outlineLevel="0" collapsed="false">
      <c r="H1886" s="26"/>
      <c r="I1886" s="27" t="str">
        <f aca="false">IF(A1886="","",IF(H1886&lt;&gt;"",UPPER(TRIM(H1886)),IFERROR(CHOOSE(VALUE(E1886)+1,"A","B","C","D"),IF(OR(LEFT(UPPER(TRIM(E1886)),1)="F",UPPER(TRIM(E1886))="A"),"A",IF(OR(LEFT(UPPER(TRIM(E1886)),1)="M",UPPER(TRIM(E1886))="B"),"B",IF(OR(LEFT(UPPER(TRIM(E1886)),2)="SL",UPPER(TRIM(E1886))="C"),"C",IF(OR(LEFT(UPPER(TRIM(E1886)),1)="D",UPPER(TRIM(E1886))="D"),"D","")))))))</f>
        <v/>
      </c>
      <c r="J1886" s="27" t="str">
        <f aca="false">IF(I1886="","",IF(AND(I1886="D",Settings!$B$6&lt;&gt;"Yes"),"",IFERROR(INDEX(Settings!$C$9:$C$12,MATCH(I1886,Settings!$A$9:$A$12,0)),"")))</f>
        <v/>
      </c>
      <c r="K1886" s="27" t="str">
        <f aca="false">IF(J1886="","",COUNTIF($I$2:I1886,I1886))</f>
        <v/>
      </c>
      <c r="L1886" s="27" t="str">
        <f aca="false">IF(J1886="","",CHOOSE(Q1886+1,"Tue","Wed","Thu","Fri"))</f>
        <v/>
      </c>
      <c r="M1886" s="27" t="str">
        <f aca="false">IF(J1886="","",IF(J1886=1,"Every week",R1886+1&amp;" of "&amp;J1886))</f>
        <v/>
      </c>
      <c r="N1886" s="28" t="str">
        <f aca="false">IF(J1886="","",Settings!$B$4+R1886*7+Q1886)</f>
        <v/>
      </c>
      <c r="O1886" s="28" t="str">
        <f aca="true">IF(J1886="","",N1886+MAX(0,ROUNDUP((TODAY()-N1886)/(J1886*7),0))*J1886*7)</f>
        <v/>
      </c>
      <c r="P1886" s="27" t="str">
        <f aca="false">IF(J1886="","",MOD(K1886-1,J1886*4))</f>
        <v/>
      </c>
      <c r="Q1886" s="27" t="str">
        <f aca="false">IF(J1886="","",MOD(P1886,4))</f>
        <v/>
      </c>
      <c r="R1886" s="27" t="str">
        <f aca="false">IF(J1886="","",INT(P1886/4))</f>
        <v/>
      </c>
      <c r="S1886" s="27" t="str">
        <f aca="false">IF(J1886="","",IF(AND('Daily Count Sheet'!$H$3=Q1886,MOD('Daily Count Sheet'!$I$3,J1886)=R1886),1,""))</f>
        <v/>
      </c>
      <c r="T1886" s="27" t="str">
        <f aca="false">IF(S1886=1,COUNTIF($S$2:S1886,1),"")</f>
        <v/>
      </c>
    </row>
    <row r="1887" customFormat="false" ht="15" hidden="false" customHeight="false" outlineLevel="0" collapsed="false">
      <c r="H1887" s="26"/>
      <c r="I1887" s="27" t="str">
        <f aca="false">IF(A1887="","",IF(H1887&lt;&gt;"",UPPER(TRIM(H1887)),IFERROR(CHOOSE(VALUE(E1887)+1,"A","B","C","D"),IF(OR(LEFT(UPPER(TRIM(E1887)),1)="F",UPPER(TRIM(E1887))="A"),"A",IF(OR(LEFT(UPPER(TRIM(E1887)),1)="M",UPPER(TRIM(E1887))="B"),"B",IF(OR(LEFT(UPPER(TRIM(E1887)),2)="SL",UPPER(TRIM(E1887))="C"),"C",IF(OR(LEFT(UPPER(TRIM(E1887)),1)="D",UPPER(TRIM(E1887))="D"),"D","")))))))</f>
        <v/>
      </c>
      <c r="J1887" s="27" t="str">
        <f aca="false">IF(I1887="","",IF(AND(I1887="D",Settings!$B$6&lt;&gt;"Yes"),"",IFERROR(INDEX(Settings!$C$9:$C$12,MATCH(I1887,Settings!$A$9:$A$12,0)),"")))</f>
        <v/>
      </c>
      <c r="K1887" s="27" t="str">
        <f aca="false">IF(J1887="","",COUNTIF($I$2:I1887,I1887))</f>
        <v/>
      </c>
      <c r="L1887" s="27" t="str">
        <f aca="false">IF(J1887="","",CHOOSE(Q1887+1,"Tue","Wed","Thu","Fri"))</f>
        <v/>
      </c>
      <c r="M1887" s="27" t="str">
        <f aca="false">IF(J1887="","",IF(J1887=1,"Every week",R1887+1&amp;" of "&amp;J1887))</f>
        <v/>
      </c>
      <c r="N1887" s="28" t="str">
        <f aca="false">IF(J1887="","",Settings!$B$4+R1887*7+Q1887)</f>
        <v/>
      </c>
      <c r="O1887" s="28" t="str">
        <f aca="true">IF(J1887="","",N1887+MAX(0,ROUNDUP((TODAY()-N1887)/(J1887*7),0))*J1887*7)</f>
        <v/>
      </c>
      <c r="P1887" s="27" t="str">
        <f aca="false">IF(J1887="","",MOD(K1887-1,J1887*4))</f>
        <v/>
      </c>
      <c r="Q1887" s="27" t="str">
        <f aca="false">IF(J1887="","",MOD(P1887,4))</f>
        <v/>
      </c>
      <c r="R1887" s="27" t="str">
        <f aca="false">IF(J1887="","",INT(P1887/4))</f>
        <v/>
      </c>
      <c r="S1887" s="27" t="str">
        <f aca="false">IF(J1887="","",IF(AND('Daily Count Sheet'!$H$3=Q1887,MOD('Daily Count Sheet'!$I$3,J1887)=R1887),1,""))</f>
        <v/>
      </c>
      <c r="T1887" s="27" t="str">
        <f aca="false">IF(S1887=1,COUNTIF($S$2:S1887,1),"")</f>
        <v/>
      </c>
    </row>
    <row r="1888" customFormat="false" ht="15" hidden="false" customHeight="false" outlineLevel="0" collapsed="false">
      <c r="H1888" s="26"/>
      <c r="I1888" s="27" t="str">
        <f aca="false">IF(A1888="","",IF(H1888&lt;&gt;"",UPPER(TRIM(H1888)),IFERROR(CHOOSE(VALUE(E1888)+1,"A","B","C","D"),IF(OR(LEFT(UPPER(TRIM(E1888)),1)="F",UPPER(TRIM(E1888))="A"),"A",IF(OR(LEFT(UPPER(TRIM(E1888)),1)="M",UPPER(TRIM(E1888))="B"),"B",IF(OR(LEFT(UPPER(TRIM(E1888)),2)="SL",UPPER(TRIM(E1888))="C"),"C",IF(OR(LEFT(UPPER(TRIM(E1888)),1)="D",UPPER(TRIM(E1888))="D"),"D","")))))))</f>
        <v/>
      </c>
      <c r="J1888" s="27" t="str">
        <f aca="false">IF(I1888="","",IF(AND(I1888="D",Settings!$B$6&lt;&gt;"Yes"),"",IFERROR(INDEX(Settings!$C$9:$C$12,MATCH(I1888,Settings!$A$9:$A$12,0)),"")))</f>
        <v/>
      </c>
      <c r="K1888" s="27" t="str">
        <f aca="false">IF(J1888="","",COUNTIF($I$2:I1888,I1888))</f>
        <v/>
      </c>
      <c r="L1888" s="27" t="str">
        <f aca="false">IF(J1888="","",CHOOSE(Q1888+1,"Tue","Wed","Thu","Fri"))</f>
        <v/>
      </c>
      <c r="M1888" s="27" t="str">
        <f aca="false">IF(J1888="","",IF(J1888=1,"Every week",R1888+1&amp;" of "&amp;J1888))</f>
        <v/>
      </c>
      <c r="N1888" s="28" t="str">
        <f aca="false">IF(J1888="","",Settings!$B$4+R1888*7+Q1888)</f>
        <v/>
      </c>
      <c r="O1888" s="28" t="str">
        <f aca="true">IF(J1888="","",N1888+MAX(0,ROUNDUP((TODAY()-N1888)/(J1888*7),0))*J1888*7)</f>
        <v/>
      </c>
      <c r="P1888" s="27" t="str">
        <f aca="false">IF(J1888="","",MOD(K1888-1,J1888*4))</f>
        <v/>
      </c>
      <c r="Q1888" s="27" t="str">
        <f aca="false">IF(J1888="","",MOD(P1888,4))</f>
        <v/>
      </c>
      <c r="R1888" s="27" t="str">
        <f aca="false">IF(J1888="","",INT(P1888/4))</f>
        <v/>
      </c>
      <c r="S1888" s="27" t="str">
        <f aca="false">IF(J1888="","",IF(AND('Daily Count Sheet'!$H$3=Q1888,MOD('Daily Count Sheet'!$I$3,J1888)=R1888),1,""))</f>
        <v/>
      </c>
      <c r="T1888" s="27" t="str">
        <f aca="false">IF(S1888=1,COUNTIF($S$2:S1888,1),"")</f>
        <v/>
      </c>
    </row>
    <row r="1889" customFormat="false" ht="15" hidden="false" customHeight="false" outlineLevel="0" collapsed="false">
      <c r="H1889" s="26"/>
      <c r="I1889" s="27" t="str">
        <f aca="false">IF(A1889="","",IF(H1889&lt;&gt;"",UPPER(TRIM(H1889)),IFERROR(CHOOSE(VALUE(E1889)+1,"A","B","C","D"),IF(OR(LEFT(UPPER(TRIM(E1889)),1)="F",UPPER(TRIM(E1889))="A"),"A",IF(OR(LEFT(UPPER(TRIM(E1889)),1)="M",UPPER(TRIM(E1889))="B"),"B",IF(OR(LEFT(UPPER(TRIM(E1889)),2)="SL",UPPER(TRIM(E1889))="C"),"C",IF(OR(LEFT(UPPER(TRIM(E1889)),1)="D",UPPER(TRIM(E1889))="D"),"D","")))))))</f>
        <v/>
      </c>
      <c r="J1889" s="27" t="str">
        <f aca="false">IF(I1889="","",IF(AND(I1889="D",Settings!$B$6&lt;&gt;"Yes"),"",IFERROR(INDEX(Settings!$C$9:$C$12,MATCH(I1889,Settings!$A$9:$A$12,0)),"")))</f>
        <v/>
      </c>
      <c r="K1889" s="27" t="str">
        <f aca="false">IF(J1889="","",COUNTIF($I$2:I1889,I1889))</f>
        <v/>
      </c>
      <c r="L1889" s="27" t="str">
        <f aca="false">IF(J1889="","",CHOOSE(Q1889+1,"Tue","Wed","Thu","Fri"))</f>
        <v/>
      </c>
      <c r="M1889" s="27" t="str">
        <f aca="false">IF(J1889="","",IF(J1889=1,"Every week",R1889+1&amp;" of "&amp;J1889))</f>
        <v/>
      </c>
      <c r="N1889" s="28" t="str">
        <f aca="false">IF(J1889="","",Settings!$B$4+R1889*7+Q1889)</f>
        <v/>
      </c>
      <c r="O1889" s="28" t="str">
        <f aca="true">IF(J1889="","",N1889+MAX(0,ROUNDUP((TODAY()-N1889)/(J1889*7),0))*J1889*7)</f>
        <v/>
      </c>
      <c r="P1889" s="27" t="str">
        <f aca="false">IF(J1889="","",MOD(K1889-1,J1889*4))</f>
        <v/>
      </c>
      <c r="Q1889" s="27" t="str">
        <f aca="false">IF(J1889="","",MOD(P1889,4))</f>
        <v/>
      </c>
      <c r="R1889" s="27" t="str">
        <f aca="false">IF(J1889="","",INT(P1889/4))</f>
        <v/>
      </c>
      <c r="S1889" s="27" t="str">
        <f aca="false">IF(J1889="","",IF(AND('Daily Count Sheet'!$H$3=Q1889,MOD('Daily Count Sheet'!$I$3,J1889)=R1889),1,""))</f>
        <v/>
      </c>
      <c r="T1889" s="27" t="str">
        <f aca="false">IF(S1889=1,COUNTIF($S$2:S1889,1),"")</f>
        <v/>
      </c>
    </row>
    <row r="1890" customFormat="false" ht="15" hidden="false" customHeight="false" outlineLevel="0" collapsed="false">
      <c r="H1890" s="26"/>
      <c r="I1890" s="27" t="str">
        <f aca="false">IF(A1890="","",IF(H1890&lt;&gt;"",UPPER(TRIM(H1890)),IFERROR(CHOOSE(VALUE(E1890)+1,"A","B","C","D"),IF(OR(LEFT(UPPER(TRIM(E1890)),1)="F",UPPER(TRIM(E1890))="A"),"A",IF(OR(LEFT(UPPER(TRIM(E1890)),1)="M",UPPER(TRIM(E1890))="B"),"B",IF(OR(LEFT(UPPER(TRIM(E1890)),2)="SL",UPPER(TRIM(E1890))="C"),"C",IF(OR(LEFT(UPPER(TRIM(E1890)),1)="D",UPPER(TRIM(E1890))="D"),"D","")))))))</f>
        <v/>
      </c>
      <c r="J1890" s="27" t="str">
        <f aca="false">IF(I1890="","",IF(AND(I1890="D",Settings!$B$6&lt;&gt;"Yes"),"",IFERROR(INDEX(Settings!$C$9:$C$12,MATCH(I1890,Settings!$A$9:$A$12,0)),"")))</f>
        <v/>
      </c>
      <c r="K1890" s="27" t="str">
        <f aca="false">IF(J1890="","",COUNTIF($I$2:I1890,I1890))</f>
        <v/>
      </c>
      <c r="L1890" s="27" t="str">
        <f aca="false">IF(J1890="","",CHOOSE(Q1890+1,"Tue","Wed","Thu","Fri"))</f>
        <v/>
      </c>
      <c r="M1890" s="27" t="str">
        <f aca="false">IF(J1890="","",IF(J1890=1,"Every week",R1890+1&amp;" of "&amp;J1890))</f>
        <v/>
      </c>
      <c r="N1890" s="28" t="str">
        <f aca="false">IF(J1890="","",Settings!$B$4+R1890*7+Q1890)</f>
        <v/>
      </c>
      <c r="O1890" s="28" t="str">
        <f aca="true">IF(J1890="","",N1890+MAX(0,ROUNDUP((TODAY()-N1890)/(J1890*7),0))*J1890*7)</f>
        <v/>
      </c>
      <c r="P1890" s="27" t="str">
        <f aca="false">IF(J1890="","",MOD(K1890-1,J1890*4))</f>
        <v/>
      </c>
      <c r="Q1890" s="27" t="str">
        <f aca="false">IF(J1890="","",MOD(P1890,4))</f>
        <v/>
      </c>
      <c r="R1890" s="27" t="str">
        <f aca="false">IF(J1890="","",INT(P1890/4))</f>
        <v/>
      </c>
      <c r="S1890" s="27" t="str">
        <f aca="false">IF(J1890="","",IF(AND('Daily Count Sheet'!$H$3=Q1890,MOD('Daily Count Sheet'!$I$3,J1890)=R1890),1,""))</f>
        <v/>
      </c>
      <c r="T1890" s="27" t="str">
        <f aca="false">IF(S1890=1,COUNTIF($S$2:S1890,1),"")</f>
        <v/>
      </c>
    </row>
    <row r="1891" customFormat="false" ht="15" hidden="false" customHeight="false" outlineLevel="0" collapsed="false">
      <c r="H1891" s="26"/>
      <c r="I1891" s="27" t="str">
        <f aca="false">IF(A1891="","",IF(H1891&lt;&gt;"",UPPER(TRIM(H1891)),IFERROR(CHOOSE(VALUE(E1891)+1,"A","B","C","D"),IF(OR(LEFT(UPPER(TRIM(E1891)),1)="F",UPPER(TRIM(E1891))="A"),"A",IF(OR(LEFT(UPPER(TRIM(E1891)),1)="M",UPPER(TRIM(E1891))="B"),"B",IF(OR(LEFT(UPPER(TRIM(E1891)),2)="SL",UPPER(TRIM(E1891))="C"),"C",IF(OR(LEFT(UPPER(TRIM(E1891)),1)="D",UPPER(TRIM(E1891))="D"),"D","")))))))</f>
        <v/>
      </c>
      <c r="J1891" s="27" t="str">
        <f aca="false">IF(I1891="","",IF(AND(I1891="D",Settings!$B$6&lt;&gt;"Yes"),"",IFERROR(INDEX(Settings!$C$9:$C$12,MATCH(I1891,Settings!$A$9:$A$12,0)),"")))</f>
        <v/>
      </c>
      <c r="K1891" s="27" t="str">
        <f aca="false">IF(J1891="","",COUNTIF($I$2:I1891,I1891))</f>
        <v/>
      </c>
      <c r="L1891" s="27" t="str">
        <f aca="false">IF(J1891="","",CHOOSE(Q1891+1,"Tue","Wed","Thu","Fri"))</f>
        <v/>
      </c>
      <c r="M1891" s="27" t="str">
        <f aca="false">IF(J1891="","",IF(J1891=1,"Every week",R1891+1&amp;" of "&amp;J1891))</f>
        <v/>
      </c>
      <c r="N1891" s="28" t="str">
        <f aca="false">IF(J1891="","",Settings!$B$4+R1891*7+Q1891)</f>
        <v/>
      </c>
      <c r="O1891" s="28" t="str">
        <f aca="true">IF(J1891="","",N1891+MAX(0,ROUNDUP((TODAY()-N1891)/(J1891*7),0))*J1891*7)</f>
        <v/>
      </c>
      <c r="P1891" s="27" t="str">
        <f aca="false">IF(J1891="","",MOD(K1891-1,J1891*4))</f>
        <v/>
      </c>
      <c r="Q1891" s="27" t="str">
        <f aca="false">IF(J1891="","",MOD(P1891,4))</f>
        <v/>
      </c>
      <c r="R1891" s="27" t="str">
        <f aca="false">IF(J1891="","",INT(P1891/4))</f>
        <v/>
      </c>
      <c r="S1891" s="27" t="str">
        <f aca="false">IF(J1891="","",IF(AND('Daily Count Sheet'!$H$3=Q1891,MOD('Daily Count Sheet'!$I$3,J1891)=R1891),1,""))</f>
        <v/>
      </c>
      <c r="T1891" s="27" t="str">
        <f aca="false">IF(S1891=1,COUNTIF($S$2:S1891,1),"")</f>
        <v/>
      </c>
    </row>
    <row r="1892" customFormat="false" ht="15" hidden="false" customHeight="false" outlineLevel="0" collapsed="false">
      <c r="H1892" s="26"/>
      <c r="I1892" s="27" t="str">
        <f aca="false">IF(A1892="","",IF(H1892&lt;&gt;"",UPPER(TRIM(H1892)),IFERROR(CHOOSE(VALUE(E1892)+1,"A","B","C","D"),IF(OR(LEFT(UPPER(TRIM(E1892)),1)="F",UPPER(TRIM(E1892))="A"),"A",IF(OR(LEFT(UPPER(TRIM(E1892)),1)="M",UPPER(TRIM(E1892))="B"),"B",IF(OR(LEFT(UPPER(TRIM(E1892)),2)="SL",UPPER(TRIM(E1892))="C"),"C",IF(OR(LEFT(UPPER(TRIM(E1892)),1)="D",UPPER(TRIM(E1892))="D"),"D","")))))))</f>
        <v/>
      </c>
      <c r="J1892" s="27" t="str">
        <f aca="false">IF(I1892="","",IF(AND(I1892="D",Settings!$B$6&lt;&gt;"Yes"),"",IFERROR(INDEX(Settings!$C$9:$C$12,MATCH(I1892,Settings!$A$9:$A$12,0)),"")))</f>
        <v/>
      </c>
      <c r="K1892" s="27" t="str">
        <f aca="false">IF(J1892="","",COUNTIF($I$2:I1892,I1892))</f>
        <v/>
      </c>
      <c r="L1892" s="27" t="str">
        <f aca="false">IF(J1892="","",CHOOSE(Q1892+1,"Tue","Wed","Thu","Fri"))</f>
        <v/>
      </c>
      <c r="M1892" s="27" t="str">
        <f aca="false">IF(J1892="","",IF(J1892=1,"Every week",R1892+1&amp;" of "&amp;J1892))</f>
        <v/>
      </c>
      <c r="N1892" s="28" t="str">
        <f aca="false">IF(J1892="","",Settings!$B$4+R1892*7+Q1892)</f>
        <v/>
      </c>
      <c r="O1892" s="28" t="str">
        <f aca="true">IF(J1892="","",N1892+MAX(0,ROUNDUP((TODAY()-N1892)/(J1892*7),0))*J1892*7)</f>
        <v/>
      </c>
      <c r="P1892" s="27" t="str">
        <f aca="false">IF(J1892="","",MOD(K1892-1,J1892*4))</f>
        <v/>
      </c>
      <c r="Q1892" s="27" t="str">
        <f aca="false">IF(J1892="","",MOD(P1892,4))</f>
        <v/>
      </c>
      <c r="R1892" s="27" t="str">
        <f aca="false">IF(J1892="","",INT(P1892/4))</f>
        <v/>
      </c>
      <c r="S1892" s="27" t="str">
        <f aca="false">IF(J1892="","",IF(AND('Daily Count Sheet'!$H$3=Q1892,MOD('Daily Count Sheet'!$I$3,J1892)=R1892),1,""))</f>
        <v/>
      </c>
      <c r="T1892" s="27" t="str">
        <f aca="false">IF(S1892=1,COUNTIF($S$2:S1892,1),"")</f>
        <v/>
      </c>
    </row>
    <row r="1893" customFormat="false" ht="15" hidden="false" customHeight="false" outlineLevel="0" collapsed="false">
      <c r="H1893" s="26"/>
      <c r="I1893" s="27" t="str">
        <f aca="false">IF(A1893="","",IF(H1893&lt;&gt;"",UPPER(TRIM(H1893)),IFERROR(CHOOSE(VALUE(E1893)+1,"A","B","C","D"),IF(OR(LEFT(UPPER(TRIM(E1893)),1)="F",UPPER(TRIM(E1893))="A"),"A",IF(OR(LEFT(UPPER(TRIM(E1893)),1)="M",UPPER(TRIM(E1893))="B"),"B",IF(OR(LEFT(UPPER(TRIM(E1893)),2)="SL",UPPER(TRIM(E1893))="C"),"C",IF(OR(LEFT(UPPER(TRIM(E1893)),1)="D",UPPER(TRIM(E1893))="D"),"D","")))))))</f>
        <v/>
      </c>
      <c r="J1893" s="27" t="str">
        <f aca="false">IF(I1893="","",IF(AND(I1893="D",Settings!$B$6&lt;&gt;"Yes"),"",IFERROR(INDEX(Settings!$C$9:$C$12,MATCH(I1893,Settings!$A$9:$A$12,0)),"")))</f>
        <v/>
      </c>
      <c r="K1893" s="27" t="str">
        <f aca="false">IF(J1893="","",COUNTIF($I$2:I1893,I1893))</f>
        <v/>
      </c>
      <c r="L1893" s="27" t="str">
        <f aca="false">IF(J1893="","",CHOOSE(Q1893+1,"Tue","Wed","Thu","Fri"))</f>
        <v/>
      </c>
      <c r="M1893" s="27" t="str">
        <f aca="false">IF(J1893="","",IF(J1893=1,"Every week",R1893+1&amp;" of "&amp;J1893))</f>
        <v/>
      </c>
      <c r="N1893" s="28" t="str">
        <f aca="false">IF(J1893="","",Settings!$B$4+R1893*7+Q1893)</f>
        <v/>
      </c>
      <c r="O1893" s="28" t="str">
        <f aca="true">IF(J1893="","",N1893+MAX(0,ROUNDUP((TODAY()-N1893)/(J1893*7),0))*J1893*7)</f>
        <v/>
      </c>
      <c r="P1893" s="27" t="str">
        <f aca="false">IF(J1893="","",MOD(K1893-1,J1893*4))</f>
        <v/>
      </c>
      <c r="Q1893" s="27" t="str">
        <f aca="false">IF(J1893="","",MOD(P1893,4))</f>
        <v/>
      </c>
      <c r="R1893" s="27" t="str">
        <f aca="false">IF(J1893="","",INT(P1893/4))</f>
        <v/>
      </c>
      <c r="S1893" s="27" t="str">
        <f aca="false">IF(J1893="","",IF(AND('Daily Count Sheet'!$H$3=Q1893,MOD('Daily Count Sheet'!$I$3,J1893)=R1893),1,""))</f>
        <v/>
      </c>
      <c r="T1893" s="27" t="str">
        <f aca="false">IF(S1893=1,COUNTIF($S$2:S1893,1),"")</f>
        <v/>
      </c>
    </row>
    <row r="1894" customFormat="false" ht="15" hidden="false" customHeight="false" outlineLevel="0" collapsed="false">
      <c r="H1894" s="26"/>
      <c r="I1894" s="27" t="str">
        <f aca="false">IF(A1894="","",IF(H1894&lt;&gt;"",UPPER(TRIM(H1894)),IFERROR(CHOOSE(VALUE(E1894)+1,"A","B","C","D"),IF(OR(LEFT(UPPER(TRIM(E1894)),1)="F",UPPER(TRIM(E1894))="A"),"A",IF(OR(LEFT(UPPER(TRIM(E1894)),1)="M",UPPER(TRIM(E1894))="B"),"B",IF(OR(LEFT(UPPER(TRIM(E1894)),2)="SL",UPPER(TRIM(E1894))="C"),"C",IF(OR(LEFT(UPPER(TRIM(E1894)),1)="D",UPPER(TRIM(E1894))="D"),"D","")))))))</f>
        <v/>
      </c>
      <c r="J1894" s="27" t="str">
        <f aca="false">IF(I1894="","",IF(AND(I1894="D",Settings!$B$6&lt;&gt;"Yes"),"",IFERROR(INDEX(Settings!$C$9:$C$12,MATCH(I1894,Settings!$A$9:$A$12,0)),"")))</f>
        <v/>
      </c>
      <c r="K1894" s="27" t="str">
        <f aca="false">IF(J1894="","",COUNTIF($I$2:I1894,I1894))</f>
        <v/>
      </c>
      <c r="L1894" s="27" t="str">
        <f aca="false">IF(J1894="","",CHOOSE(Q1894+1,"Tue","Wed","Thu","Fri"))</f>
        <v/>
      </c>
      <c r="M1894" s="27" t="str">
        <f aca="false">IF(J1894="","",IF(J1894=1,"Every week",R1894+1&amp;" of "&amp;J1894))</f>
        <v/>
      </c>
      <c r="N1894" s="28" t="str">
        <f aca="false">IF(J1894="","",Settings!$B$4+R1894*7+Q1894)</f>
        <v/>
      </c>
      <c r="O1894" s="28" t="str">
        <f aca="true">IF(J1894="","",N1894+MAX(0,ROUNDUP((TODAY()-N1894)/(J1894*7),0))*J1894*7)</f>
        <v/>
      </c>
      <c r="P1894" s="27" t="str">
        <f aca="false">IF(J1894="","",MOD(K1894-1,J1894*4))</f>
        <v/>
      </c>
      <c r="Q1894" s="27" t="str">
        <f aca="false">IF(J1894="","",MOD(P1894,4))</f>
        <v/>
      </c>
      <c r="R1894" s="27" t="str">
        <f aca="false">IF(J1894="","",INT(P1894/4))</f>
        <v/>
      </c>
      <c r="S1894" s="27" t="str">
        <f aca="false">IF(J1894="","",IF(AND('Daily Count Sheet'!$H$3=Q1894,MOD('Daily Count Sheet'!$I$3,J1894)=R1894),1,""))</f>
        <v/>
      </c>
      <c r="T1894" s="27" t="str">
        <f aca="false">IF(S1894=1,COUNTIF($S$2:S1894,1),"")</f>
        <v/>
      </c>
    </row>
    <row r="1895" customFormat="false" ht="15" hidden="false" customHeight="false" outlineLevel="0" collapsed="false">
      <c r="H1895" s="26"/>
      <c r="I1895" s="27" t="str">
        <f aca="false">IF(A1895="","",IF(H1895&lt;&gt;"",UPPER(TRIM(H1895)),IFERROR(CHOOSE(VALUE(E1895)+1,"A","B","C","D"),IF(OR(LEFT(UPPER(TRIM(E1895)),1)="F",UPPER(TRIM(E1895))="A"),"A",IF(OR(LEFT(UPPER(TRIM(E1895)),1)="M",UPPER(TRIM(E1895))="B"),"B",IF(OR(LEFT(UPPER(TRIM(E1895)),2)="SL",UPPER(TRIM(E1895))="C"),"C",IF(OR(LEFT(UPPER(TRIM(E1895)),1)="D",UPPER(TRIM(E1895))="D"),"D","")))))))</f>
        <v/>
      </c>
      <c r="J1895" s="27" t="str">
        <f aca="false">IF(I1895="","",IF(AND(I1895="D",Settings!$B$6&lt;&gt;"Yes"),"",IFERROR(INDEX(Settings!$C$9:$C$12,MATCH(I1895,Settings!$A$9:$A$12,0)),"")))</f>
        <v/>
      </c>
      <c r="K1895" s="27" t="str">
        <f aca="false">IF(J1895="","",COUNTIF($I$2:I1895,I1895))</f>
        <v/>
      </c>
      <c r="L1895" s="27" t="str">
        <f aca="false">IF(J1895="","",CHOOSE(Q1895+1,"Tue","Wed","Thu","Fri"))</f>
        <v/>
      </c>
      <c r="M1895" s="27" t="str">
        <f aca="false">IF(J1895="","",IF(J1895=1,"Every week",R1895+1&amp;" of "&amp;J1895))</f>
        <v/>
      </c>
      <c r="N1895" s="28" t="str">
        <f aca="false">IF(J1895="","",Settings!$B$4+R1895*7+Q1895)</f>
        <v/>
      </c>
      <c r="O1895" s="28" t="str">
        <f aca="true">IF(J1895="","",N1895+MAX(0,ROUNDUP((TODAY()-N1895)/(J1895*7),0))*J1895*7)</f>
        <v/>
      </c>
      <c r="P1895" s="27" t="str">
        <f aca="false">IF(J1895="","",MOD(K1895-1,J1895*4))</f>
        <v/>
      </c>
      <c r="Q1895" s="27" t="str">
        <f aca="false">IF(J1895="","",MOD(P1895,4))</f>
        <v/>
      </c>
      <c r="R1895" s="27" t="str">
        <f aca="false">IF(J1895="","",INT(P1895/4))</f>
        <v/>
      </c>
      <c r="S1895" s="27" t="str">
        <f aca="false">IF(J1895="","",IF(AND('Daily Count Sheet'!$H$3=Q1895,MOD('Daily Count Sheet'!$I$3,J1895)=R1895),1,""))</f>
        <v/>
      </c>
      <c r="T1895" s="27" t="str">
        <f aca="false">IF(S1895=1,COUNTIF($S$2:S1895,1),"")</f>
        <v/>
      </c>
    </row>
    <row r="1896" customFormat="false" ht="15" hidden="false" customHeight="false" outlineLevel="0" collapsed="false">
      <c r="H1896" s="26"/>
      <c r="I1896" s="27" t="str">
        <f aca="false">IF(A1896="","",IF(H1896&lt;&gt;"",UPPER(TRIM(H1896)),IFERROR(CHOOSE(VALUE(E1896)+1,"A","B","C","D"),IF(OR(LEFT(UPPER(TRIM(E1896)),1)="F",UPPER(TRIM(E1896))="A"),"A",IF(OR(LEFT(UPPER(TRIM(E1896)),1)="M",UPPER(TRIM(E1896))="B"),"B",IF(OR(LEFT(UPPER(TRIM(E1896)),2)="SL",UPPER(TRIM(E1896))="C"),"C",IF(OR(LEFT(UPPER(TRIM(E1896)),1)="D",UPPER(TRIM(E1896))="D"),"D","")))))))</f>
        <v/>
      </c>
      <c r="J1896" s="27" t="str">
        <f aca="false">IF(I1896="","",IF(AND(I1896="D",Settings!$B$6&lt;&gt;"Yes"),"",IFERROR(INDEX(Settings!$C$9:$C$12,MATCH(I1896,Settings!$A$9:$A$12,0)),"")))</f>
        <v/>
      </c>
      <c r="K1896" s="27" t="str">
        <f aca="false">IF(J1896="","",COUNTIF($I$2:I1896,I1896))</f>
        <v/>
      </c>
      <c r="L1896" s="27" t="str">
        <f aca="false">IF(J1896="","",CHOOSE(Q1896+1,"Tue","Wed","Thu","Fri"))</f>
        <v/>
      </c>
      <c r="M1896" s="27" t="str">
        <f aca="false">IF(J1896="","",IF(J1896=1,"Every week",R1896+1&amp;" of "&amp;J1896))</f>
        <v/>
      </c>
      <c r="N1896" s="28" t="str">
        <f aca="false">IF(J1896="","",Settings!$B$4+R1896*7+Q1896)</f>
        <v/>
      </c>
      <c r="O1896" s="28" t="str">
        <f aca="true">IF(J1896="","",N1896+MAX(0,ROUNDUP((TODAY()-N1896)/(J1896*7),0))*J1896*7)</f>
        <v/>
      </c>
      <c r="P1896" s="27" t="str">
        <f aca="false">IF(J1896="","",MOD(K1896-1,J1896*4))</f>
        <v/>
      </c>
      <c r="Q1896" s="27" t="str">
        <f aca="false">IF(J1896="","",MOD(P1896,4))</f>
        <v/>
      </c>
      <c r="R1896" s="27" t="str">
        <f aca="false">IF(J1896="","",INT(P1896/4))</f>
        <v/>
      </c>
      <c r="S1896" s="27" t="str">
        <f aca="false">IF(J1896="","",IF(AND('Daily Count Sheet'!$H$3=Q1896,MOD('Daily Count Sheet'!$I$3,J1896)=R1896),1,""))</f>
        <v/>
      </c>
      <c r="T1896" s="27" t="str">
        <f aca="false">IF(S1896=1,COUNTIF($S$2:S1896,1),"")</f>
        <v/>
      </c>
    </row>
    <row r="1897" customFormat="false" ht="15" hidden="false" customHeight="false" outlineLevel="0" collapsed="false">
      <c r="H1897" s="26"/>
      <c r="I1897" s="27" t="str">
        <f aca="false">IF(A1897="","",IF(H1897&lt;&gt;"",UPPER(TRIM(H1897)),IFERROR(CHOOSE(VALUE(E1897)+1,"A","B","C","D"),IF(OR(LEFT(UPPER(TRIM(E1897)),1)="F",UPPER(TRIM(E1897))="A"),"A",IF(OR(LEFT(UPPER(TRIM(E1897)),1)="M",UPPER(TRIM(E1897))="B"),"B",IF(OR(LEFT(UPPER(TRIM(E1897)),2)="SL",UPPER(TRIM(E1897))="C"),"C",IF(OR(LEFT(UPPER(TRIM(E1897)),1)="D",UPPER(TRIM(E1897))="D"),"D","")))))))</f>
        <v/>
      </c>
      <c r="J1897" s="27" t="str">
        <f aca="false">IF(I1897="","",IF(AND(I1897="D",Settings!$B$6&lt;&gt;"Yes"),"",IFERROR(INDEX(Settings!$C$9:$C$12,MATCH(I1897,Settings!$A$9:$A$12,0)),"")))</f>
        <v/>
      </c>
      <c r="K1897" s="27" t="str">
        <f aca="false">IF(J1897="","",COUNTIF($I$2:I1897,I1897))</f>
        <v/>
      </c>
      <c r="L1897" s="27" t="str">
        <f aca="false">IF(J1897="","",CHOOSE(Q1897+1,"Tue","Wed","Thu","Fri"))</f>
        <v/>
      </c>
      <c r="M1897" s="27" t="str">
        <f aca="false">IF(J1897="","",IF(J1897=1,"Every week",R1897+1&amp;" of "&amp;J1897))</f>
        <v/>
      </c>
      <c r="N1897" s="28" t="str">
        <f aca="false">IF(J1897="","",Settings!$B$4+R1897*7+Q1897)</f>
        <v/>
      </c>
      <c r="O1897" s="28" t="str">
        <f aca="true">IF(J1897="","",N1897+MAX(0,ROUNDUP((TODAY()-N1897)/(J1897*7),0))*J1897*7)</f>
        <v/>
      </c>
      <c r="P1897" s="27" t="str">
        <f aca="false">IF(J1897="","",MOD(K1897-1,J1897*4))</f>
        <v/>
      </c>
      <c r="Q1897" s="27" t="str">
        <f aca="false">IF(J1897="","",MOD(P1897,4))</f>
        <v/>
      </c>
      <c r="R1897" s="27" t="str">
        <f aca="false">IF(J1897="","",INT(P1897/4))</f>
        <v/>
      </c>
      <c r="S1897" s="27" t="str">
        <f aca="false">IF(J1897="","",IF(AND('Daily Count Sheet'!$H$3=Q1897,MOD('Daily Count Sheet'!$I$3,J1897)=R1897),1,""))</f>
        <v/>
      </c>
      <c r="T1897" s="27" t="str">
        <f aca="false">IF(S1897=1,COUNTIF($S$2:S1897,1),"")</f>
        <v/>
      </c>
    </row>
    <row r="1898" customFormat="false" ht="15" hidden="false" customHeight="false" outlineLevel="0" collapsed="false">
      <c r="H1898" s="26"/>
      <c r="I1898" s="27" t="str">
        <f aca="false">IF(A1898="","",IF(H1898&lt;&gt;"",UPPER(TRIM(H1898)),IFERROR(CHOOSE(VALUE(E1898)+1,"A","B","C","D"),IF(OR(LEFT(UPPER(TRIM(E1898)),1)="F",UPPER(TRIM(E1898))="A"),"A",IF(OR(LEFT(UPPER(TRIM(E1898)),1)="M",UPPER(TRIM(E1898))="B"),"B",IF(OR(LEFT(UPPER(TRIM(E1898)),2)="SL",UPPER(TRIM(E1898))="C"),"C",IF(OR(LEFT(UPPER(TRIM(E1898)),1)="D",UPPER(TRIM(E1898))="D"),"D","")))))))</f>
        <v/>
      </c>
      <c r="J1898" s="27" t="str">
        <f aca="false">IF(I1898="","",IF(AND(I1898="D",Settings!$B$6&lt;&gt;"Yes"),"",IFERROR(INDEX(Settings!$C$9:$C$12,MATCH(I1898,Settings!$A$9:$A$12,0)),"")))</f>
        <v/>
      </c>
      <c r="K1898" s="27" t="str">
        <f aca="false">IF(J1898="","",COUNTIF($I$2:I1898,I1898))</f>
        <v/>
      </c>
      <c r="L1898" s="27" t="str">
        <f aca="false">IF(J1898="","",CHOOSE(Q1898+1,"Tue","Wed","Thu","Fri"))</f>
        <v/>
      </c>
      <c r="M1898" s="27" t="str">
        <f aca="false">IF(J1898="","",IF(J1898=1,"Every week",R1898+1&amp;" of "&amp;J1898))</f>
        <v/>
      </c>
      <c r="N1898" s="28" t="str">
        <f aca="false">IF(J1898="","",Settings!$B$4+R1898*7+Q1898)</f>
        <v/>
      </c>
      <c r="O1898" s="28" t="str">
        <f aca="true">IF(J1898="","",N1898+MAX(0,ROUNDUP((TODAY()-N1898)/(J1898*7),0))*J1898*7)</f>
        <v/>
      </c>
      <c r="P1898" s="27" t="str">
        <f aca="false">IF(J1898="","",MOD(K1898-1,J1898*4))</f>
        <v/>
      </c>
      <c r="Q1898" s="27" t="str">
        <f aca="false">IF(J1898="","",MOD(P1898,4))</f>
        <v/>
      </c>
      <c r="R1898" s="27" t="str">
        <f aca="false">IF(J1898="","",INT(P1898/4))</f>
        <v/>
      </c>
      <c r="S1898" s="27" t="str">
        <f aca="false">IF(J1898="","",IF(AND('Daily Count Sheet'!$H$3=Q1898,MOD('Daily Count Sheet'!$I$3,J1898)=R1898),1,""))</f>
        <v/>
      </c>
      <c r="T1898" s="27" t="str">
        <f aca="false">IF(S1898=1,COUNTIF($S$2:S1898,1),"")</f>
        <v/>
      </c>
    </row>
    <row r="1899" customFormat="false" ht="15" hidden="false" customHeight="false" outlineLevel="0" collapsed="false">
      <c r="H1899" s="26"/>
      <c r="I1899" s="27" t="str">
        <f aca="false">IF(A1899="","",IF(H1899&lt;&gt;"",UPPER(TRIM(H1899)),IFERROR(CHOOSE(VALUE(E1899)+1,"A","B","C","D"),IF(OR(LEFT(UPPER(TRIM(E1899)),1)="F",UPPER(TRIM(E1899))="A"),"A",IF(OR(LEFT(UPPER(TRIM(E1899)),1)="M",UPPER(TRIM(E1899))="B"),"B",IF(OR(LEFT(UPPER(TRIM(E1899)),2)="SL",UPPER(TRIM(E1899))="C"),"C",IF(OR(LEFT(UPPER(TRIM(E1899)),1)="D",UPPER(TRIM(E1899))="D"),"D","")))))))</f>
        <v/>
      </c>
      <c r="J1899" s="27" t="str">
        <f aca="false">IF(I1899="","",IF(AND(I1899="D",Settings!$B$6&lt;&gt;"Yes"),"",IFERROR(INDEX(Settings!$C$9:$C$12,MATCH(I1899,Settings!$A$9:$A$12,0)),"")))</f>
        <v/>
      </c>
      <c r="K1899" s="27" t="str">
        <f aca="false">IF(J1899="","",COUNTIF($I$2:I1899,I1899))</f>
        <v/>
      </c>
      <c r="L1899" s="27" t="str">
        <f aca="false">IF(J1899="","",CHOOSE(Q1899+1,"Tue","Wed","Thu","Fri"))</f>
        <v/>
      </c>
      <c r="M1899" s="27" t="str">
        <f aca="false">IF(J1899="","",IF(J1899=1,"Every week",R1899+1&amp;" of "&amp;J1899))</f>
        <v/>
      </c>
      <c r="N1899" s="28" t="str">
        <f aca="false">IF(J1899="","",Settings!$B$4+R1899*7+Q1899)</f>
        <v/>
      </c>
      <c r="O1899" s="28" t="str">
        <f aca="true">IF(J1899="","",N1899+MAX(0,ROUNDUP((TODAY()-N1899)/(J1899*7),0))*J1899*7)</f>
        <v/>
      </c>
      <c r="P1899" s="27" t="str">
        <f aca="false">IF(J1899="","",MOD(K1899-1,J1899*4))</f>
        <v/>
      </c>
      <c r="Q1899" s="27" t="str">
        <f aca="false">IF(J1899="","",MOD(P1899,4))</f>
        <v/>
      </c>
      <c r="R1899" s="27" t="str">
        <f aca="false">IF(J1899="","",INT(P1899/4))</f>
        <v/>
      </c>
      <c r="S1899" s="27" t="str">
        <f aca="false">IF(J1899="","",IF(AND('Daily Count Sheet'!$H$3=Q1899,MOD('Daily Count Sheet'!$I$3,J1899)=R1899),1,""))</f>
        <v/>
      </c>
      <c r="T1899" s="27" t="str">
        <f aca="false">IF(S1899=1,COUNTIF($S$2:S1899,1),"")</f>
        <v/>
      </c>
    </row>
    <row r="1900" customFormat="false" ht="15" hidden="false" customHeight="false" outlineLevel="0" collapsed="false">
      <c r="H1900" s="26"/>
      <c r="I1900" s="27" t="str">
        <f aca="false">IF(A1900="","",IF(H1900&lt;&gt;"",UPPER(TRIM(H1900)),IFERROR(CHOOSE(VALUE(E1900)+1,"A","B","C","D"),IF(OR(LEFT(UPPER(TRIM(E1900)),1)="F",UPPER(TRIM(E1900))="A"),"A",IF(OR(LEFT(UPPER(TRIM(E1900)),1)="M",UPPER(TRIM(E1900))="B"),"B",IF(OR(LEFT(UPPER(TRIM(E1900)),2)="SL",UPPER(TRIM(E1900))="C"),"C",IF(OR(LEFT(UPPER(TRIM(E1900)),1)="D",UPPER(TRIM(E1900))="D"),"D","")))))))</f>
        <v/>
      </c>
      <c r="J1900" s="27" t="str">
        <f aca="false">IF(I1900="","",IF(AND(I1900="D",Settings!$B$6&lt;&gt;"Yes"),"",IFERROR(INDEX(Settings!$C$9:$C$12,MATCH(I1900,Settings!$A$9:$A$12,0)),"")))</f>
        <v/>
      </c>
      <c r="K1900" s="27" t="str">
        <f aca="false">IF(J1900="","",COUNTIF($I$2:I1900,I1900))</f>
        <v/>
      </c>
      <c r="L1900" s="27" t="str">
        <f aca="false">IF(J1900="","",CHOOSE(Q1900+1,"Tue","Wed","Thu","Fri"))</f>
        <v/>
      </c>
      <c r="M1900" s="27" t="str">
        <f aca="false">IF(J1900="","",IF(J1900=1,"Every week",R1900+1&amp;" of "&amp;J1900))</f>
        <v/>
      </c>
      <c r="N1900" s="28" t="str">
        <f aca="false">IF(J1900="","",Settings!$B$4+R1900*7+Q1900)</f>
        <v/>
      </c>
      <c r="O1900" s="28" t="str">
        <f aca="true">IF(J1900="","",N1900+MAX(0,ROUNDUP((TODAY()-N1900)/(J1900*7),0))*J1900*7)</f>
        <v/>
      </c>
      <c r="P1900" s="27" t="str">
        <f aca="false">IF(J1900="","",MOD(K1900-1,J1900*4))</f>
        <v/>
      </c>
      <c r="Q1900" s="27" t="str">
        <f aca="false">IF(J1900="","",MOD(P1900,4))</f>
        <v/>
      </c>
      <c r="R1900" s="27" t="str">
        <f aca="false">IF(J1900="","",INT(P1900/4))</f>
        <v/>
      </c>
      <c r="S1900" s="27" t="str">
        <f aca="false">IF(J1900="","",IF(AND('Daily Count Sheet'!$H$3=Q1900,MOD('Daily Count Sheet'!$I$3,J1900)=R1900),1,""))</f>
        <v/>
      </c>
      <c r="T1900" s="27" t="str">
        <f aca="false">IF(S1900=1,COUNTIF($S$2:S1900,1),"")</f>
        <v/>
      </c>
    </row>
    <row r="1901" customFormat="false" ht="15" hidden="false" customHeight="false" outlineLevel="0" collapsed="false">
      <c r="H1901" s="26"/>
      <c r="I1901" s="27" t="str">
        <f aca="false">IF(A1901="","",IF(H1901&lt;&gt;"",UPPER(TRIM(H1901)),IFERROR(CHOOSE(VALUE(E1901)+1,"A","B","C","D"),IF(OR(LEFT(UPPER(TRIM(E1901)),1)="F",UPPER(TRIM(E1901))="A"),"A",IF(OR(LEFT(UPPER(TRIM(E1901)),1)="M",UPPER(TRIM(E1901))="B"),"B",IF(OR(LEFT(UPPER(TRIM(E1901)),2)="SL",UPPER(TRIM(E1901))="C"),"C",IF(OR(LEFT(UPPER(TRIM(E1901)),1)="D",UPPER(TRIM(E1901))="D"),"D","")))))))</f>
        <v/>
      </c>
      <c r="J1901" s="27" t="str">
        <f aca="false">IF(I1901="","",IF(AND(I1901="D",Settings!$B$6&lt;&gt;"Yes"),"",IFERROR(INDEX(Settings!$C$9:$C$12,MATCH(I1901,Settings!$A$9:$A$12,0)),"")))</f>
        <v/>
      </c>
      <c r="K1901" s="27" t="str">
        <f aca="false">IF(J1901="","",COUNTIF($I$2:I1901,I1901))</f>
        <v/>
      </c>
      <c r="L1901" s="27" t="str">
        <f aca="false">IF(J1901="","",CHOOSE(Q1901+1,"Tue","Wed","Thu","Fri"))</f>
        <v/>
      </c>
      <c r="M1901" s="27" t="str">
        <f aca="false">IF(J1901="","",IF(J1901=1,"Every week",R1901+1&amp;" of "&amp;J1901))</f>
        <v/>
      </c>
      <c r="N1901" s="28" t="str">
        <f aca="false">IF(J1901="","",Settings!$B$4+R1901*7+Q1901)</f>
        <v/>
      </c>
      <c r="O1901" s="28" t="str">
        <f aca="true">IF(J1901="","",N1901+MAX(0,ROUNDUP((TODAY()-N1901)/(J1901*7),0))*J1901*7)</f>
        <v/>
      </c>
      <c r="P1901" s="27" t="str">
        <f aca="false">IF(J1901="","",MOD(K1901-1,J1901*4))</f>
        <v/>
      </c>
      <c r="Q1901" s="27" t="str">
        <f aca="false">IF(J1901="","",MOD(P1901,4))</f>
        <v/>
      </c>
      <c r="R1901" s="27" t="str">
        <f aca="false">IF(J1901="","",INT(P1901/4))</f>
        <v/>
      </c>
      <c r="S1901" s="27" t="str">
        <f aca="false">IF(J1901="","",IF(AND('Daily Count Sheet'!$H$3=Q1901,MOD('Daily Count Sheet'!$I$3,J1901)=R1901),1,""))</f>
        <v/>
      </c>
      <c r="T1901" s="27" t="str">
        <f aca="false">IF(S1901=1,COUNTIF($S$2:S1901,1),"")</f>
        <v/>
      </c>
    </row>
    <row r="1902" customFormat="false" ht="15" hidden="false" customHeight="false" outlineLevel="0" collapsed="false">
      <c r="H1902" s="26"/>
      <c r="I1902" s="27" t="str">
        <f aca="false">IF(A1902="","",IF(H1902&lt;&gt;"",UPPER(TRIM(H1902)),IFERROR(CHOOSE(VALUE(E1902)+1,"A","B","C","D"),IF(OR(LEFT(UPPER(TRIM(E1902)),1)="F",UPPER(TRIM(E1902))="A"),"A",IF(OR(LEFT(UPPER(TRIM(E1902)),1)="M",UPPER(TRIM(E1902))="B"),"B",IF(OR(LEFT(UPPER(TRIM(E1902)),2)="SL",UPPER(TRIM(E1902))="C"),"C",IF(OR(LEFT(UPPER(TRIM(E1902)),1)="D",UPPER(TRIM(E1902))="D"),"D","")))))))</f>
        <v/>
      </c>
      <c r="J1902" s="27" t="str">
        <f aca="false">IF(I1902="","",IF(AND(I1902="D",Settings!$B$6&lt;&gt;"Yes"),"",IFERROR(INDEX(Settings!$C$9:$C$12,MATCH(I1902,Settings!$A$9:$A$12,0)),"")))</f>
        <v/>
      </c>
      <c r="K1902" s="27" t="str">
        <f aca="false">IF(J1902="","",COUNTIF($I$2:I1902,I1902))</f>
        <v/>
      </c>
      <c r="L1902" s="27" t="str">
        <f aca="false">IF(J1902="","",CHOOSE(Q1902+1,"Tue","Wed","Thu","Fri"))</f>
        <v/>
      </c>
      <c r="M1902" s="27" t="str">
        <f aca="false">IF(J1902="","",IF(J1902=1,"Every week",R1902+1&amp;" of "&amp;J1902))</f>
        <v/>
      </c>
      <c r="N1902" s="28" t="str">
        <f aca="false">IF(J1902="","",Settings!$B$4+R1902*7+Q1902)</f>
        <v/>
      </c>
      <c r="O1902" s="28" t="str">
        <f aca="true">IF(J1902="","",N1902+MAX(0,ROUNDUP((TODAY()-N1902)/(J1902*7),0))*J1902*7)</f>
        <v/>
      </c>
      <c r="P1902" s="27" t="str">
        <f aca="false">IF(J1902="","",MOD(K1902-1,J1902*4))</f>
        <v/>
      </c>
      <c r="Q1902" s="27" t="str">
        <f aca="false">IF(J1902="","",MOD(P1902,4))</f>
        <v/>
      </c>
      <c r="R1902" s="27" t="str">
        <f aca="false">IF(J1902="","",INT(P1902/4))</f>
        <v/>
      </c>
      <c r="S1902" s="27" t="str">
        <f aca="false">IF(J1902="","",IF(AND('Daily Count Sheet'!$H$3=Q1902,MOD('Daily Count Sheet'!$I$3,J1902)=R1902),1,""))</f>
        <v/>
      </c>
      <c r="T1902" s="27" t="str">
        <f aca="false">IF(S1902=1,COUNTIF($S$2:S1902,1),"")</f>
        <v/>
      </c>
    </row>
    <row r="1903" customFormat="false" ht="15" hidden="false" customHeight="false" outlineLevel="0" collapsed="false">
      <c r="H1903" s="26"/>
      <c r="I1903" s="27" t="str">
        <f aca="false">IF(A1903="","",IF(H1903&lt;&gt;"",UPPER(TRIM(H1903)),IFERROR(CHOOSE(VALUE(E1903)+1,"A","B","C","D"),IF(OR(LEFT(UPPER(TRIM(E1903)),1)="F",UPPER(TRIM(E1903))="A"),"A",IF(OR(LEFT(UPPER(TRIM(E1903)),1)="M",UPPER(TRIM(E1903))="B"),"B",IF(OR(LEFT(UPPER(TRIM(E1903)),2)="SL",UPPER(TRIM(E1903))="C"),"C",IF(OR(LEFT(UPPER(TRIM(E1903)),1)="D",UPPER(TRIM(E1903))="D"),"D","")))))))</f>
        <v/>
      </c>
      <c r="J1903" s="27" t="str">
        <f aca="false">IF(I1903="","",IF(AND(I1903="D",Settings!$B$6&lt;&gt;"Yes"),"",IFERROR(INDEX(Settings!$C$9:$C$12,MATCH(I1903,Settings!$A$9:$A$12,0)),"")))</f>
        <v/>
      </c>
      <c r="K1903" s="27" t="str">
        <f aca="false">IF(J1903="","",COUNTIF($I$2:I1903,I1903))</f>
        <v/>
      </c>
      <c r="L1903" s="27" t="str">
        <f aca="false">IF(J1903="","",CHOOSE(Q1903+1,"Tue","Wed","Thu","Fri"))</f>
        <v/>
      </c>
      <c r="M1903" s="27" t="str">
        <f aca="false">IF(J1903="","",IF(J1903=1,"Every week",R1903+1&amp;" of "&amp;J1903))</f>
        <v/>
      </c>
      <c r="N1903" s="28" t="str">
        <f aca="false">IF(J1903="","",Settings!$B$4+R1903*7+Q1903)</f>
        <v/>
      </c>
      <c r="O1903" s="28" t="str">
        <f aca="true">IF(J1903="","",N1903+MAX(0,ROUNDUP((TODAY()-N1903)/(J1903*7),0))*J1903*7)</f>
        <v/>
      </c>
      <c r="P1903" s="27" t="str">
        <f aca="false">IF(J1903="","",MOD(K1903-1,J1903*4))</f>
        <v/>
      </c>
      <c r="Q1903" s="27" t="str">
        <f aca="false">IF(J1903="","",MOD(P1903,4))</f>
        <v/>
      </c>
      <c r="R1903" s="27" t="str">
        <f aca="false">IF(J1903="","",INT(P1903/4))</f>
        <v/>
      </c>
      <c r="S1903" s="27" t="str">
        <f aca="false">IF(J1903="","",IF(AND('Daily Count Sheet'!$H$3=Q1903,MOD('Daily Count Sheet'!$I$3,J1903)=R1903),1,""))</f>
        <v/>
      </c>
      <c r="T1903" s="27" t="str">
        <f aca="false">IF(S1903=1,COUNTIF($S$2:S1903,1),"")</f>
        <v/>
      </c>
    </row>
    <row r="1904" customFormat="false" ht="15" hidden="false" customHeight="false" outlineLevel="0" collapsed="false">
      <c r="H1904" s="26"/>
      <c r="I1904" s="27" t="str">
        <f aca="false">IF(A1904="","",IF(H1904&lt;&gt;"",UPPER(TRIM(H1904)),IFERROR(CHOOSE(VALUE(E1904)+1,"A","B","C","D"),IF(OR(LEFT(UPPER(TRIM(E1904)),1)="F",UPPER(TRIM(E1904))="A"),"A",IF(OR(LEFT(UPPER(TRIM(E1904)),1)="M",UPPER(TRIM(E1904))="B"),"B",IF(OR(LEFT(UPPER(TRIM(E1904)),2)="SL",UPPER(TRIM(E1904))="C"),"C",IF(OR(LEFT(UPPER(TRIM(E1904)),1)="D",UPPER(TRIM(E1904))="D"),"D","")))))))</f>
        <v/>
      </c>
      <c r="J1904" s="27" t="str">
        <f aca="false">IF(I1904="","",IF(AND(I1904="D",Settings!$B$6&lt;&gt;"Yes"),"",IFERROR(INDEX(Settings!$C$9:$C$12,MATCH(I1904,Settings!$A$9:$A$12,0)),"")))</f>
        <v/>
      </c>
      <c r="K1904" s="27" t="str">
        <f aca="false">IF(J1904="","",COUNTIF($I$2:I1904,I1904))</f>
        <v/>
      </c>
      <c r="L1904" s="27" t="str">
        <f aca="false">IF(J1904="","",CHOOSE(Q1904+1,"Tue","Wed","Thu","Fri"))</f>
        <v/>
      </c>
      <c r="M1904" s="27" t="str">
        <f aca="false">IF(J1904="","",IF(J1904=1,"Every week",R1904+1&amp;" of "&amp;J1904))</f>
        <v/>
      </c>
      <c r="N1904" s="28" t="str">
        <f aca="false">IF(J1904="","",Settings!$B$4+R1904*7+Q1904)</f>
        <v/>
      </c>
      <c r="O1904" s="28" t="str">
        <f aca="true">IF(J1904="","",N1904+MAX(0,ROUNDUP((TODAY()-N1904)/(J1904*7),0))*J1904*7)</f>
        <v/>
      </c>
      <c r="P1904" s="27" t="str">
        <f aca="false">IF(J1904="","",MOD(K1904-1,J1904*4))</f>
        <v/>
      </c>
      <c r="Q1904" s="27" t="str">
        <f aca="false">IF(J1904="","",MOD(P1904,4))</f>
        <v/>
      </c>
      <c r="R1904" s="27" t="str">
        <f aca="false">IF(J1904="","",INT(P1904/4))</f>
        <v/>
      </c>
      <c r="S1904" s="27" t="str">
        <f aca="false">IF(J1904="","",IF(AND('Daily Count Sheet'!$H$3=Q1904,MOD('Daily Count Sheet'!$I$3,J1904)=R1904),1,""))</f>
        <v/>
      </c>
      <c r="T1904" s="27" t="str">
        <f aca="false">IF(S1904=1,COUNTIF($S$2:S1904,1),"")</f>
        <v/>
      </c>
    </row>
    <row r="1905" customFormat="false" ht="15" hidden="false" customHeight="false" outlineLevel="0" collapsed="false">
      <c r="H1905" s="26"/>
      <c r="I1905" s="27" t="str">
        <f aca="false">IF(A1905="","",IF(H1905&lt;&gt;"",UPPER(TRIM(H1905)),IFERROR(CHOOSE(VALUE(E1905)+1,"A","B","C","D"),IF(OR(LEFT(UPPER(TRIM(E1905)),1)="F",UPPER(TRIM(E1905))="A"),"A",IF(OR(LEFT(UPPER(TRIM(E1905)),1)="M",UPPER(TRIM(E1905))="B"),"B",IF(OR(LEFT(UPPER(TRIM(E1905)),2)="SL",UPPER(TRIM(E1905))="C"),"C",IF(OR(LEFT(UPPER(TRIM(E1905)),1)="D",UPPER(TRIM(E1905))="D"),"D","")))))))</f>
        <v/>
      </c>
      <c r="J1905" s="27" t="str">
        <f aca="false">IF(I1905="","",IF(AND(I1905="D",Settings!$B$6&lt;&gt;"Yes"),"",IFERROR(INDEX(Settings!$C$9:$C$12,MATCH(I1905,Settings!$A$9:$A$12,0)),"")))</f>
        <v/>
      </c>
      <c r="K1905" s="27" t="str">
        <f aca="false">IF(J1905="","",COUNTIF($I$2:I1905,I1905))</f>
        <v/>
      </c>
      <c r="L1905" s="27" t="str">
        <f aca="false">IF(J1905="","",CHOOSE(Q1905+1,"Tue","Wed","Thu","Fri"))</f>
        <v/>
      </c>
      <c r="M1905" s="27" t="str">
        <f aca="false">IF(J1905="","",IF(J1905=1,"Every week",R1905+1&amp;" of "&amp;J1905))</f>
        <v/>
      </c>
      <c r="N1905" s="28" t="str">
        <f aca="false">IF(J1905="","",Settings!$B$4+R1905*7+Q1905)</f>
        <v/>
      </c>
      <c r="O1905" s="28" t="str">
        <f aca="true">IF(J1905="","",N1905+MAX(0,ROUNDUP((TODAY()-N1905)/(J1905*7),0))*J1905*7)</f>
        <v/>
      </c>
      <c r="P1905" s="27" t="str">
        <f aca="false">IF(J1905="","",MOD(K1905-1,J1905*4))</f>
        <v/>
      </c>
      <c r="Q1905" s="27" t="str">
        <f aca="false">IF(J1905="","",MOD(P1905,4))</f>
        <v/>
      </c>
      <c r="R1905" s="27" t="str">
        <f aca="false">IF(J1905="","",INT(P1905/4))</f>
        <v/>
      </c>
      <c r="S1905" s="27" t="str">
        <f aca="false">IF(J1905="","",IF(AND('Daily Count Sheet'!$H$3=Q1905,MOD('Daily Count Sheet'!$I$3,J1905)=R1905),1,""))</f>
        <v/>
      </c>
      <c r="T1905" s="27" t="str">
        <f aca="false">IF(S1905=1,COUNTIF($S$2:S1905,1),"")</f>
        <v/>
      </c>
    </row>
    <row r="1906" customFormat="false" ht="15" hidden="false" customHeight="false" outlineLevel="0" collapsed="false">
      <c r="H1906" s="26"/>
      <c r="I1906" s="27" t="str">
        <f aca="false">IF(A1906="","",IF(H1906&lt;&gt;"",UPPER(TRIM(H1906)),IFERROR(CHOOSE(VALUE(E1906)+1,"A","B","C","D"),IF(OR(LEFT(UPPER(TRIM(E1906)),1)="F",UPPER(TRIM(E1906))="A"),"A",IF(OR(LEFT(UPPER(TRIM(E1906)),1)="M",UPPER(TRIM(E1906))="B"),"B",IF(OR(LEFT(UPPER(TRIM(E1906)),2)="SL",UPPER(TRIM(E1906))="C"),"C",IF(OR(LEFT(UPPER(TRIM(E1906)),1)="D",UPPER(TRIM(E1906))="D"),"D","")))))))</f>
        <v/>
      </c>
      <c r="J1906" s="27" t="str">
        <f aca="false">IF(I1906="","",IF(AND(I1906="D",Settings!$B$6&lt;&gt;"Yes"),"",IFERROR(INDEX(Settings!$C$9:$C$12,MATCH(I1906,Settings!$A$9:$A$12,0)),"")))</f>
        <v/>
      </c>
      <c r="K1906" s="27" t="str">
        <f aca="false">IF(J1906="","",COUNTIF($I$2:I1906,I1906))</f>
        <v/>
      </c>
      <c r="L1906" s="27" t="str">
        <f aca="false">IF(J1906="","",CHOOSE(Q1906+1,"Tue","Wed","Thu","Fri"))</f>
        <v/>
      </c>
      <c r="M1906" s="27" t="str">
        <f aca="false">IF(J1906="","",IF(J1906=1,"Every week",R1906+1&amp;" of "&amp;J1906))</f>
        <v/>
      </c>
      <c r="N1906" s="28" t="str">
        <f aca="false">IF(J1906="","",Settings!$B$4+R1906*7+Q1906)</f>
        <v/>
      </c>
      <c r="O1906" s="28" t="str">
        <f aca="true">IF(J1906="","",N1906+MAX(0,ROUNDUP((TODAY()-N1906)/(J1906*7),0))*J1906*7)</f>
        <v/>
      </c>
      <c r="P1906" s="27" t="str">
        <f aca="false">IF(J1906="","",MOD(K1906-1,J1906*4))</f>
        <v/>
      </c>
      <c r="Q1906" s="27" t="str">
        <f aca="false">IF(J1906="","",MOD(P1906,4))</f>
        <v/>
      </c>
      <c r="R1906" s="27" t="str">
        <f aca="false">IF(J1906="","",INT(P1906/4))</f>
        <v/>
      </c>
      <c r="S1906" s="27" t="str">
        <f aca="false">IF(J1906="","",IF(AND('Daily Count Sheet'!$H$3=Q1906,MOD('Daily Count Sheet'!$I$3,J1906)=R1906),1,""))</f>
        <v/>
      </c>
      <c r="T1906" s="27" t="str">
        <f aca="false">IF(S1906=1,COUNTIF($S$2:S1906,1),"")</f>
        <v/>
      </c>
    </row>
    <row r="1907" customFormat="false" ht="15" hidden="false" customHeight="false" outlineLevel="0" collapsed="false">
      <c r="H1907" s="26"/>
      <c r="I1907" s="27" t="str">
        <f aca="false">IF(A1907="","",IF(H1907&lt;&gt;"",UPPER(TRIM(H1907)),IFERROR(CHOOSE(VALUE(E1907)+1,"A","B","C","D"),IF(OR(LEFT(UPPER(TRIM(E1907)),1)="F",UPPER(TRIM(E1907))="A"),"A",IF(OR(LEFT(UPPER(TRIM(E1907)),1)="M",UPPER(TRIM(E1907))="B"),"B",IF(OR(LEFT(UPPER(TRIM(E1907)),2)="SL",UPPER(TRIM(E1907))="C"),"C",IF(OR(LEFT(UPPER(TRIM(E1907)),1)="D",UPPER(TRIM(E1907))="D"),"D","")))))))</f>
        <v/>
      </c>
      <c r="J1907" s="27" t="str">
        <f aca="false">IF(I1907="","",IF(AND(I1907="D",Settings!$B$6&lt;&gt;"Yes"),"",IFERROR(INDEX(Settings!$C$9:$C$12,MATCH(I1907,Settings!$A$9:$A$12,0)),"")))</f>
        <v/>
      </c>
      <c r="K1907" s="27" t="str">
        <f aca="false">IF(J1907="","",COUNTIF($I$2:I1907,I1907))</f>
        <v/>
      </c>
      <c r="L1907" s="27" t="str">
        <f aca="false">IF(J1907="","",CHOOSE(Q1907+1,"Tue","Wed","Thu","Fri"))</f>
        <v/>
      </c>
      <c r="M1907" s="27" t="str">
        <f aca="false">IF(J1907="","",IF(J1907=1,"Every week",R1907+1&amp;" of "&amp;J1907))</f>
        <v/>
      </c>
      <c r="N1907" s="28" t="str">
        <f aca="false">IF(J1907="","",Settings!$B$4+R1907*7+Q1907)</f>
        <v/>
      </c>
      <c r="O1907" s="28" t="str">
        <f aca="true">IF(J1907="","",N1907+MAX(0,ROUNDUP((TODAY()-N1907)/(J1907*7),0))*J1907*7)</f>
        <v/>
      </c>
      <c r="P1907" s="27" t="str">
        <f aca="false">IF(J1907="","",MOD(K1907-1,J1907*4))</f>
        <v/>
      </c>
      <c r="Q1907" s="27" t="str">
        <f aca="false">IF(J1907="","",MOD(P1907,4))</f>
        <v/>
      </c>
      <c r="R1907" s="27" t="str">
        <f aca="false">IF(J1907="","",INT(P1907/4))</f>
        <v/>
      </c>
      <c r="S1907" s="27" t="str">
        <f aca="false">IF(J1907="","",IF(AND('Daily Count Sheet'!$H$3=Q1907,MOD('Daily Count Sheet'!$I$3,J1907)=R1907),1,""))</f>
        <v/>
      </c>
      <c r="T1907" s="27" t="str">
        <f aca="false">IF(S1907=1,COUNTIF($S$2:S1907,1),"")</f>
        <v/>
      </c>
    </row>
    <row r="1908" customFormat="false" ht="15" hidden="false" customHeight="false" outlineLevel="0" collapsed="false">
      <c r="H1908" s="26"/>
      <c r="I1908" s="27" t="str">
        <f aca="false">IF(A1908="","",IF(H1908&lt;&gt;"",UPPER(TRIM(H1908)),IFERROR(CHOOSE(VALUE(E1908)+1,"A","B","C","D"),IF(OR(LEFT(UPPER(TRIM(E1908)),1)="F",UPPER(TRIM(E1908))="A"),"A",IF(OR(LEFT(UPPER(TRIM(E1908)),1)="M",UPPER(TRIM(E1908))="B"),"B",IF(OR(LEFT(UPPER(TRIM(E1908)),2)="SL",UPPER(TRIM(E1908))="C"),"C",IF(OR(LEFT(UPPER(TRIM(E1908)),1)="D",UPPER(TRIM(E1908))="D"),"D","")))))))</f>
        <v/>
      </c>
      <c r="J1908" s="27" t="str">
        <f aca="false">IF(I1908="","",IF(AND(I1908="D",Settings!$B$6&lt;&gt;"Yes"),"",IFERROR(INDEX(Settings!$C$9:$C$12,MATCH(I1908,Settings!$A$9:$A$12,0)),"")))</f>
        <v/>
      </c>
      <c r="K1908" s="27" t="str">
        <f aca="false">IF(J1908="","",COUNTIF($I$2:I1908,I1908))</f>
        <v/>
      </c>
      <c r="L1908" s="27" t="str">
        <f aca="false">IF(J1908="","",CHOOSE(Q1908+1,"Tue","Wed","Thu","Fri"))</f>
        <v/>
      </c>
      <c r="M1908" s="27" t="str">
        <f aca="false">IF(J1908="","",IF(J1908=1,"Every week",R1908+1&amp;" of "&amp;J1908))</f>
        <v/>
      </c>
      <c r="N1908" s="28" t="str">
        <f aca="false">IF(J1908="","",Settings!$B$4+R1908*7+Q1908)</f>
        <v/>
      </c>
      <c r="O1908" s="28" t="str">
        <f aca="true">IF(J1908="","",N1908+MAX(0,ROUNDUP((TODAY()-N1908)/(J1908*7),0))*J1908*7)</f>
        <v/>
      </c>
      <c r="P1908" s="27" t="str">
        <f aca="false">IF(J1908="","",MOD(K1908-1,J1908*4))</f>
        <v/>
      </c>
      <c r="Q1908" s="27" t="str">
        <f aca="false">IF(J1908="","",MOD(P1908,4))</f>
        <v/>
      </c>
      <c r="R1908" s="27" t="str">
        <f aca="false">IF(J1908="","",INT(P1908/4))</f>
        <v/>
      </c>
      <c r="S1908" s="27" t="str">
        <f aca="false">IF(J1908="","",IF(AND('Daily Count Sheet'!$H$3=Q1908,MOD('Daily Count Sheet'!$I$3,J1908)=R1908),1,""))</f>
        <v/>
      </c>
      <c r="T1908" s="27" t="str">
        <f aca="false">IF(S1908=1,COUNTIF($S$2:S1908,1),"")</f>
        <v/>
      </c>
    </row>
    <row r="1909" customFormat="false" ht="15" hidden="false" customHeight="false" outlineLevel="0" collapsed="false">
      <c r="H1909" s="26"/>
      <c r="I1909" s="27" t="str">
        <f aca="false">IF(A1909="","",IF(H1909&lt;&gt;"",UPPER(TRIM(H1909)),IFERROR(CHOOSE(VALUE(E1909)+1,"A","B","C","D"),IF(OR(LEFT(UPPER(TRIM(E1909)),1)="F",UPPER(TRIM(E1909))="A"),"A",IF(OR(LEFT(UPPER(TRIM(E1909)),1)="M",UPPER(TRIM(E1909))="B"),"B",IF(OR(LEFT(UPPER(TRIM(E1909)),2)="SL",UPPER(TRIM(E1909))="C"),"C",IF(OR(LEFT(UPPER(TRIM(E1909)),1)="D",UPPER(TRIM(E1909))="D"),"D","")))))))</f>
        <v/>
      </c>
      <c r="J1909" s="27" t="str">
        <f aca="false">IF(I1909="","",IF(AND(I1909="D",Settings!$B$6&lt;&gt;"Yes"),"",IFERROR(INDEX(Settings!$C$9:$C$12,MATCH(I1909,Settings!$A$9:$A$12,0)),"")))</f>
        <v/>
      </c>
      <c r="K1909" s="27" t="str">
        <f aca="false">IF(J1909="","",COUNTIF($I$2:I1909,I1909))</f>
        <v/>
      </c>
      <c r="L1909" s="27" t="str">
        <f aca="false">IF(J1909="","",CHOOSE(Q1909+1,"Tue","Wed","Thu","Fri"))</f>
        <v/>
      </c>
      <c r="M1909" s="27" t="str">
        <f aca="false">IF(J1909="","",IF(J1909=1,"Every week",R1909+1&amp;" of "&amp;J1909))</f>
        <v/>
      </c>
      <c r="N1909" s="28" t="str">
        <f aca="false">IF(J1909="","",Settings!$B$4+R1909*7+Q1909)</f>
        <v/>
      </c>
      <c r="O1909" s="28" t="str">
        <f aca="true">IF(J1909="","",N1909+MAX(0,ROUNDUP((TODAY()-N1909)/(J1909*7),0))*J1909*7)</f>
        <v/>
      </c>
      <c r="P1909" s="27" t="str">
        <f aca="false">IF(J1909="","",MOD(K1909-1,J1909*4))</f>
        <v/>
      </c>
      <c r="Q1909" s="27" t="str">
        <f aca="false">IF(J1909="","",MOD(P1909,4))</f>
        <v/>
      </c>
      <c r="R1909" s="27" t="str">
        <f aca="false">IF(J1909="","",INT(P1909/4))</f>
        <v/>
      </c>
      <c r="S1909" s="27" t="str">
        <f aca="false">IF(J1909="","",IF(AND('Daily Count Sheet'!$H$3=Q1909,MOD('Daily Count Sheet'!$I$3,J1909)=R1909),1,""))</f>
        <v/>
      </c>
      <c r="T1909" s="27" t="str">
        <f aca="false">IF(S1909=1,COUNTIF($S$2:S1909,1),"")</f>
        <v/>
      </c>
    </row>
    <row r="1910" customFormat="false" ht="15" hidden="false" customHeight="false" outlineLevel="0" collapsed="false">
      <c r="H1910" s="26"/>
      <c r="I1910" s="27" t="str">
        <f aca="false">IF(A1910="","",IF(H1910&lt;&gt;"",UPPER(TRIM(H1910)),IFERROR(CHOOSE(VALUE(E1910)+1,"A","B","C","D"),IF(OR(LEFT(UPPER(TRIM(E1910)),1)="F",UPPER(TRIM(E1910))="A"),"A",IF(OR(LEFT(UPPER(TRIM(E1910)),1)="M",UPPER(TRIM(E1910))="B"),"B",IF(OR(LEFT(UPPER(TRIM(E1910)),2)="SL",UPPER(TRIM(E1910))="C"),"C",IF(OR(LEFT(UPPER(TRIM(E1910)),1)="D",UPPER(TRIM(E1910))="D"),"D","")))))))</f>
        <v/>
      </c>
      <c r="J1910" s="27" t="str">
        <f aca="false">IF(I1910="","",IF(AND(I1910="D",Settings!$B$6&lt;&gt;"Yes"),"",IFERROR(INDEX(Settings!$C$9:$C$12,MATCH(I1910,Settings!$A$9:$A$12,0)),"")))</f>
        <v/>
      </c>
      <c r="K1910" s="27" t="str">
        <f aca="false">IF(J1910="","",COUNTIF($I$2:I1910,I1910))</f>
        <v/>
      </c>
      <c r="L1910" s="27" t="str">
        <f aca="false">IF(J1910="","",CHOOSE(Q1910+1,"Tue","Wed","Thu","Fri"))</f>
        <v/>
      </c>
      <c r="M1910" s="27" t="str">
        <f aca="false">IF(J1910="","",IF(J1910=1,"Every week",R1910+1&amp;" of "&amp;J1910))</f>
        <v/>
      </c>
      <c r="N1910" s="28" t="str">
        <f aca="false">IF(J1910="","",Settings!$B$4+R1910*7+Q1910)</f>
        <v/>
      </c>
      <c r="O1910" s="28" t="str">
        <f aca="true">IF(J1910="","",N1910+MAX(0,ROUNDUP((TODAY()-N1910)/(J1910*7),0))*J1910*7)</f>
        <v/>
      </c>
      <c r="P1910" s="27" t="str">
        <f aca="false">IF(J1910="","",MOD(K1910-1,J1910*4))</f>
        <v/>
      </c>
      <c r="Q1910" s="27" t="str">
        <f aca="false">IF(J1910="","",MOD(P1910,4))</f>
        <v/>
      </c>
      <c r="R1910" s="27" t="str">
        <f aca="false">IF(J1910="","",INT(P1910/4))</f>
        <v/>
      </c>
      <c r="S1910" s="27" t="str">
        <f aca="false">IF(J1910="","",IF(AND('Daily Count Sheet'!$H$3=Q1910,MOD('Daily Count Sheet'!$I$3,J1910)=R1910),1,""))</f>
        <v/>
      </c>
      <c r="T1910" s="27" t="str">
        <f aca="false">IF(S1910=1,COUNTIF($S$2:S1910,1),"")</f>
        <v/>
      </c>
    </row>
    <row r="1911" customFormat="false" ht="15" hidden="false" customHeight="false" outlineLevel="0" collapsed="false">
      <c r="H1911" s="26"/>
      <c r="I1911" s="27" t="str">
        <f aca="false">IF(A1911="","",IF(H1911&lt;&gt;"",UPPER(TRIM(H1911)),IFERROR(CHOOSE(VALUE(E1911)+1,"A","B","C","D"),IF(OR(LEFT(UPPER(TRIM(E1911)),1)="F",UPPER(TRIM(E1911))="A"),"A",IF(OR(LEFT(UPPER(TRIM(E1911)),1)="M",UPPER(TRIM(E1911))="B"),"B",IF(OR(LEFT(UPPER(TRIM(E1911)),2)="SL",UPPER(TRIM(E1911))="C"),"C",IF(OR(LEFT(UPPER(TRIM(E1911)),1)="D",UPPER(TRIM(E1911))="D"),"D","")))))))</f>
        <v/>
      </c>
      <c r="J1911" s="27" t="str">
        <f aca="false">IF(I1911="","",IF(AND(I1911="D",Settings!$B$6&lt;&gt;"Yes"),"",IFERROR(INDEX(Settings!$C$9:$C$12,MATCH(I1911,Settings!$A$9:$A$12,0)),"")))</f>
        <v/>
      </c>
      <c r="K1911" s="27" t="str">
        <f aca="false">IF(J1911="","",COUNTIF($I$2:I1911,I1911))</f>
        <v/>
      </c>
      <c r="L1911" s="27" t="str">
        <f aca="false">IF(J1911="","",CHOOSE(Q1911+1,"Tue","Wed","Thu","Fri"))</f>
        <v/>
      </c>
      <c r="M1911" s="27" t="str">
        <f aca="false">IF(J1911="","",IF(J1911=1,"Every week",R1911+1&amp;" of "&amp;J1911))</f>
        <v/>
      </c>
      <c r="N1911" s="28" t="str">
        <f aca="false">IF(J1911="","",Settings!$B$4+R1911*7+Q1911)</f>
        <v/>
      </c>
      <c r="O1911" s="28" t="str">
        <f aca="true">IF(J1911="","",N1911+MAX(0,ROUNDUP((TODAY()-N1911)/(J1911*7),0))*J1911*7)</f>
        <v/>
      </c>
      <c r="P1911" s="27" t="str">
        <f aca="false">IF(J1911="","",MOD(K1911-1,J1911*4))</f>
        <v/>
      </c>
      <c r="Q1911" s="27" t="str">
        <f aca="false">IF(J1911="","",MOD(P1911,4))</f>
        <v/>
      </c>
      <c r="R1911" s="27" t="str">
        <f aca="false">IF(J1911="","",INT(P1911/4))</f>
        <v/>
      </c>
      <c r="S1911" s="27" t="str">
        <f aca="false">IF(J1911="","",IF(AND('Daily Count Sheet'!$H$3=Q1911,MOD('Daily Count Sheet'!$I$3,J1911)=R1911),1,""))</f>
        <v/>
      </c>
      <c r="T1911" s="27" t="str">
        <f aca="false">IF(S1911=1,COUNTIF($S$2:S1911,1),"")</f>
        <v/>
      </c>
    </row>
    <row r="1912" customFormat="false" ht="15" hidden="false" customHeight="false" outlineLevel="0" collapsed="false">
      <c r="H1912" s="26"/>
      <c r="I1912" s="27" t="str">
        <f aca="false">IF(A1912="","",IF(H1912&lt;&gt;"",UPPER(TRIM(H1912)),IFERROR(CHOOSE(VALUE(E1912)+1,"A","B","C","D"),IF(OR(LEFT(UPPER(TRIM(E1912)),1)="F",UPPER(TRIM(E1912))="A"),"A",IF(OR(LEFT(UPPER(TRIM(E1912)),1)="M",UPPER(TRIM(E1912))="B"),"B",IF(OR(LEFT(UPPER(TRIM(E1912)),2)="SL",UPPER(TRIM(E1912))="C"),"C",IF(OR(LEFT(UPPER(TRIM(E1912)),1)="D",UPPER(TRIM(E1912))="D"),"D","")))))))</f>
        <v/>
      </c>
      <c r="J1912" s="27" t="str">
        <f aca="false">IF(I1912="","",IF(AND(I1912="D",Settings!$B$6&lt;&gt;"Yes"),"",IFERROR(INDEX(Settings!$C$9:$C$12,MATCH(I1912,Settings!$A$9:$A$12,0)),"")))</f>
        <v/>
      </c>
      <c r="K1912" s="27" t="str">
        <f aca="false">IF(J1912="","",COUNTIF($I$2:I1912,I1912))</f>
        <v/>
      </c>
      <c r="L1912" s="27" t="str">
        <f aca="false">IF(J1912="","",CHOOSE(Q1912+1,"Tue","Wed","Thu","Fri"))</f>
        <v/>
      </c>
      <c r="M1912" s="27" t="str">
        <f aca="false">IF(J1912="","",IF(J1912=1,"Every week",R1912+1&amp;" of "&amp;J1912))</f>
        <v/>
      </c>
      <c r="N1912" s="28" t="str">
        <f aca="false">IF(J1912="","",Settings!$B$4+R1912*7+Q1912)</f>
        <v/>
      </c>
      <c r="O1912" s="28" t="str">
        <f aca="true">IF(J1912="","",N1912+MAX(0,ROUNDUP((TODAY()-N1912)/(J1912*7),0))*J1912*7)</f>
        <v/>
      </c>
      <c r="P1912" s="27" t="str">
        <f aca="false">IF(J1912="","",MOD(K1912-1,J1912*4))</f>
        <v/>
      </c>
      <c r="Q1912" s="27" t="str">
        <f aca="false">IF(J1912="","",MOD(P1912,4))</f>
        <v/>
      </c>
      <c r="R1912" s="27" t="str">
        <f aca="false">IF(J1912="","",INT(P1912/4))</f>
        <v/>
      </c>
      <c r="S1912" s="27" t="str">
        <f aca="false">IF(J1912="","",IF(AND('Daily Count Sheet'!$H$3=Q1912,MOD('Daily Count Sheet'!$I$3,J1912)=R1912),1,""))</f>
        <v/>
      </c>
      <c r="T1912" s="27" t="str">
        <f aca="false">IF(S1912=1,COUNTIF($S$2:S1912,1),"")</f>
        <v/>
      </c>
    </row>
    <row r="1913" customFormat="false" ht="15" hidden="false" customHeight="false" outlineLevel="0" collapsed="false">
      <c r="H1913" s="26"/>
      <c r="I1913" s="27" t="str">
        <f aca="false">IF(A1913="","",IF(H1913&lt;&gt;"",UPPER(TRIM(H1913)),IFERROR(CHOOSE(VALUE(E1913)+1,"A","B","C","D"),IF(OR(LEFT(UPPER(TRIM(E1913)),1)="F",UPPER(TRIM(E1913))="A"),"A",IF(OR(LEFT(UPPER(TRIM(E1913)),1)="M",UPPER(TRIM(E1913))="B"),"B",IF(OR(LEFT(UPPER(TRIM(E1913)),2)="SL",UPPER(TRIM(E1913))="C"),"C",IF(OR(LEFT(UPPER(TRIM(E1913)),1)="D",UPPER(TRIM(E1913))="D"),"D","")))))))</f>
        <v/>
      </c>
      <c r="J1913" s="27" t="str">
        <f aca="false">IF(I1913="","",IF(AND(I1913="D",Settings!$B$6&lt;&gt;"Yes"),"",IFERROR(INDEX(Settings!$C$9:$C$12,MATCH(I1913,Settings!$A$9:$A$12,0)),"")))</f>
        <v/>
      </c>
      <c r="K1913" s="27" t="str">
        <f aca="false">IF(J1913="","",COUNTIF($I$2:I1913,I1913))</f>
        <v/>
      </c>
      <c r="L1913" s="27" t="str">
        <f aca="false">IF(J1913="","",CHOOSE(Q1913+1,"Tue","Wed","Thu","Fri"))</f>
        <v/>
      </c>
      <c r="M1913" s="27" t="str">
        <f aca="false">IF(J1913="","",IF(J1913=1,"Every week",R1913+1&amp;" of "&amp;J1913))</f>
        <v/>
      </c>
      <c r="N1913" s="28" t="str">
        <f aca="false">IF(J1913="","",Settings!$B$4+R1913*7+Q1913)</f>
        <v/>
      </c>
      <c r="O1913" s="28" t="str">
        <f aca="true">IF(J1913="","",N1913+MAX(0,ROUNDUP((TODAY()-N1913)/(J1913*7),0))*J1913*7)</f>
        <v/>
      </c>
      <c r="P1913" s="27" t="str">
        <f aca="false">IF(J1913="","",MOD(K1913-1,J1913*4))</f>
        <v/>
      </c>
      <c r="Q1913" s="27" t="str">
        <f aca="false">IF(J1913="","",MOD(P1913,4))</f>
        <v/>
      </c>
      <c r="R1913" s="27" t="str">
        <f aca="false">IF(J1913="","",INT(P1913/4))</f>
        <v/>
      </c>
      <c r="S1913" s="27" t="str">
        <f aca="false">IF(J1913="","",IF(AND('Daily Count Sheet'!$H$3=Q1913,MOD('Daily Count Sheet'!$I$3,J1913)=R1913),1,""))</f>
        <v/>
      </c>
      <c r="T1913" s="27" t="str">
        <f aca="false">IF(S1913=1,COUNTIF($S$2:S1913,1),"")</f>
        <v/>
      </c>
    </row>
    <row r="1914" customFormat="false" ht="15" hidden="false" customHeight="false" outlineLevel="0" collapsed="false">
      <c r="H1914" s="26"/>
      <c r="I1914" s="27" t="str">
        <f aca="false">IF(A1914="","",IF(H1914&lt;&gt;"",UPPER(TRIM(H1914)),IFERROR(CHOOSE(VALUE(E1914)+1,"A","B","C","D"),IF(OR(LEFT(UPPER(TRIM(E1914)),1)="F",UPPER(TRIM(E1914))="A"),"A",IF(OR(LEFT(UPPER(TRIM(E1914)),1)="M",UPPER(TRIM(E1914))="B"),"B",IF(OR(LEFT(UPPER(TRIM(E1914)),2)="SL",UPPER(TRIM(E1914))="C"),"C",IF(OR(LEFT(UPPER(TRIM(E1914)),1)="D",UPPER(TRIM(E1914))="D"),"D","")))))))</f>
        <v/>
      </c>
      <c r="J1914" s="27" t="str">
        <f aca="false">IF(I1914="","",IF(AND(I1914="D",Settings!$B$6&lt;&gt;"Yes"),"",IFERROR(INDEX(Settings!$C$9:$C$12,MATCH(I1914,Settings!$A$9:$A$12,0)),"")))</f>
        <v/>
      </c>
      <c r="K1914" s="27" t="str">
        <f aca="false">IF(J1914="","",COUNTIF($I$2:I1914,I1914))</f>
        <v/>
      </c>
      <c r="L1914" s="27" t="str">
        <f aca="false">IF(J1914="","",CHOOSE(Q1914+1,"Tue","Wed","Thu","Fri"))</f>
        <v/>
      </c>
      <c r="M1914" s="27" t="str">
        <f aca="false">IF(J1914="","",IF(J1914=1,"Every week",R1914+1&amp;" of "&amp;J1914))</f>
        <v/>
      </c>
      <c r="N1914" s="28" t="str">
        <f aca="false">IF(J1914="","",Settings!$B$4+R1914*7+Q1914)</f>
        <v/>
      </c>
      <c r="O1914" s="28" t="str">
        <f aca="true">IF(J1914="","",N1914+MAX(0,ROUNDUP((TODAY()-N1914)/(J1914*7),0))*J1914*7)</f>
        <v/>
      </c>
      <c r="P1914" s="27" t="str">
        <f aca="false">IF(J1914="","",MOD(K1914-1,J1914*4))</f>
        <v/>
      </c>
      <c r="Q1914" s="27" t="str">
        <f aca="false">IF(J1914="","",MOD(P1914,4))</f>
        <v/>
      </c>
      <c r="R1914" s="27" t="str">
        <f aca="false">IF(J1914="","",INT(P1914/4))</f>
        <v/>
      </c>
      <c r="S1914" s="27" t="str">
        <f aca="false">IF(J1914="","",IF(AND('Daily Count Sheet'!$H$3=Q1914,MOD('Daily Count Sheet'!$I$3,J1914)=R1914),1,""))</f>
        <v/>
      </c>
      <c r="T1914" s="27" t="str">
        <f aca="false">IF(S1914=1,COUNTIF($S$2:S1914,1),"")</f>
        <v/>
      </c>
    </row>
    <row r="1915" customFormat="false" ht="15" hidden="false" customHeight="false" outlineLevel="0" collapsed="false">
      <c r="H1915" s="26"/>
      <c r="I1915" s="27" t="str">
        <f aca="false">IF(A1915="","",IF(H1915&lt;&gt;"",UPPER(TRIM(H1915)),IFERROR(CHOOSE(VALUE(E1915)+1,"A","B","C","D"),IF(OR(LEFT(UPPER(TRIM(E1915)),1)="F",UPPER(TRIM(E1915))="A"),"A",IF(OR(LEFT(UPPER(TRIM(E1915)),1)="M",UPPER(TRIM(E1915))="B"),"B",IF(OR(LEFT(UPPER(TRIM(E1915)),2)="SL",UPPER(TRIM(E1915))="C"),"C",IF(OR(LEFT(UPPER(TRIM(E1915)),1)="D",UPPER(TRIM(E1915))="D"),"D","")))))))</f>
        <v/>
      </c>
      <c r="J1915" s="27" t="str">
        <f aca="false">IF(I1915="","",IF(AND(I1915="D",Settings!$B$6&lt;&gt;"Yes"),"",IFERROR(INDEX(Settings!$C$9:$C$12,MATCH(I1915,Settings!$A$9:$A$12,0)),"")))</f>
        <v/>
      </c>
      <c r="K1915" s="27" t="str">
        <f aca="false">IF(J1915="","",COUNTIF($I$2:I1915,I1915))</f>
        <v/>
      </c>
      <c r="L1915" s="27" t="str">
        <f aca="false">IF(J1915="","",CHOOSE(Q1915+1,"Tue","Wed","Thu","Fri"))</f>
        <v/>
      </c>
      <c r="M1915" s="27" t="str">
        <f aca="false">IF(J1915="","",IF(J1915=1,"Every week",R1915+1&amp;" of "&amp;J1915))</f>
        <v/>
      </c>
      <c r="N1915" s="28" t="str">
        <f aca="false">IF(J1915="","",Settings!$B$4+R1915*7+Q1915)</f>
        <v/>
      </c>
      <c r="O1915" s="28" t="str">
        <f aca="true">IF(J1915="","",N1915+MAX(0,ROUNDUP((TODAY()-N1915)/(J1915*7),0))*J1915*7)</f>
        <v/>
      </c>
      <c r="P1915" s="27" t="str">
        <f aca="false">IF(J1915="","",MOD(K1915-1,J1915*4))</f>
        <v/>
      </c>
      <c r="Q1915" s="27" t="str">
        <f aca="false">IF(J1915="","",MOD(P1915,4))</f>
        <v/>
      </c>
      <c r="R1915" s="27" t="str">
        <f aca="false">IF(J1915="","",INT(P1915/4))</f>
        <v/>
      </c>
      <c r="S1915" s="27" t="str">
        <f aca="false">IF(J1915="","",IF(AND('Daily Count Sheet'!$H$3=Q1915,MOD('Daily Count Sheet'!$I$3,J1915)=R1915),1,""))</f>
        <v/>
      </c>
      <c r="T1915" s="27" t="str">
        <f aca="false">IF(S1915=1,COUNTIF($S$2:S1915,1),"")</f>
        <v/>
      </c>
    </row>
    <row r="1916" customFormat="false" ht="15" hidden="false" customHeight="false" outlineLevel="0" collapsed="false">
      <c r="H1916" s="26"/>
      <c r="I1916" s="27" t="str">
        <f aca="false">IF(A1916="","",IF(H1916&lt;&gt;"",UPPER(TRIM(H1916)),IFERROR(CHOOSE(VALUE(E1916)+1,"A","B","C","D"),IF(OR(LEFT(UPPER(TRIM(E1916)),1)="F",UPPER(TRIM(E1916))="A"),"A",IF(OR(LEFT(UPPER(TRIM(E1916)),1)="M",UPPER(TRIM(E1916))="B"),"B",IF(OR(LEFT(UPPER(TRIM(E1916)),2)="SL",UPPER(TRIM(E1916))="C"),"C",IF(OR(LEFT(UPPER(TRIM(E1916)),1)="D",UPPER(TRIM(E1916))="D"),"D","")))))))</f>
        <v/>
      </c>
      <c r="J1916" s="27" t="str">
        <f aca="false">IF(I1916="","",IF(AND(I1916="D",Settings!$B$6&lt;&gt;"Yes"),"",IFERROR(INDEX(Settings!$C$9:$C$12,MATCH(I1916,Settings!$A$9:$A$12,0)),"")))</f>
        <v/>
      </c>
      <c r="K1916" s="27" t="str">
        <f aca="false">IF(J1916="","",COUNTIF($I$2:I1916,I1916))</f>
        <v/>
      </c>
      <c r="L1916" s="27" t="str">
        <f aca="false">IF(J1916="","",CHOOSE(Q1916+1,"Tue","Wed","Thu","Fri"))</f>
        <v/>
      </c>
      <c r="M1916" s="27" t="str">
        <f aca="false">IF(J1916="","",IF(J1916=1,"Every week",R1916+1&amp;" of "&amp;J1916))</f>
        <v/>
      </c>
      <c r="N1916" s="28" t="str">
        <f aca="false">IF(J1916="","",Settings!$B$4+R1916*7+Q1916)</f>
        <v/>
      </c>
      <c r="O1916" s="28" t="str">
        <f aca="true">IF(J1916="","",N1916+MAX(0,ROUNDUP((TODAY()-N1916)/(J1916*7),0))*J1916*7)</f>
        <v/>
      </c>
      <c r="P1916" s="27" t="str">
        <f aca="false">IF(J1916="","",MOD(K1916-1,J1916*4))</f>
        <v/>
      </c>
      <c r="Q1916" s="27" t="str">
        <f aca="false">IF(J1916="","",MOD(P1916,4))</f>
        <v/>
      </c>
      <c r="R1916" s="27" t="str">
        <f aca="false">IF(J1916="","",INT(P1916/4))</f>
        <v/>
      </c>
      <c r="S1916" s="27" t="str">
        <f aca="false">IF(J1916="","",IF(AND('Daily Count Sheet'!$H$3=Q1916,MOD('Daily Count Sheet'!$I$3,J1916)=R1916),1,""))</f>
        <v/>
      </c>
      <c r="T1916" s="27" t="str">
        <f aca="false">IF(S1916=1,COUNTIF($S$2:S1916,1),"")</f>
        <v/>
      </c>
    </row>
    <row r="1917" customFormat="false" ht="15" hidden="false" customHeight="false" outlineLevel="0" collapsed="false">
      <c r="H1917" s="26"/>
      <c r="I1917" s="27" t="str">
        <f aca="false">IF(A1917="","",IF(H1917&lt;&gt;"",UPPER(TRIM(H1917)),IFERROR(CHOOSE(VALUE(E1917)+1,"A","B","C","D"),IF(OR(LEFT(UPPER(TRIM(E1917)),1)="F",UPPER(TRIM(E1917))="A"),"A",IF(OR(LEFT(UPPER(TRIM(E1917)),1)="M",UPPER(TRIM(E1917))="B"),"B",IF(OR(LEFT(UPPER(TRIM(E1917)),2)="SL",UPPER(TRIM(E1917))="C"),"C",IF(OR(LEFT(UPPER(TRIM(E1917)),1)="D",UPPER(TRIM(E1917))="D"),"D","")))))))</f>
        <v/>
      </c>
      <c r="J1917" s="27" t="str">
        <f aca="false">IF(I1917="","",IF(AND(I1917="D",Settings!$B$6&lt;&gt;"Yes"),"",IFERROR(INDEX(Settings!$C$9:$C$12,MATCH(I1917,Settings!$A$9:$A$12,0)),"")))</f>
        <v/>
      </c>
      <c r="K1917" s="27" t="str">
        <f aca="false">IF(J1917="","",COUNTIF($I$2:I1917,I1917))</f>
        <v/>
      </c>
      <c r="L1917" s="27" t="str">
        <f aca="false">IF(J1917="","",CHOOSE(Q1917+1,"Tue","Wed","Thu","Fri"))</f>
        <v/>
      </c>
      <c r="M1917" s="27" t="str">
        <f aca="false">IF(J1917="","",IF(J1917=1,"Every week",R1917+1&amp;" of "&amp;J1917))</f>
        <v/>
      </c>
      <c r="N1917" s="28" t="str">
        <f aca="false">IF(J1917="","",Settings!$B$4+R1917*7+Q1917)</f>
        <v/>
      </c>
      <c r="O1917" s="28" t="str">
        <f aca="true">IF(J1917="","",N1917+MAX(0,ROUNDUP((TODAY()-N1917)/(J1917*7),0))*J1917*7)</f>
        <v/>
      </c>
      <c r="P1917" s="27" t="str">
        <f aca="false">IF(J1917="","",MOD(K1917-1,J1917*4))</f>
        <v/>
      </c>
      <c r="Q1917" s="27" t="str">
        <f aca="false">IF(J1917="","",MOD(P1917,4))</f>
        <v/>
      </c>
      <c r="R1917" s="27" t="str">
        <f aca="false">IF(J1917="","",INT(P1917/4))</f>
        <v/>
      </c>
      <c r="S1917" s="27" t="str">
        <f aca="false">IF(J1917="","",IF(AND('Daily Count Sheet'!$H$3=Q1917,MOD('Daily Count Sheet'!$I$3,J1917)=R1917),1,""))</f>
        <v/>
      </c>
      <c r="T1917" s="27" t="str">
        <f aca="false">IF(S1917=1,COUNTIF($S$2:S1917,1),"")</f>
        <v/>
      </c>
    </row>
    <row r="1918" customFormat="false" ht="15" hidden="false" customHeight="false" outlineLevel="0" collapsed="false">
      <c r="H1918" s="26"/>
      <c r="I1918" s="27" t="str">
        <f aca="false">IF(A1918="","",IF(H1918&lt;&gt;"",UPPER(TRIM(H1918)),IFERROR(CHOOSE(VALUE(E1918)+1,"A","B","C","D"),IF(OR(LEFT(UPPER(TRIM(E1918)),1)="F",UPPER(TRIM(E1918))="A"),"A",IF(OR(LEFT(UPPER(TRIM(E1918)),1)="M",UPPER(TRIM(E1918))="B"),"B",IF(OR(LEFT(UPPER(TRIM(E1918)),2)="SL",UPPER(TRIM(E1918))="C"),"C",IF(OR(LEFT(UPPER(TRIM(E1918)),1)="D",UPPER(TRIM(E1918))="D"),"D","")))))))</f>
        <v/>
      </c>
      <c r="J1918" s="27" t="str">
        <f aca="false">IF(I1918="","",IF(AND(I1918="D",Settings!$B$6&lt;&gt;"Yes"),"",IFERROR(INDEX(Settings!$C$9:$C$12,MATCH(I1918,Settings!$A$9:$A$12,0)),"")))</f>
        <v/>
      </c>
      <c r="K1918" s="27" t="str">
        <f aca="false">IF(J1918="","",COUNTIF($I$2:I1918,I1918))</f>
        <v/>
      </c>
      <c r="L1918" s="27" t="str">
        <f aca="false">IF(J1918="","",CHOOSE(Q1918+1,"Tue","Wed","Thu","Fri"))</f>
        <v/>
      </c>
      <c r="M1918" s="27" t="str">
        <f aca="false">IF(J1918="","",IF(J1918=1,"Every week",R1918+1&amp;" of "&amp;J1918))</f>
        <v/>
      </c>
      <c r="N1918" s="28" t="str">
        <f aca="false">IF(J1918="","",Settings!$B$4+R1918*7+Q1918)</f>
        <v/>
      </c>
      <c r="O1918" s="28" t="str">
        <f aca="true">IF(J1918="","",N1918+MAX(0,ROUNDUP((TODAY()-N1918)/(J1918*7),0))*J1918*7)</f>
        <v/>
      </c>
      <c r="P1918" s="27" t="str">
        <f aca="false">IF(J1918="","",MOD(K1918-1,J1918*4))</f>
        <v/>
      </c>
      <c r="Q1918" s="27" t="str">
        <f aca="false">IF(J1918="","",MOD(P1918,4))</f>
        <v/>
      </c>
      <c r="R1918" s="27" t="str">
        <f aca="false">IF(J1918="","",INT(P1918/4))</f>
        <v/>
      </c>
      <c r="S1918" s="27" t="str">
        <f aca="false">IF(J1918="","",IF(AND('Daily Count Sheet'!$H$3=Q1918,MOD('Daily Count Sheet'!$I$3,J1918)=R1918),1,""))</f>
        <v/>
      </c>
      <c r="T1918" s="27" t="str">
        <f aca="false">IF(S1918=1,COUNTIF($S$2:S1918,1),"")</f>
        <v/>
      </c>
    </row>
    <row r="1919" customFormat="false" ht="15" hidden="false" customHeight="false" outlineLevel="0" collapsed="false">
      <c r="H1919" s="26"/>
      <c r="I1919" s="27" t="str">
        <f aca="false">IF(A1919="","",IF(H1919&lt;&gt;"",UPPER(TRIM(H1919)),IFERROR(CHOOSE(VALUE(E1919)+1,"A","B","C","D"),IF(OR(LEFT(UPPER(TRIM(E1919)),1)="F",UPPER(TRIM(E1919))="A"),"A",IF(OR(LEFT(UPPER(TRIM(E1919)),1)="M",UPPER(TRIM(E1919))="B"),"B",IF(OR(LEFT(UPPER(TRIM(E1919)),2)="SL",UPPER(TRIM(E1919))="C"),"C",IF(OR(LEFT(UPPER(TRIM(E1919)),1)="D",UPPER(TRIM(E1919))="D"),"D","")))))))</f>
        <v/>
      </c>
      <c r="J1919" s="27" t="str">
        <f aca="false">IF(I1919="","",IF(AND(I1919="D",Settings!$B$6&lt;&gt;"Yes"),"",IFERROR(INDEX(Settings!$C$9:$C$12,MATCH(I1919,Settings!$A$9:$A$12,0)),"")))</f>
        <v/>
      </c>
      <c r="K1919" s="27" t="str">
        <f aca="false">IF(J1919="","",COUNTIF($I$2:I1919,I1919))</f>
        <v/>
      </c>
      <c r="L1919" s="27" t="str">
        <f aca="false">IF(J1919="","",CHOOSE(Q1919+1,"Tue","Wed","Thu","Fri"))</f>
        <v/>
      </c>
      <c r="M1919" s="27" t="str">
        <f aca="false">IF(J1919="","",IF(J1919=1,"Every week",R1919+1&amp;" of "&amp;J1919))</f>
        <v/>
      </c>
      <c r="N1919" s="28" t="str">
        <f aca="false">IF(J1919="","",Settings!$B$4+R1919*7+Q1919)</f>
        <v/>
      </c>
      <c r="O1919" s="28" t="str">
        <f aca="true">IF(J1919="","",N1919+MAX(0,ROUNDUP((TODAY()-N1919)/(J1919*7),0))*J1919*7)</f>
        <v/>
      </c>
      <c r="P1919" s="27" t="str">
        <f aca="false">IF(J1919="","",MOD(K1919-1,J1919*4))</f>
        <v/>
      </c>
      <c r="Q1919" s="27" t="str">
        <f aca="false">IF(J1919="","",MOD(P1919,4))</f>
        <v/>
      </c>
      <c r="R1919" s="27" t="str">
        <f aca="false">IF(J1919="","",INT(P1919/4))</f>
        <v/>
      </c>
      <c r="S1919" s="27" t="str">
        <f aca="false">IF(J1919="","",IF(AND('Daily Count Sheet'!$H$3=Q1919,MOD('Daily Count Sheet'!$I$3,J1919)=R1919),1,""))</f>
        <v/>
      </c>
      <c r="T1919" s="27" t="str">
        <f aca="false">IF(S1919=1,COUNTIF($S$2:S1919,1),"")</f>
        <v/>
      </c>
    </row>
    <row r="1920" customFormat="false" ht="15" hidden="false" customHeight="false" outlineLevel="0" collapsed="false">
      <c r="H1920" s="26"/>
      <c r="I1920" s="27" t="str">
        <f aca="false">IF(A1920="","",IF(H1920&lt;&gt;"",UPPER(TRIM(H1920)),IFERROR(CHOOSE(VALUE(E1920)+1,"A","B","C","D"),IF(OR(LEFT(UPPER(TRIM(E1920)),1)="F",UPPER(TRIM(E1920))="A"),"A",IF(OR(LEFT(UPPER(TRIM(E1920)),1)="M",UPPER(TRIM(E1920))="B"),"B",IF(OR(LEFT(UPPER(TRIM(E1920)),2)="SL",UPPER(TRIM(E1920))="C"),"C",IF(OR(LEFT(UPPER(TRIM(E1920)),1)="D",UPPER(TRIM(E1920))="D"),"D","")))))))</f>
        <v/>
      </c>
      <c r="J1920" s="27" t="str">
        <f aca="false">IF(I1920="","",IF(AND(I1920="D",Settings!$B$6&lt;&gt;"Yes"),"",IFERROR(INDEX(Settings!$C$9:$C$12,MATCH(I1920,Settings!$A$9:$A$12,0)),"")))</f>
        <v/>
      </c>
      <c r="K1920" s="27" t="str">
        <f aca="false">IF(J1920="","",COUNTIF($I$2:I1920,I1920))</f>
        <v/>
      </c>
      <c r="L1920" s="27" t="str">
        <f aca="false">IF(J1920="","",CHOOSE(Q1920+1,"Tue","Wed","Thu","Fri"))</f>
        <v/>
      </c>
      <c r="M1920" s="27" t="str">
        <f aca="false">IF(J1920="","",IF(J1920=1,"Every week",R1920+1&amp;" of "&amp;J1920))</f>
        <v/>
      </c>
      <c r="N1920" s="28" t="str">
        <f aca="false">IF(J1920="","",Settings!$B$4+R1920*7+Q1920)</f>
        <v/>
      </c>
      <c r="O1920" s="28" t="str">
        <f aca="true">IF(J1920="","",N1920+MAX(0,ROUNDUP((TODAY()-N1920)/(J1920*7),0))*J1920*7)</f>
        <v/>
      </c>
      <c r="P1920" s="27" t="str">
        <f aca="false">IF(J1920="","",MOD(K1920-1,J1920*4))</f>
        <v/>
      </c>
      <c r="Q1920" s="27" t="str">
        <f aca="false">IF(J1920="","",MOD(P1920,4))</f>
        <v/>
      </c>
      <c r="R1920" s="27" t="str">
        <f aca="false">IF(J1920="","",INT(P1920/4))</f>
        <v/>
      </c>
      <c r="S1920" s="27" t="str">
        <f aca="false">IF(J1920="","",IF(AND('Daily Count Sheet'!$H$3=Q1920,MOD('Daily Count Sheet'!$I$3,J1920)=R1920),1,""))</f>
        <v/>
      </c>
      <c r="T1920" s="27" t="str">
        <f aca="false">IF(S1920=1,COUNTIF($S$2:S1920,1),"")</f>
        <v/>
      </c>
    </row>
    <row r="1921" customFormat="false" ht="15" hidden="false" customHeight="false" outlineLevel="0" collapsed="false">
      <c r="H1921" s="26"/>
      <c r="I1921" s="27" t="str">
        <f aca="false">IF(A1921="","",IF(H1921&lt;&gt;"",UPPER(TRIM(H1921)),IFERROR(CHOOSE(VALUE(E1921)+1,"A","B","C","D"),IF(OR(LEFT(UPPER(TRIM(E1921)),1)="F",UPPER(TRIM(E1921))="A"),"A",IF(OR(LEFT(UPPER(TRIM(E1921)),1)="M",UPPER(TRIM(E1921))="B"),"B",IF(OR(LEFT(UPPER(TRIM(E1921)),2)="SL",UPPER(TRIM(E1921))="C"),"C",IF(OR(LEFT(UPPER(TRIM(E1921)),1)="D",UPPER(TRIM(E1921))="D"),"D","")))))))</f>
        <v/>
      </c>
      <c r="J1921" s="27" t="str">
        <f aca="false">IF(I1921="","",IF(AND(I1921="D",Settings!$B$6&lt;&gt;"Yes"),"",IFERROR(INDEX(Settings!$C$9:$C$12,MATCH(I1921,Settings!$A$9:$A$12,0)),"")))</f>
        <v/>
      </c>
      <c r="K1921" s="27" t="str">
        <f aca="false">IF(J1921="","",COUNTIF($I$2:I1921,I1921))</f>
        <v/>
      </c>
      <c r="L1921" s="27" t="str">
        <f aca="false">IF(J1921="","",CHOOSE(Q1921+1,"Tue","Wed","Thu","Fri"))</f>
        <v/>
      </c>
      <c r="M1921" s="27" t="str">
        <f aca="false">IF(J1921="","",IF(J1921=1,"Every week",R1921+1&amp;" of "&amp;J1921))</f>
        <v/>
      </c>
      <c r="N1921" s="28" t="str">
        <f aca="false">IF(J1921="","",Settings!$B$4+R1921*7+Q1921)</f>
        <v/>
      </c>
      <c r="O1921" s="28" t="str">
        <f aca="true">IF(J1921="","",N1921+MAX(0,ROUNDUP((TODAY()-N1921)/(J1921*7),0))*J1921*7)</f>
        <v/>
      </c>
      <c r="P1921" s="27" t="str">
        <f aca="false">IF(J1921="","",MOD(K1921-1,J1921*4))</f>
        <v/>
      </c>
      <c r="Q1921" s="27" t="str">
        <f aca="false">IF(J1921="","",MOD(P1921,4))</f>
        <v/>
      </c>
      <c r="R1921" s="27" t="str">
        <f aca="false">IF(J1921="","",INT(P1921/4))</f>
        <v/>
      </c>
      <c r="S1921" s="27" t="str">
        <f aca="false">IF(J1921="","",IF(AND('Daily Count Sheet'!$H$3=Q1921,MOD('Daily Count Sheet'!$I$3,J1921)=R1921),1,""))</f>
        <v/>
      </c>
      <c r="T1921" s="27" t="str">
        <f aca="false">IF(S1921=1,COUNTIF($S$2:S1921,1),"")</f>
        <v/>
      </c>
    </row>
    <row r="1922" customFormat="false" ht="15" hidden="false" customHeight="false" outlineLevel="0" collapsed="false">
      <c r="H1922" s="26"/>
      <c r="I1922" s="27" t="str">
        <f aca="false">IF(A1922="","",IF(H1922&lt;&gt;"",UPPER(TRIM(H1922)),IFERROR(CHOOSE(VALUE(E1922)+1,"A","B","C","D"),IF(OR(LEFT(UPPER(TRIM(E1922)),1)="F",UPPER(TRIM(E1922))="A"),"A",IF(OR(LEFT(UPPER(TRIM(E1922)),1)="M",UPPER(TRIM(E1922))="B"),"B",IF(OR(LEFT(UPPER(TRIM(E1922)),2)="SL",UPPER(TRIM(E1922))="C"),"C",IF(OR(LEFT(UPPER(TRIM(E1922)),1)="D",UPPER(TRIM(E1922))="D"),"D","")))))))</f>
        <v/>
      </c>
      <c r="J1922" s="27" t="str">
        <f aca="false">IF(I1922="","",IF(AND(I1922="D",Settings!$B$6&lt;&gt;"Yes"),"",IFERROR(INDEX(Settings!$C$9:$C$12,MATCH(I1922,Settings!$A$9:$A$12,0)),"")))</f>
        <v/>
      </c>
      <c r="K1922" s="27" t="str">
        <f aca="false">IF(J1922="","",COUNTIF($I$2:I1922,I1922))</f>
        <v/>
      </c>
      <c r="L1922" s="27" t="str">
        <f aca="false">IF(J1922="","",CHOOSE(Q1922+1,"Tue","Wed","Thu","Fri"))</f>
        <v/>
      </c>
      <c r="M1922" s="27" t="str">
        <f aca="false">IF(J1922="","",IF(J1922=1,"Every week",R1922+1&amp;" of "&amp;J1922))</f>
        <v/>
      </c>
      <c r="N1922" s="28" t="str">
        <f aca="false">IF(J1922="","",Settings!$B$4+R1922*7+Q1922)</f>
        <v/>
      </c>
      <c r="O1922" s="28" t="str">
        <f aca="true">IF(J1922="","",N1922+MAX(0,ROUNDUP((TODAY()-N1922)/(J1922*7),0))*J1922*7)</f>
        <v/>
      </c>
      <c r="P1922" s="27" t="str">
        <f aca="false">IF(J1922="","",MOD(K1922-1,J1922*4))</f>
        <v/>
      </c>
      <c r="Q1922" s="27" t="str">
        <f aca="false">IF(J1922="","",MOD(P1922,4))</f>
        <v/>
      </c>
      <c r="R1922" s="27" t="str">
        <f aca="false">IF(J1922="","",INT(P1922/4))</f>
        <v/>
      </c>
      <c r="S1922" s="27" t="str">
        <f aca="false">IF(J1922="","",IF(AND('Daily Count Sheet'!$H$3=Q1922,MOD('Daily Count Sheet'!$I$3,J1922)=R1922),1,""))</f>
        <v/>
      </c>
      <c r="T1922" s="27" t="str">
        <f aca="false">IF(S1922=1,COUNTIF($S$2:S1922,1),"")</f>
        <v/>
      </c>
    </row>
    <row r="1923" customFormat="false" ht="15" hidden="false" customHeight="false" outlineLevel="0" collapsed="false">
      <c r="H1923" s="26"/>
      <c r="I1923" s="27" t="str">
        <f aca="false">IF(A1923="","",IF(H1923&lt;&gt;"",UPPER(TRIM(H1923)),IFERROR(CHOOSE(VALUE(E1923)+1,"A","B","C","D"),IF(OR(LEFT(UPPER(TRIM(E1923)),1)="F",UPPER(TRIM(E1923))="A"),"A",IF(OR(LEFT(UPPER(TRIM(E1923)),1)="M",UPPER(TRIM(E1923))="B"),"B",IF(OR(LEFT(UPPER(TRIM(E1923)),2)="SL",UPPER(TRIM(E1923))="C"),"C",IF(OR(LEFT(UPPER(TRIM(E1923)),1)="D",UPPER(TRIM(E1923))="D"),"D","")))))))</f>
        <v/>
      </c>
      <c r="J1923" s="27" t="str">
        <f aca="false">IF(I1923="","",IF(AND(I1923="D",Settings!$B$6&lt;&gt;"Yes"),"",IFERROR(INDEX(Settings!$C$9:$C$12,MATCH(I1923,Settings!$A$9:$A$12,0)),"")))</f>
        <v/>
      </c>
      <c r="K1923" s="27" t="str">
        <f aca="false">IF(J1923="","",COUNTIF($I$2:I1923,I1923))</f>
        <v/>
      </c>
      <c r="L1923" s="27" t="str">
        <f aca="false">IF(J1923="","",CHOOSE(Q1923+1,"Tue","Wed","Thu","Fri"))</f>
        <v/>
      </c>
      <c r="M1923" s="27" t="str">
        <f aca="false">IF(J1923="","",IF(J1923=1,"Every week",R1923+1&amp;" of "&amp;J1923))</f>
        <v/>
      </c>
      <c r="N1923" s="28" t="str">
        <f aca="false">IF(J1923="","",Settings!$B$4+R1923*7+Q1923)</f>
        <v/>
      </c>
      <c r="O1923" s="28" t="str">
        <f aca="true">IF(J1923="","",N1923+MAX(0,ROUNDUP((TODAY()-N1923)/(J1923*7),0))*J1923*7)</f>
        <v/>
      </c>
      <c r="P1923" s="27" t="str">
        <f aca="false">IF(J1923="","",MOD(K1923-1,J1923*4))</f>
        <v/>
      </c>
      <c r="Q1923" s="27" t="str">
        <f aca="false">IF(J1923="","",MOD(P1923,4))</f>
        <v/>
      </c>
      <c r="R1923" s="27" t="str">
        <f aca="false">IF(J1923="","",INT(P1923/4))</f>
        <v/>
      </c>
      <c r="S1923" s="27" t="str">
        <f aca="false">IF(J1923="","",IF(AND('Daily Count Sheet'!$H$3=Q1923,MOD('Daily Count Sheet'!$I$3,J1923)=R1923),1,""))</f>
        <v/>
      </c>
      <c r="T1923" s="27" t="str">
        <f aca="false">IF(S1923=1,COUNTIF($S$2:S1923,1),"")</f>
        <v/>
      </c>
    </row>
    <row r="1924" customFormat="false" ht="15" hidden="false" customHeight="false" outlineLevel="0" collapsed="false">
      <c r="H1924" s="26"/>
      <c r="I1924" s="27" t="str">
        <f aca="false">IF(A1924="","",IF(H1924&lt;&gt;"",UPPER(TRIM(H1924)),IFERROR(CHOOSE(VALUE(E1924)+1,"A","B","C","D"),IF(OR(LEFT(UPPER(TRIM(E1924)),1)="F",UPPER(TRIM(E1924))="A"),"A",IF(OR(LEFT(UPPER(TRIM(E1924)),1)="M",UPPER(TRIM(E1924))="B"),"B",IF(OR(LEFT(UPPER(TRIM(E1924)),2)="SL",UPPER(TRIM(E1924))="C"),"C",IF(OR(LEFT(UPPER(TRIM(E1924)),1)="D",UPPER(TRIM(E1924))="D"),"D","")))))))</f>
        <v/>
      </c>
      <c r="J1924" s="27" t="str">
        <f aca="false">IF(I1924="","",IF(AND(I1924="D",Settings!$B$6&lt;&gt;"Yes"),"",IFERROR(INDEX(Settings!$C$9:$C$12,MATCH(I1924,Settings!$A$9:$A$12,0)),"")))</f>
        <v/>
      </c>
      <c r="K1924" s="27" t="str">
        <f aca="false">IF(J1924="","",COUNTIF($I$2:I1924,I1924))</f>
        <v/>
      </c>
      <c r="L1924" s="27" t="str">
        <f aca="false">IF(J1924="","",CHOOSE(Q1924+1,"Tue","Wed","Thu","Fri"))</f>
        <v/>
      </c>
      <c r="M1924" s="27" t="str">
        <f aca="false">IF(J1924="","",IF(J1924=1,"Every week",R1924+1&amp;" of "&amp;J1924))</f>
        <v/>
      </c>
      <c r="N1924" s="28" t="str">
        <f aca="false">IF(J1924="","",Settings!$B$4+R1924*7+Q1924)</f>
        <v/>
      </c>
      <c r="O1924" s="28" t="str">
        <f aca="true">IF(J1924="","",N1924+MAX(0,ROUNDUP((TODAY()-N1924)/(J1924*7),0))*J1924*7)</f>
        <v/>
      </c>
      <c r="P1924" s="27" t="str">
        <f aca="false">IF(J1924="","",MOD(K1924-1,J1924*4))</f>
        <v/>
      </c>
      <c r="Q1924" s="27" t="str">
        <f aca="false">IF(J1924="","",MOD(P1924,4))</f>
        <v/>
      </c>
      <c r="R1924" s="27" t="str">
        <f aca="false">IF(J1924="","",INT(P1924/4))</f>
        <v/>
      </c>
      <c r="S1924" s="27" t="str">
        <f aca="false">IF(J1924="","",IF(AND('Daily Count Sheet'!$H$3=Q1924,MOD('Daily Count Sheet'!$I$3,J1924)=R1924),1,""))</f>
        <v/>
      </c>
      <c r="T1924" s="27" t="str">
        <f aca="false">IF(S1924=1,COUNTIF($S$2:S1924,1),"")</f>
        <v/>
      </c>
    </row>
    <row r="1925" customFormat="false" ht="15" hidden="false" customHeight="false" outlineLevel="0" collapsed="false">
      <c r="H1925" s="26"/>
      <c r="I1925" s="27" t="str">
        <f aca="false">IF(A1925="","",IF(H1925&lt;&gt;"",UPPER(TRIM(H1925)),IFERROR(CHOOSE(VALUE(E1925)+1,"A","B","C","D"),IF(OR(LEFT(UPPER(TRIM(E1925)),1)="F",UPPER(TRIM(E1925))="A"),"A",IF(OR(LEFT(UPPER(TRIM(E1925)),1)="M",UPPER(TRIM(E1925))="B"),"B",IF(OR(LEFT(UPPER(TRIM(E1925)),2)="SL",UPPER(TRIM(E1925))="C"),"C",IF(OR(LEFT(UPPER(TRIM(E1925)),1)="D",UPPER(TRIM(E1925))="D"),"D","")))))))</f>
        <v/>
      </c>
      <c r="J1925" s="27" t="str">
        <f aca="false">IF(I1925="","",IF(AND(I1925="D",Settings!$B$6&lt;&gt;"Yes"),"",IFERROR(INDEX(Settings!$C$9:$C$12,MATCH(I1925,Settings!$A$9:$A$12,0)),"")))</f>
        <v/>
      </c>
      <c r="K1925" s="27" t="str">
        <f aca="false">IF(J1925="","",COUNTIF($I$2:I1925,I1925))</f>
        <v/>
      </c>
      <c r="L1925" s="27" t="str">
        <f aca="false">IF(J1925="","",CHOOSE(Q1925+1,"Tue","Wed","Thu","Fri"))</f>
        <v/>
      </c>
      <c r="M1925" s="27" t="str">
        <f aca="false">IF(J1925="","",IF(J1925=1,"Every week",R1925+1&amp;" of "&amp;J1925))</f>
        <v/>
      </c>
      <c r="N1925" s="28" t="str">
        <f aca="false">IF(J1925="","",Settings!$B$4+R1925*7+Q1925)</f>
        <v/>
      </c>
      <c r="O1925" s="28" t="str">
        <f aca="true">IF(J1925="","",N1925+MAX(0,ROUNDUP((TODAY()-N1925)/(J1925*7),0))*J1925*7)</f>
        <v/>
      </c>
      <c r="P1925" s="27" t="str">
        <f aca="false">IF(J1925="","",MOD(K1925-1,J1925*4))</f>
        <v/>
      </c>
      <c r="Q1925" s="27" t="str">
        <f aca="false">IF(J1925="","",MOD(P1925,4))</f>
        <v/>
      </c>
      <c r="R1925" s="27" t="str">
        <f aca="false">IF(J1925="","",INT(P1925/4))</f>
        <v/>
      </c>
      <c r="S1925" s="27" t="str">
        <f aca="false">IF(J1925="","",IF(AND('Daily Count Sheet'!$H$3=Q1925,MOD('Daily Count Sheet'!$I$3,J1925)=R1925),1,""))</f>
        <v/>
      </c>
      <c r="T1925" s="27" t="str">
        <f aca="false">IF(S1925=1,COUNTIF($S$2:S1925,1),"")</f>
        <v/>
      </c>
    </row>
    <row r="1926" customFormat="false" ht="15" hidden="false" customHeight="false" outlineLevel="0" collapsed="false">
      <c r="H1926" s="26"/>
      <c r="I1926" s="27" t="str">
        <f aca="false">IF(A1926="","",IF(H1926&lt;&gt;"",UPPER(TRIM(H1926)),IFERROR(CHOOSE(VALUE(E1926)+1,"A","B","C","D"),IF(OR(LEFT(UPPER(TRIM(E1926)),1)="F",UPPER(TRIM(E1926))="A"),"A",IF(OR(LEFT(UPPER(TRIM(E1926)),1)="M",UPPER(TRIM(E1926))="B"),"B",IF(OR(LEFT(UPPER(TRIM(E1926)),2)="SL",UPPER(TRIM(E1926))="C"),"C",IF(OR(LEFT(UPPER(TRIM(E1926)),1)="D",UPPER(TRIM(E1926))="D"),"D","")))))))</f>
        <v/>
      </c>
      <c r="J1926" s="27" t="str">
        <f aca="false">IF(I1926="","",IF(AND(I1926="D",Settings!$B$6&lt;&gt;"Yes"),"",IFERROR(INDEX(Settings!$C$9:$C$12,MATCH(I1926,Settings!$A$9:$A$12,0)),"")))</f>
        <v/>
      </c>
      <c r="K1926" s="27" t="str">
        <f aca="false">IF(J1926="","",COUNTIF($I$2:I1926,I1926))</f>
        <v/>
      </c>
      <c r="L1926" s="27" t="str">
        <f aca="false">IF(J1926="","",CHOOSE(Q1926+1,"Tue","Wed","Thu","Fri"))</f>
        <v/>
      </c>
      <c r="M1926" s="27" t="str">
        <f aca="false">IF(J1926="","",IF(J1926=1,"Every week",R1926+1&amp;" of "&amp;J1926))</f>
        <v/>
      </c>
      <c r="N1926" s="28" t="str">
        <f aca="false">IF(J1926="","",Settings!$B$4+R1926*7+Q1926)</f>
        <v/>
      </c>
      <c r="O1926" s="28" t="str">
        <f aca="true">IF(J1926="","",N1926+MAX(0,ROUNDUP((TODAY()-N1926)/(J1926*7),0))*J1926*7)</f>
        <v/>
      </c>
      <c r="P1926" s="27" t="str">
        <f aca="false">IF(J1926="","",MOD(K1926-1,J1926*4))</f>
        <v/>
      </c>
      <c r="Q1926" s="27" t="str">
        <f aca="false">IF(J1926="","",MOD(P1926,4))</f>
        <v/>
      </c>
      <c r="R1926" s="27" t="str">
        <f aca="false">IF(J1926="","",INT(P1926/4))</f>
        <v/>
      </c>
      <c r="S1926" s="27" t="str">
        <f aca="false">IF(J1926="","",IF(AND('Daily Count Sheet'!$H$3=Q1926,MOD('Daily Count Sheet'!$I$3,J1926)=R1926),1,""))</f>
        <v/>
      </c>
      <c r="T1926" s="27" t="str">
        <f aca="false">IF(S1926=1,COUNTIF($S$2:S1926,1),"")</f>
        <v/>
      </c>
    </row>
    <row r="1927" customFormat="false" ht="15" hidden="false" customHeight="false" outlineLevel="0" collapsed="false">
      <c r="H1927" s="26"/>
      <c r="I1927" s="27" t="str">
        <f aca="false">IF(A1927="","",IF(H1927&lt;&gt;"",UPPER(TRIM(H1927)),IFERROR(CHOOSE(VALUE(E1927)+1,"A","B","C","D"),IF(OR(LEFT(UPPER(TRIM(E1927)),1)="F",UPPER(TRIM(E1927))="A"),"A",IF(OR(LEFT(UPPER(TRIM(E1927)),1)="M",UPPER(TRIM(E1927))="B"),"B",IF(OR(LEFT(UPPER(TRIM(E1927)),2)="SL",UPPER(TRIM(E1927))="C"),"C",IF(OR(LEFT(UPPER(TRIM(E1927)),1)="D",UPPER(TRIM(E1927))="D"),"D","")))))))</f>
        <v/>
      </c>
      <c r="J1927" s="27" t="str">
        <f aca="false">IF(I1927="","",IF(AND(I1927="D",Settings!$B$6&lt;&gt;"Yes"),"",IFERROR(INDEX(Settings!$C$9:$C$12,MATCH(I1927,Settings!$A$9:$A$12,0)),"")))</f>
        <v/>
      </c>
      <c r="K1927" s="27" t="str">
        <f aca="false">IF(J1927="","",COUNTIF($I$2:I1927,I1927))</f>
        <v/>
      </c>
      <c r="L1927" s="27" t="str">
        <f aca="false">IF(J1927="","",CHOOSE(Q1927+1,"Tue","Wed","Thu","Fri"))</f>
        <v/>
      </c>
      <c r="M1927" s="27" t="str">
        <f aca="false">IF(J1927="","",IF(J1927=1,"Every week",R1927+1&amp;" of "&amp;J1927))</f>
        <v/>
      </c>
      <c r="N1927" s="28" t="str">
        <f aca="false">IF(J1927="","",Settings!$B$4+R1927*7+Q1927)</f>
        <v/>
      </c>
      <c r="O1927" s="28" t="str">
        <f aca="true">IF(J1927="","",N1927+MAX(0,ROUNDUP((TODAY()-N1927)/(J1927*7),0))*J1927*7)</f>
        <v/>
      </c>
      <c r="P1927" s="27" t="str">
        <f aca="false">IF(J1927="","",MOD(K1927-1,J1927*4))</f>
        <v/>
      </c>
      <c r="Q1927" s="27" t="str">
        <f aca="false">IF(J1927="","",MOD(P1927,4))</f>
        <v/>
      </c>
      <c r="R1927" s="27" t="str">
        <f aca="false">IF(J1927="","",INT(P1927/4))</f>
        <v/>
      </c>
      <c r="S1927" s="27" t="str">
        <f aca="false">IF(J1927="","",IF(AND('Daily Count Sheet'!$H$3=Q1927,MOD('Daily Count Sheet'!$I$3,J1927)=R1927),1,""))</f>
        <v/>
      </c>
      <c r="T1927" s="27" t="str">
        <f aca="false">IF(S1927=1,COUNTIF($S$2:S1927,1),"")</f>
        <v/>
      </c>
    </row>
    <row r="1928" customFormat="false" ht="15" hidden="false" customHeight="false" outlineLevel="0" collapsed="false">
      <c r="H1928" s="26"/>
      <c r="I1928" s="27" t="str">
        <f aca="false">IF(A1928="","",IF(H1928&lt;&gt;"",UPPER(TRIM(H1928)),IFERROR(CHOOSE(VALUE(E1928)+1,"A","B","C","D"),IF(OR(LEFT(UPPER(TRIM(E1928)),1)="F",UPPER(TRIM(E1928))="A"),"A",IF(OR(LEFT(UPPER(TRIM(E1928)),1)="M",UPPER(TRIM(E1928))="B"),"B",IF(OR(LEFT(UPPER(TRIM(E1928)),2)="SL",UPPER(TRIM(E1928))="C"),"C",IF(OR(LEFT(UPPER(TRIM(E1928)),1)="D",UPPER(TRIM(E1928))="D"),"D","")))))))</f>
        <v/>
      </c>
      <c r="J1928" s="27" t="str">
        <f aca="false">IF(I1928="","",IF(AND(I1928="D",Settings!$B$6&lt;&gt;"Yes"),"",IFERROR(INDEX(Settings!$C$9:$C$12,MATCH(I1928,Settings!$A$9:$A$12,0)),"")))</f>
        <v/>
      </c>
      <c r="K1928" s="27" t="str">
        <f aca="false">IF(J1928="","",COUNTIF($I$2:I1928,I1928))</f>
        <v/>
      </c>
      <c r="L1928" s="27" t="str">
        <f aca="false">IF(J1928="","",CHOOSE(Q1928+1,"Tue","Wed","Thu","Fri"))</f>
        <v/>
      </c>
      <c r="M1928" s="27" t="str">
        <f aca="false">IF(J1928="","",IF(J1928=1,"Every week",R1928+1&amp;" of "&amp;J1928))</f>
        <v/>
      </c>
      <c r="N1928" s="28" t="str">
        <f aca="false">IF(J1928="","",Settings!$B$4+R1928*7+Q1928)</f>
        <v/>
      </c>
      <c r="O1928" s="28" t="str">
        <f aca="true">IF(J1928="","",N1928+MAX(0,ROUNDUP((TODAY()-N1928)/(J1928*7),0))*J1928*7)</f>
        <v/>
      </c>
      <c r="P1928" s="27" t="str">
        <f aca="false">IF(J1928="","",MOD(K1928-1,J1928*4))</f>
        <v/>
      </c>
      <c r="Q1928" s="27" t="str">
        <f aca="false">IF(J1928="","",MOD(P1928,4))</f>
        <v/>
      </c>
      <c r="R1928" s="27" t="str">
        <f aca="false">IF(J1928="","",INT(P1928/4))</f>
        <v/>
      </c>
      <c r="S1928" s="27" t="str">
        <f aca="false">IF(J1928="","",IF(AND('Daily Count Sheet'!$H$3=Q1928,MOD('Daily Count Sheet'!$I$3,J1928)=R1928),1,""))</f>
        <v/>
      </c>
      <c r="T1928" s="27" t="str">
        <f aca="false">IF(S1928=1,COUNTIF($S$2:S1928,1),"")</f>
        <v/>
      </c>
    </row>
    <row r="1929" customFormat="false" ht="15" hidden="false" customHeight="false" outlineLevel="0" collapsed="false">
      <c r="H1929" s="26"/>
      <c r="I1929" s="27" t="str">
        <f aca="false">IF(A1929="","",IF(H1929&lt;&gt;"",UPPER(TRIM(H1929)),IFERROR(CHOOSE(VALUE(E1929)+1,"A","B","C","D"),IF(OR(LEFT(UPPER(TRIM(E1929)),1)="F",UPPER(TRIM(E1929))="A"),"A",IF(OR(LEFT(UPPER(TRIM(E1929)),1)="M",UPPER(TRIM(E1929))="B"),"B",IF(OR(LEFT(UPPER(TRIM(E1929)),2)="SL",UPPER(TRIM(E1929))="C"),"C",IF(OR(LEFT(UPPER(TRIM(E1929)),1)="D",UPPER(TRIM(E1929))="D"),"D","")))))))</f>
        <v/>
      </c>
      <c r="J1929" s="27" t="str">
        <f aca="false">IF(I1929="","",IF(AND(I1929="D",Settings!$B$6&lt;&gt;"Yes"),"",IFERROR(INDEX(Settings!$C$9:$C$12,MATCH(I1929,Settings!$A$9:$A$12,0)),"")))</f>
        <v/>
      </c>
      <c r="K1929" s="27" t="str">
        <f aca="false">IF(J1929="","",COUNTIF($I$2:I1929,I1929))</f>
        <v/>
      </c>
      <c r="L1929" s="27" t="str">
        <f aca="false">IF(J1929="","",CHOOSE(Q1929+1,"Tue","Wed","Thu","Fri"))</f>
        <v/>
      </c>
      <c r="M1929" s="27" t="str">
        <f aca="false">IF(J1929="","",IF(J1929=1,"Every week",R1929+1&amp;" of "&amp;J1929))</f>
        <v/>
      </c>
      <c r="N1929" s="28" t="str">
        <f aca="false">IF(J1929="","",Settings!$B$4+R1929*7+Q1929)</f>
        <v/>
      </c>
      <c r="O1929" s="28" t="str">
        <f aca="true">IF(J1929="","",N1929+MAX(0,ROUNDUP((TODAY()-N1929)/(J1929*7),0))*J1929*7)</f>
        <v/>
      </c>
      <c r="P1929" s="27" t="str">
        <f aca="false">IF(J1929="","",MOD(K1929-1,J1929*4))</f>
        <v/>
      </c>
      <c r="Q1929" s="27" t="str">
        <f aca="false">IF(J1929="","",MOD(P1929,4))</f>
        <v/>
      </c>
      <c r="R1929" s="27" t="str">
        <f aca="false">IF(J1929="","",INT(P1929/4))</f>
        <v/>
      </c>
      <c r="S1929" s="27" t="str">
        <f aca="false">IF(J1929="","",IF(AND('Daily Count Sheet'!$H$3=Q1929,MOD('Daily Count Sheet'!$I$3,J1929)=R1929),1,""))</f>
        <v/>
      </c>
      <c r="T1929" s="27" t="str">
        <f aca="false">IF(S1929=1,COUNTIF($S$2:S1929,1),"")</f>
        <v/>
      </c>
    </row>
    <row r="1930" customFormat="false" ht="15" hidden="false" customHeight="false" outlineLevel="0" collapsed="false">
      <c r="H1930" s="26"/>
      <c r="I1930" s="27" t="str">
        <f aca="false">IF(A1930="","",IF(H1930&lt;&gt;"",UPPER(TRIM(H1930)),IFERROR(CHOOSE(VALUE(E1930)+1,"A","B","C","D"),IF(OR(LEFT(UPPER(TRIM(E1930)),1)="F",UPPER(TRIM(E1930))="A"),"A",IF(OR(LEFT(UPPER(TRIM(E1930)),1)="M",UPPER(TRIM(E1930))="B"),"B",IF(OR(LEFT(UPPER(TRIM(E1930)),2)="SL",UPPER(TRIM(E1930))="C"),"C",IF(OR(LEFT(UPPER(TRIM(E1930)),1)="D",UPPER(TRIM(E1930))="D"),"D","")))))))</f>
        <v/>
      </c>
      <c r="J1930" s="27" t="str">
        <f aca="false">IF(I1930="","",IF(AND(I1930="D",Settings!$B$6&lt;&gt;"Yes"),"",IFERROR(INDEX(Settings!$C$9:$C$12,MATCH(I1930,Settings!$A$9:$A$12,0)),"")))</f>
        <v/>
      </c>
      <c r="K1930" s="27" t="str">
        <f aca="false">IF(J1930="","",COUNTIF($I$2:I1930,I1930))</f>
        <v/>
      </c>
      <c r="L1930" s="27" t="str">
        <f aca="false">IF(J1930="","",CHOOSE(Q1930+1,"Tue","Wed","Thu","Fri"))</f>
        <v/>
      </c>
      <c r="M1930" s="27" t="str">
        <f aca="false">IF(J1930="","",IF(J1930=1,"Every week",R1930+1&amp;" of "&amp;J1930))</f>
        <v/>
      </c>
      <c r="N1930" s="28" t="str">
        <f aca="false">IF(J1930="","",Settings!$B$4+R1930*7+Q1930)</f>
        <v/>
      </c>
      <c r="O1930" s="28" t="str">
        <f aca="true">IF(J1930="","",N1930+MAX(0,ROUNDUP((TODAY()-N1930)/(J1930*7),0))*J1930*7)</f>
        <v/>
      </c>
      <c r="P1930" s="27" t="str">
        <f aca="false">IF(J1930="","",MOD(K1930-1,J1930*4))</f>
        <v/>
      </c>
      <c r="Q1930" s="27" t="str">
        <f aca="false">IF(J1930="","",MOD(P1930,4))</f>
        <v/>
      </c>
      <c r="R1930" s="27" t="str">
        <f aca="false">IF(J1930="","",INT(P1930/4))</f>
        <v/>
      </c>
      <c r="S1930" s="27" t="str">
        <f aca="false">IF(J1930="","",IF(AND('Daily Count Sheet'!$H$3=Q1930,MOD('Daily Count Sheet'!$I$3,J1930)=R1930),1,""))</f>
        <v/>
      </c>
      <c r="T1930" s="27" t="str">
        <f aca="false">IF(S1930=1,COUNTIF($S$2:S1930,1),"")</f>
        <v/>
      </c>
    </row>
    <row r="1931" customFormat="false" ht="15" hidden="false" customHeight="false" outlineLevel="0" collapsed="false">
      <c r="H1931" s="26"/>
      <c r="I1931" s="27" t="str">
        <f aca="false">IF(A1931="","",IF(H1931&lt;&gt;"",UPPER(TRIM(H1931)),IFERROR(CHOOSE(VALUE(E1931)+1,"A","B","C","D"),IF(OR(LEFT(UPPER(TRIM(E1931)),1)="F",UPPER(TRIM(E1931))="A"),"A",IF(OR(LEFT(UPPER(TRIM(E1931)),1)="M",UPPER(TRIM(E1931))="B"),"B",IF(OR(LEFT(UPPER(TRIM(E1931)),2)="SL",UPPER(TRIM(E1931))="C"),"C",IF(OR(LEFT(UPPER(TRIM(E1931)),1)="D",UPPER(TRIM(E1931))="D"),"D","")))))))</f>
        <v/>
      </c>
      <c r="J1931" s="27" t="str">
        <f aca="false">IF(I1931="","",IF(AND(I1931="D",Settings!$B$6&lt;&gt;"Yes"),"",IFERROR(INDEX(Settings!$C$9:$C$12,MATCH(I1931,Settings!$A$9:$A$12,0)),"")))</f>
        <v/>
      </c>
      <c r="K1931" s="27" t="str">
        <f aca="false">IF(J1931="","",COUNTIF($I$2:I1931,I1931))</f>
        <v/>
      </c>
      <c r="L1931" s="27" t="str">
        <f aca="false">IF(J1931="","",CHOOSE(Q1931+1,"Tue","Wed","Thu","Fri"))</f>
        <v/>
      </c>
      <c r="M1931" s="27" t="str">
        <f aca="false">IF(J1931="","",IF(J1931=1,"Every week",R1931+1&amp;" of "&amp;J1931))</f>
        <v/>
      </c>
      <c r="N1931" s="28" t="str">
        <f aca="false">IF(J1931="","",Settings!$B$4+R1931*7+Q1931)</f>
        <v/>
      </c>
      <c r="O1931" s="28" t="str">
        <f aca="true">IF(J1931="","",N1931+MAX(0,ROUNDUP((TODAY()-N1931)/(J1931*7),0))*J1931*7)</f>
        <v/>
      </c>
      <c r="P1931" s="27" t="str">
        <f aca="false">IF(J1931="","",MOD(K1931-1,J1931*4))</f>
        <v/>
      </c>
      <c r="Q1931" s="27" t="str">
        <f aca="false">IF(J1931="","",MOD(P1931,4))</f>
        <v/>
      </c>
      <c r="R1931" s="27" t="str">
        <f aca="false">IF(J1931="","",INT(P1931/4))</f>
        <v/>
      </c>
      <c r="S1931" s="27" t="str">
        <f aca="false">IF(J1931="","",IF(AND('Daily Count Sheet'!$H$3=Q1931,MOD('Daily Count Sheet'!$I$3,J1931)=R1931),1,""))</f>
        <v/>
      </c>
      <c r="T1931" s="27" t="str">
        <f aca="false">IF(S1931=1,COUNTIF($S$2:S1931,1),"")</f>
        <v/>
      </c>
    </row>
    <row r="1932" customFormat="false" ht="15" hidden="false" customHeight="false" outlineLevel="0" collapsed="false">
      <c r="H1932" s="26"/>
      <c r="I1932" s="27" t="str">
        <f aca="false">IF(A1932="","",IF(H1932&lt;&gt;"",UPPER(TRIM(H1932)),IFERROR(CHOOSE(VALUE(E1932)+1,"A","B","C","D"),IF(OR(LEFT(UPPER(TRIM(E1932)),1)="F",UPPER(TRIM(E1932))="A"),"A",IF(OR(LEFT(UPPER(TRIM(E1932)),1)="M",UPPER(TRIM(E1932))="B"),"B",IF(OR(LEFT(UPPER(TRIM(E1932)),2)="SL",UPPER(TRIM(E1932))="C"),"C",IF(OR(LEFT(UPPER(TRIM(E1932)),1)="D",UPPER(TRIM(E1932))="D"),"D","")))))))</f>
        <v/>
      </c>
      <c r="J1932" s="27" t="str">
        <f aca="false">IF(I1932="","",IF(AND(I1932="D",Settings!$B$6&lt;&gt;"Yes"),"",IFERROR(INDEX(Settings!$C$9:$C$12,MATCH(I1932,Settings!$A$9:$A$12,0)),"")))</f>
        <v/>
      </c>
      <c r="K1932" s="27" t="str">
        <f aca="false">IF(J1932="","",COUNTIF($I$2:I1932,I1932))</f>
        <v/>
      </c>
      <c r="L1932" s="27" t="str">
        <f aca="false">IF(J1932="","",CHOOSE(Q1932+1,"Tue","Wed","Thu","Fri"))</f>
        <v/>
      </c>
      <c r="M1932" s="27" t="str">
        <f aca="false">IF(J1932="","",IF(J1932=1,"Every week",R1932+1&amp;" of "&amp;J1932))</f>
        <v/>
      </c>
      <c r="N1932" s="28" t="str">
        <f aca="false">IF(J1932="","",Settings!$B$4+R1932*7+Q1932)</f>
        <v/>
      </c>
      <c r="O1932" s="28" t="str">
        <f aca="true">IF(J1932="","",N1932+MAX(0,ROUNDUP((TODAY()-N1932)/(J1932*7),0))*J1932*7)</f>
        <v/>
      </c>
      <c r="P1932" s="27" t="str">
        <f aca="false">IF(J1932="","",MOD(K1932-1,J1932*4))</f>
        <v/>
      </c>
      <c r="Q1932" s="27" t="str">
        <f aca="false">IF(J1932="","",MOD(P1932,4))</f>
        <v/>
      </c>
      <c r="R1932" s="27" t="str">
        <f aca="false">IF(J1932="","",INT(P1932/4))</f>
        <v/>
      </c>
      <c r="S1932" s="27" t="str">
        <f aca="false">IF(J1932="","",IF(AND('Daily Count Sheet'!$H$3=Q1932,MOD('Daily Count Sheet'!$I$3,J1932)=R1932),1,""))</f>
        <v/>
      </c>
      <c r="T1932" s="27" t="str">
        <f aca="false">IF(S1932=1,COUNTIF($S$2:S1932,1),"")</f>
        <v/>
      </c>
    </row>
    <row r="1933" customFormat="false" ht="15" hidden="false" customHeight="false" outlineLevel="0" collapsed="false">
      <c r="H1933" s="26"/>
      <c r="I1933" s="27" t="str">
        <f aca="false">IF(A1933="","",IF(H1933&lt;&gt;"",UPPER(TRIM(H1933)),IFERROR(CHOOSE(VALUE(E1933)+1,"A","B","C","D"),IF(OR(LEFT(UPPER(TRIM(E1933)),1)="F",UPPER(TRIM(E1933))="A"),"A",IF(OR(LEFT(UPPER(TRIM(E1933)),1)="M",UPPER(TRIM(E1933))="B"),"B",IF(OR(LEFT(UPPER(TRIM(E1933)),2)="SL",UPPER(TRIM(E1933))="C"),"C",IF(OR(LEFT(UPPER(TRIM(E1933)),1)="D",UPPER(TRIM(E1933))="D"),"D","")))))))</f>
        <v/>
      </c>
      <c r="J1933" s="27" t="str">
        <f aca="false">IF(I1933="","",IF(AND(I1933="D",Settings!$B$6&lt;&gt;"Yes"),"",IFERROR(INDEX(Settings!$C$9:$C$12,MATCH(I1933,Settings!$A$9:$A$12,0)),"")))</f>
        <v/>
      </c>
      <c r="K1933" s="27" t="str">
        <f aca="false">IF(J1933="","",COUNTIF($I$2:I1933,I1933))</f>
        <v/>
      </c>
      <c r="L1933" s="27" t="str">
        <f aca="false">IF(J1933="","",CHOOSE(Q1933+1,"Tue","Wed","Thu","Fri"))</f>
        <v/>
      </c>
      <c r="M1933" s="27" t="str">
        <f aca="false">IF(J1933="","",IF(J1933=1,"Every week",R1933+1&amp;" of "&amp;J1933))</f>
        <v/>
      </c>
      <c r="N1933" s="28" t="str">
        <f aca="false">IF(J1933="","",Settings!$B$4+R1933*7+Q1933)</f>
        <v/>
      </c>
      <c r="O1933" s="28" t="str">
        <f aca="true">IF(J1933="","",N1933+MAX(0,ROUNDUP((TODAY()-N1933)/(J1933*7),0))*J1933*7)</f>
        <v/>
      </c>
      <c r="P1933" s="27" t="str">
        <f aca="false">IF(J1933="","",MOD(K1933-1,J1933*4))</f>
        <v/>
      </c>
      <c r="Q1933" s="27" t="str">
        <f aca="false">IF(J1933="","",MOD(P1933,4))</f>
        <v/>
      </c>
      <c r="R1933" s="27" t="str">
        <f aca="false">IF(J1933="","",INT(P1933/4))</f>
        <v/>
      </c>
      <c r="S1933" s="27" t="str">
        <f aca="false">IF(J1933="","",IF(AND('Daily Count Sheet'!$H$3=Q1933,MOD('Daily Count Sheet'!$I$3,J1933)=R1933),1,""))</f>
        <v/>
      </c>
      <c r="T1933" s="27" t="str">
        <f aca="false">IF(S1933=1,COUNTIF($S$2:S1933,1),"")</f>
        <v/>
      </c>
    </row>
    <row r="1934" customFormat="false" ht="15" hidden="false" customHeight="false" outlineLevel="0" collapsed="false">
      <c r="H1934" s="26"/>
      <c r="I1934" s="27" t="str">
        <f aca="false">IF(A1934="","",IF(H1934&lt;&gt;"",UPPER(TRIM(H1934)),IFERROR(CHOOSE(VALUE(E1934)+1,"A","B","C","D"),IF(OR(LEFT(UPPER(TRIM(E1934)),1)="F",UPPER(TRIM(E1934))="A"),"A",IF(OR(LEFT(UPPER(TRIM(E1934)),1)="M",UPPER(TRIM(E1934))="B"),"B",IF(OR(LEFT(UPPER(TRIM(E1934)),2)="SL",UPPER(TRIM(E1934))="C"),"C",IF(OR(LEFT(UPPER(TRIM(E1934)),1)="D",UPPER(TRIM(E1934))="D"),"D","")))))))</f>
        <v/>
      </c>
      <c r="J1934" s="27" t="str">
        <f aca="false">IF(I1934="","",IF(AND(I1934="D",Settings!$B$6&lt;&gt;"Yes"),"",IFERROR(INDEX(Settings!$C$9:$C$12,MATCH(I1934,Settings!$A$9:$A$12,0)),"")))</f>
        <v/>
      </c>
      <c r="K1934" s="27" t="str">
        <f aca="false">IF(J1934="","",COUNTIF($I$2:I1934,I1934))</f>
        <v/>
      </c>
      <c r="L1934" s="27" t="str">
        <f aca="false">IF(J1934="","",CHOOSE(Q1934+1,"Tue","Wed","Thu","Fri"))</f>
        <v/>
      </c>
      <c r="M1934" s="27" t="str">
        <f aca="false">IF(J1934="","",IF(J1934=1,"Every week",R1934+1&amp;" of "&amp;J1934))</f>
        <v/>
      </c>
      <c r="N1934" s="28" t="str">
        <f aca="false">IF(J1934="","",Settings!$B$4+R1934*7+Q1934)</f>
        <v/>
      </c>
      <c r="O1934" s="28" t="str">
        <f aca="true">IF(J1934="","",N1934+MAX(0,ROUNDUP((TODAY()-N1934)/(J1934*7),0))*J1934*7)</f>
        <v/>
      </c>
      <c r="P1934" s="27" t="str">
        <f aca="false">IF(J1934="","",MOD(K1934-1,J1934*4))</f>
        <v/>
      </c>
      <c r="Q1934" s="27" t="str">
        <f aca="false">IF(J1934="","",MOD(P1934,4))</f>
        <v/>
      </c>
      <c r="R1934" s="27" t="str">
        <f aca="false">IF(J1934="","",INT(P1934/4))</f>
        <v/>
      </c>
      <c r="S1934" s="27" t="str">
        <f aca="false">IF(J1934="","",IF(AND('Daily Count Sheet'!$H$3=Q1934,MOD('Daily Count Sheet'!$I$3,J1934)=R1934),1,""))</f>
        <v/>
      </c>
      <c r="T1934" s="27" t="str">
        <f aca="false">IF(S1934=1,COUNTIF($S$2:S1934,1),"")</f>
        <v/>
      </c>
    </row>
    <row r="1935" customFormat="false" ht="15" hidden="false" customHeight="false" outlineLevel="0" collapsed="false">
      <c r="H1935" s="26"/>
      <c r="I1935" s="27" t="str">
        <f aca="false">IF(A1935="","",IF(H1935&lt;&gt;"",UPPER(TRIM(H1935)),IFERROR(CHOOSE(VALUE(E1935)+1,"A","B","C","D"),IF(OR(LEFT(UPPER(TRIM(E1935)),1)="F",UPPER(TRIM(E1935))="A"),"A",IF(OR(LEFT(UPPER(TRIM(E1935)),1)="M",UPPER(TRIM(E1935))="B"),"B",IF(OR(LEFT(UPPER(TRIM(E1935)),2)="SL",UPPER(TRIM(E1935))="C"),"C",IF(OR(LEFT(UPPER(TRIM(E1935)),1)="D",UPPER(TRIM(E1935))="D"),"D","")))))))</f>
        <v/>
      </c>
      <c r="J1935" s="27" t="str">
        <f aca="false">IF(I1935="","",IF(AND(I1935="D",Settings!$B$6&lt;&gt;"Yes"),"",IFERROR(INDEX(Settings!$C$9:$C$12,MATCH(I1935,Settings!$A$9:$A$12,0)),"")))</f>
        <v/>
      </c>
      <c r="K1935" s="27" t="str">
        <f aca="false">IF(J1935="","",COUNTIF($I$2:I1935,I1935))</f>
        <v/>
      </c>
      <c r="L1935" s="27" t="str">
        <f aca="false">IF(J1935="","",CHOOSE(Q1935+1,"Tue","Wed","Thu","Fri"))</f>
        <v/>
      </c>
      <c r="M1935" s="27" t="str">
        <f aca="false">IF(J1935="","",IF(J1935=1,"Every week",R1935+1&amp;" of "&amp;J1935))</f>
        <v/>
      </c>
      <c r="N1935" s="28" t="str">
        <f aca="false">IF(J1935="","",Settings!$B$4+R1935*7+Q1935)</f>
        <v/>
      </c>
      <c r="O1935" s="28" t="str">
        <f aca="true">IF(J1935="","",N1935+MAX(0,ROUNDUP((TODAY()-N1935)/(J1935*7),0))*J1935*7)</f>
        <v/>
      </c>
      <c r="P1935" s="27" t="str">
        <f aca="false">IF(J1935="","",MOD(K1935-1,J1935*4))</f>
        <v/>
      </c>
      <c r="Q1935" s="27" t="str">
        <f aca="false">IF(J1935="","",MOD(P1935,4))</f>
        <v/>
      </c>
      <c r="R1935" s="27" t="str">
        <f aca="false">IF(J1935="","",INT(P1935/4))</f>
        <v/>
      </c>
      <c r="S1935" s="27" t="str">
        <f aca="false">IF(J1935="","",IF(AND('Daily Count Sheet'!$H$3=Q1935,MOD('Daily Count Sheet'!$I$3,J1935)=R1935),1,""))</f>
        <v/>
      </c>
      <c r="T1935" s="27" t="str">
        <f aca="false">IF(S1935=1,COUNTIF($S$2:S1935,1),"")</f>
        <v/>
      </c>
    </row>
    <row r="1936" customFormat="false" ht="15" hidden="false" customHeight="false" outlineLevel="0" collapsed="false">
      <c r="H1936" s="26"/>
      <c r="I1936" s="27" t="str">
        <f aca="false">IF(A1936="","",IF(H1936&lt;&gt;"",UPPER(TRIM(H1936)),IFERROR(CHOOSE(VALUE(E1936)+1,"A","B","C","D"),IF(OR(LEFT(UPPER(TRIM(E1936)),1)="F",UPPER(TRIM(E1936))="A"),"A",IF(OR(LEFT(UPPER(TRIM(E1936)),1)="M",UPPER(TRIM(E1936))="B"),"B",IF(OR(LEFT(UPPER(TRIM(E1936)),2)="SL",UPPER(TRIM(E1936))="C"),"C",IF(OR(LEFT(UPPER(TRIM(E1936)),1)="D",UPPER(TRIM(E1936))="D"),"D","")))))))</f>
        <v/>
      </c>
      <c r="J1936" s="27" t="str">
        <f aca="false">IF(I1936="","",IF(AND(I1936="D",Settings!$B$6&lt;&gt;"Yes"),"",IFERROR(INDEX(Settings!$C$9:$C$12,MATCH(I1936,Settings!$A$9:$A$12,0)),"")))</f>
        <v/>
      </c>
      <c r="K1936" s="27" t="str">
        <f aca="false">IF(J1936="","",COUNTIF($I$2:I1936,I1936))</f>
        <v/>
      </c>
      <c r="L1936" s="27" t="str">
        <f aca="false">IF(J1936="","",CHOOSE(Q1936+1,"Tue","Wed","Thu","Fri"))</f>
        <v/>
      </c>
      <c r="M1936" s="27" t="str">
        <f aca="false">IF(J1936="","",IF(J1936=1,"Every week",R1936+1&amp;" of "&amp;J1936))</f>
        <v/>
      </c>
      <c r="N1936" s="28" t="str">
        <f aca="false">IF(J1936="","",Settings!$B$4+R1936*7+Q1936)</f>
        <v/>
      </c>
      <c r="O1936" s="28" t="str">
        <f aca="true">IF(J1936="","",N1936+MAX(0,ROUNDUP((TODAY()-N1936)/(J1936*7),0))*J1936*7)</f>
        <v/>
      </c>
      <c r="P1936" s="27" t="str">
        <f aca="false">IF(J1936="","",MOD(K1936-1,J1936*4))</f>
        <v/>
      </c>
      <c r="Q1936" s="27" t="str">
        <f aca="false">IF(J1936="","",MOD(P1936,4))</f>
        <v/>
      </c>
      <c r="R1936" s="27" t="str">
        <f aca="false">IF(J1936="","",INT(P1936/4))</f>
        <v/>
      </c>
      <c r="S1936" s="27" t="str">
        <f aca="false">IF(J1936="","",IF(AND('Daily Count Sheet'!$H$3=Q1936,MOD('Daily Count Sheet'!$I$3,J1936)=R1936),1,""))</f>
        <v/>
      </c>
      <c r="T1936" s="27" t="str">
        <f aca="false">IF(S1936=1,COUNTIF($S$2:S1936,1),"")</f>
        <v/>
      </c>
    </row>
    <row r="1937" customFormat="false" ht="15" hidden="false" customHeight="false" outlineLevel="0" collapsed="false">
      <c r="H1937" s="26"/>
      <c r="I1937" s="27" t="str">
        <f aca="false">IF(A1937="","",IF(H1937&lt;&gt;"",UPPER(TRIM(H1937)),IFERROR(CHOOSE(VALUE(E1937)+1,"A","B","C","D"),IF(OR(LEFT(UPPER(TRIM(E1937)),1)="F",UPPER(TRIM(E1937))="A"),"A",IF(OR(LEFT(UPPER(TRIM(E1937)),1)="M",UPPER(TRIM(E1937))="B"),"B",IF(OR(LEFT(UPPER(TRIM(E1937)),2)="SL",UPPER(TRIM(E1937))="C"),"C",IF(OR(LEFT(UPPER(TRIM(E1937)),1)="D",UPPER(TRIM(E1937))="D"),"D","")))))))</f>
        <v/>
      </c>
      <c r="J1937" s="27" t="str">
        <f aca="false">IF(I1937="","",IF(AND(I1937="D",Settings!$B$6&lt;&gt;"Yes"),"",IFERROR(INDEX(Settings!$C$9:$C$12,MATCH(I1937,Settings!$A$9:$A$12,0)),"")))</f>
        <v/>
      </c>
      <c r="K1937" s="27" t="str">
        <f aca="false">IF(J1937="","",COUNTIF($I$2:I1937,I1937))</f>
        <v/>
      </c>
      <c r="L1937" s="27" t="str">
        <f aca="false">IF(J1937="","",CHOOSE(Q1937+1,"Tue","Wed","Thu","Fri"))</f>
        <v/>
      </c>
      <c r="M1937" s="27" t="str">
        <f aca="false">IF(J1937="","",IF(J1937=1,"Every week",R1937+1&amp;" of "&amp;J1937))</f>
        <v/>
      </c>
      <c r="N1937" s="28" t="str">
        <f aca="false">IF(J1937="","",Settings!$B$4+R1937*7+Q1937)</f>
        <v/>
      </c>
      <c r="O1937" s="28" t="str">
        <f aca="true">IF(J1937="","",N1937+MAX(0,ROUNDUP((TODAY()-N1937)/(J1937*7),0))*J1937*7)</f>
        <v/>
      </c>
      <c r="P1937" s="27" t="str">
        <f aca="false">IF(J1937="","",MOD(K1937-1,J1937*4))</f>
        <v/>
      </c>
      <c r="Q1937" s="27" t="str">
        <f aca="false">IF(J1937="","",MOD(P1937,4))</f>
        <v/>
      </c>
      <c r="R1937" s="27" t="str">
        <f aca="false">IF(J1937="","",INT(P1937/4))</f>
        <v/>
      </c>
      <c r="S1937" s="27" t="str">
        <f aca="false">IF(J1937="","",IF(AND('Daily Count Sheet'!$H$3=Q1937,MOD('Daily Count Sheet'!$I$3,J1937)=R1937),1,""))</f>
        <v/>
      </c>
      <c r="T1937" s="27" t="str">
        <f aca="false">IF(S1937=1,COUNTIF($S$2:S1937,1),"")</f>
        <v/>
      </c>
    </row>
    <row r="1938" customFormat="false" ht="15" hidden="false" customHeight="false" outlineLevel="0" collapsed="false">
      <c r="H1938" s="26"/>
      <c r="I1938" s="27" t="str">
        <f aca="false">IF(A1938="","",IF(H1938&lt;&gt;"",UPPER(TRIM(H1938)),IFERROR(CHOOSE(VALUE(E1938)+1,"A","B","C","D"),IF(OR(LEFT(UPPER(TRIM(E1938)),1)="F",UPPER(TRIM(E1938))="A"),"A",IF(OR(LEFT(UPPER(TRIM(E1938)),1)="M",UPPER(TRIM(E1938))="B"),"B",IF(OR(LEFT(UPPER(TRIM(E1938)),2)="SL",UPPER(TRIM(E1938))="C"),"C",IF(OR(LEFT(UPPER(TRIM(E1938)),1)="D",UPPER(TRIM(E1938))="D"),"D","")))))))</f>
        <v/>
      </c>
      <c r="J1938" s="27" t="str">
        <f aca="false">IF(I1938="","",IF(AND(I1938="D",Settings!$B$6&lt;&gt;"Yes"),"",IFERROR(INDEX(Settings!$C$9:$C$12,MATCH(I1938,Settings!$A$9:$A$12,0)),"")))</f>
        <v/>
      </c>
      <c r="K1938" s="27" t="str">
        <f aca="false">IF(J1938="","",COUNTIF($I$2:I1938,I1938))</f>
        <v/>
      </c>
      <c r="L1938" s="27" t="str">
        <f aca="false">IF(J1938="","",CHOOSE(Q1938+1,"Tue","Wed","Thu","Fri"))</f>
        <v/>
      </c>
      <c r="M1938" s="27" t="str">
        <f aca="false">IF(J1938="","",IF(J1938=1,"Every week",R1938+1&amp;" of "&amp;J1938))</f>
        <v/>
      </c>
      <c r="N1938" s="28" t="str">
        <f aca="false">IF(J1938="","",Settings!$B$4+R1938*7+Q1938)</f>
        <v/>
      </c>
      <c r="O1938" s="28" t="str">
        <f aca="true">IF(J1938="","",N1938+MAX(0,ROUNDUP((TODAY()-N1938)/(J1938*7),0))*J1938*7)</f>
        <v/>
      </c>
      <c r="P1938" s="27" t="str">
        <f aca="false">IF(J1938="","",MOD(K1938-1,J1938*4))</f>
        <v/>
      </c>
      <c r="Q1938" s="27" t="str">
        <f aca="false">IF(J1938="","",MOD(P1938,4))</f>
        <v/>
      </c>
      <c r="R1938" s="27" t="str">
        <f aca="false">IF(J1938="","",INT(P1938/4))</f>
        <v/>
      </c>
      <c r="S1938" s="27" t="str">
        <f aca="false">IF(J1938="","",IF(AND('Daily Count Sheet'!$H$3=Q1938,MOD('Daily Count Sheet'!$I$3,J1938)=R1938),1,""))</f>
        <v/>
      </c>
      <c r="T1938" s="27" t="str">
        <f aca="false">IF(S1938=1,COUNTIF($S$2:S1938,1),"")</f>
        <v/>
      </c>
    </row>
    <row r="1939" customFormat="false" ht="15" hidden="false" customHeight="false" outlineLevel="0" collapsed="false">
      <c r="H1939" s="26"/>
      <c r="I1939" s="27" t="str">
        <f aca="false">IF(A1939="","",IF(H1939&lt;&gt;"",UPPER(TRIM(H1939)),IFERROR(CHOOSE(VALUE(E1939)+1,"A","B","C","D"),IF(OR(LEFT(UPPER(TRIM(E1939)),1)="F",UPPER(TRIM(E1939))="A"),"A",IF(OR(LEFT(UPPER(TRIM(E1939)),1)="M",UPPER(TRIM(E1939))="B"),"B",IF(OR(LEFT(UPPER(TRIM(E1939)),2)="SL",UPPER(TRIM(E1939))="C"),"C",IF(OR(LEFT(UPPER(TRIM(E1939)),1)="D",UPPER(TRIM(E1939))="D"),"D","")))))))</f>
        <v/>
      </c>
      <c r="J1939" s="27" t="str">
        <f aca="false">IF(I1939="","",IF(AND(I1939="D",Settings!$B$6&lt;&gt;"Yes"),"",IFERROR(INDEX(Settings!$C$9:$C$12,MATCH(I1939,Settings!$A$9:$A$12,0)),"")))</f>
        <v/>
      </c>
      <c r="K1939" s="27" t="str">
        <f aca="false">IF(J1939="","",COUNTIF($I$2:I1939,I1939))</f>
        <v/>
      </c>
      <c r="L1939" s="27" t="str">
        <f aca="false">IF(J1939="","",CHOOSE(Q1939+1,"Tue","Wed","Thu","Fri"))</f>
        <v/>
      </c>
      <c r="M1939" s="27" t="str">
        <f aca="false">IF(J1939="","",IF(J1939=1,"Every week",R1939+1&amp;" of "&amp;J1939))</f>
        <v/>
      </c>
      <c r="N1939" s="28" t="str">
        <f aca="false">IF(J1939="","",Settings!$B$4+R1939*7+Q1939)</f>
        <v/>
      </c>
      <c r="O1939" s="28" t="str">
        <f aca="true">IF(J1939="","",N1939+MAX(0,ROUNDUP((TODAY()-N1939)/(J1939*7),0))*J1939*7)</f>
        <v/>
      </c>
      <c r="P1939" s="27" t="str">
        <f aca="false">IF(J1939="","",MOD(K1939-1,J1939*4))</f>
        <v/>
      </c>
      <c r="Q1939" s="27" t="str">
        <f aca="false">IF(J1939="","",MOD(P1939,4))</f>
        <v/>
      </c>
      <c r="R1939" s="27" t="str">
        <f aca="false">IF(J1939="","",INT(P1939/4))</f>
        <v/>
      </c>
      <c r="S1939" s="27" t="str">
        <f aca="false">IF(J1939="","",IF(AND('Daily Count Sheet'!$H$3=Q1939,MOD('Daily Count Sheet'!$I$3,J1939)=R1939),1,""))</f>
        <v/>
      </c>
      <c r="T1939" s="27" t="str">
        <f aca="false">IF(S1939=1,COUNTIF($S$2:S1939,1),"")</f>
        <v/>
      </c>
    </row>
    <row r="1940" customFormat="false" ht="15" hidden="false" customHeight="false" outlineLevel="0" collapsed="false">
      <c r="H1940" s="26"/>
      <c r="I1940" s="27" t="str">
        <f aca="false">IF(A1940="","",IF(H1940&lt;&gt;"",UPPER(TRIM(H1940)),IFERROR(CHOOSE(VALUE(E1940)+1,"A","B","C","D"),IF(OR(LEFT(UPPER(TRIM(E1940)),1)="F",UPPER(TRIM(E1940))="A"),"A",IF(OR(LEFT(UPPER(TRIM(E1940)),1)="M",UPPER(TRIM(E1940))="B"),"B",IF(OR(LEFT(UPPER(TRIM(E1940)),2)="SL",UPPER(TRIM(E1940))="C"),"C",IF(OR(LEFT(UPPER(TRIM(E1940)),1)="D",UPPER(TRIM(E1940))="D"),"D","")))))))</f>
        <v/>
      </c>
      <c r="J1940" s="27" t="str">
        <f aca="false">IF(I1940="","",IF(AND(I1940="D",Settings!$B$6&lt;&gt;"Yes"),"",IFERROR(INDEX(Settings!$C$9:$C$12,MATCH(I1940,Settings!$A$9:$A$12,0)),"")))</f>
        <v/>
      </c>
      <c r="K1940" s="27" t="str">
        <f aca="false">IF(J1940="","",COUNTIF($I$2:I1940,I1940))</f>
        <v/>
      </c>
      <c r="L1940" s="27" t="str">
        <f aca="false">IF(J1940="","",CHOOSE(Q1940+1,"Tue","Wed","Thu","Fri"))</f>
        <v/>
      </c>
      <c r="M1940" s="27" t="str">
        <f aca="false">IF(J1940="","",IF(J1940=1,"Every week",R1940+1&amp;" of "&amp;J1940))</f>
        <v/>
      </c>
      <c r="N1940" s="28" t="str">
        <f aca="false">IF(J1940="","",Settings!$B$4+R1940*7+Q1940)</f>
        <v/>
      </c>
      <c r="O1940" s="28" t="str">
        <f aca="true">IF(J1940="","",N1940+MAX(0,ROUNDUP((TODAY()-N1940)/(J1940*7),0))*J1940*7)</f>
        <v/>
      </c>
      <c r="P1940" s="27" t="str">
        <f aca="false">IF(J1940="","",MOD(K1940-1,J1940*4))</f>
        <v/>
      </c>
      <c r="Q1940" s="27" t="str">
        <f aca="false">IF(J1940="","",MOD(P1940,4))</f>
        <v/>
      </c>
      <c r="R1940" s="27" t="str">
        <f aca="false">IF(J1940="","",INT(P1940/4))</f>
        <v/>
      </c>
      <c r="S1940" s="27" t="str">
        <f aca="false">IF(J1940="","",IF(AND('Daily Count Sheet'!$H$3=Q1940,MOD('Daily Count Sheet'!$I$3,J1940)=R1940),1,""))</f>
        <v/>
      </c>
      <c r="T1940" s="27" t="str">
        <f aca="false">IF(S1940=1,COUNTIF($S$2:S1940,1),"")</f>
        <v/>
      </c>
    </row>
    <row r="1941" customFormat="false" ht="15" hidden="false" customHeight="false" outlineLevel="0" collapsed="false">
      <c r="H1941" s="26"/>
      <c r="I1941" s="27" t="str">
        <f aca="false">IF(A1941="","",IF(H1941&lt;&gt;"",UPPER(TRIM(H1941)),IFERROR(CHOOSE(VALUE(E1941)+1,"A","B","C","D"),IF(OR(LEFT(UPPER(TRIM(E1941)),1)="F",UPPER(TRIM(E1941))="A"),"A",IF(OR(LEFT(UPPER(TRIM(E1941)),1)="M",UPPER(TRIM(E1941))="B"),"B",IF(OR(LEFT(UPPER(TRIM(E1941)),2)="SL",UPPER(TRIM(E1941))="C"),"C",IF(OR(LEFT(UPPER(TRIM(E1941)),1)="D",UPPER(TRIM(E1941))="D"),"D","")))))))</f>
        <v/>
      </c>
      <c r="J1941" s="27" t="str">
        <f aca="false">IF(I1941="","",IF(AND(I1941="D",Settings!$B$6&lt;&gt;"Yes"),"",IFERROR(INDEX(Settings!$C$9:$C$12,MATCH(I1941,Settings!$A$9:$A$12,0)),"")))</f>
        <v/>
      </c>
      <c r="K1941" s="27" t="str">
        <f aca="false">IF(J1941="","",COUNTIF($I$2:I1941,I1941))</f>
        <v/>
      </c>
      <c r="L1941" s="27" t="str">
        <f aca="false">IF(J1941="","",CHOOSE(Q1941+1,"Tue","Wed","Thu","Fri"))</f>
        <v/>
      </c>
      <c r="M1941" s="27" t="str">
        <f aca="false">IF(J1941="","",IF(J1941=1,"Every week",R1941+1&amp;" of "&amp;J1941))</f>
        <v/>
      </c>
      <c r="N1941" s="28" t="str">
        <f aca="false">IF(J1941="","",Settings!$B$4+R1941*7+Q1941)</f>
        <v/>
      </c>
      <c r="O1941" s="28" t="str">
        <f aca="true">IF(J1941="","",N1941+MAX(0,ROUNDUP((TODAY()-N1941)/(J1941*7),0))*J1941*7)</f>
        <v/>
      </c>
      <c r="P1941" s="27" t="str">
        <f aca="false">IF(J1941="","",MOD(K1941-1,J1941*4))</f>
        <v/>
      </c>
      <c r="Q1941" s="27" t="str">
        <f aca="false">IF(J1941="","",MOD(P1941,4))</f>
        <v/>
      </c>
      <c r="R1941" s="27" t="str">
        <f aca="false">IF(J1941="","",INT(P1941/4))</f>
        <v/>
      </c>
      <c r="S1941" s="27" t="str">
        <f aca="false">IF(J1941="","",IF(AND('Daily Count Sheet'!$H$3=Q1941,MOD('Daily Count Sheet'!$I$3,J1941)=R1941),1,""))</f>
        <v/>
      </c>
      <c r="T1941" s="27" t="str">
        <f aca="false">IF(S1941=1,COUNTIF($S$2:S1941,1),"")</f>
        <v/>
      </c>
    </row>
    <row r="1942" customFormat="false" ht="15" hidden="false" customHeight="false" outlineLevel="0" collapsed="false">
      <c r="H1942" s="26"/>
      <c r="I1942" s="27" t="str">
        <f aca="false">IF(A1942="","",IF(H1942&lt;&gt;"",UPPER(TRIM(H1942)),IFERROR(CHOOSE(VALUE(E1942)+1,"A","B","C","D"),IF(OR(LEFT(UPPER(TRIM(E1942)),1)="F",UPPER(TRIM(E1942))="A"),"A",IF(OR(LEFT(UPPER(TRIM(E1942)),1)="M",UPPER(TRIM(E1942))="B"),"B",IF(OR(LEFT(UPPER(TRIM(E1942)),2)="SL",UPPER(TRIM(E1942))="C"),"C",IF(OR(LEFT(UPPER(TRIM(E1942)),1)="D",UPPER(TRIM(E1942))="D"),"D","")))))))</f>
        <v/>
      </c>
      <c r="J1942" s="27" t="str">
        <f aca="false">IF(I1942="","",IF(AND(I1942="D",Settings!$B$6&lt;&gt;"Yes"),"",IFERROR(INDEX(Settings!$C$9:$C$12,MATCH(I1942,Settings!$A$9:$A$12,0)),"")))</f>
        <v/>
      </c>
      <c r="K1942" s="27" t="str">
        <f aca="false">IF(J1942="","",COUNTIF($I$2:I1942,I1942))</f>
        <v/>
      </c>
      <c r="L1942" s="27" t="str">
        <f aca="false">IF(J1942="","",CHOOSE(Q1942+1,"Tue","Wed","Thu","Fri"))</f>
        <v/>
      </c>
      <c r="M1942" s="27" t="str">
        <f aca="false">IF(J1942="","",IF(J1942=1,"Every week",R1942+1&amp;" of "&amp;J1942))</f>
        <v/>
      </c>
      <c r="N1942" s="28" t="str">
        <f aca="false">IF(J1942="","",Settings!$B$4+R1942*7+Q1942)</f>
        <v/>
      </c>
      <c r="O1942" s="28" t="str">
        <f aca="true">IF(J1942="","",N1942+MAX(0,ROUNDUP((TODAY()-N1942)/(J1942*7),0))*J1942*7)</f>
        <v/>
      </c>
      <c r="P1942" s="27" t="str">
        <f aca="false">IF(J1942="","",MOD(K1942-1,J1942*4))</f>
        <v/>
      </c>
      <c r="Q1942" s="27" t="str">
        <f aca="false">IF(J1942="","",MOD(P1942,4))</f>
        <v/>
      </c>
      <c r="R1942" s="27" t="str">
        <f aca="false">IF(J1942="","",INT(P1942/4))</f>
        <v/>
      </c>
      <c r="S1942" s="27" t="str">
        <f aca="false">IF(J1942="","",IF(AND('Daily Count Sheet'!$H$3=Q1942,MOD('Daily Count Sheet'!$I$3,J1942)=R1942),1,""))</f>
        <v/>
      </c>
      <c r="T1942" s="27" t="str">
        <f aca="false">IF(S1942=1,COUNTIF($S$2:S1942,1),"")</f>
        <v/>
      </c>
    </row>
    <row r="1943" customFormat="false" ht="15" hidden="false" customHeight="false" outlineLevel="0" collapsed="false">
      <c r="H1943" s="26"/>
      <c r="I1943" s="27" t="str">
        <f aca="false">IF(A1943="","",IF(H1943&lt;&gt;"",UPPER(TRIM(H1943)),IFERROR(CHOOSE(VALUE(E1943)+1,"A","B","C","D"),IF(OR(LEFT(UPPER(TRIM(E1943)),1)="F",UPPER(TRIM(E1943))="A"),"A",IF(OR(LEFT(UPPER(TRIM(E1943)),1)="M",UPPER(TRIM(E1943))="B"),"B",IF(OR(LEFT(UPPER(TRIM(E1943)),2)="SL",UPPER(TRIM(E1943))="C"),"C",IF(OR(LEFT(UPPER(TRIM(E1943)),1)="D",UPPER(TRIM(E1943))="D"),"D","")))))))</f>
        <v/>
      </c>
      <c r="J1943" s="27" t="str">
        <f aca="false">IF(I1943="","",IF(AND(I1943="D",Settings!$B$6&lt;&gt;"Yes"),"",IFERROR(INDEX(Settings!$C$9:$C$12,MATCH(I1943,Settings!$A$9:$A$12,0)),"")))</f>
        <v/>
      </c>
      <c r="K1943" s="27" t="str">
        <f aca="false">IF(J1943="","",COUNTIF($I$2:I1943,I1943))</f>
        <v/>
      </c>
      <c r="L1943" s="27" t="str">
        <f aca="false">IF(J1943="","",CHOOSE(Q1943+1,"Tue","Wed","Thu","Fri"))</f>
        <v/>
      </c>
      <c r="M1943" s="27" t="str">
        <f aca="false">IF(J1943="","",IF(J1943=1,"Every week",R1943+1&amp;" of "&amp;J1943))</f>
        <v/>
      </c>
      <c r="N1943" s="28" t="str">
        <f aca="false">IF(J1943="","",Settings!$B$4+R1943*7+Q1943)</f>
        <v/>
      </c>
      <c r="O1943" s="28" t="str">
        <f aca="true">IF(J1943="","",N1943+MAX(0,ROUNDUP((TODAY()-N1943)/(J1943*7),0))*J1943*7)</f>
        <v/>
      </c>
      <c r="P1943" s="27" t="str">
        <f aca="false">IF(J1943="","",MOD(K1943-1,J1943*4))</f>
        <v/>
      </c>
      <c r="Q1943" s="27" t="str">
        <f aca="false">IF(J1943="","",MOD(P1943,4))</f>
        <v/>
      </c>
      <c r="R1943" s="27" t="str">
        <f aca="false">IF(J1943="","",INT(P1943/4))</f>
        <v/>
      </c>
      <c r="S1943" s="27" t="str">
        <f aca="false">IF(J1943="","",IF(AND('Daily Count Sheet'!$H$3=Q1943,MOD('Daily Count Sheet'!$I$3,J1943)=R1943),1,""))</f>
        <v/>
      </c>
      <c r="T1943" s="27" t="str">
        <f aca="false">IF(S1943=1,COUNTIF($S$2:S1943,1),"")</f>
        <v/>
      </c>
    </row>
    <row r="1944" customFormat="false" ht="15" hidden="false" customHeight="false" outlineLevel="0" collapsed="false">
      <c r="H1944" s="26"/>
      <c r="I1944" s="27" t="str">
        <f aca="false">IF(A1944="","",IF(H1944&lt;&gt;"",UPPER(TRIM(H1944)),IFERROR(CHOOSE(VALUE(E1944)+1,"A","B","C","D"),IF(OR(LEFT(UPPER(TRIM(E1944)),1)="F",UPPER(TRIM(E1944))="A"),"A",IF(OR(LEFT(UPPER(TRIM(E1944)),1)="M",UPPER(TRIM(E1944))="B"),"B",IF(OR(LEFT(UPPER(TRIM(E1944)),2)="SL",UPPER(TRIM(E1944))="C"),"C",IF(OR(LEFT(UPPER(TRIM(E1944)),1)="D",UPPER(TRIM(E1944))="D"),"D","")))))))</f>
        <v/>
      </c>
      <c r="J1944" s="27" t="str">
        <f aca="false">IF(I1944="","",IF(AND(I1944="D",Settings!$B$6&lt;&gt;"Yes"),"",IFERROR(INDEX(Settings!$C$9:$C$12,MATCH(I1944,Settings!$A$9:$A$12,0)),"")))</f>
        <v/>
      </c>
      <c r="K1944" s="27" t="str">
        <f aca="false">IF(J1944="","",COUNTIF($I$2:I1944,I1944))</f>
        <v/>
      </c>
      <c r="L1944" s="27" t="str">
        <f aca="false">IF(J1944="","",CHOOSE(Q1944+1,"Tue","Wed","Thu","Fri"))</f>
        <v/>
      </c>
      <c r="M1944" s="27" t="str">
        <f aca="false">IF(J1944="","",IF(J1944=1,"Every week",R1944+1&amp;" of "&amp;J1944))</f>
        <v/>
      </c>
      <c r="N1944" s="28" t="str">
        <f aca="false">IF(J1944="","",Settings!$B$4+R1944*7+Q1944)</f>
        <v/>
      </c>
      <c r="O1944" s="28" t="str">
        <f aca="true">IF(J1944="","",N1944+MAX(0,ROUNDUP((TODAY()-N1944)/(J1944*7),0))*J1944*7)</f>
        <v/>
      </c>
      <c r="P1944" s="27" t="str">
        <f aca="false">IF(J1944="","",MOD(K1944-1,J1944*4))</f>
        <v/>
      </c>
      <c r="Q1944" s="27" t="str">
        <f aca="false">IF(J1944="","",MOD(P1944,4))</f>
        <v/>
      </c>
      <c r="R1944" s="27" t="str">
        <f aca="false">IF(J1944="","",INT(P1944/4))</f>
        <v/>
      </c>
      <c r="S1944" s="27" t="str">
        <f aca="false">IF(J1944="","",IF(AND('Daily Count Sheet'!$H$3=Q1944,MOD('Daily Count Sheet'!$I$3,J1944)=R1944),1,""))</f>
        <v/>
      </c>
      <c r="T1944" s="27" t="str">
        <f aca="false">IF(S1944=1,COUNTIF($S$2:S1944,1),"")</f>
        <v/>
      </c>
    </row>
    <row r="1945" customFormat="false" ht="15" hidden="false" customHeight="false" outlineLevel="0" collapsed="false">
      <c r="H1945" s="26"/>
      <c r="I1945" s="27" t="str">
        <f aca="false">IF(A1945="","",IF(H1945&lt;&gt;"",UPPER(TRIM(H1945)),IFERROR(CHOOSE(VALUE(E1945)+1,"A","B","C","D"),IF(OR(LEFT(UPPER(TRIM(E1945)),1)="F",UPPER(TRIM(E1945))="A"),"A",IF(OR(LEFT(UPPER(TRIM(E1945)),1)="M",UPPER(TRIM(E1945))="B"),"B",IF(OR(LEFT(UPPER(TRIM(E1945)),2)="SL",UPPER(TRIM(E1945))="C"),"C",IF(OR(LEFT(UPPER(TRIM(E1945)),1)="D",UPPER(TRIM(E1945))="D"),"D","")))))))</f>
        <v/>
      </c>
      <c r="J1945" s="27" t="str">
        <f aca="false">IF(I1945="","",IF(AND(I1945="D",Settings!$B$6&lt;&gt;"Yes"),"",IFERROR(INDEX(Settings!$C$9:$C$12,MATCH(I1945,Settings!$A$9:$A$12,0)),"")))</f>
        <v/>
      </c>
      <c r="K1945" s="27" t="str">
        <f aca="false">IF(J1945="","",COUNTIF($I$2:I1945,I1945))</f>
        <v/>
      </c>
      <c r="L1945" s="27" t="str">
        <f aca="false">IF(J1945="","",CHOOSE(Q1945+1,"Tue","Wed","Thu","Fri"))</f>
        <v/>
      </c>
      <c r="M1945" s="27" t="str">
        <f aca="false">IF(J1945="","",IF(J1945=1,"Every week",R1945+1&amp;" of "&amp;J1945))</f>
        <v/>
      </c>
      <c r="N1945" s="28" t="str">
        <f aca="false">IF(J1945="","",Settings!$B$4+R1945*7+Q1945)</f>
        <v/>
      </c>
      <c r="O1945" s="28" t="str">
        <f aca="true">IF(J1945="","",N1945+MAX(0,ROUNDUP((TODAY()-N1945)/(J1945*7),0))*J1945*7)</f>
        <v/>
      </c>
      <c r="P1945" s="27" t="str">
        <f aca="false">IF(J1945="","",MOD(K1945-1,J1945*4))</f>
        <v/>
      </c>
      <c r="Q1945" s="27" t="str">
        <f aca="false">IF(J1945="","",MOD(P1945,4))</f>
        <v/>
      </c>
      <c r="R1945" s="27" t="str">
        <f aca="false">IF(J1945="","",INT(P1945/4))</f>
        <v/>
      </c>
      <c r="S1945" s="27" t="str">
        <f aca="false">IF(J1945="","",IF(AND('Daily Count Sheet'!$H$3=Q1945,MOD('Daily Count Sheet'!$I$3,J1945)=R1945),1,""))</f>
        <v/>
      </c>
      <c r="T1945" s="27" t="str">
        <f aca="false">IF(S1945=1,COUNTIF($S$2:S1945,1),"")</f>
        <v/>
      </c>
    </row>
    <row r="1946" customFormat="false" ht="15" hidden="false" customHeight="false" outlineLevel="0" collapsed="false">
      <c r="H1946" s="26"/>
      <c r="I1946" s="27" t="str">
        <f aca="false">IF(A1946="","",IF(H1946&lt;&gt;"",UPPER(TRIM(H1946)),IFERROR(CHOOSE(VALUE(E1946)+1,"A","B","C","D"),IF(OR(LEFT(UPPER(TRIM(E1946)),1)="F",UPPER(TRIM(E1946))="A"),"A",IF(OR(LEFT(UPPER(TRIM(E1946)),1)="M",UPPER(TRIM(E1946))="B"),"B",IF(OR(LEFT(UPPER(TRIM(E1946)),2)="SL",UPPER(TRIM(E1946))="C"),"C",IF(OR(LEFT(UPPER(TRIM(E1946)),1)="D",UPPER(TRIM(E1946))="D"),"D","")))))))</f>
        <v/>
      </c>
      <c r="J1946" s="27" t="str">
        <f aca="false">IF(I1946="","",IF(AND(I1946="D",Settings!$B$6&lt;&gt;"Yes"),"",IFERROR(INDEX(Settings!$C$9:$C$12,MATCH(I1946,Settings!$A$9:$A$12,0)),"")))</f>
        <v/>
      </c>
      <c r="K1946" s="27" t="str">
        <f aca="false">IF(J1946="","",COUNTIF($I$2:I1946,I1946))</f>
        <v/>
      </c>
      <c r="L1946" s="27" t="str">
        <f aca="false">IF(J1946="","",CHOOSE(Q1946+1,"Tue","Wed","Thu","Fri"))</f>
        <v/>
      </c>
      <c r="M1946" s="27" t="str">
        <f aca="false">IF(J1946="","",IF(J1946=1,"Every week",R1946+1&amp;" of "&amp;J1946))</f>
        <v/>
      </c>
      <c r="N1946" s="28" t="str">
        <f aca="false">IF(J1946="","",Settings!$B$4+R1946*7+Q1946)</f>
        <v/>
      </c>
      <c r="O1946" s="28" t="str">
        <f aca="true">IF(J1946="","",N1946+MAX(0,ROUNDUP((TODAY()-N1946)/(J1946*7),0))*J1946*7)</f>
        <v/>
      </c>
      <c r="P1946" s="27" t="str">
        <f aca="false">IF(J1946="","",MOD(K1946-1,J1946*4))</f>
        <v/>
      </c>
      <c r="Q1946" s="27" t="str">
        <f aca="false">IF(J1946="","",MOD(P1946,4))</f>
        <v/>
      </c>
      <c r="R1946" s="27" t="str">
        <f aca="false">IF(J1946="","",INT(P1946/4))</f>
        <v/>
      </c>
      <c r="S1946" s="27" t="str">
        <f aca="false">IF(J1946="","",IF(AND('Daily Count Sheet'!$H$3=Q1946,MOD('Daily Count Sheet'!$I$3,J1946)=R1946),1,""))</f>
        <v/>
      </c>
      <c r="T1946" s="27" t="str">
        <f aca="false">IF(S1946=1,COUNTIF($S$2:S1946,1),"")</f>
        <v/>
      </c>
    </row>
    <row r="1947" customFormat="false" ht="15" hidden="false" customHeight="false" outlineLevel="0" collapsed="false">
      <c r="H1947" s="26"/>
      <c r="I1947" s="27" t="str">
        <f aca="false">IF(A1947="","",IF(H1947&lt;&gt;"",UPPER(TRIM(H1947)),IFERROR(CHOOSE(VALUE(E1947)+1,"A","B","C","D"),IF(OR(LEFT(UPPER(TRIM(E1947)),1)="F",UPPER(TRIM(E1947))="A"),"A",IF(OR(LEFT(UPPER(TRIM(E1947)),1)="M",UPPER(TRIM(E1947))="B"),"B",IF(OR(LEFT(UPPER(TRIM(E1947)),2)="SL",UPPER(TRIM(E1947))="C"),"C",IF(OR(LEFT(UPPER(TRIM(E1947)),1)="D",UPPER(TRIM(E1947))="D"),"D","")))))))</f>
        <v/>
      </c>
      <c r="J1947" s="27" t="str">
        <f aca="false">IF(I1947="","",IF(AND(I1947="D",Settings!$B$6&lt;&gt;"Yes"),"",IFERROR(INDEX(Settings!$C$9:$C$12,MATCH(I1947,Settings!$A$9:$A$12,0)),"")))</f>
        <v/>
      </c>
      <c r="K1947" s="27" t="str">
        <f aca="false">IF(J1947="","",COUNTIF($I$2:I1947,I1947))</f>
        <v/>
      </c>
      <c r="L1947" s="27" t="str">
        <f aca="false">IF(J1947="","",CHOOSE(Q1947+1,"Tue","Wed","Thu","Fri"))</f>
        <v/>
      </c>
      <c r="M1947" s="27" t="str">
        <f aca="false">IF(J1947="","",IF(J1947=1,"Every week",R1947+1&amp;" of "&amp;J1947))</f>
        <v/>
      </c>
      <c r="N1947" s="28" t="str">
        <f aca="false">IF(J1947="","",Settings!$B$4+R1947*7+Q1947)</f>
        <v/>
      </c>
      <c r="O1947" s="28" t="str">
        <f aca="true">IF(J1947="","",N1947+MAX(0,ROUNDUP((TODAY()-N1947)/(J1947*7),0))*J1947*7)</f>
        <v/>
      </c>
      <c r="P1947" s="27" t="str">
        <f aca="false">IF(J1947="","",MOD(K1947-1,J1947*4))</f>
        <v/>
      </c>
      <c r="Q1947" s="27" t="str">
        <f aca="false">IF(J1947="","",MOD(P1947,4))</f>
        <v/>
      </c>
      <c r="R1947" s="27" t="str">
        <f aca="false">IF(J1947="","",INT(P1947/4))</f>
        <v/>
      </c>
      <c r="S1947" s="27" t="str">
        <f aca="false">IF(J1947="","",IF(AND('Daily Count Sheet'!$H$3=Q1947,MOD('Daily Count Sheet'!$I$3,J1947)=R1947),1,""))</f>
        <v/>
      </c>
      <c r="T1947" s="27" t="str">
        <f aca="false">IF(S1947=1,COUNTIF($S$2:S1947,1),"")</f>
        <v/>
      </c>
    </row>
    <row r="1948" customFormat="false" ht="15" hidden="false" customHeight="false" outlineLevel="0" collapsed="false">
      <c r="H1948" s="26"/>
      <c r="I1948" s="27" t="str">
        <f aca="false">IF(A1948="","",IF(H1948&lt;&gt;"",UPPER(TRIM(H1948)),IFERROR(CHOOSE(VALUE(E1948)+1,"A","B","C","D"),IF(OR(LEFT(UPPER(TRIM(E1948)),1)="F",UPPER(TRIM(E1948))="A"),"A",IF(OR(LEFT(UPPER(TRIM(E1948)),1)="M",UPPER(TRIM(E1948))="B"),"B",IF(OR(LEFT(UPPER(TRIM(E1948)),2)="SL",UPPER(TRIM(E1948))="C"),"C",IF(OR(LEFT(UPPER(TRIM(E1948)),1)="D",UPPER(TRIM(E1948))="D"),"D","")))))))</f>
        <v/>
      </c>
      <c r="J1948" s="27" t="str">
        <f aca="false">IF(I1948="","",IF(AND(I1948="D",Settings!$B$6&lt;&gt;"Yes"),"",IFERROR(INDEX(Settings!$C$9:$C$12,MATCH(I1948,Settings!$A$9:$A$12,0)),"")))</f>
        <v/>
      </c>
      <c r="K1948" s="27" t="str">
        <f aca="false">IF(J1948="","",COUNTIF($I$2:I1948,I1948))</f>
        <v/>
      </c>
      <c r="L1948" s="27" t="str">
        <f aca="false">IF(J1948="","",CHOOSE(Q1948+1,"Tue","Wed","Thu","Fri"))</f>
        <v/>
      </c>
      <c r="M1948" s="27" t="str">
        <f aca="false">IF(J1948="","",IF(J1948=1,"Every week",R1948+1&amp;" of "&amp;J1948))</f>
        <v/>
      </c>
      <c r="N1948" s="28" t="str">
        <f aca="false">IF(J1948="","",Settings!$B$4+R1948*7+Q1948)</f>
        <v/>
      </c>
      <c r="O1948" s="28" t="str">
        <f aca="true">IF(J1948="","",N1948+MAX(0,ROUNDUP((TODAY()-N1948)/(J1948*7),0))*J1948*7)</f>
        <v/>
      </c>
      <c r="P1948" s="27" t="str">
        <f aca="false">IF(J1948="","",MOD(K1948-1,J1948*4))</f>
        <v/>
      </c>
      <c r="Q1948" s="27" t="str">
        <f aca="false">IF(J1948="","",MOD(P1948,4))</f>
        <v/>
      </c>
      <c r="R1948" s="27" t="str">
        <f aca="false">IF(J1948="","",INT(P1948/4))</f>
        <v/>
      </c>
      <c r="S1948" s="27" t="str">
        <f aca="false">IF(J1948="","",IF(AND('Daily Count Sheet'!$H$3=Q1948,MOD('Daily Count Sheet'!$I$3,J1948)=R1948),1,""))</f>
        <v/>
      </c>
      <c r="T1948" s="27" t="str">
        <f aca="false">IF(S1948=1,COUNTIF($S$2:S1948,1),"")</f>
        <v/>
      </c>
    </row>
    <row r="1949" customFormat="false" ht="15" hidden="false" customHeight="false" outlineLevel="0" collapsed="false">
      <c r="H1949" s="26"/>
      <c r="I1949" s="27" t="str">
        <f aca="false">IF(A1949="","",IF(H1949&lt;&gt;"",UPPER(TRIM(H1949)),IFERROR(CHOOSE(VALUE(E1949)+1,"A","B","C","D"),IF(OR(LEFT(UPPER(TRIM(E1949)),1)="F",UPPER(TRIM(E1949))="A"),"A",IF(OR(LEFT(UPPER(TRIM(E1949)),1)="M",UPPER(TRIM(E1949))="B"),"B",IF(OR(LEFT(UPPER(TRIM(E1949)),2)="SL",UPPER(TRIM(E1949))="C"),"C",IF(OR(LEFT(UPPER(TRIM(E1949)),1)="D",UPPER(TRIM(E1949))="D"),"D","")))))))</f>
        <v/>
      </c>
      <c r="J1949" s="27" t="str">
        <f aca="false">IF(I1949="","",IF(AND(I1949="D",Settings!$B$6&lt;&gt;"Yes"),"",IFERROR(INDEX(Settings!$C$9:$C$12,MATCH(I1949,Settings!$A$9:$A$12,0)),"")))</f>
        <v/>
      </c>
      <c r="K1949" s="27" t="str">
        <f aca="false">IF(J1949="","",COUNTIF($I$2:I1949,I1949))</f>
        <v/>
      </c>
      <c r="L1949" s="27" t="str">
        <f aca="false">IF(J1949="","",CHOOSE(Q1949+1,"Tue","Wed","Thu","Fri"))</f>
        <v/>
      </c>
      <c r="M1949" s="27" t="str">
        <f aca="false">IF(J1949="","",IF(J1949=1,"Every week",R1949+1&amp;" of "&amp;J1949))</f>
        <v/>
      </c>
      <c r="N1949" s="28" t="str">
        <f aca="false">IF(J1949="","",Settings!$B$4+R1949*7+Q1949)</f>
        <v/>
      </c>
      <c r="O1949" s="28" t="str">
        <f aca="true">IF(J1949="","",N1949+MAX(0,ROUNDUP((TODAY()-N1949)/(J1949*7),0))*J1949*7)</f>
        <v/>
      </c>
      <c r="P1949" s="27" t="str">
        <f aca="false">IF(J1949="","",MOD(K1949-1,J1949*4))</f>
        <v/>
      </c>
      <c r="Q1949" s="27" t="str">
        <f aca="false">IF(J1949="","",MOD(P1949,4))</f>
        <v/>
      </c>
      <c r="R1949" s="27" t="str">
        <f aca="false">IF(J1949="","",INT(P1949/4))</f>
        <v/>
      </c>
      <c r="S1949" s="27" t="str">
        <f aca="false">IF(J1949="","",IF(AND('Daily Count Sheet'!$H$3=Q1949,MOD('Daily Count Sheet'!$I$3,J1949)=R1949),1,""))</f>
        <v/>
      </c>
      <c r="T1949" s="27" t="str">
        <f aca="false">IF(S1949=1,COUNTIF($S$2:S1949,1),"")</f>
        <v/>
      </c>
    </row>
    <row r="1950" customFormat="false" ht="15" hidden="false" customHeight="false" outlineLevel="0" collapsed="false">
      <c r="H1950" s="26"/>
      <c r="I1950" s="27" t="str">
        <f aca="false">IF(A1950="","",IF(H1950&lt;&gt;"",UPPER(TRIM(H1950)),IFERROR(CHOOSE(VALUE(E1950)+1,"A","B","C","D"),IF(OR(LEFT(UPPER(TRIM(E1950)),1)="F",UPPER(TRIM(E1950))="A"),"A",IF(OR(LEFT(UPPER(TRIM(E1950)),1)="M",UPPER(TRIM(E1950))="B"),"B",IF(OR(LEFT(UPPER(TRIM(E1950)),2)="SL",UPPER(TRIM(E1950))="C"),"C",IF(OR(LEFT(UPPER(TRIM(E1950)),1)="D",UPPER(TRIM(E1950))="D"),"D","")))))))</f>
        <v/>
      </c>
      <c r="J1950" s="27" t="str">
        <f aca="false">IF(I1950="","",IF(AND(I1950="D",Settings!$B$6&lt;&gt;"Yes"),"",IFERROR(INDEX(Settings!$C$9:$C$12,MATCH(I1950,Settings!$A$9:$A$12,0)),"")))</f>
        <v/>
      </c>
      <c r="K1950" s="27" t="str">
        <f aca="false">IF(J1950="","",COUNTIF($I$2:I1950,I1950))</f>
        <v/>
      </c>
      <c r="L1950" s="27" t="str">
        <f aca="false">IF(J1950="","",CHOOSE(Q1950+1,"Tue","Wed","Thu","Fri"))</f>
        <v/>
      </c>
      <c r="M1950" s="27" t="str">
        <f aca="false">IF(J1950="","",IF(J1950=1,"Every week",R1950+1&amp;" of "&amp;J1950))</f>
        <v/>
      </c>
      <c r="N1950" s="28" t="str">
        <f aca="false">IF(J1950="","",Settings!$B$4+R1950*7+Q1950)</f>
        <v/>
      </c>
      <c r="O1950" s="28" t="str">
        <f aca="true">IF(J1950="","",N1950+MAX(0,ROUNDUP((TODAY()-N1950)/(J1950*7),0))*J1950*7)</f>
        <v/>
      </c>
      <c r="P1950" s="27" t="str">
        <f aca="false">IF(J1950="","",MOD(K1950-1,J1950*4))</f>
        <v/>
      </c>
      <c r="Q1950" s="27" t="str">
        <f aca="false">IF(J1950="","",MOD(P1950,4))</f>
        <v/>
      </c>
      <c r="R1950" s="27" t="str">
        <f aca="false">IF(J1950="","",INT(P1950/4))</f>
        <v/>
      </c>
      <c r="S1950" s="27" t="str">
        <f aca="false">IF(J1950="","",IF(AND('Daily Count Sheet'!$H$3=Q1950,MOD('Daily Count Sheet'!$I$3,J1950)=R1950),1,""))</f>
        <v/>
      </c>
      <c r="T1950" s="27" t="str">
        <f aca="false">IF(S1950=1,COUNTIF($S$2:S1950,1),"")</f>
        <v/>
      </c>
    </row>
    <row r="1951" customFormat="false" ht="15" hidden="false" customHeight="false" outlineLevel="0" collapsed="false">
      <c r="H1951" s="26"/>
      <c r="I1951" s="27" t="str">
        <f aca="false">IF(A1951="","",IF(H1951&lt;&gt;"",UPPER(TRIM(H1951)),IFERROR(CHOOSE(VALUE(E1951)+1,"A","B","C","D"),IF(OR(LEFT(UPPER(TRIM(E1951)),1)="F",UPPER(TRIM(E1951))="A"),"A",IF(OR(LEFT(UPPER(TRIM(E1951)),1)="M",UPPER(TRIM(E1951))="B"),"B",IF(OR(LEFT(UPPER(TRIM(E1951)),2)="SL",UPPER(TRIM(E1951))="C"),"C",IF(OR(LEFT(UPPER(TRIM(E1951)),1)="D",UPPER(TRIM(E1951))="D"),"D","")))))))</f>
        <v/>
      </c>
      <c r="J1951" s="27" t="str">
        <f aca="false">IF(I1951="","",IF(AND(I1951="D",Settings!$B$6&lt;&gt;"Yes"),"",IFERROR(INDEX(Settings!$C$9:$C$12,MATCH(I1951,Settings!$A$9:$A$12,0)),"")))</f>
        <v/>
      </c>
      <c r="K1951" s="27" t="str">
        <f aca="false">IF(J1951="","",COUNTIF($I$2:I1951,I1951))</f>
        <v/>
      </c>
      <c r="L1951" s="27" t="str">
        <f aca="false">IF(J1951="","",CHOOSE(Q1951+1,"Tue","Wed","Thu","Fri"))</f>
        <v/>
      </c>
      <c r="M1951" s="27" t="str">
        <f aca="false">IF(J1951="","",IF(J1951=1,"Every week",R1951+1&amp;" of "&amp;J1951))</f>
        <v/>
      </c>
      <c r="N1951" s="28" t="str">
        <f aca="false">IF(J1951="","",Settings!$B$4+R1951*7+Q1951)</f>
        <v/>
      </c>
      <c r="O1951" s="28" t="str">
        <f aca="true">IF(J1951="","",N1951+MAX(0,ROUNDUP((TODAY()-N1951)/(J1951*7),0))*J1951*7)</f>
        <v/>
      </c>
      <c r="P1951" s="27" t="str">
        <f aca="false">IF(J1951="","",MOD(K1951-1,J1951*4))</f>
        <v/>
      </c>
      <c r="Q1951" s="27" t="str">
        <f aca="false">IF(J1951="","",MOD(P1951,4))</f>
        <v/>
      </c>
      <c r="R1951" s="27" t="str">
        <f aca="false">IF(J1951="","",INT(P1951/4))</f>
        <v/>
      </c>
      <c r="S1951" s="27" t="str">
        <f aca="false">IF(J1951="","",IF(AND('Daily Count Sheet'!$H$3=Q1951,MOD('Daily Count Sheet'!$I$3,J1951)=R1951),1,""))</f>
        <v/>
      </c>
      <c r="T1951" s="27" t="str">
        <f aca="false">IF(S1951=1,COUNTIF($S$2:S1951,1),"")</f>
        <v/>
      </c>
    </row>
    <row r="1952" customFormat="false" ht="15" hidden="false" customHeight="false" outlineLevel="0" collapsed="false">
      <c r="H1952" s="26"/>
      <c r="I1952" s="27" t="str">
        <f aca="false">IF(A1952="","",IF(H1952&lt;&gt;"",UPPER(TRIM(H1952)),IFERROR(CHOOSE(VALUE(E1952)+1,"A","B","C","D"),IF(OR(LEFT(UPPER(TRIM(E1952)),1)="F",UPPER(TRIM(E1952))="A"),"A",IF(OR(LEFT(UPPER(TRIM(E1952)),1)="M",UPPER(TRIM(E1952))="B"),"B",IF(OR(LEFT(UPPER(TRIM(E1952)),2)="SL",UPPER(TRIM(E1952))="C"),"C",IF(OR(LEFT(UPPER(TRIM(E1952)),1)="D",UPPER(TRIM(E1952))="D"),"D","")))))))</f>
        <v/>
      </c>
      <c r="J1952" s="27" t="str">
        <f aca="false">IF(I1952="","",IF(AND(I1952="D",Settings!$B$6&lt;&gt;"Yes"),"",IFERROR(INDEX(Settings!$C$9:$C$12,MATCH(I1952,Settings!$A$9:$A$12,0)),"")))</f>
        <v/>
      </c>
      <c r="K1952" s="27" t="str">
        <f aca="false">IF(J1952="","",COUNTIF($I$2:I1952,I1952))</f>
        <v/>
      </c>
      <c r="L1952" s="27" t="str">
        <f aca="false">IF(J1952="","",CHOOSE(Q1952+1,"Tue","Wed","Thu","Fri"))</f>
        <v/>
      </c>
      <c r="M1952" s="27" t="str">
        <f aca="false">IF(J1952="","",IF(J1952=1,"Every week",R1952+1&amp;" of "&amp;J1952))</f>
        <v/>
      </c>
      <c r="N1952" s="28" t="str">
        <f aca="false">IF(J1952="","",Settings!$B$4+R1952*7+Q1952)</f>
        <v/>
      </c>
      <c r="O1952" s="28" t="str">
        <f aca="true">IF(J1952="","",N1952+MAX(0,ROUNDUP((TODAY()-N1952)/(J1952*7),0))*J1952*7)</f>
        <v/>
      </c>
      <c r="P1952" s="27" t="str">
        <f aca="false">IF(J1952="","",MOD(K1952-1,J1952*4))</f>
        <v/>
      </c>
      <c r="Q1952" s="27" t="str">
        <f aca="false">IF(J1952="","",MOD(P1952,4))</f>
        <v/>
      </c>
      <c r="R1952" s="27" t="str">
        <f aca="false">IF(J1952="","",INT(P1952/4))</f>
        <v/>
      </c>
      <c r="S1952" s="27" t="str">
        <f aca="false">IF(J1952="","",IF(AND('Daily Count Sheet'!$H$3=Q1952,MOD('Daily Count Sheet'!$I$3,J1952)=R1952),1,""))</f>
        <v/>
      </c>
      <c r="T1952" s="27" t="str">
        <f aca="false">IF(S1952=1,COUNTIF($S$2:S1952,1),"")</f>
        <v/>
      </c>
    </row>
    <row r="1953" customFormat="false" ht="15" hidden="false" customHeight="false" outlineLevel="0" collapsed="false">
      <c r="H1953" s="26"/>
      <c r="I1953" s="27" t="str">
        <f aca="false">IF(A1953="","",IF(H1953&lt;&gt;"",UPPER(TRIM(H1953)),IFERROR(CHOOSE(VALUE(E1953)+1,"A","B","C","D"),IF(OR(LEFT(UPPER(TRIM(E1953)),1)="F",UPPER(TRIM(E1953))="A"),"A",IF(OR(LEFT(UPPER(TRIM(E1953)),1)="M",UPPER(TRIM(E1953))="B"),"B",IF(OR(LEFT(UPPER(TRIM(E1953)),2)="SL",UPPER(TRIM(E1953))="C"),"C",IF(OR(LEFT(UPPER(TRIM(E1953)),1)="D",UPPER(TRIM(E1953))="D"),"D","")))))))</f>
        <v/>
      </c>
      <c r="J1953" s="27" t="str">
        <f aca="false">IF(I1953="","",IF(AND(I1953="D",Settings!$B$6&lt;&gt;"Yes"),"",IFERROR(INDEX(Settings!$C$9:$C$12,MATCH(I1953,Settings!$A$9:$A$12,0)),"")))</f>
        <v/>
      </c>
      <c r="K1953" s="27" t="str">
        <f aca="false">IF(J1953="","",COUNTIF($I$2:I1953,I1953))</f>
        <v/>
      </c>
      <c r="L1953" s="27" t="str">
        <f aca="false">IF(J1953="","",CHOOSE(Q1953+1,"Tue","Wed","Thu","Fri"))</f>
        <v/>
      </c>
      <c r="M1953" s="27" t="str">
        <f aca="false">IF(J1953="","",IF(J1953=1,"Every week",R1953+1&amp;" of "&amp;J1953))</f>
        <v/>
      </c>
      <c r="N1953" s="28" t="str">
        <f aca="false">IF(J1953="","",Settings!$B$4+R1953*7+Q1953)</f>
        <v/>
      </c>
      <c r="O1953" s="28" t="str">
        <f aca="true">IF(J1953="","",N1953+MAX(0,ROUNDUP((TODAY()-N1953)/(J1953*7),0))*J1953*7)</f>
        <v/>
      </c>
      <c r="P1953" s="27" t="str">
        <f aca="false">IF(J1953="","",MOD(K1953-1,J1953*4))</f>
        <v/>
      </c>
      <c r="Q1953" s="27" t="str">
        <f aca="false">IF(J1953="","",MOD(P1953,4))</f>
        <v/>
      </c>
      <c r="R1953" s="27" t="str">
        <f aca="false">IF(J1953="","",INT(P1953/4))</f>
        <v/>
      </c>
      <c r="S1953" s="27" t="str">
        <f aca="false">IF(J1953="","",IF(AND('Daily Count Sheet'!$H$3=Q1953,MOD('Daily Count Sheet'!$I$3,J1953)=R1953),1,""))</f>
        <v/>
      </c>
      <c r="T1953" s="27" t="str">
        <f aca="false">IF(S1953=1,COUNTIF($S$2:S1953,1),"")</f>
        <v/>
      </c>
    </row>
    <row r="1954" customFormat="false" ht="15" hidden="false" customHeight="false" outlineLevel="0" collapsed="false">
      <c r="H1954" s="26"/>
      <c r="I1954" s="27" t="str">
        <f aca="false">IF(A1954="","",IF(H1954&lt;&gt;"",UPPER(TRIM(H1954)),IFERROR(CHOOSE(VALUE(E1954)+1,"A","B","C","D"),IF(OR(LEFT(UPPER(TRIM(E1954)),1)="F",UPPER(TRIM(E1954))="A"),"A",IF(OR(LEFT(UPPER(TRIM(E1954)),1)="M",UPPER(TRIM(E1954))="B"),"B",IF(OR(LEFT(UPPER(TRIM(E1954)),2)="SL",UPPER(TRIM(E1954))="C"),"C",IF(OR(LEFT(UPPER(TRIM(E1954)),1)="D",UPPER(TRIM(E1954))="D"),"D","")))))))</f>
        <v/>
      </c>
      <c r="J1954" s="27" t="str">
        <f aca="false">IF(I1954="","",IF(AND(I1954="D",Settings!$B$6&lt;&gt;"Yes"),"",IFERROR(INDEX(Settings!$C$9:$C$12,MATCH(I1954,Settings!$A$9:$A$12,0)),"")))</f>
        <v/>
      </c>
      <c r="K1954" s="27" t="str">
        <f aca="false">IF(J1954="","",COUNTIF($I$2:I1954,I1954))</f>
        <v/>
      </c>
      <c r="L1954" s="27" t="str">
        <f aca="false">IF(J1954="","",CHOOSE(Q1954+1,"Tue","Wed","Thu","Fri"))</f>
        <v/>
      </c>
      <c r="M1954" s="27" t="str">
        <f aca="false">IF(J1954="","",IF(J1954=1,"Every week",R1954+1&amp;" of "&amp;J1954))</f>
        <v/>
      </c>
      <c r="N1954" s="28" t="str">
        <f aca="false">IF(J1954="","",Settings!$B$4+R1954*7+Q1954)</f>
        <v/>
      </c>
      <c r="O1954" s="28" t="str">
        <f aca="true">IF(J1954="","",N1954+MAX(0,ROUNDUP((TODAY()-N1954)/(J1954*7),0))*J1954*7)</f>
        <v/>
      </c>
      <c r="P1954" s="27" t="str">
        <f aca="false">IF(J1954="","",MOD(K1954-1,J1954*4))</f>
        <v/>
      </c>
      <c r="Q1954" s="27" t="str">
        <f aca="false">IF(J1954="","",MOD(P1954,4))</f>
        <v/>
      </c>
      <c r="R1954" s="27" t="str">
        <f aca="false">IF(J1954="","",INT(P1954/4))</f>
        <v/>
      </c>
      <c r="S1954" s="27" t="str">
        <f aca="false">IF(J1954="","",IF(AND('Daily Count Sheet'!$H$3=Q1954,MOD('Daily Count Sheet'!$I$3,J1954)=R1954),1,""))</f>
        <v/>
      </c>
      <c r="T1954" s="27" t="str">
        <f aca="false">IF(S1954=1,COUNTIF($S$2:S1954,1),"")</f>
        <v/>
      </c>
    </row>
    <row r="1955" customFormat="false" ht="15" hidden="false" customHeight="false" outlineLevel="0" collapsed="false">
      <c r="H1955" s="26"/>
      <c r="I1955" s="27" t="str">
        <f aca="false">IF(A1955="","",IF(H1955&lt;&gt;"",UPPER(TRIM(H1955)),IFERROR(CHOOSE(VALUE(E1955)+1,"A","B","C","D"),IF(OR(LEFT(UPPER(TRIM(E1955)),1)="F",UPPER(TRIM(E1955))="A"),"A",IF(OR(LEFT(UPPER(TRIM(E1955)),1)="M",UPPER(TRIM(E1955))="B"),"B",IF(OR(LEFT(UPPER(TRIM(E1955)),2)="SL",UPPER(TRIM(E1955))="C"),"C",IF(OR(LEFT(UPPER(TRIM(E1955)),1)="D",UPPER(TRIM(E1955))="D"),"D","")))))))</f>
        <v/>
      </c>
      <c r="J1955" s="27" t="str">
        <f aca="false">IF(I1955="","",IF(AND(I1955="D",Settings!$B$6&lt;&gt;"Yes"),"",IFERROR(INDEX(Settings!$C$9:$C$12,MATCH(I1955,Settings!$A$9:$A$12,0)),"")))</f>
        <v/>
      </c>
      <c r="K1955" s="27" t="str">
        <f aca="false">IF(J1955="","",COUNTIF($I$2:I1955,I1955))</f>
        <v/>
      </c>
      <c r="L1955" s="27" t="str">
        <f aca="false">IF(J1955="","",CHOOSE(Q1955+1,"Tue","Wed","Thu","Fri"))</f>
        <v/>
      </c>
      <c r="M1955" s="27" t="str">
        <f aca="false">IF(J1955="","",IF(J1955=1,"Every week",R1955+1&amp;" of "&amp;J1955))</f>
        <v/>
      </c>
      <c r="N1955" s="28" t="str">
        <f aca="false">IF(J1955="","",Settings!$B$4+R1955*7+Q1955)</f>
        <v/>
      </c>
      <c r="O1955" s="28" t="str">
        <f aca="true">IF(J1955="","",N1955+MAX(0,ROUNDUP((TODAY()-N1955)/(J1955*7),0))*J1955*7)</f>
        <v/>
      </c>
      <c r="P1955" s="27" t="str">
        <f aca="false">IF(J1955="","",MOD(K1955-1,J1955*4))</f>
        <v/>
      </c>
      <c r="Q1955" s="27" t="str">
        <f aca="false">IF(J1955="","",MOD(P1955,4))</f>
        <v/>
      </c>
      <c r="R1955" s="27" t="str">
        <f aca="false">IF(J1955="","",INT(P1955/4))</f>
        <v/>
      </c>
      <c r="S1955" s="27" t="str">
        <f aca="false">IF(J1955="","",IF(AND('Daily Count Sheet'!$H$3=Q1955,MOD('Daily Count Sheet'!$I$3,J1955)=R1955),1,""))</f>
        <v/>
      </c>
      <c r="T1955" s="27" t="str">
        <f aca="false">IF(S1955=1,COUNTIF($S$2:S1955,1),"")</f>
        <v/>
      </c>
    </row>
    <row r="1956" customFormat="false" ht="15" hidden="false" customHeight="false" outlineLevel="0" collapsed="false">
      <c r="H1956" s="26"/>
      <c r="I1956" s="27" t="str">
        <f aca="false">IF(A1956="","",IF(H1956&lt;&gt;"",UPPER(TRIM(H1956)),IFERROR(CHOOSE(VALUE(E1956)+1,"A","B","C","D"),IF(OR(LEFT(UPPER(TRIM(E1956)),1)="F",UPPER(TRIM(E1956))="A"),"A",IF(OR(LEFT(UPPER(TRIM(E1956)),1)="M",UPPER(TRIM(E1956))="B"),"B",IF(OR(LEFT(UPPER(TRIM(E1956)),2)="SL",UPPER(TRIM(E1956))="C"),"C",IF(OR(LEFT(UPPER(TRIM(E1956)),1)="D",UPPER(TRIM(E1956))="D"),"D","")))))))</f>
        <v/>
      </c>
      <c r="J1956" s="27" t="str">
        <f aca="false">IF(I1956="","",IF(AND(I1956="D",Settings!$B$6&lt;&gt;"Yes"),"",IFERROR(INDEX(Settings!$C$9:$C$12,MATCH(I1956,Settings!$A$9:$A$12,0)),"")))</f>
        <v/>
      </c>
      <c r="K1956" s="27" t="str">
        <f aca="false">IF(J1956="","",COUNTIF($I$2:I1956,I1956))</f>
        <v/>
      </c>
      <c r="L1956" s="27" t="str">
        <f aca="false">IF(J1956="","",CHOOSE(Q1956+1,"Tue","Wed","Thu","Fri"))</f>
        <v/>
      </c>
      <c r="M1956" s="27" t="str">
        <f aca="false">IF(J1956="","",IF(J1956=1,"Every week",R1956+1&amp;" of "&amp;J1956))</f>
        <v/>
      </c>
      <c r="N1956" s="28" t="str">
        <f aca="false">IF(J1956="","",Settings!$B$4+R1956*7+Q1956)</f>
        <v/>
      </c>
      <c r="O1956" s="28" t="str">
        <f aca="true">IF(J1956="","",N1956+MAX(0,ROUNDUP((TODAY()-N1956)/(J1956*7),0))*J1956*7)</f>
        <v/>
      </c>
      <c r="P1956" s="27" t="str">
        <f aca="false">IF(J1956="","",MOD(K1956-1,J1956*4))</f>
        <v/>
      </c>
      <c r="Q1956" s="27" t="str">
        <f aca="false">IF(J1956="","",MOD(P1956,4))</f>
        <v/>
      </c>
      <c r="R1956" s="27" t="str">
        <f aca="false">IF(J1956="","",INT(P1956/4))</f>
        <v/>
      </c>
      <c r="S1956" s="27" t="str">
        <f aca="false">IF(J1956="","",IF(AND('Daily Count Sheet'!$H$3=Q1956,MOD('Daily Count Sheet'!$I$3,J1956)=R1956),1,""))</f>
        <v/>
      </c>
      <c r="T1956" s="27" t="str">
        <f aca="false">IF(S1956=1,COUNTIF($S$2:S1956,1),"")</f>
        <v/>
      </c>
    </row>
    <row r="1957" customFormat="false" ht="15" hidden="false" customHeight="false" outlineLevel="0" collapsed="false">
      <c r="H1957" s="26"/>
      <c r="I1957" s="27" t="str">
        <f aca="false">IF(A1957="","",IF(H1957&lt;&gt;"",UPPER(TRIM(H1957)),IFERROR(CHOOSE(VALUE(E1957)+1,"A","B","C","D"),IF(OR(LEFT(UPPER(TRIM(E1957)),1)="F",UPPER(TRIM(E1957))="A"),"A",IF(OR(LEFT(UPPER(TRIM(E1957)),1)="M",UPPER(TRIM(E1957))="B"),"B",IF(OR(LEFT(UPPER(TRIM(E1957)),2)="SL",UPPER(TRIM(E1957))="C"),"C",IF(OR(LEFT(UPPER(TRIM(E1957)),1)="D",UPPER(TRIM(E1957))="D"),"D","")))))))</f>
        <v/>
      </c>
      <c r="J1957" s="27" t="str">
        <f aca="false">IF(I1957="","",IF(AND(I1957="D",Settings!$B$6&lt;&gt;"Yes"),"",IFERROR(INDEX(Settings!$C$9:$C$12,MATCH(I1957,Settings!$A$9:$A$12,0)),"")))</f>
        <v/>
      </c>
      <c r="K1957" s="27" t="str">
        <f aca="false">IF(J1957="","",COUNTIF($I$2:I1957,I1957))</f>
        <v/>
      </c>
      <c r="L1957" s="27" t="str">
        <f aca="false">IF(J1957="","",CHOOSE(Q1957+1,"Tue","Wed","Thu","Fri"))</f>
        <v/>
      </c>
      <c r="M1957" s="27" t="str">
        <f aca="false">IF(J1957="","",IF(J1957=1,"Every week",R1957+1&amp;" of "&amp;J1957))</f>
        <v/>
      </c>
      <c r="N1957" s="28" t="str">
        <f aca="false">IF(J1957="","",Settings!$B$4+R1957*7+Q1957)</f>
        <v/>
      </c>
      <c r="O1957" s="28" t="str">
        <f aca="true">IF(J1957="","",N1957+MAX(0,ROUNDUP((TODAY()-N1957)/(J1957*7),0))*J1957*7)</f>
        <v/>
      </c>
      <c r="P1957" s="27" t="str">
        <f aca="false">IF(J1957="","",MOD(K1957-1,J1957*4))</f>
        <v/>
      </c>
      <c r="Q1957" s="27" t="str">
        <f aca="false">IF(J1957="","",MOD(P1957,4))</f>
        <v/>
      </c>
      <c r="R1957" s="27" t="str">
        <f aca="false">IF(J1957="","",INT(P1957/4))</f>
        <v/>
      </c>
      <c r="S1957" s="27" t="str">
        <f aca="false">IF(J1957="","",IF(AND('Daily Count Sheet'!$H$3=Q1957,MOD('Daily Count Sheet'!$I$3,J1957)=R1957),1,""))</f>
        <v/>
      </c>
      <c r="T1957" s="27" t="str">
        <f aca="false">IF(S1957=1,COUNTIF($S$2:S1957,1),"")</f>
        <v/>
      </c>
    </row>
    <row r="1958" customFormat="false" ht="15" hidden="false" customHeight="false" outlineLevel="0" collapsed="false">
      <c r="H1958" s="26"/>
      <c r="I1958" s="27" t="str">
        <f aca="false">IF(A1958="","",IF(H1958&lt;&gt;"",UPPER(TRIM(H1958)),IFERROR(CHOOSE(VALUE(E1958)+1,"A","B","C","D"),IF(OR(LEFT(UPPER(TRIM(E1958)),1)="F",UPPER(TRIM(E1958))="A"),"A",IF(OR(LEFT(UPPER(TRIM(E1958)),1)="M",UPPER(TRIM(E1958))="B"),"B",IF(OR(LEFT(UPPER(TRIM(E1958)),2)="SL",UPPER(TRIM(E1958))="C"),"C",IF(OR(LEFT(UPPER(TRIM(E1958)),1)="D",UPPER(TRIM(E1958))="D"),"D","")))))))</f>
        <v/>
      </c>
      <c r="J1958" s="27" t="str">
        <f aca="false">IF(I1958="","",IF(AND(I1958="D",Settings!$B$6&lt;&gt;"Yes"),"",IFERROR(INDEX(Settings!$C$9:$C$12,MATCH(I1958,Settings!$A$9:$A$12,0)),"")))</f>
        <v/>
      </c>
      <c r="K1958" s="27" t="str">
        <f aca="false">IF(J1958="","",COUNTIF($I$2:I1958,I1958))</f>
        <v/>
      </c>
      <c r="L1958" s="27" t="str">
        <f aca="false">IF(J1958="","",CHOOSE(Q1958+1,"Tue","Wed","Thu","Fri"))</f>
        <v/>
      </c>
      <c r="M1958" s="27" t="str">
        <f aca="false">IF(J1958="","",IF(J1958=1,"Every week",R1958+1&amp;" of "&amp;J1958))</f>
        <v/>
      </c>
      <c r="N1958" s="28" t="str">
        <f aca="false">IF(J1958="","",Settings!$B$4+R1958*7+Q1958)</f>
        <v/>
      </c>
      <c r="O1958" s="28" t="str">
        <f aca="true">IF(J1958="","",N1958+MAX(0,ROUNDUP((TODAY()-N1958)/(J1958*7),0))*J1958*7)</f>
        <v/>
      </c>
      <c r="P1958" s="27" t="str">
        <f aca="false">IF(J1958="","",MOD(K1958-1,J1958*4))</f>
        <v/>
      </c>
      <c r="Q1958" s="27" t="str">
        <f aca="false">IF(J1958="","",MOD(P1958,4))</f>
        <v/>
      </c>
      <c r="R1958" s="27" t="str">
        <f aca="false">IF(J1958="","",INT(P1958/4))</f>
        <v/>
      </c>
      <c r="S1958" s="27" t="str">
        <f aca="false">IF(J1958="","",IF(AND('Daily Count Sheet'!$H$3=Q1958,MOD('Daily Count Sheet'!$I$3,J1958)=R1958),1,""))</f>
        <v/>
      </c>
      <c r="T1958" s="27" t="str">
        <f aca="false">IF(S1958=1,COUNTIF($S$2:S1958,1),"")</f>
        <v/>
      </c>
    </row>
    <row r="1959" customFormat="false" ht="15" hidden="false" customHeight="false" outlineLevel="0" collapsed="false">
      <c r="H1959" s="26"/>
      <c r="I1959" s="27" t="str">
        <f aca="false">IF(A1959="","",IF(H1959&lt;&gt;"",UPPER(TRIM(H1959)),IFERROR(CHOOSE(VALUE(E1959)+1,"A","B","C","D"),IF(OR(LEFT(UPPER(TRIM(E1959)),1)="F",UPPER(TRIM(E1959))="A"),"A",IF(OR(LEFT(UPPER(TRIM(E1959)),1)="M",UPPER(TRIM(E1959))="B"),"B",IF(OR(LEFT(UPPER(TRIM(E1959)),2)="SL",UPPER(TRIM(E1959))="C"),"C",IF(OR(LEFT(UPPER(TRIM(E1959)),1)="D",UPPER(TRIM(E1959))="D"),"D","")))))))</f>
        <v/>
      </c>
      <c r="J1959" s="27" t="str">
        <f aca="false">IF(I1959="","",IF(AND(I1959="D",Settings!$B$6&lt;&gt;"Yes"),"",IFERROR(INDEX(Settings!$C$9:$C$12,MATCH(I1959,Settings!$A$9:$A$12,0)),"")))</f>
        <v/>
      </c>
      <c r="K1959" s="27" t="str">
        <f aca="false">IF(J1959="","",COUNTIF($I$2:I1959,I1959))</f>
        <v/>
      </c>
      <c r="L1959" s="27" t="str">
        <f aca="false">IF(J1959="","",CHOOSE(Q1959+1,"Tue","Wed","Thu","Fri"))</f>
        <v/>
      </c>
      <c r="M1959" s="27" t="str">
        <f aca="false">IF(J1959="","",IF(J1959=1,"Every week",R1959+1&amp;" of "&amp;J1959))</f>
        <v/>
      </c>
      <c r="N1959" s="28" t="str">
        <f aca="false">IF(J1959="","",Settings!$B$4+R1959*7+Q1959)</f>
        <v/>
      </c>
      <c r="O1959" s="28" t="str">
        <f aca="true">IF(J1959="","",N1959+MAX(0,ROUNDUP((TODAY()-N1959)/(J1959*7),0))*J1959*7)</f>
        <v/>
      </c>
      <c r="P1959" s="27" t="str">
        <f aca="false">IF(J1959="","",MOD(K1959-1,J1959*4))</f>
        <v/>
      </c>
      <c r="Q1959" s="27" t="str">
        <f aca="false">IF(J1959="","",MOD(P1959,4))</f>
        <v/>
      </c>
      <c r="R1959" s="27" t="str">
        <f aca="false">IF(J1959="","",INT(P1959/4))</f>
        <v/>
      </c>
      <c r="S1959" s="27" t="str">
        <f aca="false">IF(J1959="","",IF(AND('Daily Count Sheet'!$H$3=Q1959,MOD('Daily Count Sheet'!$I$3,J1959)=R1959),1,""))</f>
        <v/>
      </c>
      <c r="T1959" s="27" t="str">
        <f aca="false">IF(S1959=1,COUNTIF($S$2:S1959,1),"")</f>
        <v/>
      </c>
    </row>
    <row r="1960" customFormat="false" ht="15" hidden="false" customHeight="false" outlineLevel="0" collapsed="false">
      <c r="H1960" s="26"/>
      <c r="I1960" s="27" t="str">
        <f aca="false">IF(A1960="","",IF(H1960&lt;&gt;"",UPPER(TRIM(H1960)),IFERROR(CHOOSE(VALUE(E1960)+1,"A","B","C","D"),IF(OR(LEFT(UPPER(TRIM(E1960)),1)="F",UPPER(TRIM(E1960))="A"),"A",IF(OR(LEFT(UPPER(TRIM(E1960)),1)="M",UPPER(TRIM(E1960))="B"),"B",IF(OR(LEFT(UPPER(TRIM(E1960)),2)="SL",UPPER(TRIM(E1960))="C"),"C",IF(OR(LEFT(UPPER(TRIM(E1960)),1)="D",UPPER(TRIM(E1960))="D"),"D","")))))))</f>
        <v/>
      </c>
      <c r="J1960" s="27" t="str">
        <f aca="false">IF(I1960="","",IF(AND(I1960="D",Settings!$B$6&lt;&gt;"Yes"),"",IFERROR(INDEX(Settings!$C$9:$C$12,MATCH(I1960,Settings!$A$9:$A$12,0)),"")))</f>
        <v/>
      </c>
      <c r="K1960" s="27" t="str">
        <f aca="false">IF(J1960="","",COUNTIF($I$2:I1960,I1960))</f>
        <v/>
      </c>
      <c r="L1960" s="27" t="str">
        <f aca="false">IF(J1960="","",CHOOSE(Q1960+1,"Tue","Wed","Thu","Fri"))</f>
        <v/>
      </c>
      <c r="M1960" s="27" t="str">
        <f aca="false">IF(J1960="","",IF(J1960=1,"Every week",R1960+1&amp;" of "&amp;J1960))</f>
        <v/>
      </c>
      <c r="N1960" s="28" t="str">
        <f aca="false">IF(J1960="","",Settings!$B$4+R1960*7+Q1960)</f>
        <v/>
      </c>
      <c r="O1960" s="28" t="str">
        <f aca="true">IF(J1960="","",N1960+MAX(0,ROUNDUP((TODAY()-N1960)/(J1960*7),0))*J1960*7)</f>
        <v/>
      </c>
      <c r="P1960" s="27" t="str">
        <f aca="false">IF(J1960="","",MOD(K1960-1,J1960*4))</f>
        <v/>
      </c>
      <c r="Q1960" s="27" t="str">
        <f aca="false">IF(J1960="","",MOD(P1960,4))</f>
        <v/>
      </c>
      <c r="R1960" s="27" t="str">
        <f aca="false">IF(J1960="","",INT(P1960/4))</f>
        <v/>
      </c>
      <c r="S1960" s="27" t="str">
        <f aca="false">IF(J1960="","",IF(AND('Daily Count Sheet'!$H$3=Q1960,MOD('Daily Count Sheet'!$I$3,J1960)=R1960),1,""))</f>
        <v/>
      </c>
      <c r="T1960" s="27" t="str">
        <f aca="false">IF(S1960=1,COUNTIF($S$2:S1960,1),"")</f>
        <v/>
      </c>
    </row>
    <row r="1961" customFormat="false" ht="15" hidden="false" customHeight="false" outlineLevel="0" collapsed="false">
      <c r="H1961" s="26"/>
      <c r="I1961" s="27" t="str">
        <f aca="false">IF(A1961="","",IF(H1961&lt;&gt;"",UPPER(TRIM(H1961)),IFERROR(CHOOSE(VALUE(E1961)+1,"A","B","C","D"),IF(OR(LEFT(UPPER(TRIM(E1961)),1)="F",UPPER(TRIM(E1961))="A"),"A",IF(OR(LEFT(UPPER(TRIM(E1961)),1)="M",UPPER(TRIM(E1961))="B"),"B",IF(OR(LEFT(UPPER(TRIM(E1961)),2)="SL",UPPER(TRIM(E1961))="C"),"C",IF(OR(LEFT(UPPER(TRIM(E1961)),1)="D",UPPER(TRIM(E1961))="D"),"D","")))))))</f>
        <v/>
      </c>
      <c r="J1961" s="27" t="str">
        <f aca="false">IF(I1961="","",IF(AND(I1961="D",Settings!$B$6&lt;&gt;"Yes"),"",IFERROR(INDEX(Settings!$C$9:$C$12,MATCH(I1961,Settings!$A$9:$A$12,0)),"")))</f>
        <v/>
      </c>
      <c r="K1961" s="27" t="str">
        <f aca="false">IF(J1961="","",COUNTIF($I$2:I1961,I1961))</f>
        <v/>
      </c>
      <c r="L1961" s="27" t="str">
        <f aca="false">IF(J1961="","",CHOOSE(Q1961+1,"Tue","Wed","Thu","Fri"))</f>
        <v/>
      </c>
      <c r="M1961" s="27" t="str">
        <f aca="false">IF(J1961="","",IF(J1961=1,"Every week",R1961+1&amp;" of "&amp;J1961))</f>
        <v/>
      </c>
      <c r="N1961" s="28" t="str">
        <f aca="false">IF(J1961="","",Settings!$B$4+R1961*7+Q1961)</f>
        <v/>
      </c>
      <c r="O1961" s="28" t="str">
        <f aca="true">IF(J1961="","",N1961+MAX(0,ROUNDUP((TODAY()-N1961)/(J1961*7),0))*J1961*7)</f>
        <v/>
      </c>
      <c r="P1961" s="27" t="str">
        <f aca="false">IF(J1961="","",MOD(K1961-1,J1961*4))</f>
        <v/>
      </c>
      <c r="Q1961" s="27" t="str">
        <f aca="false">IF(J1961="","",MOD(P1961,4))</f>
        <v/>
      </c>
      <c r="R1961" s="27" t="str">
        <f aca="false">IF(J1961="","",INT(P1961/4))</f>
        <v/>
      </c>
      <c r="S1961" s="27" t="str">
        <f aca="false">IF(J1961="","",IF(AND('Daily Count Sheet'!$H$3=Q1961,MOD('Daily Count Sheet'!$I$3,J1961)=R1961),1,""))</f>
        <v/>
      </c>
      <c r="T1961" s="27" t="str">
        <f aca="false">IF(S1961=1,COUNTIF($S$2:S1961,1),"")</f>
        <v/>
      </c>
    </row>
    <row r="1962" customFormat="false" ht="15" hidden="false" customHeight="false" outlineLevel="0" collapsed="false">
      <c r="H1962" s="26"/>
      <c r="I1962" s="27" t="str">
        <f aca="false">IF(A1962="","",IF(H1962&lt;&gt;"",UPPER(TRIM(H1962)),IFERROR(CHOOSE(VALUE(E1962)+1,"A","B","C","D"),IF(OR(LEFT(UPPER(TRIM(E1962)),1)="F",UPPER(TRIM(E1962))="A"),"A",IF(OR(LEFT(UPPER(TRIM(E1962)),1)="M",UPPER(TRIM(E1962))="B"),"B",IF(OR(LEFT(UPPER(TRIM(E1962)),2)="SL",UPPER(TRIM(E1962))="C"),"C",IF(OR(LEFT(UPPER(TRIM(E1962)),1)="D",UPPER(TRIM(E1962))="D"),"D","")))))))</f>
        <v/>
      </c>
      <c r="J1962" s="27" t="str">
        <f aca="false">IF(I1962="","",IF(AND(I1962="D",Settings!$B$6&lt;&gt;"Yes"),"",IFERROR(INDEX(Settings!$C$9:$C$12,MATCH(I1962,Settings!$A$9:$A$12,0)),"")))</f>
        <v/>
      </c>
      <c r="K1962" s="27" t="str">
        <f aca="false">IF(J1962="","",COUNTIF($I$2:I1962,I1962))</f>
        <v/>
      </c>
      <c r="L1962" s="27" t="str">
        <f aca="false">IF(J1962="","",CHOOSE(Q1962+1,"Tue","Wed","Thu","Fri"))</f>
        <v/>
      </c>
      <c r="M1962" s="27" t="str">
        <f aca="false">IF(J1962="","",IF(J1962=1,"Every week",R1962+1&amp;" of "&amp;J1962))</f>
        <v/>
      </c>
      <c r="N1962" s="28" t="str">
        <f aca="false">IF(J1962="","",Settings!$B$4+R1962*7+Q1962)</f>
        <v/>
      </c>
      <c r="O1962" s="28" t="str">
        <f aca="true">IF(J1962="","",N1962+MAX(0,ROUNDUP((TODAY()-N1962)/(J1962*7),0))*J1962*7)</f>
        <v/>
      </c>
      <c r="P1962" s="27" t="str">
        <f aca="false">IF(J1962="","",MOD(K1962-1,J1962*4))</f>
        <v/>
      </c>
      <c r="Q1962" s="27" t="str">
        <f aca="false">IF(J1962="","",MOD(P1962,4))</f>
        <v/>
      </c>
      <c r="R1962" s="27" t="str">
        <f aca="false">IF(J1962="","",INT(P1962/4))</f>
        <v/>
      </c>
      <c r="S1962" s="27" t="str">
        <f aca="false">IF(J1962="","",IF(AND('Daily Count Sheet'!$H$3=Q1962,MOD('Daily Count Sheet'!$I$3,J1962)=R1962),1,""))</f>
        <v/>
      </c>
      <c r="T1962" s="27" t="str">
        <f aca="false">IF(S1962=1,COUNTIF($S$2:S1962,1),"")</f>
        <v/>
      </c>
    </row>
    <row r="1963" customFormat="false" ht="15" hidden="false" customHeight="false" outlineLevel="0" collapsed="false">
      <c r="H1963" s="26"/>
      <c r="I1963" s="27" t="str">
        <f aca="false">IF(A1963="","",IF(H1963&lt;&gt;"",UPPER(TRIM(H1963)),IFERROR(CHOOSE(VALUE(E1963)+1,"A","B","C","D"),IF(OR(LEFT(UPPER(TRIM(E1963)),1)="F",UPPER(TRIM(E1963))="A"),"A",IF(OR(LEFT(UPPER(TRIM(E1963)),1)="M",UPPER(TRIM(E1963))="B"),"B",IF(OR(LEFT(UPPER(TRIM(E1963)),2)="SL",UPPER(TRIM(E1963))="C"),"C",IF(OR(LEFT(UPPER(TRIM(E1963)),1)="D",UPPER(TRIM(E1963))="D"),"D","")))))))</f>
        <v/>
      </c>
      <c r="J1963" s="27" t="str">
        <f aca="false">IF(I1963="","",IF(AND(I1963="D",Settings!$B$6&lt;&gt;"Yes"),"",IFERROR(INDEX(Settings!$C$9:$C$12,MATCH(I1963,Settings!$A$9:$A$12,0)),"")))</f>
        <v/>
      </c>
      <c r="K1963" s="27" t="str">
        <f aca="false">IF(J1963="","",COUNTIF($I$2:I1963,I1963))</f>
        <v/>
      </c>
      <c r="L1963" s="27" t="str">
        <f aca="false">IF(J1963="","",CHOOSE(Q1963+1,"Tue","Wed","Thu","Fri"))</f>
        <v/>
      </c>
      <c r="M1963" s="27" t="str">
        <f aca="false">IF(J1963="","",IF(J1963=1,"Every week",R1963+1&amp;" of "&amp;J1963))</f>
        <v/>
      </c>
      <c r="N1963" s="28" t="str">
        <f aca="false">IF(J1963="","",Settings!$B$4+R1963*7+Q1963)</f>
        <v/>
      </c>
      <c r="O1963" s="28" t="str">
        <f aca="true">IF(J1963="","",N1963+MAX(0,ROUNDUP((TODAY()-N1963)/(J1963*7),0))*J1963*7)</f>
        <v/>
      </c>
      <c r="P1963" s="27" t="str">
        <f aca="false">IF(J1963="","",MOD(K1963-1,J1963*4))</f>
        <v/>
      </c>
      <c r="Q1963" s="27" t="str">
        <f aca="false">IF(J1963="","",MOD(P1963,4))</f>
        <v/>
      </c>
      <c r="R1963" s="27" t="str">
        <f aca="false">IF(J1963="","",INT(P1963/4))</f>
        <v/>
      </c>
      <c r="S1963" s="27" t="str">
        <f aca="false">IF(J1963="","",IF(AND('Daily Count Sheet'!$H$3=Q1963,MOD('Daily Count Sheet'!$I$3,J1963)=R1963),1,""))</f>
        <v/>
      </c>
      <c r="T1963" s="27" t="str">
        <f aca="false">IF(S1963=1,COUNTIF($S$2:S1963,1),"")</f>
        <v/>
      </c>
    </row>
    <row r="1964" customFormat="false" ht="15" hidden="false" customHeight="false" outlineLevel="0" collapsed="false">
      <c r="H1964" s="26"/>
      <c r="I1964" s="27" t="str">
        <f aca="false">IF(A1964="","",IF(H1964&lt;&gt;"",UPPER(TRIM(H1964)),IFERROR(CHOOSE(VALUE(E1964)+1,"A","B","C","D"),IF(OR(LEFT(UPPER(TRIM(E1964)),1)="F",UPPER(TRIM(E1964))="A"),"A",IF(OR(LEFT(UPPER(TRIM(E1964)),1)="M",UPPER(TRIM(E1964))="B"),"B",IF(OR(LEFT(UPPER(TRIM(E1964)),2)="SL",UPPER(TRIM(E1964))="C"),"C",IF(OR(LEFT(UPPER(TRIM(E1964)),1)="D",UPPER(TRIM(E1964))="D"),"D","")))))))</f>
        <v/>
      </c>
      <c r="J1964" s="27" t="str">
        <f aca="false">IF(I1964="","",IF(AND(I1964="D",Settings!$B$6&lt;&gt;"Yes"),"",IFERROR(INDEX(Settings!$C$9:$C$12,MATCH(I1964,Settings!$A$9:$A$12,0)),"")))</f>
        <v/>
      </c>
      <c r="K1964" s="27" t="str">
        <f aca="false">IF(J1964="","",COUNTIF($I$2:I1964,I1964))</f>
        <v/>
      </c>
      <c r="L1964" s="27" t="str">
        <f aca="false">IF(J1964="","",CHOOSE(Q1964+1,"Tue","Wed","Thu","Fri"))</f>
        <v/>
      </c>
      <c r="M1964" s="27" t="str">
        <f aca="false">IF(J1964="","",IF(J1964=1,"Every week",R1964+1&amp;" of "&amp;J1964))</f>
        <v/>
      </c>
      <c r="N1964" s="28" t="str">
        <f aca="false">IF(J1964="","",Settings!$B$4+R1964*7+Q1964)</f>
        <v/>
      </c>
      <c r="O1964" s="28" t="str">
        <f aca="true">IF(J1964="","",N1964+MAX(0,ROUNDUP((TODAY()-N1964)/(J1964*7),0))*J1964*7)</f>
        <v/>
      </c>
      <c r="P1964" s="27" t="str">
        <f aca="false">IF(J1964="","",MOD(K1964-1,J1964*4))</f>
        <v/>
      </c>
      <c r="Q1964" s="27" t="str">
        <f aca="false">IF(J1964="","",MOD(P1964,4))</f>
        <v/>
      </c>
      <c r="R1964" s="27" t="str">
        <f aca="false">IF(J1964="","",INT(P1964/4))</f>
        <v/>
      </c>
      <c r="S1964" s="27" t="str">
        <f aca="false">IF(J1964="","",IF(AND('Daily Count Sheet'!$H$3=Q1964,MOD('Daily Count Sheet'!$I$3,J1964)=R1964),1,""))</f>
        <v/>
      </c>
      <c r="T1964" s="27" t="str">
        <f aca="false">IF(S1964=1,COUNTIF($S$2:S1964,1),"")</f>
        <v/>
      </c>
    </row>
    <row r="1965" customFormat="false" ht="15" hidden="false" customHeight="false" outlineLevel="0" collapsed="false">
      <c r="H1965" s="26"/>
      <c r="I1965" s="27" t="str">
        <f aca="false">IF(A1965="","",IF(H1965&lt;&gt;"",UPPER(TRIM(H1965)),IFERROR(CHOOSE(VALUE(E1965)+1,"A","B","C","D"),IF(OR(LEFT(UPPER(TRIM(E1965)),1)="F",UPPER(TRIM(E1965))="A"),"A",IF(OR(LEFT(UPPER(TRIM(E1965)),1)="M",UPPER(TRIM(E1965))="B"),"B",IF(OR(LEFT(UPPER(TRIM(E1965)),2)="SL",UPPER(TRIM(E1965))="C"),"C",IF(OR(LEFT(UPPER(TRIM(E1965)),1)="D",UPPER(TRIM(E1965))="D"),"D","")))))))</f>
        <v/>
      </c>
      <c r="J1965" s="27" t="str">
        <f aca="false">IF(I1965="","",IF(AND(I1965="D",Settings!$B$6&lt;&gt;"Yes"),"",IFERROR(INDEX(Settings!$C$9:$C$12,MATCH(I1965,Settings!$A$9:$A$12,0)),"")))</f>
        <v/>
      </c>
      <c r="K1965" s="27" t="str">
        <f aca="false">IF(J1965="","",COUNTIF($I$2:I1965,I1965))</f>
        <v/>
      </c>
      <c r="L1965" s="27" t="str">
        <f aca="false">IF(J1965="","",CHOOSE(Q1965+1,"Tue","Wed","Thu","Fri"))</f>
        <v/>
      </c>
      <c r="M1965" s="27" t="str">
        <f aca="false">IF(J1965="","",IF(J1965=1,"Every week",R1965+1&amp;" of "&amp;J1965))</f>
        <v/>
      </c>
      <c r="N1965" s="28" t="str">
        <f aca="false">IF(J1965="","",Settings!$B$4+R1965*7+Q1965)</f>
        <v/>
      </c>
      <c r="O1965" s="28" t="str">
        <f aca="true">IF(J1965="","",N1965+MAX(0,ROUNDUP((TODAY()-N1965)/(J1965*7),0))*J1965*7)</f>
        <v/>
      </c>
      <c r="P1965" s="27" t="str">
        <f aca="false">IF(J1965="","",MOD(K1965-1,J1965*4))</f>
        <v/>
      </c>
      <c r="Q1965" s="27" t="str">
        <f aca="false">IF(J1965="","",MOD(P1965,4))</f>
        <v/>
      </c>
      <c r="R1965" s="27" t="str">
        <f aca="false">IF(J1965="","",INT(P1965/4))</f>
        <v/>
      </c>
      <c r="S1965" s="27" t="str">
        <f aca="false">IF(J1965="","",IF(AND('Daily Count Sheet'!$H$3=Q1965,MOD('Daily Count Sheet'!$I$3,J1965)=R1965),1,""))</f>
        <v/>
      </c>
      <c r="T1965" s="27" t="str">
        <f aca="false">IF(S1965=1,COUNTIF($S$2:S1965,1),"")</f>
        <v/>
      </c>
    </row>
    <row r="1966" customFormat="false" ht="15" hidden="false" customHeight="false" outlineLevel="0" collapsed="false">
      <c r="H1966" s="26"/>
      <c r="I1966" s="27" t="str">
        <f aca="false">IF(A1966="","",IF(H1966&lt;&gt;"",UPPER(TRIM(H1966)),IFERROR(CHOOSE(VALUE(E1966)+1,"A","B","C","D"),IF(OR(LEFT(UPPER(TRIM(E1966)),1)="F",UPPER(TRIM(E1966))="A"),"A",IF(OR(LEFT(UPPER(TRIM(E1966)),1)="M",UPPER(TRIM(E1966))="B"),"B",IF(OR(LEFT(UPPER(TRIM(E1966)),2)="SL",UPPER(TRIM(E1966))="C"),"C",IF(OR(LEFT(UPPER(TRIM(E1966)),1)="D",UPPER(TRIM(E1966))="D"),"D","")))))))</f>
        <v/>
      </c>
      <c r="J1966" s="27" t="str">
        <f aca="false">IF(I1966="","",IF(AND(I1966="D",Settings!$B$6&lt;&gt;"Yes"),"",IFERROR(INDEX(Settings!$C$9:$C$12,MATCH(I1966,Settings!$A$9:$A$12,0)),"")))</f>
        <v/>
      </c>
      <c r="K1966" s="27" t="str">
        <f aca="false">IF(J1966="","",COUNTIF($I$2:I1966,I1966))</f>
        <v/>
      </c>
      <c r="L1966" s="27" t="str">
        <f aca="false">IF(J1966="","",CHOOSE(Q1966+1,"Tue","Wed","Thu","Fri"))</f>
        <v/>
      </c>
      <c r="M1966" s="27" t="str">
        <f aca="false">IF(J1966="","",IF(J1966=1,"Every week",R1966+1&amp;" of "&amp;J1966))</f>
        <v/>
      </c>
      <c r="N1966" s="28" t="str">
        <f aca="false">IF(J1966="","",Settings!$B$4+R1966*7+Q1966)</f>
        <v/>
      </c>
      <c r="O1966" s="28" t="str">
        <f aca="true">IF(J1966="","",N1966+MAX(0,ROUNDUP((TODAY()-N1966)/(J1966*7),0))*J1966*7)</f>
        <v/>
      </c>
      <c r="P1966" s="27" t="str">
        <f aca="false">IF(J1966="","",MOD(K1966-1,J1966*4))</f>
        <v/>
      </c>
      <c r="Q1966" s="27" t="str">
        <f aca="false">IF(J1966="","",MOD(P1966,4))</f>
        <v/>
      </c>
      <c r="R1966" s="27" t="str">
        <f aca="false">IF(J1966="","",INT(P1966/4))</f>
        <v/>
      </c>
      <c r="S1966" s="27" t="str">
        <f aca="false">IF(J1966="","",IF(AND('Daily Count Sheet'!$H$3=Q1966,MOD('Daily Count Sheet'!$I$3,J1966)=R1966),1,""))</f>
        <v/>
      </c>
      <c r="T1966" s="27" t="str">
        <f aca="false">IF(S1966=1,COUNTIF($S$2:S1966,1),"")</f>
        <v/>
      </c>
    </row>
    <row r="1967" customFormat="false" ht="15" hidden="false" customHeight="false" outlineLevel="0" collapsed="false">
      <c r="H1967" s="26"/>
      <c r="I1967" s="27" t="str">
        <f aca="false">IF(A1967="","",IF(H1967&lt;&gt;"",UPPER(TRIM(H1967)),IFERROR(CHOOSE(VALUE(E1967)+1,"A","B","C","D"),IF(OR(LEFT(UPPER(TRIM(E1967)),1)="F",UPPER(TRIM(E1967))="A"),"A",IF(OR(LEFT(UPPER(TRIM(E1967)),1)="M",UPPER(TRIM(E1967))="B"),"B",IF(OR(LEFT(UPPER(TRIM(E1967)),2)="SL",UPPER(TRIM(E1967))="C"),"C",IF(OR(LEFT(UPPER(TRIM(E1967)),1)="D",UPPER(TRIM(E1967))="D"),"D","")))))))</f>
        <v/>
      </c>
      <c r="J1967" s="27" t="str">
        <f aca="false">IF(I1967="","",IF(AND(I1967="D",Settings!$B$6&lt;&gt;"Yes"),"",IFERROR(INDEX(Settings!$C$9:$C$12,MATCH(I1967,Settings!$A$9:$A$12,0)),"")))</f>
        <v/>
      </c>
      <c r="K1967" s="27" t="str">
        <f aca="false">IF(J1967="","",COUNTIF($I$2:I1967,I1967))</f>
        <v/>
      </c>
      <c r="L1967" s="27" t="str">
        <f aca="false">IF(J1967="","",CHOOSE(Q1967+1,"Tue","Wed","Thu","Fri"))</f>
        <v/>
      </c>
      <c r="M1967" s="27" t="str">
        <f aca="false">IF(J1967="","",IF(J1967=1,"Every week",R1967+1&amp;" of "&amp;J1967))</f>
        <v/>
      </c>
      <c r="N1967" s="28" t="str">
        <f aca="false">IF(J1967="","",Settings!$B$4+R1967*7+Q1967)</f>
        <v/>
      </c>
      <c r="O1967" s="28" t="str">
        <f aca="true">IF(J1967="","",N1967+MAX(0,ROUNDUP((TODAY()-N1967)/(J1967*7),0))*J1967*7)</f>
        <v/>
      </c>
      <c r="P1967" s="27" t="str">
        <f aca="false">IF(J1967="","",MOD(K1967-1,J1967*4))</f>
        <v/>
      </c>
      <c r="Q1967" s="27" t="str">
        <f aca="false">IF(J1967="","",MOD(P1967,4))</f>
        <v/>
      </c>
      <c r="R1967" s="27" t="str">
        <f aca="false">IF(J1967="","",INT(P1967/4))</f>
        <v/>
      </c>
      <c r="S1967" s="27" t="str">
        <f aca="false">IF(J1967="","",IF(AND('Daily Count Sheet'!$H$3=Q1967,MOD('Daily Count Sheet'!$I$3,J1967)=R1967),1,""))</f>
        <v/>
      </c>
      <c r="T1967" s="27" t="str">
        <f aca="false">IF(S1967=1,COUNTIF($S$2:S1967,1),"")</f>
        <v/>
      </c>
    </row>
    <row r="1968" customFormat="false" ht="15" hidden="false" customHeight="false" outlineLevel="0" collapsed="false">
      <c r="H1968" s="26"/>
      <c r="I1968" s="27" t="str">
        <f aca="false">IF(A1968="","",IF(H1968&lt;&gt;"",UPPER(TRIM(H1968)),IFERROR(CHOOSE(VALUE(E1968)+1,"A","B","C","D"),IF(OR(LEFT(UPPER(TRIM(E1968)),1)="F",UPPER(TRIM(E1968))="A"),"A",IF(OR(LEFT(UPPER(TRIM(E1968)),1)="M",UPPER(TRIM(E1968))="B"),"B",IF(OR(LEFT(UPPER(TRIM(E1968)),2)="SL",UPPER(TRIM(E1968))="C"),"C",IF(OR(LEFT(UPPER(TRIM(E1968)),1)="D",UPPER(TRIM(E1968))="D"),"D","")))))))</f>
        <v/>
      </c>
      <c r="J1968" s="27" t="str">
        <f aca="false">IF(I1968="","",IF(AND(I1968="D",Settings!$B$6&lt;&gt;"Yes"),"",IFERROR(INDEX(Settings!$C$9:$C$12,MATCH(I1968,Settings!$A$9:$A$12,0)),"")))</f>
        <v/>
      </c>
      <c r="K1968" s="27" t="str">
        <f aca="false">IF(J1968="","",COUNTIF($I$2:I1968,I1968))</f>
        <v/>
      </c>
      <c r="L1968" s="27" t="str">
        <f aca="false">IF(J1968="","",CHOOSE(Q1968+1,"Tue","Wed","Thu","Fri"))</f>
        <v/>
      </c>
      <c r="M1968" s="27" t="str">
        <f aca="false">IF(J1968="","",IF(J1968=1,"Every week",R1968+1&amp;" of "&amp;J1968))</f>
        <v/>
      </c>
      <c r="N1968" s="28" t="str">
        <f aca="false">IF(J1968="","",Settings!$B$4+R1968*7+Q1968)</f>
        <v/>
      </c>
      <c r="O1968" s="28" t="str">
        <f aca="true">IF(J1968="","",N1968+MAX(0,ROUNDUP((TODAY()-N1968)/(J1968*7),0))*J1968*7)</f>
        <v/>
      </c>
      <c r="P1968" s="27" t="str">
        <f aca="false">IF(J1968="","",MOD(K1968-1,J1968*4))</f>
        <v/>
      </c>
      <c r="Q1968" s="27" t="str">
        <f aca="false">IF(J1968="","",MOD(P1968,4))</f>
        <v/>
      </c>
      <c r="R1968" s="27" t="str">
        <f aca="false">IF(J1968="","",INT(P1968/4))</f>
        <v/>
      </c>
      <c r="S1968" s="27" t="str">
        <f aca="false">IF(J1968="","",IF(AND('Daily Count Sheet'!$H$3=Q1968,MOD('Daily Count Sheet'!$I$3,J1968)=R1968),1,""))</f>
        <v/>
      </c>
      <c r="T1968" s="27" t="str">
        <f aca="false">IF(S1968=1,COUNTIF($S$2:S1968,1),"")</f>
        <v/>
      </c>
    </row>
    <row r="1969" customFormat="false" ht="15" hidden="false" customHeight="false" outlineLevel="0" collapsed="false">
      <c r="H1969" s="26"/>
      <c r="I1969" s="27" t="str">
        <f aca="false">IF(A1969="","",IF(H1969&lt;&gt;"",UPPER(TRIM(H1969)),IFERROR(CHOOSE(VALUE(E1969)+1,"A","B","C","D"),IF(OR(LEFT(UPPER(TRIM(E1969)),1)="F",UPPER(TRIM(E1969))="A"),"A",IF(OR(LEFT(UPPER(TRIM(E1969)),1)="M",UPPER(TRIM(E1969))="B"),"B",IF(OR(LEFT(UPPER(TRIM(E1969)),2)="SL",UPPER(TRIM(E1969))="C"),"C",IF(OR(LEFT(UPPER(TRIM(E1969)),1)="D",UPPER(TRIM(E1969))="D"),"D","")))))))</f>
        <v/>
      </c>
      <c r="J1969" s="27" t="str">
        <f aca="false">IF(I1969="","",IF(AND(I1969="D",Settings!$B$6&lt;&gt;"Yes"),"",IFERROR(INDEX(Settings!$C$9:$C$12,MATCH(I1969,Settings!$A$9:$A$12,0)),"")))</f>
        <v/>
      </c>
      <c r="K1969" s="27" t="str">
        <f aca="false">IF(J1969="","",COUNTIF($I$2:I1969,I1969))</f>
        <v/>
      </c>
      <c r="L1969" s="27" t="str">
        <f aca="false">IF(J1969="","",CHOOSE(Q1969+1,"Tue","Wed","Thu","Fri"))</f>
        <v/>
      </c>
      <c r="M1969" s="27" t="str">
        <f aca="false">IF(J1969="","",IF(J1969=1,"Every week",R1969+1&amp;" of "&amp;J1969))</f>
        <v/>
      </c>
      <c r="N1969" s="28" t="str">
        <f aca="false">IF(J1969="","",Settings!$B$4+R1969*7+Q1969)</f>
        <v/>
      </c>
      <c r="O1969" s="28" t="str">
        <f aca="true">IF(J1969="","",N1969+MAX(0,ROUNDUP((TODAY()-N1969)/(J1969*7),0))*J1969*7)</f>
        <v/>
      </c>
      <c r="P1969" s="27" t="str">
        <f aca="false">IF(J1969="","",MOD(K1969-1,J1969*4))</f>
        <v/>
      </c>
      <c r="Q1969" s="27" t="str">
        <f aca="false">IF(J1969="","",MOD(P1969,4))</f>
        <v/>
      </c>
      <c r="R1969" s="27" t="str">
        <f aca="false">IF(J1969="","",INT(P1969/4))</f>
        <v/>
      </c>
      <c r="S1969" s="27" t="str">
        <f aca="false">IF(J1969="","",IF(AND('Daily Count Sheet'!$H$3=Q1969,MOD('Daily Count Sheet'!$I$3,J1969)=R1969),1,""))</f>
        <v/>
      </c>
      <c r="T1969" s="27" t="str">
        <f aca="false">IF(S1969=1,COUNTIF($S$2:S1969,1),"")</f>
        <v/>
      </c>
    </row>
    <row r="1970" customFormat="false" ht="15" hidden="false" customHeight="false" outlineLevel="0" collapsed="false">
      <c r="H1970" s="26"/>
      <c r="I1970" s="27" t="str">
        <f aca="false">IF(A1970="","",IF(H1970&lt;&gt;"",UPPER(TRIM(H1970)),IFERROR(CHOOSE(VALUE(E1970)+1,"A","B","C","D"),IF(OR(LEFT(UPPER(TRIM(E1970)),1)="F",UPPER(TRIM(E1970))="A"),"A",IF(OR(LEFT(UPPER(TRIM(E1970)),1)="M",UPPER(TRIM(E1970))="B"),"B",IF(OR(LEFT(UPPER(TRIM(E1970)),2)="SL",UPPER(TRIM(E1970))="C"),"C",IF(OR(LEFT(UPPER(TRIM(E1970)),1)="D",UPPER(TRIM(E1970))="D"),"D","")))))))</f>
        <v/>
      </c>
      <c r="J1970" s="27" t="str">
        <f aca="false">IF(I1970="","",IF(AND(I1970="D",Settings!$B$6&lt;&gt;"Yes"),"",IFERROR(INDEX(Settings!$C$9:$C$12,MATCH(I1970,Settings!$A$9:$A$12,0)),"")))</f>
        <v/>
      </c>
      <c r="K1970" s="27" t="str">
        <f aca="false">IF(J1970="","",COUNTIF($I$2:I1970,I1970))</f>
        <v/>
      </c>
      <c r="L1970" s="27" t="str">
        <f aca="false">IF(J1970="","",CHOOSE(Q1970+1,"Tue","Wed","Thu","Fri"))</f>
        <v/>
      </c>
      <c r="M1970" s="27" t="str">
        <f aca="false">IF(J1970="","",IF(J1970=1,"Every week",R1970+1&amp;" of "&amp;J1970))</f>
        <v/>
      </c>
      <c r="N1970" s="28" t="str">
        <f aca="false">IF(J1970="","",Settings!$B$4+R1970*7+Q1970)</f>
        <v/>
      </c>
      <c r="O1970" s="28" t="str">
        <f aca="true">IF(J1970="","",N1970+MAX(0,ROUNDUP((TODAY()-N1970)/(J1970*7),0))*J1970*7)</f>
        <v/>
      </c>
      <c r="P1970" s="27" t="str">
        <f aca="false">IF(J1970="","",MOD(K1970-1,J1970*4))</f>
        <v/>
      </c>
      <c r="Q1970" s="27" t="str">
        <f aca="false">IF(J1970="","",MOD(P1970,4))</f>
        <v/>
      </c>
      <c r="R1970" s="27" t="str">
        <f aca="false">IF(J1970="","",INT(P1970/4))</f>
        <v/>
      </c>
      <c r="S1970" s="27" t="str">
        <f aca="false">IF(J1970="","",IF(AND('Daily Count Sheet'!$H$3=Q1970,MOD('Daily Count Sheet'!$I$3,J1970)=R1970),1,""))</f>
        <v/>
      </c>
      <c r="T1970" s="27" t="str">
        <f aca="false">IF(S1970=1,COUNTIF($S$2:S1970,1),"")</f>
        <v/>
      </c>
    </row>
    <row r="1971" customFormat="false" ht="15" hidden="false" customHeight="false" outlineLevel="0" collapsed="false">
      <c r="H1971" s="26"/>
      <c r="I1971" s="27" t="str">
        <f aca="false">IF(A1971="","",IF(H1971&lt;&gt;"",UPPER(TRIM(H1971)),IFERROR(CHOOSE(VALUE(E1971)+1,"A","B","C","D"),IF(OR(LEFT(UPPER(TRIM(E1971)),1)="F",UPPER(TRIM(E1971))="A"),"A",IF(OR(LEFT(UPPER(TRIM(E1971)),1)="M",UPPER(TRIM(E1971))="B"),"B",IF(OR(LEFT(UPPER(TRIM(E1971)),2)="SL",UPPER(TRIM(E1971))="C"),"C",IF(OR(LEFT(UPPER(TRIM(E1971)),1)="D",UPPER(TRIM(E1971))="D"),"D","")))))))</f>
        <v/>
      </c>
      <c r="J1971" s="27" t="str">
        <f aca="false">IF(I1971="","",IF(AND(I1971="D",Settings!$B$6&lt;&gt;"Yes"),"",IFERROR(INDEX(Settings!$C$9:$C$12,MATCH(I1971,Settings!$A$9:$A$12,0)),"")))</f>
        <v/>
      </c>
      <c r="K1971" s="27" t="str">
        <f aca="false">IF(J1971="","",COUNTIF($I$2:I1971,I1971))</f>
        <v/>
      </c>
      <c r="L1971" s="27" t="str">
        <f aca="false">IF(J1971="","",CHOOSE(Q1971+1,"Tue","Wed","Thu","Fri"))</f>
        <v/>
      </c>
      <c r="M1971" s="27" t="str">
        <f aca="false">IF(J1971="","",IF(J1971=1,"Every week",R1971+1&amp;" of "&amp;J1971))</f>
        <v/>
      </c>
      <c r="N1971" s="28" t="str">
        <f aca="false">IF(J1971="","",Settings!$B$4+R1971*7+Q1971)</f>
        <v/>
      </c>
      <c r="O1971" s="28" t="str">
        <f aca="true">IF(J1971="","",N1971+MAX(0,ROUNDUP((TODAY()-N1971)/(J1971*7),0))*J1971*7)</f>
        <v/>
      </c>
      <c r="P1971" s="27" t="str">
        <f aca="false">IF(J1971="","",MOD(K1971-1,J1971*4))</f>
        <v/>
      </c>
      <c r="Q1971" s="27" t="str">
        <f aca="false">IF(J1971="","",MOD(P1971,4))</f>
        <v/>
      </c>
      <c r="R1971" s="27" t="str">
        <f aca="false">IF(J1971="","",INT(P1971/4))</f>
        <v/>
      </c>
      <c r="S1971" s="27" t="str">
        <f aca="false">IF(J1971="","",IF(AND('Daily Count Sheet'!$H$3=Q1971,MOD('Daily Count Sheet'!$I$3,J1971)=R1971),1,""))</f>
        <v/>
      </c>
      <c r="T1971" s="27" t="str">
        <f aca="false">IF(S1971=1,COUNTIF($S$2:S1971,1),"")</f>
        <v/>
      </c>
    </row>
    <row r="1972" customFormat="false" ht="15" hidden="false" customHeight="false" outlineLevel="0" collapsed="false">
      <c r="H1972" s="26"/>
      <c r="I1972" s="27" t="str">
        <f aca="false">IF(A1972="","",IF(H1972&lt;&gt;"",UPPER(TRIM(H1972)),IFERROR(CHOOSE(VALUE(E1972)+1,"A","B","C","D"),IF(OR(LEFT(UPPER(TRIM(E1972)),1)="F",UPPER(TRIM(E1972))="A"),"A",IF(OR(LEFT(UPPER(TRIM(E1972)),1)="M",UPPER(TRIM(E1972))="B"),"B",IF(OR(LEFT(UPPER(TRIM(E1972)),2)="SL",UPPER(TRIM(E1972))="C"),"C",IF(OR(LEFT(UPPER(TRIM(E1972)),1)="D",UPPER(TRIM(E1972))="D"),"D","")))))))</f>
        <v/>
      </c>
      <c r="J1972" s="27" t="str">
        <f aca="false">IF(I1972="","",IF(AND(I1972="D",Settings!$B$6&lt;&gt;"Yes"),"",IFERROR(INDEX(Settings!$C$9:$C$12,MATCH(I1972,Settings!$A$9:$A$12,0)),"")))</f>
        <v/>
      </c>
      <c r="K1972" s="27" t="str">
        <f aca="false">IF(J1972="","",COUNTIF($I$2:I1972,I1972))</f>
        <v/>
      </c>
      <c r="L1972" s="27" t="str">
        <f aca="false">IF(J1972="","",CHOOSE(Q1972+1,"Tue","Wed","Thu","Fri"))</f>
        <v/>
      </c>
      <c r="M1972" s="27" t="str">
        <f aca="false">IF(J1972="","",IF(J1972=1,"Every week",R1972+1&amp;" of "&amp;J1972))</f>
        <v/>
      </c>
      <c r="N1972" s="28" t="str">
        <f aca="false">IF(J1972="","",Settings!$B$4+R1972*7+Q1972)</f>
        <v/>
      </c>
      <c r="O1972" s="28" t="str">
        <f aca="true">IF(J1972="","",N1972+MAX(0,ROUNDUP((TODAY()-N1972)/(J1972*7),0))*J1972*7)</f>
        <v/>
      </c>
      <c r="P1972" s="27" t="str">
        <f aca="false">IF(J1972="","",MOD(K1972-1,J1972*4))</f>
        <v/>
      </c>
      <c r="Q1972" s="27" t="str">
        <f aca="false">IF(J1972="","",MOD(P1972,4))</f>
        <v/>
      </c>
      <c r="R1972" s="27" t="str">
        <f aca="false">IF(J1972="","",INT(P1972/4))</f>
        <v/>
      </c>
      <c r="S1972" s="27" t="str">
        <f aca="false">IF(J1972="","",IF(AND('Daily Count Sheet'!$H$3=Q1972,MOD('Daily Count Sheet'!$I$3,J1972)=R1972),1,""))</f>
        <v/>
      </c>
      <c r="T1972" s="27" t="str">
        <f aca="false">IF(S1972=1,COUNTIF($S$2:S1972,1),"")</f>
        <v/>
      </c>
    </row>
    <row r="1973" customFormat="false" ht="15" hidden="false" customHeight="false" outlineLevel="0" collapsed="false">
      <c r="H1973" s="26"/>
      <c r="I1973" s="27" t="str">
        <f aca="false">IF(A1973="","",IF(H1973&lt;&gt;"",UPPER(TRIM(H1973)),IFERROR(CHOOSE(VALUE(E1973)+1,"A","B","C","D"),IF(OR(LEFT(UPPER(TRIM(E1973)),1)="F",UPPER(TRIM(E1973))="A"),"A",IF(OR(LEFT(UPPER(TRIM(E1973)),1)="M",UPPER(TRIM(E1973))="B"),"B",IF(OR(LEFT(UPPER(TRIM(E1973)),2)="SL",UPPER(TRIM(E1973))="C"),"C",IF(OR(LEFT(UPPER(TRIM(E1973)),1)="D",UPPER(TRIM(E1973))="D"),"D","")))))))</f>
        <v/>
      </c>
      <c r="J1973" s="27" t="str">
        <f aca="false">IF(I1973="","",IF(AND(I1973="D",Settings!$B$6&lt;&gt;"Yes"),"",IFERROR(INDEX(Settings!$C$9:$C$12,MATCH(I1973,Settings!$A$9:$A$12,0)),"")))</f>
        <v/>
      </c>
      <c r="K1973" s="27" t="str">
        <f aca="false">IF(J1973="","",COUNTIF($I$2:I1973,I1973))</f>
        <v/>
      </c>
      <c r="L1973" s="27" t="str">
        <f aca="false">IF(J1973="","",CHOOSE(Q1973+1,"Tue","Wed","Thu","Fri"))</f>
        <v/>
      </c>
      <c r="M1973" s="27" t="str">
        <f aca="false">IF(J1973="","",IF(J1973=1,"Every week",R1973+1&amp;" of "&amp;J1973))</f>
        <v/>
      </c>
      <c r="N1973" s="28" t="str">
        <f aca="false">IF(J1973="","",Settings!$B$4+R1973*7+Q1973)</f>
        <v/>
      </c>
      <c r="O1973" s="28" t="str">
        <f aca="true">IF(J1973="","",N1973+MAX(0,ROUNDUP((TODAY()-N1973)/(J1973*7),0))*J1973*7)</f>
        <v/>
      </c>
      <c r="P1973" s="27" t="str">
        <f aca="false">IF(J1973="","",MOD(K1973-1,J1973*4))</f>
        <v/>
      </c>
      <c r="Q1973" s="27" t="str">
        <f aca="false">IF(J1973="","",MOD(P1973,4))</f>
        <v/>
      </c>
      <c r="R1973" s="27" t="str">
        <f aca="false">IF(J1973="","",INT(P1973/4))</f>
        <v/>
      </c>
      <c r="S1973" s="27" t="str">
        <f aca="false">IF(J1973="","",IF(AND('Daily Count Sheet'!$H$3=Q1973,MOD('Daily Count Sheet'!$I$3,J1973)=R1973),1,""))</f>
        <v/>
      </c>
      <c r="T1973" s="27" t="str">
        <f aca="false">IF(S1973=1,COUNTIF($S$2:S1973,1),"")</f>
        <v/>
      </c>
    </row>
    <row r="1974" customFormat="false" ht="15" hidden="false" customHeight="false" outlineLevel="0" collapsed="false">
      <c r="H1974" s="26"/>
      <c r="I1974" s="27" t="str">
        <f aca="false">IF(A1974="","",IF(H1974&lt;&gt;"",UPPER(TRIM(H1974)),IFERROR(CHOOSE(VALUE(E1974)+1,"A","B","C","D"),IF(OR(LEFT(UPPER(TRIM(E1974)),1)="F",UPPER(TRIM(E1974))="A"),"A",IF(OR(LEFT(UPPER(TRIM(E1974)),1)="M",UPPER(TRIM(E1974))="B"),"B",IF(OR(LEFT(UPPER(TRIM(E1974)),2)="SL",UPPER(TRIM(E1974))="C"),"C",IF(OR(LEFT(UPPER(TRIM(E1974)),1)="D",UPPER(TRIM(E1974))="D"),"D","")))))))</f>
        <v/>
      </c>
      <c r="J1974" s="27" t="str">
        <f aca="false">IF(I1974="","",IF(AND(I1974="D",Settings!$B$6&lt;&gt;"Yes"),"",IFERROR(INDEX(Settings!$C$9:$C$12,MATCH(I1974,Settings!$A$9:$A$12,0)),"")))</f>
        <v/>
      </c>
      <c r="K1974" s="27" t="str">
        <f aca="false">IF(J1974="","",COUNTIF($I$2:I1974,I1974))</f>
        <v/>
      </c>
      <c r="L1974" s="27" t="str">
        <f aca="false">IF(J1974="","",CHOOSE(Q1974+1,"Tue","Wed","Thu","Fri"))</f>
        <v/>
      </c>
      <c r="M1974" s="27" t="str">
        <f aca="false">IF(J1974="","",IF(J1974=1,"Every week",R1974+1&amp;" of "&amp;J1974))</f>
        <v/>
      </c>
      <c r="N1974" s="28" t="str">
        <f aca="false">IF(J1974="","",Settings!$B$4+R1974*7+Q1974)</f>
        <v/>
      </c>
      <c r="O1974" s="28" t="str">
        <f aca="true">IF(J1974="","",N1974+MAX(0,ROUNDUP((TODAY()-N1974)/(J1974*7),0))*J1974*7)</f>
        <v/>
      </c>
      <c r="P1974" s="27" t="str">
        <f aca="false">IF(J1974="","",MOD(K1974-1,J1974*4))</f>
        <v/>
      </c>
      <c r="Q1974" s="27" t="str">
        <f aca="false">IF(J1974="","",MOD(P1974,4))</f>
        <v/>
      </c>
      <c r="R1974" s="27" t="str">
        <f aca="false">IF(J1974="","",INT(P1974/4))</f>
        <v/>
      </c>
      <c r="S1974" s="27" t="str">
        <f aca="false">IF(J1974="","",IF(AND('Daily Count Sheet'!$H$3=Q1974,MOD('Daily Count Sheet'!$I$3,J1974)=R1974),1,""))</f>
        <v/>
      </c>
      <c r="T1974" s="27" t="str">
        <f aca="false">IF(S1974=1,COUNTIF($S$2:S1974,1),"")</f>
        <v/>
      </c>
    </row>
    <row r="1975" customFormat="false" ht="15" hidden="false" customHeight="false" outlineLevel="0" collapsed="false">
      <c r="H1975" s="26"/>
      <c r="I1975" s="27" t="str">
        <f aca="false">IF(A1975="","",IF(H1975&lt;&gt;"",UPPER(TRIM(H1975)),IFERROR(CHOOSE(VALUE(E1975)+1,"A","B","C","D"),IF(OR(LEFT(UPPER(TRIM(E1975)),1)="F",UPPER(TRIM(E1975))="A"),"A",IF(OR(LEFT(UPPER(TRIM(E1975)),1)="M",UPPER(TRIM(E1975))="B"),"B",IF(OR(LEFT(UPPER(TRIM(E1975)),2)="SL",UPPER(TRIM(E1975))="C"),"C",IF(OR(LEFT(UPPER(TRIM(E1975)),1)="D",UPPER(TRIM(E1975))="D"),"D","")))))))</f>
        <v/>
      </c>
      <c r="J1975" s="27" t="str">
        <f aca="false">IF(I1975="","",IF(AND(I1975="D",Settings!$B$6&lt;&gt;"Yes"),"",IFERROR(INDEX(Settings!$C$9:$C$12,MATCH(I1975,Settings!$A$9:$A$12,0)),"")))</f>
        <v/>
      </c>
      <c r="K1975" s="27" t="str">
        <f aca="false">IF(J1975="","",COUNTIF($I$2:I1975,I1975))</f>
        <v/>
      </c>
      <c r="L1975" s="27" t="str">
        <f aca="false">IF(J1975="","",CHOOSE(Q1975+1,"Tue","Wed","Thu","Fri"))</f>
        <v/>
      </c>
      <c r="M1975" s="27" t="str">
        <f aca="false">IF(J1975="","",IF(J1975=1,"Every week",R1975+1&amp;" of "&amp;J1975))</f>
        <v/>
      </c>
      <c r="N1975" s="28" t="str">
        <f aca="false">IF(J1975="","",Settings!$B$4+R1975*7+Q1975)</f>
        <v/>
      </c>
      <c r="O1975" s="28" t="str">
        <f aca="true">IF(J1975="","",N1975+MAX(0,ROUNDUP((TODAY()-N1975)/(J1975*7),0))*J1975*7)</f>
        <v/>
      </c>
      <c r="P1975" s="27" t="str">
        <f aca="false">IF(J1975="","",MOD(K1975-1,J1975*4))</f>
        <v/>
      </c>
      <c r="Q1975" s="27" t="str">
        <f aca="false">IF(J1975="","",MOD(P1975,4))</f>
        <v/>
      </c>
      <c r="R1975" s="27" t="str">
        <f aca="false">IF(J1975="","",INT(P1975/4))</f>
        <v/>
      </c>
      <c r="S1975" s="27" t="str">
        <f aca="false">IF(J1975="","",IF(AND('Daily Count Sheet'!$H$3=Q1975,MOD('Daily Count Sheet'!$I$3,J1975)=R1975),1,""))</f>
        <v/>
      </c>
      <c r="T1975" s="27" t="str">
        <f aca="false">IF(S1975=1,COUNTIF($S$2:S1975,1),"")</f>
        <v/>
      </c>
    </row>
    <row r="1976" customFormat="false" ht="15" hidden="false" customHeight="false" outlineLevel="0" collapsed="false">
      <c r="H1976" s="26"/>
      <c r="I1976" s="27" t="str">
        <f aca="false">IF(A1976="","",IF(H1976&lt;&gt;"",UPPER(TRIM(H1976)),IFERROR(CHOOSE(VALUE(E1976)+1,"A","B","C","D"),IF(OR(LEFT(UPPER(TRIM(E1976)),1)="F",UPPER(TRIM(E1976))="A"),"A",IF(OR(LEFT(UPPER(TRIM(E1976)),1)="M",UPPER(TRIM(E1976))="B"),"B",IF(OR(LEFT(UPPER(TRIM(E1976)),2)="SL",UPPER(TRIM(E1976))="C"),"C",IF(OR(LEFT(UPPER(TRIM(E1976)),1)="D",UPPER(TRIM(E1976))="D"),"D","")))))))</f>
        <v/>
      </c>
      <c r="J1976" s="27" t="str">
        <f aca="false">IF(I1976="","",IF(AND(I1976="D",Settings!$B$6&lt;&gt;"Yes"),"",IFERROR(INDEX(Settings!$C$9:$C$12,MATCH(I1976,Settings!$A$9:$A$12,0)),"")))</f>
        <v/>
      </c>
      <c r="K1976" s="27" t="str">
        <f aca="false">IF(J1976="","",COUNTIF($I$2:I1976,I1976))</f>
        <v/>
      </c>
      <c r="L1976" s="27" t="str">
        <f aca="false">IF(J1976="","",CHOOSE(Q1976+1,"Tue","Wed","Thu","Fri"))</f>
        <v/>
      </c>
      <c r="M1976" s="27" t="str">
        <f aca="false">IF(J1976="","",IF(J1976=1,"Every week",R1976+1&amp;" of "&amp;J1976))</f>
        <v/>
      </c>
      <c r="N1976" s="28" t="str">
        <f aca="false">IF(J1976="","",Settings!$B$4+R1976*7+Q1976)</f>
        <v/>
      </c>
      <c r="O1976" s="28" t="str">
        <f aca="true">IF(J1976="","",N1976+MAX(0,ROUNDUP((TODAY()-N1976)/(J1976*7),0))*J1976*7)</f>
        <v/>
      </c>
      <c r="P1976" s="27" t="str">
        <f aca="false">IF(J1976="","",MOD(K1976-1,J1976*4))</f>
        <v/>
      </c>
      <c r="Q1976" s="27" t="str">
        <f aca="false">IF(J1976="","",MOD(P1976,4))</f>
        <v/>
      </c>
      <c r="R1976" s="27" t="str">
        <f aca="false">IF(J1976="","",INT(P1976/4))</f>
        <v/>
      </c>
      <c r="S1976" s="27" t="str">
        <f aca="false">IF(J1976="","",IF(AND('Daily Count Sheet'!$H$3=Q1976,MOD('Daily Count Sheet'!$I$3,J1976)=R1976),1,""))</f>
        <v/>
      </c>
      <c r="T1976" s="27" t="str">
        <f aca="false">IF(S1976=1,COUNTIF($S$2:S1976,1),"")</f>
        <v/>
      </c>
    </row>
    <row r="1977" customFormat="false" ht="15" hidden="false" customHeight="false" outlineLevel="0" collapsed="false">
      <c r="H1977" s="26"/>
      <c r="I1977" s="27" t="str">
        <f aca="false">IF(A1977="","",IF(H1977&lt;&gt;"",UPPER(TRIM(H1977)),IFERROR(CHOOSE(VALUE(E1977)+1,"A","B","C","D"),IF(OR(LEFT(UPPER(TRIM(E1977)),1)="F",UPPER(TRIM(E1977))="A"),"A",IF(OR(LEFT(UPPER(TRIM(E1977)),1)="M",UPPER(TRIM(E1977))="B"),"B",IF(OR(LEFT(UPPER(TRIM(E1977)),2)="SL",UPPER(TRIM(E1977))="C"),"C",IF(OR(LEFT(UPPER(TRIM(E1977)),1)="D",UPPER(TRIM(E1977))="D"),"D","")))))))</f>
        <v/>
      </c>
      <c r="J1977" s="27" t="str">
        <f aca="false">IF(I1977="","",IF(AND(I1977="D",Settings!$B$6&lt;&gt;"Yes"),"",IFERROR(INDEX(Settings!$C$9:$C$12,MATCH(I1977,Settings!$A$9:$A$12,0)),"")))</f>
        <v/>
      </c>
      <c r="K1977" s="27" t="str">
        <f aca="false">IF(J1977="","",COUNTIF($I$2:I1977,I1977))</f>
        <v/>
      </c>
      <c r="L1977" s="27" t="str">
        <f aca="false">IF(J1977="","",CHOOSE(Q1977+1,"Tue","Wed","Thu","Fri"))</f>
        <v/>
      </c>
      <c r="M1977" s="27" t="str">
        <f aca="false">IF(J1977="","",IF(J1977=1,"Every week",R1977+1&amp;" of "&amp;J1977))</f>
        <v/>
      </c>
      <c r="N1977" s="28" t="str">
        <f aca="false">IF(J1977="","",Settings!$B$4+R1977*7+Q1977)</f>
        <v/>
      </c>
      <c r="O1977" s="28" t="str">
        <f aca="true">IF(J1977="","",N1977+MAX(0,ROUNDUP((TODAY()-N1977)/(J1977*7),0))*J1977*7)</f>
        <v/>
      </c>
      <c r="P1977" s="27" t="str">
        <f aca="false">IF(J1977="","",MOD(K1977-1,J1977*4))</f>
        <v/>
      </c>
      <c r="Q1977" s="27" t="str">
        <f aca="false">IF(J1977="","",MOD(P1977,4))</f>
        <v/>
      </c>
      <c r="R1977" s="27" t="str">
        <f aca="false">IF(J1977="","",INT(P1977/4))</f>
        <v/>
      </c>
      <c r="S1977" s="27" t="str">
        <f aca="false">IF(J1977="","",IF(AND('Daily Count Sheet'!$H$3=Q1977,MOD('Daily Count Sheet'!$I$3,J1977)=R1977),1,""))</f>
        <v/>
      </c>
      <c r="T1977" s="27" t="str">
        <f aca="false">IF(S1977=1,COUNTIF($S$2:S1977,1),"")</f>
        <v/>
      </c>
    </row>
    <row r="1978" customFormat="false" ht="15" hidden="false" customHeight="false" outlineLevel="0" collapsed="false">
      <c r="H1978" s="26"/>
      <c r="I1978" s="27" t="str">
        <f aca="false">IF(A1978="","",IF(H1978&lt;&gt;"",UPPER(TRIM(H1978)),IFERROR(CHOOSE(VALUE(E1978)+1,"A","B","C","D"),IF(OR(LEFT(UPPER(TRIM(E1978)),1)="F",UPPER(TRIM(E1978))="A"),"A",IF(OR(LEFT(UPPER(TRIM(E1978)),1)="M",UPPER(TRIM(E1978))="B"),"B",IF(OR(LEFT(UPPER(TRIM(E1978)),2)="SL",UPPER(TRIM(E1978))="C"),"C",IF(OR(LEFT(UPPER(TRIM(E1978)),1)="D",UPPER(TRIM(E1978))="D"),"D","")))))))</f>
        <v/>
      </c>
      <c r="J1978" s="27" t="str">
        <f aca="false">IF(I1978="","",IF(AND(I1978="D",Settings!$B$6&lt;&gt;"Yes"),"",IFERROR(INDEX(Settings!$C$9:$C$12,MATCH(I1978,Settings!$A$9:$A$12,0)),"")))</f>
        <v/>
      </c>
      <c r="K1978" s="27" t="str">
        <f aca="false">IF(J1978="","",COUNTIF($I$2:I1978,I1978))</f>
        <v/>
      </c>
      <c r="L1978" s="27" t="str">
        <f aca="false">IF(J1978="","",CHOOSE(Q1978+1,"Tue","Wed","Thu","Fri"))</f>
        <v/>
      </c>
      <c r="M1978" s="27" t="str">
        <f aca="false">IF(J1978="","",IF(J1978=1,"Every week",R1978+1&amp;" of "&amp;J1978))</f>
        <v/>
      </c>
      <c r="N1978" s="28" t="str">
        <f aca="false">IF(J1978="","",Settings!$B$4+R1978*7+Q1978)</f>
        <v/>
      </c>
      <c r="O1978" s="28" t="str">
        <f aca="true">IF(J1978="","",N1978+MAX(0,ROUNDUP((TODAY()-N1978)/(J1978*7),0))*J1978*7)</f>
        <v/>
      </c>
      <c r="P1978" s="27" t="str">
        <f aca="false">IF(J1978="","",MOD(K1978-1,J1978*4))</f>
        <v/>
      </c>
      <c r="Q1978" s="27" t="str">
        <f aca="false">IF(J1978="","",MOD(P1978,4))</f>
        <v/>
      </c>
      <c r="R1978" s="27" t="str">
        <f aca="false">IF(J1978="","",INT(P1978/4))</f>
        <v/>
      </c>
      <c r="S1978" s="27" t="str">
        <f aca="false">IF(J1978="","",IF(AND('Daily Count Sheet'!$H$3=Q1978,MOD('Daily Count Sheet'!$I$3,J1978)=R1978),1,""))</f>
        <v/>
      </c>
      <c r="T1978" s="27" t="str">
        <f aca="false">IF(S1978=1,COUNTIF($S$2:S1978,1),"")</f>
        <v/>
      </c>
    </row>
    <row r="1979" customFormat="false" ht="15" hidden="false" customHeight="false" outlineLevel="0" collapsed="false">
      <c r="H1979" s="26"/>
      <c r="I1979" s="27" t="str">
        <f aca="false">IF(A1979="","",IF(H1979&lt;&gt;"",UPPER(TRIM(H1979)),IFERROR(CHOOSE(VALUE(E1979)+1,"A","B","C","D"),IF(OR(LEFT(UPPER(TRIM(E1979)),1)="F",UPPER(TRIM(E1979))="A"),"A",IF(OR(LEFT(UPPER(TRIM(E1979)),1)="M",UPPER(TRIM(E1979))="B"),"B",IF(OR(LEFT(UPPER(TRIM(E1979)),2)="SL",UPPER(TRIM(E1979))="C"),"C",IF(OR(LEFT(UPPER(TRIM(E1979)),1)="D",UPPER(TRIM(E1979))="D"),"D","")))))))</f>
        <v/>
      </c>
      <c r="J1979" s="27" t="str">
        <f aca="false">IF(I1979="","",IF(AND(I1979="D",Settings!$B$6&lt;&gt;"Yes"),"",IFERROR(INDEX(Settings!$C$9:$C$12,MATCH(I1979,Settings!$A$9:$A$12,0)),"")))</f>
        <v/>
      </c>
      <c r="K1979" s="27" t="str">
        <f aca="false">IF(J1979="","",COUNTIF($I$2:I1979,I1979))</f>
        <v/>
      </c>
      <c r="L1979" s="27" t="str">
        <f aca="false">IF(J1979="","",CHOOSE(Q1979+1,"Tue","Wed","Thu","Fri"))</f>
        <v/>
      </c>
      <c r="M1979" s="27" t="str">
        <f aca="false">IF(J1979="","",IF(J1979=1,"Every week",R1979+1&amp;" of "&amp;J1979))</f>
        <v/>
      </c>
      <c r="N1979" s="28" t="str">
        <f aca="false">IF(J1979="","",Settings!$B$4+R1979*7+Q1979)</f>
        <v/>
      </c>
      <c r="O1979" s="28" t="str">
        <f aca="true">IF(J1979="","",N1979+MAX(0,ROUNDUP((TODAY()-N1979)/(J1979*7),0))*J1979*7)</f>
        <v/>
      </c>
      <c r="P1979" s="27" t="str">
        <f aca="false">IF(J1979="","",MOD(K1979-1,J1979*4))</f>
        <v/>
      </c>
      <c r="Q1979" s="27" t="str">
        <f aca="false">IF(J1979="","",MOD(P1979,4))</f>
        <v/>
      </c>
      <c r="R1979" s="27" t="str">
        <f aca="false">IF(J1979="","",INT(P1979/4))</f>
        <v/>
      </c>
      <c r="S1979" s="27" t="str">
        <f aca="false">IF(J1979="","",IF(AND('Daily Count Sheet'!$H$3=Q1979,MOD('Daily Count Sheet'!$I$3,J1979)=R1979),1,""))</f>
        <v/>
      </c>
      <c r="T1979" s="27" t="str">
        <f aca="false">IF(S1979=1,COUNTIF($S$2:S1979,1),"")</f>
        <v/>
      </c>
    </row>
    <row r="1980" customFormat="false" ht="15" hidden="false" customHeight="false" outlineLevel="0" collapsed="false">
      <c r="H1980" s="26"/>
      <c r="I1980" s="27" t="str">
        <f aca="false">IF(A1980="","",IF(H1980&lt;&gt;"",UPPER(TRIM(H1980)),IFERROR(CHOOSE(VALUE(E1980)+1,"A","B","C","D"),IF(OR(LEFT(UPPER(TRIM(E1980)),1)="F",UPPER(TRIM(E1980))="A"),"A",IF(OR(LEFT(UPPER(TRIM(E1980)),1)="M",UPPER(TRIM(E1980))="B"),"B",IF(OR(LEFT(UPPER(TRIM(E1980)),2)="SL",UPPER(TRIM(E1980))="C"),"C",IF(OR(LEFT(UPPER(TRIM(E1980)),1)="D",UPPER(TRIM(E1980))="D"),"D","")))))))</f>
        <v/>
      </c>
      <c r="J1980" s="27" t="str">
        <f aca="false">IF(I1980="","",IF(AND(I1980="D",Settings!$B$6&lt;&gt;"Yes"),"",IFERROR(INDEX(Settings!$C$9:$C$12,MATCH(I1980,Settings!$A$9:$A$12,0)),"")))</f>
        <v/>
      </c>
      <c r="K1980" s="27" t="str">
        <f aca="false">IF(J1980="","",COUNTIF($I$2:I1980,I1980))</f>
        <v/>
      </c>
      <c r="L1980" s="27" t="str">
        <f aca="false">IF(J1980="","",CHOOSE(Q1980+1,"Tue","Wed","Thu","Fri"))</f>
        <v/>
      </c>
      <c r="M1980" s="27" t="str">
        <f aca="false">IF(J1980="","",IF(J1980=1,"Every week",R1980+1&amp;" of "&amp;J1980))</f>
        <v/>
      </c>
      <c r="N1980" s="28" t="str">
        <f aca="false">IF(J1980="","",Settings!$B$4+R1980*7+Q1980)</f>
        <v/>
      </c>
      <c r="O1980" s="28" t="str">
        <f aca="true">IF(J1980="","",N1980+MAX(0,ROUNDUP((TODAY()-N1980)/(J1980*7),0))*J1980*7)</f>
        <v/>
      </c>
      <c r="P1980" s="27" t="str">
        <f aca="false">IF(J1980="","",MOD(K1980-1,J1980*4))</f>
        <v/>
      </c>
      <c r="Q1980" s="27" t="str">
        <f aca="false">IF(J1980="","",MOD(P1980,4))</f>
        <v/>
      </c>
      <c r="R1980" s="27" t="str">
        <f aca="false">IF(J1980="","",INT(P1980/4))</f>
        <v/>
      </c>
      <c r="S1980" s="27" t="str">
        <f aca="false">IF(J1980="","",IF(AND('Daily Count Sheet'!$H$3=Q1980,MOD('Daily Count Sheet'!$I$3,J1980)=R1980),1,""))</f>
        <v/>
      </c>
      <c r="T1980" s="27" t="str">
        <f aca="false">IF(S1980=1,COUNTIF($S$2:S1980,1),"")</f>
        <v/>
      </c>
    </row>
    <row r="1981" customFormat="false" ht="15" hidden="false" customHeight="false" outlineLevel="0" collapsed="false">
      <c r="H1981" s="26"/>
      <c r="I1981" s="27" t="str">
        <f aca="false">IF(A1981="","",IF(H1981&lt;&gt;"",UPPER(TRIM(H1981)),IFERROR(CHOOSE(VALUE(E1981)+1,"A","B","C","D"),IF(OR(LEFT(UPPER(TRIM(E1981)),1)="F",UPPER(TRIM(E1981))="A"),"A",IF(OR(LEFT(UPPER(TRIM(E1981)),1)="M",UPPER(TRIM(E1981))="B"),"B",IF(OR(LEFT(UPPER(TRIM(E1981)),2)="SL",UPPER(TRIM(E1981))="C"),"C",IF(OR(LEFT(UPPER(TRIM(E1981)),1)="D",UPPER(TRIM(E1981))="D"),"D","")))))))</f>
        <v/>
      </c>
      <c r="J1981" s="27" t="str">
        <f aca="false">IF(I1981="","",IF(AND(I1981="D",Settings!$B$6&lt;&gt;"Yes"),"",IFERROR(INDEX(Settings!$C$9:$C$12,MATCH(I1981,Settings!$A$9:$A$12,0)),"")))</f>
        <v/>
      </c>
      <c r="K1981" s="27" t="str">
        <f aca="false">IF(J1981="","",COUNTIF($I$2:I1981,I1981))</f>
        <v/>
      </c>
      <c r="L1981" s="27" t="str">
        <f aca="false">IF(J1981="","",CHOOSE(Q1981+1,"Tue","Wed","Thu","Fri"))</f>
        <v/>
      </c>
      <c r="M1981" s="27" t="str">
        <f aca="false">IF(J1981="","",IF(J1981=1,"Every week",R1981+1&amp;" of "&amp;J1981))</f>
        <v/>
      </c>
      <c r="N1981" s="28" t="str">
        <f aca="false">IF(J1981="","",Settings!$B$4+R1981*7+Q1981)</f>
        <v/>
      </c>
      <c r="O1981" s="28" t="str">
        <f aca="true">IF(J1981="","",N1981+MAX(0,ROUNDUP((TODAY()-N1981)/(J1981*7),0))*J1981*7)</f>
        <v/>
      </c>
      <c r="P1981" s="27" t="str">
        <f aca="false">IF(J1981="","",MOD(K1981-1,J1981*4))</f>
        <v/>
      </c>
      <c r="Q1981" s="27" t="str">
        <f aca="false">IF(J1981="","",MOD(P1981,4))</f>
        <v/>
      </c>
      <c r="R1981" s="27" t="str">
        <f aca="false">IF(J1981="","",INT(P1981/4))</f>
        <v/>
      </c>
      <c r="S1981" s="27" t="str">
        <f aca="false">IF(J1981="","",IF(AND('Daily Count Sheet'!$H$3=Q1981,MOD('Daily Count Sheet'!$I$3,J1981)=R1981),1,""))</f>
        <v/>
      </c>
      <c r="T1981" s="27" t="str">
        <f aca="false">IF(S1981=1,COUNTIF($S$2:S1981,1),"")</f>
        <v/>
      </c>
    </row>
    <row r="1982" customFormat="false" ht="15" hidden="false" customHeight="false" outlineLevel="0" collapsed="false">
      <c r="H1982" s="26"/>
      <c r="I1982" s="27" t="str">
        <f aca="false">IF(A1982="","",IF(H1982&lt;&gt;"",UPPER(TRIM(H1982)),IFERROR(CHOOSE(VALUE(E1982)+1,"A","B","C","D"),IF(OR(LEFT(UPPER(TRIM(E1982)),1)="F",UPPER(TRIM(E1982))="A"),"A",IF(OR(LEFT(UPPER(TRIM(E1982)),1)="M",UPPER(TRIM(E1982))="B"),"B",IF(OR(LEFT(UPPER(TRIM(E1982)),2)="SL",UPPER(TRIM(E1982))="C"),"C",IF(OR(LEFT(UPPER(TRIM(E1982)),1)="D",UPPER(TRIM(E1982))="D"),"D","")))))))</f>
        <v/>
      </c>
      <c r="J1982" s="27" t="str">
        <f aca="false">IF(I1982="","",IF(AND(I1982="D",Settings!$B$6&lt;&gt;"Yes"),"",IFERROR(INDEX(Settings!$C$9:$C$12,MATCH(I1982,Settings!$A$9:$A$12,0)),"")))</f>
        <v/>
      </c>
      <c r="K1982" s="27" t="str">
        <f aca="false">IF(J1982="","",COUNTIF($I$2:I1982,I1982))</f>
        <v/>
      </c>
      <c r="L1982" s="27" t="str">
        <f aca="false">IF(J1982="","",CHOOSE(Q1982+1,"Tue","Wed","Thu","Fri"))</f>
        <v/>
      </c>
      <c r="M1982" s="27" t="str">
        <f aca="false">IF(J1982="","",IF(J1982=1,"Every week",R1982+1&amp;" of "&amp;J1982))</f>
        <v/>
      </c>
      <c r="N1982" s="28" t="str">
        <f aca="false">IF(J1982="","",Settings!$B$4+R1982*7+Q1982)</f>
        <v/>
      </c>
      <c r="O1982" s="28" t="str">
        <f aca="true">IF(J1982="","",N1982+MAX(0,ROUNDUP((TODAY()-N1982)/(J1982*7),0))*J1982*7)</f>
        <v/>
      </c>
      <c r="P1982" s="27" t="str">
        <f aca="false">IF(J1982="","",MOD(K1982-1,J1982*4))</f>
        <v/>
      </c>
      <c r="Q1982" s="27" t="str">
        <f aca="false">IF(J1982="","",MOD(P1982,4))</f>
        <v/>
      </c>
      <c r="R1982" s="27" t="str">
        <f aca="false">IF(J1982="","",INT(P1982/4))</f>
        <v/>
      </c>
      <c r="S1982" s="27" t="str">
        <f aca="false">IF(J1982="","",IF(AND('Daily Count Sheet'!$H$3=Q1982,MOD('Daily Count Sheet'!$I$3,J1982)=R1982),1,""))</f>
        <v/>
      </c>
      <c r="T1982" s="27" t="str">
        <f aca="false">IF(S1982=1,COUNTIF($S$2:S1982,1),"")</f>
        <v/>
      </c>
    </row>
    <row r="1983" customFormat="false" ht="15" hidden="false" customHeight="false" outlineLevel="0" collapsed="false">
      <c r="H1983" s="26"/>
      <c r="I1983" s="27" t="str">
        <f aca="false">IF(A1983="","",IF(H1983&lt;&gt;"",UPPER(TRIM(H1983)),IFERROR(CHOOSE(VALUE(E1983)+1,"A","B","C","D"),IF(OR(LEFT(UPPER(TRIM(E1983)),1)="F",UPPER(TRIM(E1983))="A"),"A",IF(OR(LEFT(UPPER(TRIM(E1983)),1)="M",UPPER(TRIM(E1983))="B"),"B",IF(OR(LEFT(UPPER(TRIM(E1983)),2)="SL",UPPER(TRIM(E1983))="C"),"C",IF(OR(LEFT(UPPER(TRIM(E1983)),1)="D",UPPER(TRIM(E1983))="D"),"D","")))))))</f>
        <v/>
      </c>
      <c r="J1983" s="27" t="str">
        <f aca="false">IF(I1983="","",IF(AND(I1983="D",Settings!$B$6&lt;&gt;"Yes"),"",IFERROR(INDEX(Settings!$C$9:$C$12,MATCH(I1983,Settings!$A$9:$A$12,0)),"")))</f>
        <v/>
      </c>
      <c r="K1983" s="27" t="str">
        <f aca="false">IF(J1983="","",COUNTIF($I$2:I1983,I1983))</f>
        <v/>
      </c>
      <c r="L1983" s="27" t="str">
        <f aca="false">IF(J1983="","",CHOOSE(Q1983+1,"Tue","Wed","Thu","Fri"))</f>
        <v/>
      </c>
      <c r="M1983" s="27" t="str">
        <f aca="false">IF(J1983="","",IF(J1983=1,"Every week",R1983+1&amp;" of "&amp;J1983))</f>
        <v/>
      </c>
      <c r="N1983" s="28" t="str">
        <f aca="false">IF(J1983="","",Settings!$B$4+R1983*7+Q1983)</f>
        <v/>
      </c>
      <c r="O1983" s="28" t="str">
        <f aca="true">IF(J1983="","",N1983+MAX(0,ROUNDUP((TODAY()-N1983)/(J1983*7),0))*J1983*7)</f>
        <v/>
      </c>
      <c r="P1983" s="27" t="str">
        <f aca="false">IF(J1983="","",MOD(K1983-1,J1983*4))</f>
        <v/>
      </c>
      <c r="Q1983" s="27" t="str">
        <f aca="false">IF(J1983="","",MOD(P1983,4))</f>
        <v/>
      </c>
      <c r="R1983" s="27" t="str">
        <f aca="false">IF(J1983="","",INT(P1983/4))</f>
        <v/>
      </c>
      <c r="S1983" s="27" t="str">
        <f aca="false">IF(J1983="","",IF(AND('Daily Count Sheet'!$H$3=Q1983,MOD('Daily Count Sheet'!$I$3,J1983)=R1983),1,""))</f>
        <v/>
      </c>
      <c r="T1983" s="27" t="str">
        <f aca="false">IF(S1983=1,COUNTIF($S$2:S1983,1),"")</f>
        <v/>
      </c>
    </row>
    <row r="1984" customFormat="false" ht="15" hidden="false" customHeight="false" outlineLevel="0" collapsed="false">
      <c r="H1984" s="26"/>
      <c r="I1984" s="27" t="str">
        <f aca="false">IF(A1984="","",IF(H1984&lt;&gt;"",UPPER(TRIM(H1984)),IFERROR(CHOOSE(VALUE(E1984)+1,"A","B","C","D"),IF(OR(LEFT(UPPER(TRIM(E1984)),1)="F",UPPER(TRIM(E1984))="A"),"A",IF(OR(LEFT(UPPER(TRIM(E1984)),1)="M",UPPER(TRIM(E1984))="B"),"B",IF(OR(LEFT(UPPER(TRIM(E1984)),2)="SL",UPPER(TRIM(E1984))="C"),"C",IF(OR(LEFT(UPPER(TRIM(E1984)),1)="D",UPPER(TRIM(E1984))="D"),"D","")))))))</f>
        <v/>
      </c>
      <c r="J1984" s="27" t="str">
        <f aca="false">IF(I1984="","",IF(AND(I1984="D",Settings!$B$6&lt;&gt;"Yes"),"",IFERROR(INDEX(Settings!$C$9:$C$12,MATCH(I1984,Settings!$A$9:$A$12,0)),"")))</f>
        <v/>
      </c>
      <c r="K1984" s="27" t="str">
        <f aca="false">IF(J1984="","",COUNTIF($I$2:I1984,I1984))</f>
        <v/>
      </c>
      <c r="L1984" s="27" t="str">
        <f aca="false">IF(J1984="","",CHOOSE(Q1984+1,"Tue","Wed","Thu","Fri"))</f>
        <v/>
      </c>
      <c r="M1984" s="27" t="str">
        <f aca="false">IF(J1984="","",IF(J1984=1,"Every week",R1984+1&amp;" of "&amp;J1984))</f>
        <v/>
      </c>
      <c r="N1984" s="28" t="str">
        <f aca="false">IF(J1984="","",Settings!$B$4+R1984*7+Q1984)</f>
        <v/>
      </c>
      <c r="O1984" s="28" t="str">
        <f aca="true">IF(J1984="","",N1984+MAX(0,ROUNDUP((TODAY()-N1984)/(J1984*7),0))*J1984*7)</f>
        <v/>
      </c>
      <c r="P1984" s="27" t="str">
        <f aca="false">IF(J1984="","",MOD(K1984-1,J1984*4))</f>
        <v/>
      </c>
      <c r="Q1984" s="27" t="str">
        <f aca="false">IF(J1984="","",MOD(P1984,4))</f>
        <v/>
      </c>
      <c r="R1984" s="27" t="str">
        <f aca="false">IF(J1984="","",INT(P1984/4))</f>
        <v/>
      </c>
      <c r="S1984" s="27" t="str">
        <f aca="false">IF(J1984="","",IF(AND('Daily Count Sheet'!$H$3=Q1984,MOD('Daily Count Sheet'!$I$3,J1984)=R1984),1,""))</f>
        <v/>
      </c>
      <c r="T1984" s="27" t="str">
        <f aca="false">IF(S1984=1,COUNTIF($S$2:S1984,1),"")</f>
        <v/>
      </c>
    </row>
    <row r="1985" customFormat="false" ht="15" hidden="false" customHeight="false" outlineLevel="0" collapsed="false">
      <c r="H1985" s="26"/>
      <c r="I1985" s="27" t="str">
        <f aca="false">IF(A1985="","",IF(H1985&lt;&gt;"",UPPER(TRIM(H1985)),IFERROR(CHOOSE(VALUE(E1985)+1,"A","B","C","D"),IF(OR(LEFT(UPPER(TRIM(E1985)),1)="F",UPPER(TRIM(E1985))="A"),"A",IF(OR(LEFT(UPPER(TRIM(E1985)),1)="M",UPPER(TRIM(E1985))="B"),"B",IF(OR(LEFT(UPPER(TRIM(E1985)),2)="SL",UPPER(TRIM(E1985))="C"),"C",IF(OR(LEFT(UPPER(TRIM(E1985)),1)="D",UPPER(TRIM(E1985))="D"),"D","")))))))</f>
        <v/>
      </c>
      <c r="J1985" s="27" t="str">
        <f aca="false">IF(I1985="","",IF(AND(I1985="D",Settings!$B$6&lt;&gt;"Yes"),"",IFERROR(INDEX(Settings!$C$9:$C$12,MATCH(I1985,Settings!$A$9:$A$12,0)),"")))</f>
        <v/>
      </c>
      <c r="K1985" s="27" t="str">
        <f aca="false">IF(J1985="","",COUNTIF($I$2:I1985,I1985))</f>
        <v/>
      </c>
      <c r="L1985" s="27" t="str">
        <f aca="false">IF(J1985="","",CHOOSE(Q1985+1,"Tue","Wed","Thu","Fri"))</f>
        <v/>
      </c>
      <c r="M1985" s="27" t="str">
        <f aca="false">IF(J1985="","",IF(J1985=1,"Every week",R1985+1&amp;" of "&amp;J1985))</f>
        <v/>
      </c>
      <c r="N1985" s="28" t="str">
        <f aca="false">IF(J1985="","",Settings!$B$4+R1985*7+Q1985)</f>
        <v/>
      </c>
      <c r="O1985" s="28" t="str">
        <f aca="true">IF(J1985="","",N1985+MAX(0,ROUNDUP((TODAY()-N1985)/(J1985*7),0))*J1985*7)</f>
        <v/>
      </c>
      <c r="P1985" s="27" t="str">
        <f aca="false">IF(J1985="","",MOD(K1985-1,J1985*4))</f>
        <v/>
      </c>
      <c r="Q1985" s="27" t="str">
        <f aca="false">IF(J1985="","",MOD(P1985,4))</f>
        <v/>
      </c>
      <c r="R1985" s="27" t="str">
        <f aca="false">IF(J1985="","",INT(P1985/4))</f>
        <v/>
      </c>
      <c r="S1985" s="27" t="str">
        <f aca="false">IF(J1985="","",IF(AND('Daily Count Sheet'!$H$3=Q1985,MOD('Daily Count Sheet'!$I$3,J1985)=R1985),1,""))</f>
        <v/>
      </c>
      <c r="T1985" s="27" t="str">
        <f aca="false">IF(S1985=1,COUNTIF($S$2:S1985,1),"")</f>
        <v/>
      </c>
    </row>
    <row r="1986" customFormat="false" ht="15" hidden="false" customHeight="false" outlineLevel="0" collapsed="false">
      <c r="H1986" s="26"/>
      <c r="I1986" s="27" t="str">
        <f aca="false">IF(A1986="","",IF(H1986&lt;&gt;"",UPPER(TRIM(H1986)),IFERROR(CHOOSE(VALUE(E1986)+1,"A","B","C","D"),IF(OR(LEFT(UPPER(TRIM(E1986)),1)="F",UPPER(TRIM(E1986))="A"),"A",IF(OR(LEFT(UPPER(TRIM(E1986)),1)="M",UPPER(TRIM(E1986))="B"),"B",IF(OR(LEFT(UPPER(TRIM(E1986)),2)="SL",UPPER(TRIM(E1986))="C"),"C",IF(OR(LEFT(UPPER(TRIM(E1986)),1)="D",UPPER(TRIM(E1986))="D"),"D","")))))))</f>
        <v/>
      </c>
      <c r="J1986" s="27" t="str">
        <f aca="false">IF(I1986="","",IF(AND(I1986="D",Settings!$B$6&lt;&gt;"Yes"),"",IFERROR(INDEX(Settings!$C$9:$C$12,MATCH(I1986,Settings!$A$9:$A$12,0)),"")))</f>
        <v/>
      </c>
      <c r="K1986" s="27" t="str">
        <f aca="false">IF(J1986="","",COUNTIF($I$2:I1986,I1986))</f>
        <v/>
      </c>
      <c r="L1986" s="27" t="str">
        <f aca="false">IF(J1986="","",CHOOSE(Q1986+1,"Tue","Wed","Thu","Fri"))</f>
        <v/>
      </c>
      <c r="M1986" s="27" t="str">
        <f aca="false">IF(J1986="","",IF(J1986=1,"Every week",R1986+1&amp;" of "&amp;J1986))</f>
        <v/>
      </c>
      <c r="N1986" s="28" t="str">
        <f aca="false">IF(J1986="","",Settings!$B$4+R1986*7+Q1986)</f>
        <v/>
      </c>
      <c r="O1986" s="28" t="str">
        <f aca="true">IF(J1986="","",N1986+MAX(0,ROUNDUP((TODAY()-N1986)/(J1986*7),0))*J1986*7)</f>
        <v/>
      </c>
      <c r="P1986" s="27" t="str">
        <f aca="false">IF(J1986="","",MOD(K1986-1,J1986*4))</f>
        <v/>
      </c>
      <c r="Q1986" s="27" t="str">
        <f aca="false">IF(J1986="","",MOD(P1986,4))</f>
        <v/>
      </c>
      <c r="R1986" s="27" t="str">
        <f aca="false">IF(J1986="","",INT(P1986/4))</f>
        <v/>
      </c>
      <c r="S1986" s="27" t="str">
        <f aca="false">IF(J1986="","",IF(AND('Daily Count Sheet'!$H$3=Q1986,MOD('Daily Count Sheet'!$I$3,J1986)=R1986),1,""))</f>
        <v/>
      </c>
      <c r="T1986" s="27" t="str">
        <f aca="false">IF(S1986=1,COUNTIF($S$2:S1986,1),"")</f>
        <v/>
      </c>
    </row>
    <row r="1987" customFormat="false" ht="15" hidden="false" customHeight="false" outlineLevel="0" collapsed="false">
      <c r="H1987" s="26"/>
      <c r="I1987" s="27" t="str">
        <f aca="false">IF(A1987="","",IF(H1987&lt;&gt;"",UPPER(TRIM(H1987)),IFERROR(CHOOSE(VALUE(E1987)+1,"A","B","C","D"),IF(OR(LEFT(UPPER(TRIM(E1987)),1)="F",UPPER(TRIM(E1987))="A"),"A",IF(OR(LEFT(UPPER(TRIM(E1987)),1)="M",UPPER(TRIM(E1987))="B"),"B",IF(OR(LEFT(UPPER(TRIM(E1987)),2)="SL",UPPER(TRIM(E1987))="C"),"C",IF(OR(LEFT(UPPER(TRIM(E1987)),1)="D",UPPER(TRIM(E1987))="D"),"D","")))))))</f>
        <v/>
      </c>
      <c r="J1987" s="27" t="str">
        <f aca="false">IF(I1987="","",IF(AND(I1987="D",Settings!$B$6&lt;&gt;"Yes"),"",IFERROR(INDEX(Settings!$C$9:$C$12,MATCH(I1987,Settings!$A$9:$A$12,0)),"")))</f>
        <v/>
      </c>
      <c r="K1987" s="27" t="str">
        <f aca="false">IF(J1987="","",COUNTIF($I$2:I1987,I1987))</f>
        <v/>
      </c>
      <c r="L1987" s="27" t="str">
        <f aca="false">IF(J1987="","",CHOOSE(Q1987+1,"Tue","Wed","Thu","Fri"))</f>
        <v/>
      </c>
      <c r="M1987" s="27" t="str">
        <f aca="false">IF(J1987="","",IF(J1987=1,"Every week",R1987+1&amp;" of "&amp;J1987))</f>
        <v/>
      </c>
      <c r="N1987" s="28" t="str">
        <f aca="false">IF(J1987="","",Settings!$B$4+R1987*7+Q1987)</f>
        <v/>
      </c>
      <c r="O1987" s="28" t="str">
        <f aca="true">IF(J1987="","",N1987+MAX(0,ROUNDUP((TODAY()-N1987)/(J1987*7),0))*J1987*7)</f>
        <v/>
      </c>
      <c r="P1987" s="27" t="str">
        <f aca="false">IF(J1987="","",MOD(K1987-1,J1987*4))</f>
        <v/>
      </c>
      <c r="Q1987" s="27" t="str">
        <f aca="false">IF(J1987="","",MOD(P1987,4))</f>
        <v/>
      </c>
      <c r="R1987" s="27" t="str">
        <f aca="false">IF(J1987="","",INT(P1987/4))</f>
        <v/>
      </c>
      <c r="S1987" s="27" t="str">
        <f aca="false">IF(J1987="","",IF(AND('Daily Count Sheet'!$H$3=Q1987,MOD('Daily Count Sheet'!$I$3,J1987)=R1987),1,""))</f>
        <v/>
      </c>
      <c r="T1987" s="27" t="str">
        <f aca="false">IF(S1987=1,COUNTIF($S$2:S1987,1),"")</f>
        <v/>
      </c>
    </row>
    <row r="1988" customFormat="false" ht="15" hidden="false" customHeight="false" outlineLevel="0" collapsed="false">
      <c r="H1988" s="26"/>
      <c r="I1988" s="27" t="str">
        <f aca="false">IF(A1988="","",IF(H1988&lt;&gt;"",UPPER(TRIM(H1988)),IFERROR(CHOOSE(VALUE(E1988)+1,"A","B","C","D"),IF(OR(LEFT(UPPER(TRIM(E1988)),1)="F",UPPER(TRIM(E1988))="A"),"A",IF(OR(LEFT(UPPER(TRIM(E1988)),1)="M",UPPER(TRIM(E1988))="B"),"B",IF(OR(LEFT(UPPER(TRIM(E1988)),2)="SL",UPPER(TRIM(E1988))="C"),"C",IF(OR(LEFT(UPPER(TRIM(E1988)),1)="D",UPPER(TRIM(E1988))="D"),"D","")))))))</f>
        <v/>
      </c>
      <c r="J1988" s="27" t="str">
        <f aca="false">IF(I1988="","",IF(AND(I1988="D",Settings!$B$6&lt;&gt;"Yes"),"",IFERROR(INDEX(Settings!$C$9:$C$12,MATCH(I1988,Settings!$A$9:$A$12,0)),"")))</f>
        <v/>
      </c>
      <c r="K1988" s="27" t="str">
        <f aca="false">IF(J1988="","",COUNTIF($I$2:I1988,I1988))</f>
        <v/>
      </c>
      <c r="L1988" s="27" t="str">
        <f aca="false">IF(J1988="","",CHOOSE(Q1988+1,"Tue","Wed","Thu","Fri"))</f>
        <v/>
      </c>
      <c r="M1988" s="27" t="str">
        <f aca="false">IF(J1988="","",IF(J1988=1,"Every week",R1988+1&amp;" of "&amp;J1988))</f>
        <v/>
      </c>
      <c r="N1988" s="28" t="str">
        <f aca="false">IF(J1988="","",Settings!$B$4+R1988*7+Q1988)</f>
        <v/>
      </c>
      <c r="O1988" s="28" t="str">
        <f aca="true">IF(J1988="","",N1988+MAX(0,ROUNDUP((TODAY()-N1988)/(J1988*7),0))*J1988*7)</f>
        <v/>
      </c>
      <c r="P1988" s="27" t="str">
        <f aca="false">IF(J1988="","",MOD(K1988-1,J1988*4))</f>
        <v/>
      </c>
      <c r="Q1988" s="27" t="str">
        <f aca="false">IF(J1988="","",MOD(P1988,4))</f>
        <v/>
      </c>
      <c r="R1988" s="27" t="str">
        <f aca="false">IF(J1988="","",INT(P1988/4))</f>
        <v/>
      </c>
      <c r="S1988" s="27" t="str">
        <f aca="false">IF(J1988="","",IF(AND('Daily Count Sheet'!$H$3=Q1988,MOD('Daily Count Sheet'!$I$3,J1988)=R1988),1,""))</f>
        <v/>
      </c>
      <c r="T1988" s="27" t="str">
        <f aca="false">IF(S1988=1,COUNTIF($S$2:S1988,1),"")</f>
        <v/>
      </c>
    </row>
    <row r="1989" customFormat="false" ht="15" hidden="false" customHeight="false" outlineLevel="0" collapsed="false">
      <c r="H1989" s="26"/>
      <c r="I1989" s="27" t="str">
        <f aca="false">IF(A1989="","",IF(H1989&lt;&gt;"",UPPER(TRIM(H1989)),IFERROR(CHOOSE(VALUE(E1989)+1,"A","B","C","D"),IF(OR(LEFT(UPPER(TRIM(E1989)),1)="F",UPPER(TRIM(E1989))="A"),"A",IF(OR(LEFT(UPPER(TRIM(E1989)),1)="M",UPPER(TRIM(E1989))="B"),"B",IF(OR(LEFT(UPPER(TRIM(E1989)),2)="SL",UPPER(TRIM(E1989))="C"),"C",IF(OR(LEFT(UPPER(TRIM(E1989)),1)="D",UPPER(TRIM(E1989))="D"),"D","")))))))</f>
        <v/>
      </c>
      <c r="J1989" s="27" t="str">
        <f aca="false">IF(I1989="","",IF(AND(I1989="D",Settings!$B$6&lt;&gt;"Yes"),"",IFERROR(INDEX(Settings!$C$9:$C$12,MATCH(I1989,Settings!$A$9:$A$12,0)),"")))</f>
        <v/>
      </c>
      <c r="K1989" s="27" t="str">
        <f aca="false">IF(J1989="","",COUNTIF($I$2:I1989,I1989))</f>
        <v/>
      </c>
      <c r="L1989" s="27" t="str">
        <f aca="false">IF(J1989="","",CHOOSE(Q1989+1,"Tue","Wed","Thu","Fri"))</f>
        <v/>
      </c>
      <c r="M1989" s="27" t="str">
        <f aca="false">IF(J1989="","",IF(J1989=1,"Every week",R1989+1&amp;" of "&amp;J1989))</f>
        <v/>
      </c>
      <c r="N1989" s="28" t="str">
        <f aca="false">IF(J1989="","",Settings!$B$4+R1989*7+Q1989)</f>
        <v/>
      </c>
      <c r="O1989" s="28" t="str">
        <f aca="true">IF(J1989="","",N1989+MAX(0,ROUNDUP((TODAY()-N1989)/(J1989*7),0))*J1989*7)</f>
        <v/>
      </c>
      <c r="P1989" s="27" t="str">
        <f aca="false">IF(J1989="","",MOD(K1989-1,J1989*4))</f>
        <v/>
      </c>
      <c r="Q1989" s="27" t="str">
        <f aca="false">IF(J1989="","",MOD(P1989,4))</f>
        <v/>
      </c>
      <c r="R1989" s="27" t="str">
        <f aca="false">IF(J1989="","",INT(P1989/4))</f>
        <v/>
      </c>
      <c r="S1989" s="27" t="str">
        <f aca="false">IF(J1989="","",IF(AND('Daily Count Sheet'!$H$3=Q1989,MOD('Daily Count Sheet'!$I$3,J1989)=R1989),1,""))</f>
        <v/>
      </c>
      <c r="T1989" s="27" t="str">
        <f aca="false">IF(S1989=1,COUNTIF($S$2:S1989,1),"")</f>
        <v/>
      </c>
    </row>
    <row r="1990" customFormat="false" ht="15" hidden="false" customHeight="false" outlineLevel="0" collapsed="false">
      <c r="H1990" s="26"/>
      <c r="I1990" s="27" t="str">
        <f aca="false">IF(A1990="","",IF(H1990&lt;&gt;"",UPPER(TRIM(H1990)),IFERROR(CHOOSE(VALUE(E1990)+1,"A","B","C","D"),IF(OR(LEFT(UPPER(TRIM(E1990)),1)="F",UPPER(TRIM(E1990))="A"),"A",IF(OR(LEFT(UPPER(TRIM(E1990)),1)="M",UPPER(TRIM(E1990))="B"),"B",IF(OR(LEFT(UPPER(TRIM(E1990)),2)="SL",UPPER(TRIM(E1990))="C"),"C",IF(OR(LEFT(UPPER(TRIM(E1990)),1)="D",UPPER(TRIM(E1990))="D"),"D","")))))))</f>
        <v/>
      </c>
      <c r="J1990" s="27" t="str">
        <f aca="false">IF(I1990="","",IF(AND(I1990="D",Settings!$B$6&lt;&gt;"Yes"),"",IFERROR(INDEX(Settings!$C$9:$C$12,MATCH(I1990,Settings!$A$9:$A$12,0)),"")))</f>
        <v/>
      </c>
      <c r="K1990" s="27" t="str">
        <f aca="false">IF(J1990="","",COUNTIF($I$2:I1990,I1990))</f>
        <v/>
      </c>
      <c r="L1990" s="27" t="str">
        <f aca="false">IF(J1990="","",CHOOSE(Q1990+1,"Tue","Wed","Thu","Fri"))</f>
        <v/>
      </c>
      <c r="M1990" s="27" t="str">
        <f aca="false">IF(J1990="","",IF(J1990=1,"Every week",R1990+1&amp;" of "&amp;J1990))</f>
        <v/>
      </c>
      <c r="N1990" s="28" t="str">
        <f aca="false">IF(J1990="","",Settings!$B$4+R1990*7+Q1990)</f>
        <v/>
      </c>
      <c r="O1990" s="28" t="str">
        <f aca="true">IF(J1990="","",N1990+MAX(0,ROUNDUP((TODAY()-N1990)/(J1990*7),0))*J1990*7)</f>
        <v/>
      </c>
      <c r="P1990" s="27" t="str">
        <f aca="false">IF(J1990="","",MOD(K1990-1,J1990*4))</f>
        <v/>
      </c>
      <c r="Q1990" s="27" t="str">
        <f aca="false">IF(J1990="","",MOD(P1990,4))</f>
        <v/>
      </c>
      <c r="R1990" s="27" t="str">
        <f aca="false">IF(J1990="","",INT(P1990/4))</f>
        <v/>
      </c>
      <c r="S1990" s="27" t="str">
        <f aca="false">IF(J1990="","",IF(AND('Daily Count Sheet'!$H$3=Q1990,MOD('Daily Count Sheet'!$I$3,J1990)=R1990),1,""))</f>
        <v/>
      </c>
      <c r="T1990" s="27" t="str">
        <f aca="false">IF(S1990=1,COUNTIF($S$2:S1990,1),"")</f>
        <v/>
      </c>
    </row>
    <row r="1991" customFormat="false" ht="15" hidden="false" customHeight="false" outlineLevel="0" collapsed="false">
      <c r="H1991" s="26"/>
      <c r="I1991" s="27" t="str">
        <f aca="false">IF(A1991="","",IF(H1991&lt;&gt;"",UPPER(TRIM(H1991)),IFERROR(CHOOSE(VALUE(E1991)+1,"A","B","C","D"),IF(OR(LEFT(UPPER(TRIM(E1991)),1)="F",UPPER(TRIM(E1991))="A"),"A",IF(OR(LEFT(UPPER(TRIM(E1991)),1)="M",UPPER(TRIM(E1991))="B"),"B",IF(OR(LEFT(UPPER(TRIM(E1991)),2)="SL",UPPER(TRIM(E1991))="C"),"C",IF(OR(LEFT(UPPER(TRIM(E1991)),1)="D",UPPER(TRIM(E1991))="D"),"D","")))))))</f>
        <v/>
      </c>
      <c r="J1991" s="27" t="str">
        <f aca="false">IF(I1991="","",IF(AND(I1991="D",Settings!$B$6&lt;&gt;"Yes"),"",IFERROR(INDEX(Settings!$C$9:$C$12,MATCH(I1991,Settings!$A$9:$A$12,0)),"")))</f>
        <v/>
      </c>
      <c r="K1991" s="27" t="str">
        <f aca="false">IF(J1991="","",COUNTIF($I$2:I1991,I1991))</f>
        <v/>
      </c>
      <c r="L1991" s="27" t="str">
        <f aca="false">IF(J1991="","",CHOOSE(Q1991+1,"Tue","Wed","Thu","Fri"))</f>
        <v/>
      </c>
      <c r="M1991" s="27" t="str">
        <f aca="false">IF(J1991="","",IF(J1991=1,"Every week",R1991+1&amp;" of "&amp;J1991))</f>
        <v/>
      </c>
      <c r="N1991" s="28" t="str">
        <f aca="false">IF(J1991="","",Settings!$B$4+R1991*7+Q1991)</f>
        <v/>
      </c>
      <c r="O1991" s="28" t="str">
        <f aca="true">IF(J1991="","",N1991+MAX(0,ROUNDUP((TODAY()-N1991)/(J1991*7),0))*J1991*7)</f>
        <v/>
      </c>
      <c r="P1991" s="27" t="str">
        <f aca="false">IF(J1991="","",MOD(K1991-1,J1991*4))</f>
        <v/>
      </c>
      <c r="Q1991" s="27" t="str">
        <f aca="false">IF(J1991="","",MOD(P1991,4))</f>
        <v/>
      </c>
      <c r="R1991" s="27" t="str">
        <f aca="false">IF(J1991="","",INT(P1991/4))</f>
        <v/>
      </c>
      <c r="S1991" s="27" t="str">
        <f aca="false">IF(J1991="","",IF(AND('Daily Count Sheet'!$H$3=Q1991,MOD('Daily Count Sheet'!$I$3,J1991)=R1991),1,""))</f>
        <v/>
      </c>
      <c r="T1991" s="27" t="str">
        <f aca="false">IF(S1991=1,COUNTIF($S$2:S1991,1),"")</f>
        <v/>
      </c>
    </row>
    <row r="1992" customFormat="false" ht="15" hidden="false" customHeight="false" outlineLevel="0" collapsed="false">
      <c r="H1992" s="26"/>
      <c r="I1992" s="27" t="str">
        <f aca="false">IF(A1992="","",IF(H1992&lt;&gt;"",UPPER(TRIM(H1992)),IFERROR(CHOOSE(VALUE(E1992)+1,"A","B","C","D"),IF(OR(LEFT(UPPER(TRIM(E1992)),1)="F",UPPER(TRIM(E1992))="A"),"A",IF(OR(LEFT(UPPER(TRIM(E1992)),1)="M",UPPER(TRIM(E1992))="B"),"B",IF(OR(LEFT(UPPER(TRIM(E1992)),2)="SL",UPPER(TRIM(E1992))="C"),"C",IF(OR(LEFT(UPPER(TRIM(E1992)),1)="D",UPPER(TRIM(E1992))="D"),"D","")))))))</f>
        <v/>
      </c>
      <c r="J1992" s="27" t="str">
        <f aca="false">IF(I1992="","",IF(AND(I1992="D",Settings!$B$6&lt;&gt;"Yes"),"",IFERROR(INDEX(Settings!$C$9:$C$12,MATCH(I1992,Settings!$A$9:$A$12,0)),"")))</f>
        <v/>
      </c>
      <c r="K1992" s="27" t="str">
        <f aca="false">IF(J1992="","",COUNTIF($I$2:I1992,I1992))</f>
        <v/>
      </c>
      <c r="L1992" s="27" t="str">
        <f aca="false">IF(J1992="","",CHOOSE(Q1992+1,"Tue","Wed","Thu","Fri"))</f>
        <v/>
      </c>
      <c r="M1992" s="27" t="str">
        <f aca="false">IF(J1992="","",IF(J1992=1,"Every week",R1992+1&amp;" of "&amp;J1992))</f>
        <v/>
      </c>
      <c r="N1992" s="28" t="str">
        <f aca="false">IF(J1992="","",Settings!$B$4+R1992*7+Q1992)</f>
        <v/>
      </c>
      <c r="O1992" s="28" t="str">
        <f aca="true">IF(J1992="","",N1992+MAX(0,ROUNDUP((TODAY()-N1992)/(J1992*7),0))*J1992*7)</f>
        <v/>
      </c>
      <c r="P1992" s="27" t="str">
        <f aca="false">IF(J1992="","",MOD(K1992-1,J1992*4))</f>
        <v/>
      </c>
      <c r="Q1992" s="27" t="str">
        <f aca="false">IF(J1992="","",MOD(P1992,4))</f>
        <v/>
      </c>
      <c r="R1992" s="27" t="str">
        <f aca="false">IF(J1992="","",INT(P1992/4))</f>
        <v/>
      </c>
      <c r="S1992" s="27" t="str">
        <f aca="false">IF(J1992="","",IF(AND('Daily Count Sheet'!$H$3=Q1992,MOD('Daily Count Sheet'!$I$3,J1992)=R1992),1,""))</f>
        <v/>
      </c>
      <c r="T1992" s="27" t="str">
        <f aca="false">IF(S1992=1,COUNTIF($S$2:S1992,1),"")</f>
        <v/>
      </c>
    </row>
    <row r="1993" customFormat="false" ht="15" hidden="false" customHeight="false" outlineLevel="0" collapsed="false">
      <c r="H1993" s="26"/>
      <c r="I1993" s="27" t="str">
        <f aca="false">IF(A1993="","",IF(H1993&lt;&gt;"",UPPER(TRIM(H1993)),IFERROR(CHOOSE(VALUE(E1993)+1,"A","B","C","D"),IF(OR(LEFT(UPPER(TRIM(E1993)),1)="F",UPPER(TRIM(E1993))="A"),"A",IF(OR(LEFT(UPPER(TRIM(E1993)),1)="M",UPPER(TRIM(E1993))="B"),"B",IF(OR(LEFT(UPPER(TRIM(E1993)),2)="SL",UPPER(TRIM(E1993))="C"),"C",IF(OR(LEFT(UPPER(TRIM(E1993)),1)="D",UPPER(TRIM(E1993))="D"),"D","")))))))</f>
        <v/>
      </c>
      <c r="J1993" s="27" t="str">
        <f aca="false">IF(I1993="","",IF(AND(I1993="D",Settings!$B$6&lt;&gt;"Yes"),"",IFERROR(INDEX(Settings!$C$9:$C$12,MATCH(I1993,Settings!$A$9:$A$12,0)),"")))</f>
        <v/>
      </c>
      <c r="K1993" s="27" t="str">
        <f aca="false">IF(J1993="","",COUNTIF($I$2:I1993,I1993))</f>
        <v/>
      </c>
      <c r="L1993" s="27" t="str">
        <f aca="false">IF(J1993="","",CHOOSE(Q1993+1,"Tue","Wed","Thu","Fri"))</f>
        <v/>
      </c>
      <c r="M1993" s="27" t="str">
        <f aca="false">IF(J1993="","",IF(J1993=1,"Every week",R1993+1&amp;" of "&amp;J1993))</f>
        <v/>
      </c>
      <c r="N1993" s="28" t="str">
        <f aca="false">IF(J1993="","",Settings!$B$4+R1993*7+Q1993)</f>
        <v/>
      </c>
      <c r="O1993" s="28" t="str">
        <f aca="true">IF(J1993="","",N1993+MAX(0,ROUNDUP((TODAY()-N1993)/(J1993*7),0))*J1993*7)</f>
        <v/>
      </c>
      <c r="P1993" s="27" t="str">
        <f aca="false">IF(J1993="","",MOD(K1993-1,J1993*4))</f>
        <v/>
      </c>
      <c r="Q1993" s="27" t="str">
        <f aca="false">IF(J1993="","",MOD(P1993,4))</f>
        <v/>
      </c>
      <c r="R1993" s="27" t="str">
        <f aca="false">IF(J1993="","",INT(P1993/4))</f>
        <v/>
      </c>
      <c r="S1993" s="27" t="str">
        <f aca="false">IF(J1993="","",IF(AND('Daily Count Sheet'!$H$3=Q1993,MOD('Daily Count Sheet'!$I$3,J1993)=R1993),1,""))</f>
        <v/>
      </c>
      <c r="T1993" s="27" t="str">
        <f aca="false">IF(S1993=1,COUNTIF($S$2:S1993,1),"")</f>
        <v/>
      </c>
    </row>
    <row r="1994" customFormat="false" ht="15" hidden="false" customHeight="false" outlineLevel="0" collapsed="false">
      <c r="H1994" s="26"/>
      <c r="I1994" s="27" t="str">
        <f aca="false">IF(A1994="","",IF(H1994&lt;&gt;"",UPPER(TRIM(H1994)),IFERROR(CHOOSE(VALUE(E1994)+1,"A","B","C","D"),IF(OR(LEFT(UPPER(TRIM(E1994)),1)="F",UPPER(TRIM(E1994))="A"),"A",IF(OR(LEFT(UPPER(TRIM(E1994)),1)="M",UPPER(TRIM(E1994))="B"),"B",IF(OR(LEFT(UPPER(TRIM(E1994)),2)="SL",UPPER(TRIM(E1994))="C"),"C",IF(OR(LEFT(UPPER(TRIM(E1994)),1)="D",UPPER(TRIM(E1994))="D"),"D","")))))))</f>
        <v/>
      </c>
      <c r="J1994" s="27" t="str">
        <f aca="false">IF(I1994="","",IF(AND(I1994="D",Settings!$B$6&lt;&gt;"Yes"),"",IFERROR(INDEX(Settings!$C$9:$C$12,MATCH(I1994,Settings!$A$9:$A$12,0)),"")))</f>
        <v/>
      </c>
      <c r="K1994" s="27" t="str">
        <f aca="false">IF(J1994="","",COUNTIF($I$2:I1994,I1994))</f>
        <v/>
      </c>
      <c r="L1994" s="27" t="str">
        <f aca="false">IF(J1994="","",CHOOSE(Q1994+1,"Tue","Wed","Thu","Fri"))</f>
        <v/>
      </c>
      <c r="M1994" s="27" t="str">
        <f aca="false">IF(J1994="","",IF(J1994=1,"Every week",R1994+1&amp;" of "&amp;J1994))</f>
        <v/>
      </c>
      <c r="N1994" s="28" t="str">
        <f aca="false">IF(J1994="","",Settings!$B$4+R1994*7+Q1994)</f>
        <v/>
      </c>
      <c r="O1994" s="28" t="str">
        <f aca="true">IF(J1994="","",N1994+MAX(0,ROUNDUP((TODAY()-N1994)/(J1994*7),0))*J1994*7)</f>
        <v/>
      </c>
      <c r="P1994" s="27" t="str">
        <f aca="false">IF(J1994="","",MOD(K1994-1,J1994*4))</f>
        <v/>
      </c>
      <c r="Q1994" s="27" t="str">
        <f aca="false">IF(J1994="","",MOD(P1994,4))</f>
        <v/>
      </c>
      <c r="R1994" s="27" t="str">
        <f aca="false">IF(J1994="","",INT(P1994/4))</f>
        <v/>
      </c>
      <c r="S1994" s="27" t="str">
        <f aca="false">IF(J1994="","",IF(AND('Daily Count Sheet'!$H$3=Q1994,MOD('Daily Count Sheet'!$I$3,J1994)=R1994),1,""))</f>
        <v/>
      </c>
      <c r="T1994" s="27" t="str">
        <f aca="false">IF(S1994=1,COUNTIF($S$2:S1994,1),"")</f>
        <v/>
      </c>
    </row>
    <row r="1995" customFormat="false" ht="15" hidden="false" customHeight="false" outlineLevel="0" collapsed="false">
      <c r="H1995" s="26"/>
      <c r="I1995" s="27" t="str">
        <f aca="false">IF(A1995="","",IF(H1995&lt;&gt;"",UPPER(TRIM(H1995)),IFERROR(CHOOSE(VALUE(E1995)+1,"A","B","C","D"),IF(OR(LEFT(UPPER(TRIM(E1995)),1)="F",UPPER(TRIM(E1995))="A"),"A",IF(OR(LEFT(UPPER(TRIM(E1995)),1)="M",UPPER(TRIM(E1995))="B"),"B",IF(OR(LEFT(UPPER(TRIM(E1995)),2)="SL",UPPER(TRIM(E1995))="C"),"C",IF(OR(LEFT(UPPER(TRIM(E1995)),1)="D",UPPER(TRIM(E1995))="D"),"D","")))))))</f>
        <v/>
      </c>
      <c r="J1995" s="27" t="str">
        <f aca="false">IF(I1995="","",IF(AND(I1995="D",Settings!$B$6&lt;&gt;"Yes"),"",IFERROR(INDEX(Settings!$C$9:$C$12,MATCH(I1995,Settings!$A$9:$A$12,0)),"")))</f>
        <v/>
      </c>
      <c r="K1995" s="27" t="str">
        <f aca="false">IF(J1995="","",COUNTIF($I$2:I1995,I1995))</f>
        <v/>
      </c>
      <c r="L1995" s="27" t="str">
        <f aca="false">IF(J1995="","",CHOOSE(Q1995+1,"Tue","Wed","Thu","Fri"))</f>
        <v/>
      </c>
      <c r="M1995" s="27" t="str">
        <f aca="false">IF(J1995="","",IF(J1995=1,"Every week",R1995+1&amp;" of "&amp;J1995))</f>
        <v/>
      </c>
      <c r="N1995" s="28" t="str">
        <f aca="false">IF(J1995="","",Settings!$B$4+R1995*7+Q1995)</f>
        <v/>
      </c>
      <c r="O1995" s="28" t="str">
        <f aca="true">IF(J1995="","",N1995+MAX(0,ROUNDUP((TODAY()-N1995)/(J1995*7),0))*J1995*7)</f>
        <v/>
      </c>
      <c r="P1995" s="27" t="str">
        <f aca="false">IF(J1995="","",MOD(K1995-1,J1995*4))</f>
        <v/>
      </c>
      <c r="Q1995" s="27" t="str">
        <f aca="false">IF(J1995="","",MOD(P1995,4))</f>
        <v/>
      </c>
      <c r="R1995" s="27" t="str">
        <f aca="false">IF(J1995="","",INT(P1995/4))</f>
        <v/>
      </c>
      <c r="S1995" s="27" t="str">
        <f aca="false">IF(J1995="","",IF(AND('Daily Count Sheet'!$H$3=Q1995,MOD('Daily Count Sheet'!$I$3,J1995)=R1995),1,""))</f>
        <v/>
      </c>
      <c r="T1995" s="27" t="str">
        <f aca="false">IF(S1995=1,COUNTIF($S$2:S1995,1),"")</f>
        <v/>
      </c>
    </row>
    <row r="1996" customFormat="false" ht="15" hidden="false" customHeight="false" outlineLevel="0" collapsed="false">
      <c r="H1996" s="26"/>
      <c r="I1996" s="27" t="str">
        <f aca="false">IF(A1996="","",IF(H1996&lt;&gt;"",UPPER(TRIM(H1996)),IFERROR(CHOOSE(VALUE(E1996)+1,"A","B","C","D"),IF(OR(LEFT(UPPER(TRIM(E1996)),1)="F",UPPER(TRIM(E1996))="A"),"A",IF(OR(LEFT(UPPER(TRIM(E1996)),1)="M",UPPER(TRIM(E1996))="B"),"B",IF(OR(LEFT(UPPER(TRIM(E1996)),2)="SL",UPPER(TRIM(E1996))="C"),"C",IF(OR(LEFT(UPPER(TRIM(E1996)),1)="D",UPPER(TRIM(E1996))="D"),"D","")))))))</f>
        <v/>
      </c>
      <c r="J1996" s="27" t="str">
        <f aca="false">IF(I1996="","",IF(AND(I1996="D",Settings!$B$6&lt;&gt;"Yes"),"",IFERROR(INDEX(Settings!$C$9:$C$12,MATCH(I1996,Settings!$A$9:$A$12,0)),"")))</f>
        <v/>
      </c>
      <c r="K1996" s="27" t="str">
        <f aca="false">IF(J1996="","",COUNTIF($I$2:I1996,I1996))</f>
        <v/>
      </c>
      <c r="L1996" s="27" t="str">
        <f aca="false">IF(J1996="","",CHOOSE(Q1996+1,"Tue","Wed","Thu","Fri"))</f>
        <v/>
      </c>
      <c r="M1996" s="27" t="str">
        <f aca="false">IF(J1996="","",IF(J1996=1,"Every week",R1996+1&amp;" of "&amp;J1996))</f>
        <v/>
      </c>
      <c r="N1996" s="28" t="str">
        <f aca="false">IF(J1996="","",Settings!$B$4+R1996*7+Q1996)</f>
        <v/>
      </c>
      <c r="O1996" s="28" t="str">
        <f aca="true">IF(J1996="","",N1996+MAX(0,ROUNDUP((TODAY()-N1996)/(J1996*7),0))*J1996*7)</f>
        <v/>
      </c>
      <c r="P1996" s="27" t="str">
        <f aca="false">IF(J1996="","",MOD(K1996-1,J1996*4))</f>
        <v/>
      </c>
      <c r="Q1996" s="27" t="str">
        <f aca="false">IF(J1996="","",MOD(P1996,4))</f>
        <v/>
      </c>
      <c r="R1996" s="27" t="str">
        <f aca="false">IF(J1996="","",INT(P1996/4))</f>
        <v/>
      </c>
      <c r="S1996" s="27" t="str">
        <f aca="false">IF(J1996="","",IF(AND('Daily Count Sheet'!$H$3=Q1996,MOD('Daily Count Sheet'!$I$3,J1996)=R1996),1,""))</f>
        <v/>
      </c>
      <c r="T1996" s="27" t="str">
        <f aca="false">IF(S1996=1,COUNTIF($S$2:S1996,1),"")</f>
        <v/>
      </c>
    </row>
    <row r="1997" customFormat="false" ht="15" hidden="false" customHeight="false" outlineLevel="0" collapsed="false">
      <c r="H1997" s="26"/>
      <c r="I1997" s="27" t="str">
        <f aca="false">IF(A1997="","",IF(H1997&lt;&gt;"",UPPER(TRIM(H1997)),IFERROR(CHOOSE(VALUE(E1997)+1,"A","B","C","D"),IF(OR(LEFT(UPPER(TRIM(E1997)),1)="F",UPPER(TRIM(E1997))="A"),"A",IF(OR(LEFT(UPPER(TRIM(E1997)),1)="M",UPPER(TRIM(E1997))="B"),"B",IF(OR(LEFT(UPPER(TRIM(E1997)),2)="SL",UPPER(TRIM(E1997))="C"),"C",IF(OR(LEFT(UPPER(TRIM(E1997)),1)="D",UPPER(TRIM(E1997))="D"),"D","")))))))</f>
        <v/>
      </c>
      <c r="J1997" s="27" t="str">
        <f aca="false">IF(I1997="","",IF(AND(I1997="D",Settings!$B$6&lt;&gt;"Yes"),"",IFERROR(INDEX(Settings!$C$9:$C$12,MATCH(I1997,Settings!$A$9:$A$12,0)),"")))</f>
        <v/>
      </c>
      <c r="K1997" s="27" t="str">
        <f aca="false">IF(J1997="","",COUNTIF($I$2:I1997,I1997))</f>
        <v/>
      </c>
      <c r="L1997" s="27" t="str">
        <f aca="false">IF(J1997="","",CHOOSE(Q1997+1,"Tue","Wed","Thu","Fri"))</f>
        <v/>
      </c>
      <c r="M1997" s="27" t="str">
        <f aca="false">IF(J1997="","",IF(J1997=1,"Every week",R1997+1&amp;" of "&amp;J1997))</f>
        <v/>
      </c>
      <c r="N1997" s="28" t="str">
        <f aca="false">IF(J1997="","",Settings!$B$4+R1997*7+Q1997)</f>
        <v/>
      </c>
      <c r="O1997" s="28" t="str">
        <f aca="true">IF(J1997="","",N1997+MAX(0,ROUNDUP((TODAY()-N1997)/(J1997*7),0))*J1997*7)</f>
        <v/>
      </c>
      <c r="P1997" s="27" t="str">
        <f aca="false">IF(J1997="","",MOD(K1997-1,J1997*4))</f>
        <v/>
      </c>
      <c r="Q1997" s="27" t="str">
        <f aca="false">IF(J1997="","",MOD(P1997,4))</f>
        <v/>
      </c>
      <c r="R1997" s="27" t="str">
        <f aca="false">IF(J1997="","",INT(P1997/4))</f>
        <v/>
      </c>
      <c r="S1997" s="27" t="str">
        <f aca="false">IF(J1997="","",IF(AND('Daily Count Sheet'!$H$3=Q1997,MOD('Daily Count Sheet'!$I$3,J1997)=R1997),1,""))</f>
        <v/>
      </c>
      <c r="T1997" s="27" t="str">
        <f aca="false">IF(S1997=1,COUNTIF($S$2:S1997,1),"")</f>
        <v/>
      </c>
    </row>
    <row r="1998" customFormat="false" ht="15" hidden="false" customHeight="false" outlineLevel="0" collapsed="false">
      <c r="H1998" s="26"/>
      <c r="I1998" s="27" t="str">
        <f aca="false">IF(A1998="","",IF(H1998&lt;&gt;"",UPPER(TRIM(H1998)),IFERROR(CHOOSE(VALUE(E1998)+1,"A","B","C","D"),IF(OR(LEFT(UPPER(TRIM(E1998)),1)="F",UPPER(TRIM(E1998))="A"),"A",IF(OR(LEFT(UPPER(TRIM(E1998)),1)="M",UPPER(TRIM(E1998))="B"),"B",IF(OR(LEFT(UPPER(TRIM(E1998)),2)="SL",UPPER(TRIM(E1998))="C"),"C",IF(OR(LEFT(UPPER(TRIM(E1998)),1)="D",UPPER(TRIM(E1998))="D"),"D","")))))))</f>
        <v/>
      </c>
      <c r="J1998" s="27" t="str">
        <f aca="false">IF(I1998="","",IF(AND(I1998="D",Settings!$B$6&lt;&gt;"Yes"),"",IFERROR(INDEX(Settings!$C$9:$C$12,MATCH(I1998,Settings!$A$9:$A$12,0)),"")))</f>
        <v/>
      </c>
      <c r="K1998" s="27" t="str">
        <f aca="false">IF(J1998="","",COUNTIF($I$2:I1998,I1998))</f>
        <v/>
      </c>
      <c r="L1998" s="27" t="str">
        <f aca="false">IF(J1998="","",CHOOSE(Q1998+1,"Tue","Wed","Thu","Fri"))</f>
        <v/>
      </c>
      <c r="M1998" s="27" t="str">
        <f aca="false">IF(J1998="","",IF(J1998=1,"Every week",R1998+1&amp;" of "&amp;J1998))</f>
        <v/>
      </c>
      <c r="N1998" s="28" t="str">
        <f aca="false">IF(J1998="","",Settings!$B$4+R1998*7+Q1998)</f>
        <v/>
      </c>
      <c r="O1998" s="28" t="str">
        <f aca="true">IF(J1998="","",N1998+MAX(0,ROUNDUP((TODAY()-N1998)/(J1998*7),0))*J1998*7)</f>
        <v/>
      </c>
      <c r="P1998" s="27" t="str">
        <f aca="false">IF(J1998="","",MOD(K1998-1,J1998*4))</f>
        <v/>
      </c>
      <c r="Q1998" s="27" t="str">
        <f aca="false">IF(J1998="","",MOD(P1998,4))</f>
        <v/>
      </c>
      <c r="R1998" s="27" t="str">
        <f aca="false">IF(J1998="","",INT(P1998/4))</f>
        <v/>
      </c>
      <c r="S1998" s="27" t="str">
        <f aca="false">IF(J1998="","",IF(AND('Daily Count Sheet'!$H$3=Q1998,MOD('Daily Count Sheet'!$I$3,J1998)=R1998),1,""))</f>
        <v/>
      </c>
      <c r="T1998" s="27" t="str">
        <f aca="false">IF(S1998=1,COUNTIF($S$2:S1998,1),"")</f>
        <v/>
      </c>
    </row>
    <row r="1999" customFormat="false" ht="15" hidden="false" customHeight="false" outlineLevel="0" collapsed="false">
      <c r="H1999" s="26"/>
      <c r="I1999" s="27" t="str">
        <f aca="false">IF(A1999="","",IF(H1999&lt;&gt;"",UPPER(TRIM(H1999)),IFERROR(CHOOSE(VALUE(E1999)+1,"A","B","C","D"),IF(OR(LEFT(UPPER(TRIM(E1999)),1)="F",UPPER(TRIM(E1999))="A"),"A",IF(OR(LEFT(UPPER(TRIM(E1999)),1)="M",UPPER(TRIM(E1999))="B"),"B",IF(OR(LEFT(UPPER(TRIM(E1999)),2)="SL",UPPER(TRIM(E1999))="C"),"C",IF(OR(LEFT(UPPER(TRIM(E1999)),1)="D",UPPER(TRIM(E1999))="D"),"D","")))))))</f>
        <v/>
      </c>
      <c r="J1999" s="27" t="str">
        <f aca="false">IF(I1999="","",IF(AND(I1999="D",Settings!$B$6&lt;&gt;"Yes"),"",IFERROR(INDEX(Settings!$C$9:$C$12,MATCH(I1999,Settings!$A$9:$A$12,0)),"")))</f>
        <v/>
      </c>
      <c r="K1999" s="27" t="str">
        <f aca="false">IF(J1999="","",COUNTIF($I$2:I1999,I1999))</f>
        <v/>
      </c>
      <c r="L1999" s="27" t="str">
        <f aca="false">IF(J1999="","",CHOOSE(Q1999+1,"Tue","Wed","Thu","Fri"))</f>
        <v/>
      </c>
      <c r="M1999" s="27" t="str">
        <f aca="false">IF(J1999="","",IF(J1999=1,"Every week",R1999+1&amp;" of "&amp;J1999))</f>
        <v/>
      </c>
      <c r="N1999" s="28" t="str">
        <f aca="false">IF(J1999="","",Settings!$B$4+R1999*7+Q1999)</f>
        <v/>
      </c>
      <c r="O1999" s="28" t="str">
        <f aca="true">IF(J1999="","",N1999+MAX(0,ROUNDUP((TODAY()-N1999)/(J1999*7),0))*J1999*7)</f>
        <v/>
      </c>
      <c r="P1999" s="27" t="str">
        <f aca="false">IF(J1999="","",MOD(K1999-1,J1999*4))</f>
        <v/>
      </c>
      <c r="Q1999" s="27" t="str">
        <f aca="false">IF(J1999="","",MOD(P1999,4))</f>
        <v/>
      </c>
      <c r="R1999" s="27" t="str">
        <f aca="false">IF(J1999="","",INT(P1999/4))</f>
        <v/>
      </c>
      <c r="S1999" s="27" t="str">
        <f aca="false">IF(J1999="","",IF(AND('Daily Count Sheet'!$H$3=Q1999,MOD('Daily Count Sheet'!$I$3,J1999)=R1999),1,""))</f>
        <v/>
      </c>
      <c r="T1999" s="27" t="str">
        <f aca="false">IF(S1999=1,COUNTIF($S$2:S1999,1),"")</f>
        <v/>
      </c>
    </row>
    <row r="2000" customFormat="false" ht="15" hidden="false" customHeight="false" outlineLevel="0" collapsed="false">
      <c r="H2000" s="26"/>
      <c r="I2000" s="27" t="str">
        <f aca="false">IF(A2000="","",IF(H2000&lt;&gt;"",UPPER(TRIM(H2000)),IFERROR(CHOOSE(VALUE(E2000)+1,"A","B","C","D"),IF(OR(LEFT(UPPER(TRIM(E2000)),1)="F",UPPER(TRIM(E2000))="A"),"A",IF(OR(LEFT(UPPER(TRIM(E2000)),1)="M",UPPER(TRIM(E2000))="B"),"B",IF(OR(LEFT(UPPER(TRIM(E2000)),2)="SL",UPPER(TRIM(E2000))="C"),"C",IF(OR(LEFT(UPPER(TRIM(E2000)),1)="D",UPPER(TRIM(E2000))="D"),"D","")))))))</f>
        <v/>
      </c>
      <c r="J2000" s="27" t="str">
        <f aca="false">IF(I2000="","",IF(AND(I2000="D",Settings!$B$6&lt;&gt;"Yes"),"",IFERROR(INDEX(Settings!$C$9:$C$12,MATCH(I2000,Settings!$A$9:$A$12,0)),"")))</f>
        <v/>
      </c>
      <c r="K2000" s="27" t="str">
        <f aca="false">IF(J2000="","",COUNTIF($I$2:I2000,I2000))</f>
        <v/>
      </c>
      <c r="L2000" s="27" t="str">
        <f aca="false">IF(J2000="","",CHOOSE(Q2000+1,"Tue","Wed","Thu","Fri"))</f>
        <v/>
      </c>
      <c r="M2000" s="27" t="str">
        <f aca="false">IF(J2000="","",IF(J2000=1,"Every week",R2000+1&amp;" of "&amp;J2000))</f>
        <v/>
      </c>
      <c r="N2000" s="28" t="str">
        <f aca="false">IF(J2000="","",Settings!$B$4+R2000*7+Q2000)</f>
        <v/>
      </c>
      <c r="O2000" s="28" t="str">
        <f aca="true">IF(J2000="","",N2000+MAX(0,ROUNDUP((TODAY()-N2000)/(J2000*7),0))*J2000*7)</f>
        <v/>
      </c>
      <c r="P2000" s="27" t="str">
        <f aca="false">IF(J2000="","",MOD(K2000-1,J2000*4))</f>
        <v/>
      </c>
      <c r="Q2000" s="27" t="str">
        <f aca="false">IF(J2000="","",MOD(P2000,4))</f>
        <v/>
      </c>
      <c r="R2000" s="27" t="str">
        <f aca="false">IF(J2000="","",INT(P2000/4))</f>
        <v/>
      </c>
      <c r="S2000" s="27" t="str">
        <f aca="false">IF(J2000="","",IF(AND('Daily Count Sheet'!$H$3=Q2000,MOD('Daily Count Sheet'!$I$3,J2000)=R2000),1,""))</f>
        <v/>
      </c>
      <c r="T2000" s="27" t="str">
        <f aca="false">IF(S2000=1,COUNTIF($S$2:S2000,1),"")</f>
        <v/>
      </c>
    </row>
    <row r="2001" customFormat="false" ht="15" hidden="false" customHeight="false" outlineLevel="0" collapsed="false">
      <c r="H2001" s="26"/>
      <c r="I2001" s="27" t="str">
        <f aca="false">IF(A2001="","",IF(H2001&lt;&gt;"",UPPER(TRIM(H2001)),IFERROR(CHOOSE(VALUE(E2001)+1,"A","B","C","D"),IF(OR(LEFT(UPPER(TRIM(E2001)),1)="F",UPPER(TRIM(E2001))="A"),"A",IF(OR(LEFT(UPPER(TRIM(E2001)),1)="M",UPPER(TRIM(E2001))="B"),"B",IF(OR(LEFT(UPPER(TRIM(E2001)),2)="SL",UPPER(TRIM(E2001))="C"),"C",IF(OR(LEFT(UPPER(TRIM(E2001)),1)="D",UPPER(TRIM(E2001))="D"),"D","")))))))</f>
        <v/>
      </c>
      <c r="J2001" s="27" t="str">
        <f aca="false">IF(I2001="","",IF(AND(I2001="D",Settings!$B$6&lt;&gt;"Yes"),"",IFERROR(INDEX(Settings!$C$9:$C$12,MATCH(I2001,Settings!$A$9:$A$12,0)),"")))</f>
        <v/>
      </c>
      <c r="K2001" s="27" t="str">
        <f aca="false">IF(J2001="","",COUNTIF($I$2:I2001,I2001))</f>
        <v/>
      </c>
      <c r="L2001" s="27" t="str">
        <f aca="false">IF(J2001="","",CHOOSE(Q2001+1,"Tue","Wed","Thu","Fri"))</f>
        <v/>
      </c>
      <c r="M2001" s="27" t="str">
        <f aca="false">IF(J2001="","",IF(J2001=1,"Every week",R2001+1&amp;" of "&amp;J2001))</f>
        <v/>
      </c>
      <c r="N2001" s="28" t="str">
        <f aca="false">IF(J2001="","",Settings!$B$4+R2001*7+Q2001)</f>
        <v/>
      </c>
      <c r="O2001" s="28" t="str">
        <f aca="true">IF(J2001="","",N2001+MAX(0,ROUNDUP((TODAY()-N2001)/(J2001*7),0))*J2001*7)</f>
        <v/>
      </c>
      <c r="P2001" s="27" t="str">
        <f aca="false">IF(J2001="","",MOD(K2001-1,J2001*4))</f>
        <v/>
      </c>
      <c r="Q2001" s="27" t="str">
        <f aca="false">IF(J2001="","",MOD(P2001,4))</f>
        <v/>
      </c>
      <c r="R2001" s="27" t="str">
        <f aca="false">IF(J2001="","",INT(P2001/4))</f>
        <v/>
      </c>
      <c r="S2001" s="27" t="str">
        <f aca="false">IF(J2001="","",IF(AND('Daily Count Sheet'!$H$3=Q2001,MOD('Daily Count Sheet'!$I$3,J2001)=R2001),1,""))</f>
        <v/>
      </c>
      <c r="T2001" s="27" t="str">
        <f aca="false">IF(S2001=1,COUNTIF($S$2:S2001,1),"")</f>
        <v/>
      </c>
    </row>
    <row r="2002" customFormat="false" ht="15" hidden="false" customHeight="false" outlineLevel="0" collapsed="false">
      <c r="H2002" s="26"/>
      <c r="I2002" s="27" t="str">
        <f aca="false">IF(A2002="","",IF(H2002&lt;&gt;"",UPPER(TRIM(H2002)),IFERROR(CHOOSE(VALUE(E2002)+1,"A","B","C","D"),IF(OR(LEFT(UPPER(TRIM(E2002)),1)="F",UPPER(TRIM(E2002))="A"),"A",IF(OR(LEFT(UPPER(TRIM(E2002)),1)="M",UPPER(TRIM(E2002))="B"),"B",IF(OR(LEFT(UPPER(TRIM(E2002)),2)="SL",UPPER(TRIM(E2002))="C"),"C",IF(OR(LEFT(UPPER(TRIM(E2002)),1)="D",UPPER(TRIM(E2002))="D"),"D","")))))))</f>
        <v/>
      </c>
      <c r="J2002" s="27" t="str">
        <f aca="false">IF(I2002="","",IF(AND(I2002="D",Settings!$B$6&lt;&gt;"Yes"),"",IFERROR(INDEX(Settings!$C$9:$C$12,MATCH(I2002,Settings!$A$9:$A$12,0)),"")))</f>
        <v/>
      </c>
      <c r="K2002" s="27" t="str">
        <f aca="false">IF(J2002="","",COUNTIF($I$2:I2002,I2002))</f>
        <v/>
      </c>
      <c r="L2002" s="27" t="str">
        <f aca="false">IF(J2002="","",CHOOSE(Q2002+1,"Tue","Wed","Thu","Fri"))</f>
        <v/>
      </c>
      <c r="M2002" s="27" t="str">
        <f aca="false">IF(J2002="","",IF(J2002=1,"Every week",R2002+1&amp;" of "&amp;J2002))</f>
        <v/>
      </c>
      <c r="N2002" s="28" t="str">
        <f aca="false">IF(J2002="","",Settings!$B$4+R2002*7+Q2002)</f>
        <v/>
      </c>
      <c r="O2002" s="28" t="str">
        <f aca="true">IF(J2002="","",N2002+MAX(0,ROUNDUP((TODAY()-N2002)/(J2002*7),0))*J2002*7)</f>
        <v/>
      </c>
      <c r="P2002" s="27" t="str">
        <f aca="false">IF(J2002="","",MOD(K2002-1,J2002*4))</f>
        <v/>
      </c>
      <c r="Q2002" s="27" t="str">
        <f aca="false">IF(J2002="","",MOD(P2002,4))</f>
        <v/>
      </c>
      <c r="R2002" s="27" t="str">
        <f aca="false">IF(J2002="","",INT(P2002/4))</f>
        <v/>
      </c>
      <c r="S2002" s="27" t="str">
        <f aca="false">IF(J2002="","",IF(AND('Daily Count Sheet'!$H$3=Q2002,MOD('Daily Count Sheet'!$I$3,J2002)=R2002),1,""))</f>
        <v/>
      </c>
      <c r="T2002" s="27" t="str">
        <f aca="false">IF(S2002=1,COUNTIF($S$2:S2002,1),"")</f>
        <v/>
      </c>
    </row>
    <row r="2003" customFormat="false" ht="15" hidden="false" customHeight="false" outlineLevel="0" collapsed="false">
      <c r="H2003" s="26"/>
      <c r="I2003" s="27" t="str">
        <f aca="false">IF(A2003="","",IF(H2003&lt;&gt;"",UPPER(TRIM(H2003)),IFERROR(CHOOSE(VALUE(E2003)+1,"A","B","C","D"),IF(OR(LEFT(UPPER(TRIM(E2003)),1)="F",UPPER(TRIM(E2003))="A"),"A",IF(OR(LEFT(UPPER(TRIM(E2003)),1)="M",UPPER(TRIM(E2003))="B"),"B",IF(OR(LEFT(UPPER(TRIM(E2003)),2)="SL",UPPER(TRIM(E2003))="C"),"C",IF(OR(LEFT(UPPER(TRIM(E2003)),1)="D",UPPER(TRIM(E2003))="D"),"D","")))))))</f>
        <v/>
      </c>
      <c r="J2003" s="27" t="str">
        <f aca="false">IF(I2003="","",IF(AND(I2003="D",Settings!$B$6&lt;&gt;"Yes"),"",IFERROR(INDEX(Settings!$C$9:$C$12,MATCH(I2003,Settings!$A$9:$A$12,0)),"")))</f>
        <v/>
      </c>
      <c r="K2003" s="27" t="str">
        <f aca="false">IF(J2003="","",COUNTIF($I$2:I2003,I2003))</f>
        <v/>
      </c>
      <c r="L2003" s="27" t="str">
        <f aca="false">IF(J2003="","",CHOOSE(Q2003+1,"Tue","Wed","Thu","Fri"))</f>
        <v/>
      </c>
      <c r="M2003" s="27" t="str">
        <f aca="false">IF(J2003="","",IF(J2003=1,"Every week",R2003+1&amp;" of "&amp;J2003))</f>
        <v/>
      </c>
      <c r="N2003" s="28" t="str">
        <f aca="false">IF(J2003="","",Settings!$B$4+R2003*7+Q2003)</f>
        <v/>
      </c>
      <c r="O2003" s="28" t="str">
        <f aca="true">IF(J2003="","",N2003+MAX(0,ROUNDUP((TODAY()-N2003)/(J2003*7),0))*J2003*7)</f>
        <v/>
      </c>
      <c r="P2003" s="27" t="str">
        <f aca="false">IF(J2003="","",MOD(K2003-1,J2003*4))</f>
        <v/>
      </c>
      <c r="Q2003" s="27" t="str">
        <f aca="false">IF(J2003="","",MOD(P2003,4))</f>
        <v/>
      </c>
      <c r="R2003" s="27" t="str">
        <f aca="false">IF(J2003="","",INT(P2003/4))</f>
        <v/>
      </c>
      <c r="S2003" s="27" t="str">
        <f aca="false">IF(J2003="","",IF(AND('Daily Count Sheet'!$H$3=Q2003,MOD('Daily Count Sheet'!$I$3,J2003)=R2003),1,""))</f>
        <v/>
      </c>
      <c r="T2003" s="27" t="str">
        <f aca="false">IF(S2003=1,COUNTIF($S$2:S2003,1),"")</f>
        <v/>
      </c>
    </row>
    <row r="2004" customFormat="false" ht="15" hidden="false" customHeight="false" outlineLevel="0" collapsed="false">
      <c r="H2004" s="26"/>
      <c r="I2004" s="27" t="str">
        <f aca="false">IF(A2004="","",IF(H2004&lt;&gt;"",UPPER(TRIM(H2004)),IFERROR(CHOOSE(VALUE(E2004)+1,"A","B","C","D"),IF(OR(LEFT(UPPER(TRIM(E2004)),1)="F",UPPER(TRIM(E2004))="A"),"A",IF(OR(LEFT(UPPER(TRIM(E2004)),1)="M",UPPER(TRIM(E2004))="B"),"B",IF(OR(LEFT(UPPER(TRIM(E2004)),2)="SL",UPPER(TRIM(E2004))="C"),"C",IF(OR(LEFT(UPPER(TRIM(E2004)),1)="D",UPPER(TRIM(E2004))="D"),"D","")))))))</f>
        <v/>
      </c>
      <c r="J2004" s="27" t="str">
        <f aca="false">IF(I2004="","",IF(AND(I2004="D",Settings!$B$6&lt;&gt;"Yes"),"",IFERROR(INDEX(Settings!$C$9:$C$12,MATCH(I2004,Settings!$A$9:$A$12,0)),"")))</f>
        <v/>
      </c>
      <c r="K2004" s="27" t="str">
        <f aca="false">IF(J2004="","",COUNTIF($I$2:I2004,I2004))</f>
        <v/>
      </c>
      <c r="L2004" s="27" t="str">
        <f aca="false">IF(J2004="","",CHOOSE(Q2004+1,"Tue","Wed","Thu","Fri"))</f>
        <v/>
      </c>
      <c r="M2004" s="27" t="str">
        <f aca="false">IF(J2004="","",IF(J2004=1,"Every week",R2004+1&amp;" of "&amp;J2004))</f>
        <v/>
      </c>
      <c r="N2004" s="28" t="str">
        <f aca="false">IF(J2004="","",Settings!$B$4+R2004*7+Q2004)</f>
        <v/>
      </c>
      <c r="O2004" s="28" t="str">
        <f aca="true">IF(J2004="","",N2004+MAX(0,ROUNDUP((TODAY()-N2004)/(J2004*7),0))*J2004*7)</f>
        <v/>
      </c>
      <c r="P2004" s="27" t="str">
        <f aca="false">IF(J2004="","",MOD(K2004-1,J2004*4))</f>
        <v/>
      </c>
      <c r="Q2004" s="27" t="str">
        <f aca="false">IF(J2004="","",MOD(P2004,4))</f>
        <v/>
      </c>
      <c r="R2004" s="27" t="str">
        <f aca="false">IF(J2004="","",INT(P2004/4))</f>
        <v/>
      </c>
      <c r="S2004" s="27" t="str">
        <f aca="false">IF(J2004="","",IF(AND('Daily Count Sheet'!$H$3=Q2004,MOD('Daily Count Sheet'!$I$3,J2004)=R2004),1,""))</f>
        <v/>
      </c>
      <c r="T2004" s="27" t="str">
        <f aca="false">IF(S2004=1,COUNTIF($S$2:S2004,1),"")</f>
        <v/>
      </c>
    </row>
    <row r="2005" customFormat="false" ht="15" hidden="false" customHeight="false" outlineLevel="0" collapsed="false">
      <c r="H2005" s="26"/>
      <c r="I2005" s="27" t="str">
        <f aca="false">IF(A2005="","",IF(H2005&lt;&gt;"",UPPER(TRIM(H2005)),IFERROR(CHOOSE(VALUE(E2005)+1,"A","B","C","D"),IF(OR(LEFT(UPPER(TRIM(E2005)),1)="F",UPPER(TRIM(E2005))="A"),"A",IF(OR(LEFT(UPPER(TRIM(E2005)),1)="M",UPPER(TRIM(E2005))="B"),"B",IF(OR(LEFT(UPPER(TRIM(E2005)),2)="SL",UPPER(TRIM(E2005))="C"),"C",IF(OR(LEFT(UPPER(TRIM(E2005)),1)="D",UPPER(TRIM(E2005))="D"),"D","")))))))</f>
        <v/>
      </c>
      <c r="J2005" s="27" t="str">
        <f aca="false">IF(I2005="","",IF(AND(I2005="D",Settings!$B$6&lt;&gt;"Yes"),"",IFERROR(INDEX(Settings!$C$9:$C$12,MATCH(I2005,Settings!$A$9:$A$12,0)),"")))</f>
        <v/>
      </c>
      <c r="K2005" s="27" t="str">
        <f aca="false">IF(J2005="","",COUNTIF($I$2:I2005,I2005))</f>
        <v/>
      </c>
      <c r="L2005" s="27" t="str">
        <f aca="false">IF(J2005="","",CHOOSE(Q2005+1,"Tue","Wed","Thu","Fri"))</f>
        <v/>
      </c>
      <c r="M2005" s="27" t="str">
        <f aca="false">IF(J2005="","",IF(J2005=1,"Every week",R2005+1&amp;" of "&amp;J2005))</f>
        <v/>
      </c>
      <c r="N2005" s="28" t="str">
        <f aca="false">IF(J2005="","",Settings!$B$4+R2005*7+Q2005)</f>
        <v/>
      </c>
      <c r="O2005" s="28" t="str">
        <f aca="true">IF(J2005="","",N2005+MAX(0,ROUNDUP((TODAY()-N2005)/(J2005*7),0))*J2005*7)</f>
        <v/>
      </c>
      <c r="P2005" s="27" t="str">
        <f aca="false">IF(J2005="","",MOD(K2005-1,J2005*4))</f>
        <v/>
      </c>
      <c r="Q2005" s="27" t="str">
        <f aca="false">IF(J2005="","",MOD(P2005,4))</f>
        <v/>
      </c>
      <c r="R2005" s="27" t="str">
        <f aca="false">IF(J2005="","",INT(P2005/4))</f>
        <v/>
      </c>
      <c r="S2005" s="27" t="str">
        <f aca="false">IF(J2005="","",IF(AND('Daily Count Sheet'!$H$3=Q2005,MOD('Daily Count Sheet'!$I$3,J2005)=R2005),1,""))</f>
        <v/>
      </c>
      <c r="T2005" s="27" t="str">
        <f aca="false">IF(S2005=1,COUNTIF($S$2:S2005,1),"")</f>
        <v/>
      </c>
    </row>
    <row r="2006" customFormat="false" ht="15" hidden="false" customHeight="false" outlineLevel="0" collapsed="false">
      <c r="H2006" s="26"/>
      <c r="I2006" s="27" t="str">
        <f aca="false">IF(A2006="","",IF(H2006&lt;&gt;"",UPPER(TRIM(H2006)),IFERROR(CHOOSE(VALUE(E2006)+1,"A","B","C","D"),IF(OR(LEFT(UPPER(TRIM(E2006)),1)="F",UPPER(TRIM(E2006))="A"),"A",IF(OR(LEFT(UPPER(TRIM(E2006)),1)="M",UPPER(TRIM(E2006))="B"),"B",IF(OR(LEFT(UPPER(TRIM(E2006)),2)="SL",UPPER(TRIM(E2006))="C"),"C",IF(OR(LEFT(UPPER(TRIM(E2006)),1)="D",UPPER(TRIM(E2006))="D"),"D","")))))))</f>
        <v/>
      </c>
      <c r="J2006" s="27" t="str">
        <f aca="false">IF(I2006="","",IF(AND(I2006="D",Settings!$B$6&lt;&gt;"Yes"),"",IFERROR(INDEX(Settings!$C$9:$C$12,MATCH(I2006,Settings!$A$9:$A$12,0)),"")))</f>
        <v/>
      </c>
      <c r="K2006" s="27" t="str">
        <f aca="false">IF(J2006="","",COUNTIF($I$2:I2006,I2006))</f>
        <v/>
      </c>
      <c r="L2006" s="27" t="str">
        <f aca="false">IF(J2006="","",CHOOSE(Q2006+1,"Tue","Wed","Thu","Fri"))</f>
        <v/>
      </c>
      <c r="M2006" s="27" t="str">
        <f aca="false">IF(J2006="","",IF(J2006=1,"Every week",R2006+1&amp;" of "&amp;J2006))</f>
        <v/>
      </c>
      <c r="N2006" s="28" t="str">
        <f aca="false">IF(J2006="","",Settings!$B$4+R2006*7+Q2006)</f>
        <v/>
      </c>
      <c r="O2006" s="28" t="str">
        <f aca="true">IF(J2006="","",N2006+MAX(0,ROUNDUP((TODAY()-N2006)/(J2006*7),0))*J2006*7)</f>
        <v/>
      </c>
      <c r="P2006" s="27" t="str">
        <f aca="false">IF(J2006="","",MOD(K2006-1,J2006*4))</f>
        <v/>
      </c>
      <c r="Q2006" s="27" t="str">
        <f aca="false">IF(J2006="","",MOD(P2006,4))</f>
        <v/>
      </c>
      <c r="R2006" s="27" t="str">
        <f aca="false">IF(J2006="","",INT(P2006/4))</f>
        <v/>
      </c>
      <c r="S2006" s="27" t="str">
        <f aca="false">IF(J2006="","",IF(AND('Daily Count Sheet'!$H$3=Q2006,MOD('Daily Count Sheet'!$I$3,J2006)=R2006),1,""))</f>
        <v/>
      </c>
      <c r="T2006" s="27" t="str">
        <f aca="false">IF(S2006=1,COUNTIF($S$2:S2006,1),"")</f>
        <v/>
      </c>
    </row>
    <row r="2007" customFormat="false" ht="15" hidden="false" customHeight="false" outlineLevel="0" collapsed="false">
      <c r="H2007" s="26"/>
      <c r="I2007" s="27" t="str">
        <f aca="false">IF(A2007="","",IF(H2007&lt;&gt;"",UPPER(TRIM(H2007)),IFERROR(CHOOSE(VALUE(E2007)+1,"A","B","C","D"),IF(OR(LEFT(UPPER(TRIM(E2007)),1)="F",UPPER(TRIM(E2007))="A"),"A",IF(OR(LEFT(UPPER(TRIM(E2007)),1)="M",UPPER(TRIM(E2007))="B"),"B",IF(OR(LEFT(UPPER(TRIM(E2007)),2)="SL",UPPER(TRIM(E2007))="C"),"C",IF(OR(LEFT(UPPER(TRIM(E2007)),1)="D",UPPER(TRIM(E2007))="D"),"D","")))))))</f>
        <v/>
      </c>
      <c r="J2007" s="27" t="str">
        <f aca="false">IF(I2007="","",IF(AND(I2007="D",Settings!$B$6&lt;&gt;"Yes"),"",IFERROR(INDEX(Settings!$C$9:$C$12,MATCH(I2007,Settings!$A$9:$A$12,0)),"")))</f>
        <v/>
      </c>
      <c r="K2007" s="27" t="str">
        <f aca="false">IF(J2007="","",COUNTIF($I$2:I2007,I2007))</f>
        <v/>
      </c>
      <c r="L2007" s="27" t="str">
        <f aca="false">IF(J2007="","",CHOOSE(Q2007+1,"Tue","Wed","Thu","Fri"))</f>
        <v/>
      </c>
      <c r="M2007" s="27" t="str">
        <f aca="false">IF(J2007="","",IF(J2007=1,"Every week",R2007+1&amp;" of "&amp;J2007))</f>
        <v/>
      </c>
      <c r="N2007" s="28" t="str">
        <f aca="false">IF(J2007="","",Settings!$B$4+R2007*7+Q2007)</f>
        <v/>
      </c>
      <c r="O2007" s="28" t="str">
        <f aca="true">IF(J2007="","",N2007+MAX(0,ROUNDUP((TODAY()-N2007)/(J2007*7),0))*J2007*7)</f>
        <v/>
      </c>
      <c r="P2007" s="27" t="str">
        <f aca="false">IF(J2007="","",MOD(K2007-1,J2007*4))</f>
        <v/>
      </c>
      <c r="Q2007" s="27" t="str">
        <f aca="false">IF(J2007="","",MOD(P2007,4))</f>
        <v/>
      </c>
      <c r="R2007" s="27" t="str">
        <f aca="false">IF(J2007="","",INT(P2007/4))</f>
        <v/>
      </c>
      <c r="S2007" s="27" t="str">
        <f aca="false">IF(J2007="","",IF(AND('Daily Count Sheet'!$H$3=Q2007,MOD('Daily Count Sheet'!$I$3,J2007)=R2007),1,""))</f>
        <v/>
      </c>
      <c r="T2007" s="27" t="str">
        <f aca="false">IF(S2007=1,COUNTIF($S$2:S2007,1),"")</f>
        <v/>
      </c>
    </row>
    <row r="2008" customFormat="false" ht="15" hidden="false" customHeight="false" outlineLevel="0" collapsed="false">
      <c r="H2008" s="26"/>
      <c r="I2008" s="27" t="str">
        <f aca="false">IF(A2008="","",IF(H2008&lt;&gt;"",UPPER(TRIM(H2008)),IFERROR(CHOOSE(VALUE(E2008)+1,"A","B","C","D"),IF(OR(LEFT(UPPER(TRIM(E2008)),1)="F",UPPER(TRIM(E2008))="A"),"A",IF(OR(LEFT(UPPER(TRIM(E2008)),1)="M",UPPER(TRIM(E2008))="B"),"B",IF(OR(LEFT(UPPER(TRIM(E2008)),2)="SL",UPPER(TRIM(E2008))="C"),"C",IF(OR(LEFT(UPPER(TRIM(E2008)),1)="D",UPPER(TRIM(E2008))="D"),"D","")))))))</f>
        <v/>
      </c>
      <c r="J2008" s="27" t="str">
        <f aca="false">IF(I2008="","",IF(AND(I2008="D",Settings!$B$6&lt;&gt;"Yes"),"",IFERROR(INDEX(Settings!$C$9:$C$12,MATCH(I2008,Settings!$A$9:$A$12,0)),"")))</f>
        <v/>
      </c>
      <c r="K2008" s="27" t="str">
        <f aca="false">IF(J2008="","",COUNTIF($I$2:I2008,I2008))</f>
        <v/>
      </c>
      <c r="L2008" s="27" t="str">
        <f aca="false">IF(J2008="","",CHOOSE(Q2008+1,"Tue","Wed","Thu","Fri"))</f>
        <v/>
      </c>
      <c r="M2008" s="27" t="str">
        <f aca="false">IF(J2008="","",IF(J2008=1,"Every week",R2008+1&amp;" of "&amp;J2008))</f>
        <v/>
      </c>
      <c r="N2008" s="28" t="str">
        <f aca="false">IF(J2008="","",Settings!$B$4+R2008*7+Q2008)</f>
        <v/>
      </c>
      <c r="O2008" s="28" t="str">
        <f aca="true">IF(J2008="","",N2008+MAX(0,ROUNDUP((TODAY()-N2008)/(J2008*7),0))*J2008*7)</f>
        <v/>
      </c>
      <c r="P2008" s="27" t="str">
        <f aca="false">IF(J2008="","",MOD(K2008-1,J2008*4))</f>
        <v/>
      </c>
      <c r="Q2008" s="27" t="str">
        <f aca="false">IF(J2008="","",MOD(P2008,4))</f>
        <v/>
      </c>
      <c r="R2008" s="27" t="str">
        <f aca="false">IF(J2008="","",INT(P2008/4))</f>
        <v/>
      </c>
      <c r="S2008" s="27" t="str">
        <f aca="false">IF(J2008="","",IF(AND('Daily Count Sheet'!$H$3=Q2008,MOD('Daily Count Sheet'!$I$3,J2008)=R2008),1,""))</f>
        <v/>
      </c>
      <c r="T2008" s="27" t="str">
        <f aca="false">IF(S2008=1,COUNTIF($S$2:S2008,1),"")</f>
        <v/>
      </c>
    </row>
    <row r="2009" customFormat="false" ht="15" hidden="false" customHeight="false" outlineLevel="0" collapsed="false">
      <c r="H2009" s="26"/>
      <c r="I2009" s="27" t="str">
        <f aca="false">IF(A2009="","",IF(H2009&lt;&gt;"",UPPER(TRIM(H2009)),IFERROR(CHOOSE(VALUE(E2009)+1,"A","B","C","D"),IF(OR(LEFT(UPPER(TRIM(E2009)),1)="F",UPPER(TRIM(E2009))="A"),"A",IF(OR(LEFT(UPPER(TRIM(E2009)),1)="M",UPPER(TRIM(E2009))="B"),"B",IF(OR(LEFT(UPPER(TRIM(E2009)),2)="SL",UPPER(TRIM(E2009))="C"),"C",IF(OR(LEFT(UPPER(TRIM(E2009)),1)="D",UPPER(TRIM(E2009))="D"),"D","")))))))</f>
        <v/>
      </c>
      <c r="J2009" s="27" t="str">
        <f aca="false">IF(I2009="","",IF(AND(I2009="D",Settings!$B$6&lt;&gt;"Yes"),"",IFERROR(INDEX(Settings!$C$9:$C$12,MATCH(I2009,Settings!$A$9:$A$12,0)),"")))</f>
        <v/>
      </c>
      <c r="K2009" s="27" t="str">
        <f aca="false">IF(J2009="","",COUNTIF($I$2:I2009,I2009))</f>
        <v/>
      </c>
      <c r="L2009" s="27" t="str">
        <f aca="false">IF(J2009="","",CHOOSE(Q2009+1,"Tue","Wed","Thu","Fri"))</f>
        <v/>
      </c>
      <c r="M2009" s="27" t="str">
        <f aca="false">IF(J2009="","",IF(J2009=1,"Every week",R2009+1&amp;" of "&amp;J2009))</f>
        <v/>
      </c>
      <c r="N2009" s="28" t="str">
        <f aca="false">IF(J2009="","",Settings!$B$4+R2009*7+Q2009)</f>
        <v/>
      </c>
      <c r="O2009" s="28" t="str">
        <f aca="true">IF(J2009="","",N2009+MAX(0,ROUNDUP((TODAY()-N2009)/(J2009*7),0))*J2009*7)</f>
        <v/>
      </c>
      <c r="P2009" s="27" t="str">
        <f aca="false">IF(J2009="","",MOD(K2009-1,J2009*4))</f>
        <v/>
      </c>
      <c r="Q2009" s="27" t="str">
        <f aca="false">IF(J2009="","",MOD(P2009,4))</f>
        <v/>
      </c>
      <c r="R2009" s="27" t="str">
        <f aca="false">IF(J2009="","",INT(P2009/4))</f>
        <v/>
      </c>
      <c r="S2009" s="27" t="str">
        <f aca="false">IF(J2009="","",IF(AND('Daily Count Sheet'!$H$3=Q2009,MOD('Daily Count Sheet'!$I$3,J2009)=R2009),1,""))</f>
        <v/>
      </c>
      <c r="T2009" s="27" t="str">
        <f aca="false">IF(S2009=1,COUNTIF($S$2:S2009,1),"")</f>
        <v/>
      </c>
    </row>
    <row r="2010" customFormat="false" ht="15" hidden="false" customHeight="false" outlineLevel="0" collapsed="false">
      <c r="H2010" s="26"/>
      <c r="I2010" s="27" t="str">
        <f aca="false">IF(A2010="","",IF(H2010&lt;&gt;"",UPPER(TRIM(H2010)),IFERROR(CHOOSE(VALUE(E2010)+1,"A","B","C","D"),IF(OR(LEFT(UPPER(TRIM(E2010)),1)="F",UPPER(TRIM(E2010))="A"),"A",IF(OR(LEFT(UPPER(TRIM(E2010)),1)="M",UPPER(TRIM(E2010))="B"),"B",IF(OR(LEFT(UPPER(TRIM(E2010)),2)="SL",UPPER(TRIM(E2010))="C"),"C",IF(OR(LEFT(UPPER(TRIM(E2010)),1)="D",UPPER(TRIM(E2010))="D"),"D","")))))))</f>
        <v/>
      </c>
      <c r="J2010" s="27" t="str">
        <f aca="false">IF(I2010="","",IF(AND(I2010="D",Settings!$B$6&lt;&gt;"Yes"),"",IFERROR(INDEX(Settings!$C$9:$C$12,MATCH(I2010,Settings!$A$9:$A$12,0)),"")))</f>
        <v/>
      </c>
      <c r="K2010" s="27" t="str">
        <f aca="false">IF(J2010="","",COUNTIF($I$2:I2010,I2010))</f>
        <v/>
      </c>
      <c r="L2010" s="27" t="str">
        <f aca="false">IF(J2010="","",CHOOSE(Q2010+1,"Tue","Wed","Thu","Fri"))</f>
        <v/>
      </c>
      <c r="M2010" s="27" t="str">
        <f aca="false">IF(J2010="","",IF(J2010=1,"Every week",R2010+1&amp;" of "&amp;J2010))</f>
        <v/>
      </c>
      <c r="N2010" s="28" t="str">
        <f aca="false">IF(J2010="","",Settings!$B$4+R2010*7+Q2010)</f>
        <v/>
      </c>
      <c r="O2010" s="28" t="str">
        <f aca="true">IF(J2010="","",N2010+MAX(0,ROUNDUP((TODAY()-N2010)/(J2010*7),0))*J2010*7)</f>
        <v/>
      </c>
      <c r="P2010" s="27" t="str">
        <f aca="false">IF(J2010="","",MOD(K2010-1,J2010*4))</f>
        <v/>
      </c>
      <c r="Q2010" s="27" t="str">
        <f aca="false">IF(J2010="","",MOD(P2010,4))</f>
        <v/>
      </c>
      <c r="R2010" s="27" t="str">
        <f aca="false">IF(J2010="","",INT(P2010/4))</f>
        <v/>
      </c>
      <c r="S2010" s="27" t="str">
        <f aca="false">IF(J2010="","",IF(AND('Daily Count Sheet'!$H$3=Q2010,MOD('Daily Count Sheet'!$I$3,J2010)=R2010),1,""))</f>
        <v/>
      </c>
      <c r="T2010" s="27" t="str">
        <f aca="false">IF(S2010=1,COUNTIF($S$2:S2010,1),"")</f>
        <v/>
      </c>
    </row>
    <row r="2011" customFormat="false" ht="15" hidden="false" customHeight="false" outlineLevel="0" collapsed="false">
      <c r="H2011" s="26"/>
      <c r="I2011" s="27" t="str">
        <f aca="false">IF(A2011="","",IF(H2011&lt;&gt;"",UPPER(TRIM(H2011)),IFERROR(CHOOSE(VALUE(E2011)+1,"A","B","C","D"),IF(OR(LEFT(UPPER(TRIM(E2011)),1)="F",UPPER(TRIM(E2011))="A"),"A",IF(OR(LEFT(UPPER(TRIM(E2011)),1)="M",UPPER(TRIM(E2011))="B"),"B",IF(OR(LEFT(UPPER(TRIM(E2011)),2)="SL",UPPER(TRIM(E2011))="C"),"C",IF(OR(LEFT(UPPER(TRIM(E2011)),1)="D",UPPER(TRIM(E2011))="D"),"D","")))))))</f>
        <v/>
      </c>
      <c r="J2011" s="27" t="str">
        <f aca="false">IF(I2011="","",IF(AND(I2011="D",Settings!$B$6&lt;&gt;"Yes"),"",IFERROR(INDEX(Settings!$C$9:$C$12,MATCH(I2011,Settings!$A$9:$A$12,0)),"")))</f>
        <v/>
      </c>
      <c r="K2011" s="27" t="str">
        <f aca="false">IF(J2011="","",COUNTIF($I$2:I2011,I2011))</f>
        <v/>
      </c>
      <c r="L2011" s="27" t="str">
        <f aca="false">IF(J2011="","",CHOOSE(Q2011+1,"Tue","Wed","Thu","Fri"))</f>
        <v/>
      </c>
      <c r="M2011" s="27" t="str">
        <f aca="false">IF(J2011="","",IF(J2011=1,"Every week",R2011+1&amp;" of "&amp;J2011))</f>
        <v/>
      </c>
      <c r="N2011" s="28" t="str">
        <f aca="false">IF(J2011="","",Settings!$B$4+R2011*7+Q2011)</f>
        <v/>
      </c>
      <c r="O2011" s="28" t="str">
        <f aca="true">IF(J2011="","",N2011+MAX(0,ROUNDUP((TODAY()-N2011)/(J2011*7),0))*J2011*7)</f>
        <v/>
      </c>
      <c r="P2011" s="27" t="str">
        <f aca="false">IF(J2011="","",MOD(K2011-1,J2011*4))</f>
        <v/>
      </c>
      <c r="Q2011" s="27" t="str">
        <f aca="false">IF(J2011="","",MOD(P2011,4))</f>
        <v/>
      </c>
      <c r="R2011" s="27" t="str">
        <f aca="false">IF(J2011="","",INT(P2011/4))</f>
        <v/>
      </c>
      <c r="S2011" s="27" t="str">
        <f aca="false">IF(J2011="","",IF(AND('Daily Count Sheet'!$H$3=Q2011,MOD('Daily Count Sheet'!$I$3,J2011)=R2011),1,""))</f>
        <v/>
      </c>
      <c r="T2011" s="27" t="str">
        <f aca="false">IF(S2011=1,COUNTIF($S$2:S2011,1),"")</f>
        <v/>
      </c>
    </row>
    <row r="2012" customFormat="false" ht="15" hidden="false" customHeight="false" outlineLevel="0" collapsed="false">
      <c r="H2012" s="26"/>
      <c r="I2012" s="27" t="str">
        <f aca="false">IF(A2012="","",IF(H2012&lt;&gt;"",UPPER(TRIM(H2012)),IFERROR(CHOOSE(VALUE(E2012)+1,"A","B","C","D"),IF(OR(LEFT(UPPER(TRIM(E2012)),1)="F",UPPER(TRIM(E2012))="A"),"A",IF(OR(LEFT(UPPER(TRIM(E2012)),1)="M",UPPER(TRIM(E2012))="B"),"B",IF(OR(LEFT(UPPER(TRIM(E2012)),2)="SL",UPPER(TRIM(E2012))="C"),"C",IF(OR(LEFT(UPPER(TRIM(E2012)),1)="D",UPPER(TRIM(E2012))="D"),"D","")))))))</f>
        <v/>
      </c>
      <c r="J2012" s="27" t="str">
        <f aca="false">IF(I2012="","",IF(AND(I2012="D",Settings!$B$6&lt;&gt;"Yes"),"",IFERROR(INDEX(Settings!$C$9:$C$12,MATCH(I2012,Settings!$A$9:$A$12,0)),"")))</f>
        <v/>
      </c>
      <c r="K2012" s="27" t="str">
        <f aca="false">IF(J2012="","",COUNTIF($I$2:I2012,I2012))</f>
        <v/>
      </c>
      <c r="L2012" s="27" t="str">
        <f aca="false">IF(J2012="","",CHOOSE(Q2012+1,"Tue","Wed","Thu","Fri"))</f>
        <v/>
      </c>
      <c r="M2012" s="27" t="str">
        <f aca="false">IF(J2012="","",IF(J2012=1,"Every week",R2012+1&amp;" of "&amp;J2012))</f>
        <v/>
      </c>
      <c r="N2012" s="28" t="str">
        <f aca="false">IF(J2012="","",Settings!$B$4+R2012*7+Q2012)</f>
        <v/>
      </c>
      <c r="O2012" s="28" t="str">
        <f aca="true">IF(J2012="","",N2012+MAX(0,ROUNDUP((TODAY()-N2012)/(J2012*7),0))*J2012*7)</f>
        <v/>
      </c>
      <c r="P2012" s="27" t="str">
        <f aca="false">IF(J2012="","",MOD(K2012-1,J2012*4))</f>
        <v/>
      </c>
      <c r="Q2012" s="27" t="str">
        <f aca="false">IF(J2012="","",MOD(P2012,4))</f>
        <v/>
      </c>
      <c r="R2012" s="27" t="str">
        <f aca="false">IF(J2012="","",INT(P2012/4))</f>
        <v/>
      </c>
      <c r="S2012" s="27" t="str">
        <f aca="false">IF(J2012="","",IF(AND('Daily Count Sheet'!$H$3=Q2012,MOD('Daily Count Sheet'!$I$3,J2012)=R2012),1,""))</f>
        <v/>
      </c>
      <c r="T2012" s="27" t="str">
        <f aca="false">IF(S2012=1,COUNTIF($S$2:S2012,1),"")</f>
        <v/>
      </c>
    </row>
    <row r="2013" customFormat="false" ht="15" hidden="false" customHeight="false" outlineLevel="0" collapsed="false">
      <c r="H2013" s="26"/>
      <c r="I2013" s="27" t="str">
        <f aca="false">IF(A2013="","",IF(H2013&lt;&gt;"",UPPER(TRIM(H2013)),IFERROR(CHOOSE(VALUE(E2013)+1,"A","B","C","D"),IF(OR(LEFT(UPPER(TRIM(E2013)),1)="F",UPPER(TRIM(E2013))="A"),"A",IF(OR(LEFT(UPPER(TRIM(E2013)),1)="M",UPPER(TRIM(E2013))="B"),"B",IF(OR(LEFT(UPPER(TRIM(E2013)),2)="SL",UPPER(TRIM(E2013))="C"),"C",IF(OR(LEFT(UPPER(TRIM(E2013)),1)="D",UPPER(TRIM(E2013))="D"),"D","")))))))</f>
        <v/>
      </c>
      <c r="J2013" s="27" t="str">
        <f aca="false">IF(I2013="","",IF(AND(I2013="D",Settings!$B$6&lt;&gt;"Yes"),"",IFERROR(INDEX(Settings!$C$9:$C$12,MATCH(I2013,Settings!$A$9:$A$12,0)),"")))</f>
        <v/>
      </c>
      <c r="K2013" s="27" t="str">
        <f aca="false">IF(J2013="","",COUNTIF($I$2:I2013,I2013))</f>
        <v/>
      </c>
      <c r="L2013" s="27" t="str">
        <f aca="false">IF(J2013="","",CHOOSE(Q2013+1,"Tue","Wed","Thu","Fri"))</f>
        <v/>
      </c>
      <c r="M2013" s="27" t="str">
        <f aca="false">IF(J2013="","",IF(J2013=1,"Every week",R2013+1&amp;" of "&amp;J2013))</f>
        <v/>
      </c>
      <c r="N2013" s="28" t="str">
        <f aca="false">IF(J2013="","",Settings!$B$4+R2013*7+Q2013)</f>
        <v/>
      </c>
      <c r="O2013" s="28" t="str">
        <f aca="true">IF(J2013="","",N2013+MAX(0,ROUNDUP((TODAY()-N2013)/(J2013*7),0))*J2013*7)</f>
        <v/>
      </c>
      <c r="P2013" s="27" t="str">
        <f aca="false">IF(J2013="","",MOD(K2013-1,J2013*4))</f>
        <v/>
      </c>
      <c r="Q2013" s="27" t="str">
        <f aca="false">IF(J2013="","",MOD(P2013,4))</f>
        <v/>
      </c>
      <c r="R2013" s="27" t="str">
        <f aca="false">IF(J2013="","",INT(P2013/4))</f>
        <v/>
      </c>
      <c r="S2013" s="27" t="str">
        <f aca="false">IF(J2013="","",IF(AND('Daily Count Sheet'!$H$3=Q2013,MOD('Daily Count Sheet'!$I$3,J2013)=R2013),1,""))</f>
        <v/>
      </c>
      <c r="T2013" s="27" t="str">
        <f aca="false">IF(S2013=1,COUNTIF($S$2:S2013,1),"")</f>
        <v/>
      </c>
    </row>
    <row r="2014" customFormat="false" ht="15" hidden="false" customHeight="false" outlineLevel="0" collapsed="false">
      <c r="H2014" s="26"/>
      <c r="I2014" s="27" t="str">
        <f aca="false">IF(A2014="","",IF(H2014&lt;&gt;"",UPPER(TRIM(H2014)),IFERROR(CHOOSE(VALUE(E2014)+1,"A","B","C","D"),IF(OR(LEFT(UPPER(TRIM(E2014)),1)="F",UPPER(TRIM(E2014))="A"),"A",IF(OR(LEFT(UPPER(TRIM(E2014)),1)="M",UPPER(TRIM(E2014))="B"),"B",IF(OR(LEFT(UPPER(TRIM(E2014)),2)="SL",UPPER(TRIM(E2014))="C"),"C",IF(OR(LEFT(UPPER(TRIM(E2014)),1)="D",UPPER(TRIM(E2014))="D"),"D","")))))))</f>
        <v/>
      </c>
      <c r="J2014" s="27" t="str">
        <f aca="false">IF(I2014="","",IF(AND(I2014="D",Settings!$B$6&lt;&gt;"Yes"),"",IFERROR(INDEX(Settings!$C$9:$C$12,MATCH(I2014,Settings!$A$9:$A$12,0)),"")))</f>
        <v/>
      </c>
      <c r="K2014" s="27" t="str">
        <f aca="false">IF(J2014="","",COUNTIF($I$2:I2014,I2014))</f>
        <v/>
      </c>
      <c r="L2014" s="27" t="str">
        <f aca="false">IF(J2014="","",CHOOSE(Q2014+1,"Tue","Wed","Thu","Fri"))</f>
        <v/>
      </c>
      <c r="M2014" s="27" t="str">
        <f aca="false">IF(J2014="","",IF(J2014=1,"Every week",R2014+1&amp;" of "&amp;J2014))</f>
        <v/>
      </c>
      <c r="N2014" s="28" t="str">
        <f aca="false">IF(J2014="","",Settings!$B$4+R2014*7+Q2014)</f>
        <v/>
      </c>
      <c r="O2014" s="28" t="str">
        <f aca="true">IF(J2014="","",N2014+MAX(0,ROUNDUP((TODAY()-N2014)/(J2014*7),0))*J2014*7)</f>
        <v/>
      </c>
      <c r="P2014" s="27" t="str">
        <f aca="false">IF(J2014="","",MOD(K2014-1,J2014*4))</f>
        <v/>
      </c>
      <c r="Q2014" s="27" t="str">
        <f aca="false">IF(J2014="","",MOD(P2014,4))</f>
        <v/>
      </c>
      <c r="R2014" s="27" t="str">
        <f aca="false">IF(J2014="","",INT(P2014/4))</f>
        <v/>
      </c>
      <c r="S2014" s="27" t="str">
        <f aca="false">IF(J2014="","",IF(AND('Daily Count Sheet'!$H$3=Q2014,MOD('Daily Count Sheet'!$I$3,J2014)=R2014),1,""))</f>
        <v/>
      </c>
      <c r="T2014" s="27" t="str">
        <f aca="false">IF(S2014=1,COUNTIF($S$2:S2014,1),"")</f>
        <v/>
      </c>
    </row>
    <row r="2015" customFormat="false" ht="15" hidden="false" customHeight="false" outlineLevel="0" collapsed="false">
      <c r="H2015" s="26"/>
      <c r="I2015" s="27" t="str">
        <f aca="false">IF(A2015="","",IF(H2015&lt;&gt;"",UPPER(TRIM(H2015)),IFERROR(CHOOSE(VALUE(E2015)+1,"A","B","C","D"),IF(OR(LEFT(UPPER(TRIM(E2015)),1)="F",UPPER(TRIM(E2015))="A"),"A",IF(OR(LEFT(UPPER(TRIM(E2015)),1)="M",UPPER(TRIM(E2015))="B"),"B",IF(OR(LEFT(UPPER(TRIM(E2015)),2)="SL",UPPER(TRIM(E2015))="C"),"C",IF(OR(LEFT(UPPER(TRIM(E2015)),1)="D",UPPER(TRIM(E2015))="D"),"D","")))))))</f>
        <v/>
      </c>
      <c r="J2015" s="27" t="str">
        <f aca="false">IF(I2015="","",IF(AND(I2015="D",Settings!$B$6&lt;&gt;"Yes"),"",IFERROR(INDEX(Settings!$C$9:$C$12,MATCH(I2015,Settings!$A$9:$A$12,0)),"")))</f>
        <v/>
      </c>
      <c r="K2015" s="27" t="str">
        <f aca="false">IF(J2015="","",COUNTIF($I$2:I2015,I2015))</f>
        <v/>
      </c>
      <c r="L2015" s="27" t="str">
        <f aca="false">IF(J2015="","",CHOOSE(Q2015+1,"Tue","Wed","Thu","Fri"))</f>
        <v/>
      </c>
      <c r="M2015" s="27" t="str">
        <f aca="false">IF(J2015="","",IF(J2015=1,"Every week",R2015+1&amp;" of "&amp;J2015))</f>
        <v/>
      </c>
      <c r="N2015" s="28" t="str">
        <f aca="false">IF(J2015="","",Settings!$B$4+R2015*7+Q2015)</f>
        <v/>
      </c>
      <c r="O2015" s="28" t="str">
        <f aca="true">IF(J2015="","",N2015+MAX(0,ROUNDUP((TODAY()-N2015)/(J2015*7),0))*J2015*7)</f>
        <v/>
      </c>
      <c r="P2015" s="27" t="str">
        <f aca="false">IF(J2015="","",MOD(K2015-1,J2015*4))</f>
        <v/>
      </c>
      <c r="Q2015" s="27" t="str">
        <f aca="false">IF(J2015="","",MOD(P2015,4))</f>
        <v/>
      </c>
      <c r="R2015" s="27" t="str">
        <f aca="false">IF(J2015="","",INT(P2015/4))</f>
        <v/>
      </c>
      <c r="S2015" s="27" t="str">
        <f aca="false">IF(J2015="","",IF(AND('Daily Count Sheet'!$H$3=Q2015,MOD('Daily Count Sheet'!$I$3,J2015)=R2015),1,""))</f>
        <v/>
      </c>
      <c r="T2015" s="27" t="str">
        <f aca="false">IF(S2015=1,COUNTIF($S$2:S2015,1),"")</f>
        <v/>
      </c>
    </row>
    <row r="2016" customFormat="false" ht="15" hidden="false" customHeight="false" outlineLevel="0" collapsed="false">
      <c r="H2016" s="26"/>
      <c r="I2016" s="27" t="str">
        <f aca="false">IF(A2016="","",IF(H2016&lt;&gt;"",UPPER(TRIM(H2016)),IFERROR(CHOOSE(VALUE(E2016)+1,"A","B","C","D"),IF(OR(LEFT(UPPER(TRIM(E2016)),1)="F",UPPER(TRIM(E2016))="A"),"A",IF(OR(LEFT(UPPER(TRIM(E2016)),1)="M",UPPER(TRIM(E2016))="B"),"B",IF(OR(LEFT(UPPER(TRIM(E2016)),2)="SL",UPPER(TRIM(E2016))="C"),"C",IF(OR(LEFT(UPPER(TRIM(E2016)),1)="D",UPPER(TRIM(E2016))="D"),"D","")))))))</f>
        <v/>
      </c>
      <c r="J2016" s="27" t="str">
        <f aca="false">IF(I2016="","",IF(AND(I2016="D",Settings!$B$6&lt;&gt;"Yes"),"",IFERROR(INDEX(Settings!$C$9:$C$12,MATCH(I2016,Settings!$A$9:$A$12,0)),"")))</f>
        <v/>
      </c>
      <c r="K2016" s="27" t="str">
        <f aca="false">IF(J2016="","",COUNTIF($I$2:I2016,I2016))</f>
        <v/>
      </c>
      <c r="L2016" s="27" t="str">
        <f aca="false">IF(J2016="","",CHOOSE(Q2016+1,"Tue","Wed","Thu","Fri"))</f>
        <v/>
      </c>
      <c r="M2016" s="27" t="str">
        <f aca="false">IF(J2016="","",IF(J2016=1,"Every week",R2016+1&amp;" of "&amp;J2016))</f>
        <v/>
      </c>
      <c r="N2016" s="28" t="str">
        <f aca="false">IF(J2016="","",Settings!$B$4+R2016*7+Q2016)</f>
        <v/>
      </c>
      <c r="O2016" s="28" t="str">
        <f aca="true">IF(J2016="","",N2016+MAX(0,ROUNDUP((TODAY()-N2016)/(J2016*7),0))*J2016*7)</f>
        <v/>
      </c>
      <c r="P2016" s="27" t="str">
        <f aca="false">IF(J2016="","",MOD(K2016-1,J2016*4))</f>
        <v/>
      </c>
      <c r="Q2016" s="27" t="str">
        <f aca="false">IF(J2016="","",MOD(P2016,4))</f>
        <v/>
      </c>
      <c r="R2016" s="27" t="str">
        <f aca="false">IF(J2016="","",INT(P2016/4))</f>
        <v/>
      </c>
      <c r="S2016" s="27" t="str">
        <f aca="false">IF(J2016="","",IF(AND('Daily Count Sheet'!$H$3=Q2016,MOD('Daily Count Sheet'!$I$3,J2016)=R2016),1,""))</f>
        <v/>
      </c>
      <c r="T2016" s="27" t="str">
        <f aca="false">IF(S2016=1,COUNTIF($S$2:S2016,1),"")</f>
        <v/>
      </c>
    </row>
    <row r="2017" customFormat="false" ht="15" hidden="false" customHeight="false" outlineLevel="0" collapsed="false">
      <c r="H2017" s="26"/>
      <c r="I2017" s="27" t="str">
        <f aca="false">IF(A2017="","",IF(H2017&lt;&gt;"",UPPER(TRIM(H2017)),IFERROR(CHOOSE(VALUE(E2017)+1,"A","B","C","D"),IF(OR(LEFT(UPPER(TRIM(E2017)),1)="F",UPPER(TRIM(E2017))="A"),"A",IF(OR(LEFT(UPPER(TRIM(E2017)),1)="M",UPPER(TRIM(E2017))="B"),"B",IF(OR(LEFT(UPPER(TRIM(E2017)),2)="SL",UPPER(TRIM(E2017))="C"),"C",IF(OR(LEFT(UPPER(TRIM(E2017)),1)="D",UPPER(TRIM(E2017))="D"),"D","")))))))</f>
        <v/>
      </c>
      <c r="J2017" s="27" t="str">
        <f aca="false">IF(I2017="","",IF(AND(I2017="D",Settings!$B$6&lt;&gt;"Yes"),"",IFERROR(INDEX(Settings!$C$9:$C$12,MATCH(I2017,Settings!$A$9:$A$12,0)),"")))</f>
        <v/>
      </c>
      <c r="K2017" s="27" t="str">
        <f aca="false">IF(J2017="","",COUNTIF($I$2:I2017,I2017))</f>
        <v/>
      </c>
      <c r="L2017" s="27" t="str">
        <f aca="false">IF(J2017="","",CHOOSE(Q2017+1,"Tue","Wed","Thu","Fri"))</f>
        <v/>
      </c>
      <c r="M2017" s="27" t="str">
        <f aca="false">IF(J2017="","",IF(J2017=1,"Every week",R2017+1&amp;" of "&amp;J2017))</f>
        <v/>
      </c>
      <c r="N2017" s="28" t="str">
        <f aca="false">IF(J2017="","",Settings!$B$4+R2017*7+Q2017)</f>
        <v/>
      </c>
      <c r="O2017" s="28" t="str">
        <f aca="true">IF(J2017="","",N2017+MAX(0,ROUNDUP((TODAY()-N2017)/(J2017*7),0))*J2017*7)</f>
        <v/>
      </c>
      <c r="P2017" s="27" t="str">
        <f aca="false">IF(J2017="","",MOD(K2017-1,J2017*4))</f>
        <v/>
      </c>
      <c r="Q2017" s="27" t="str">
        <f aca="false">IF(J2017="","",MOD(P2017,4))</f>
        <v/>
      </c>
      <c r="R2017" s="27" t="str">
        <f aca="false">IF(J2017="","",INT(P2017/4))</f>
        <v/>
      </c>
      <c r="S2017" s="27" t="str">
        <f aca="false">IF(J2017="","",IF(AND('Daily Count Sheet'!$H$3=Q2017,MOD('Daily Count Sheet'!$I$3,J2017)=R2017),1,""))</f>
        <v/>
      </c>
      <c r="T2017" s="27" t="str">
        <f aca="false">IF(S2017=1,COUNTIF($S$2:S2017,1),"")</f>
        <v/>
      </c>
    </row>
    <row r="2018" customFormat="false" ht="15" hidden="false" customHeight="false" outlineLevel="0" collapsed="false">
      <c r="H2018" s="26"/>
      <c r="I2018" s="27" t="str">
        <f aca="false">IF(A2018="","",IF(H2018&lt;&gt;"",UPPER(TRIM(H2018)),IFERROR(CHOOSE(VALUE(E2018)+1,"A","B","C","D"),IF(OR(LEFT(UPPER(TRIM(E2018)),1)="F",UPPER(TRIM(E2018))="A"),"A",IF(OR(LEFT(UPPER(TRIM(E2018)),1)="M",UPPER(TRIM(E2018))="B"),"B",IF(OR(LEFT(UPPER(TRIM(E2018)),2)="SL",UPPER(TRIM(E2018))="C"),"C",IF(OR(LEFT(UPPER(TRIM(E2018)),1)="D",UPPER(TRIM(E2018))="D"),"D","")))))))</f>
        <v/>
      </c>
      <c r="J2018" s="27" t="str">
        <f aca="false">IF(I2018="","",IF(AND(I2018="D",Settings!$B$6&lt;&gt;"Yes"),"",IFERROR(INDEX(Settings!$C$9:$C$12,MATCH(I2018,Settings!$A$9:$A$12,0)),"")))</f>
        <v/>
      </c>
      <c r="K2018" s="27" t="str">
        <f aca="false">IF(J2018="","",COUNTIF($I$2:I2018,I2018))</f>
        <v/>
      </c>
      <c r="L2018" s="27" t="str">
        <f aca="false">IF(J2018="","",CHOOSE(Q2018+1,"Tue","Wed","Thu","Fri"))</f>
        <v/>
      </c>
      <c r="M2018" s="27" t="str">
        <f aca="false">IF(J2018="","",IF(J2018=1,"Every week",R2018+1&amp;" of "&amp;J2018))</f>
        <v/>
      </c>
      <c r="N2018" s="28" t="str">
        <f aca="false">IF(J2018="","",Settings!$B$4+R2018*7+Q2018)</f>
        <v/>
      </c>
      <c r="O2018" s="28" t="str">
        <f aca="true">IF(J2018="","",N2018+MAX(0,ROUNDUP((TODAY()-N2018)/(J2018*7),0))*J2018*7)</f>
        <v/>
      </c>
      <c r="P2018" s="27" t="str">
        <f aca="false">IF(J2018="","",MOD(K2018-1,J2018*4))</f>
        <v/>
      </c>
      <c r="Q2018" s="27" t="str">
        <f aca="false">IF(J2018="","",MOD(P2018,4))</f>
        <v/>
      </c>
      <c r="R2018" s="27" t="str">
        <f aca="false">IF(J2018="","",INT(P2018/4))</f>
        <v/>
      </c>
      <c r="S2018" s="27" t="str">
        <f aca="false">IF(J2018="","",IF(AND('Daily Count Sheet'!$H$3=Q2018,MOD('Daily Count Sheet'!$I$3,J2018)=R2018),1,""))</f>
        <v/>
      </c>
      <c r="T2018" s="27" t="str">
        <f aca="false">IF(S2018=1,COUNTIF($S$2:S2018,1),"")</f>
        <v/>
      </c>
    </row>
    <row r="2019" customFormat="false" ht="15" hidden="false" customHeight="false" outlineLevel="0" collapsed="false">
      <c r="H2019" s="26"/>
      <c r="I2019" s="27" t="str">
        <f aca="false">IF(A2019="","",IF(H2019&lt;&gt;"",UPPER(TRIM(H2019)),IFERROR(CHOOSE(VALUE(E2019)+1,"A","B","C","D"),IF(OR(LEFT(UPPER(TRIM(E2019)),1)="F",UPPER(TRIM(E2019))="A"),"A",IF(OR(LEFT(UPPER(TRIM(E2019)),1)="M",UPPER(TRIM(E2019))="B"),"B",IF(OR(LEFT(UPPER(TRIM(E2019)),2)="SL",UPPER(TRIM(E2019))="C"),"C",IF(OR(LEFT(UPPER(TRIM(E2019)),1)="D",UPPER(TRIM(E2019))="D"),"D","")))))))</f>
        <v/>
      </c>
      <c r="J2019" s="27" t="str">
        <f aca="false">IF(I2019="","",IF(AND(I2019="D",Settings!$B$6&lt;&gt;"Yes"),"",IFERROR(INDEX(Settings!$C$9:$C$12,MATCH(I2019,Settings!$A$9:$A$12,0)),"")))</f>
        <v/>
      </c>
      <c r="K2019" s="27" t="str">
        <f aca="false">IF(J2019="","",COUNTIF($I$2:I2019,I2019))</f>
        <v/>
      </c>
      <c r="L2019" s="27" t="str">
        <f aca="false">IF(J2019="","",CHOOSE(Q2019+1,"Tue","Wed","Thu","Fri"))</f>
        <v/>
      </c>
      <c r="M2019" s="27" t="str">
        <f aca="false">IF(J2019="","",IF(J2019=1,"Every week",R2019+1&amp;" of "&amp;J2019))</f>
        <v/>
      </c>
      <c r="N2019" s="28" t="str">
        <f aca="false">IF(J2019="","",Settings!$B$4+R2019*7+Q2019)</f>
        <v/>
      </c>
      <c r="O2019" s="28" t="str">
        <f aca="true">IF(J2019="","",N2019+MAX(0,ROUNDUP((TODAY()-N2019)/(J2019*7),0))*J2019*7)</f>
        <v/>
      </c>
      <c r="P2019" s="27" t="str">
        <f aca="false">IF(J2019="","",MOD(K2019-1,J2019*4))</f>
        <v/>
      </c>
      <c r="Q2019" s="27" t="str">
        <f aca="false">IF(J2019="","",MOD(P2019,4))</f>
        <v/>
      </c>
      <c r="R2019" s="27" t="str">
        <f aca="false">IF(J2019="","",INT(P2019/4))</f>
        <v/>
      </c>
      <c r="S2019" s="27" t="str">
        <f aca="false">IF(J2019="","",IF(AND('Daily Count Sheet'!$H$3=Q2019,MOD('Daily Count Sheet'!$I$3,J2019)=R2019),1,""))</f>
        <v/>
      </c>
      <c r="T2019" s="27" t="str">
        <f aca="false">IF(S2019=1,COUNTIF($S$2:S2019,1),"")</f>
        <v/>
      </c>
    </row>
    <row r="2020" customFormat="false" ht="15" hidden="false" customHeight="false" outlineLevel="0" collapsed="false">
      <c r="H2020" s="26"/>
      <c r="I2020" s="27" t="str">
        <f aca="false">IF(A2020="","",IF(H2020&lt;&gt;"",UPPER(TRIM(H2020)),IFERROR(CHOOSE(VALUE(E2020)+1,"A","B","C","D"),IF(OR(LEFT(UPPER(TRIM(E2020)),1)="F",UPPER(TRIM(E2020))="A"),"A",IF(OR(LEFT(UPPER(TRIM(E2020)),1)="M",UPPER(TRIM(E2020))="B"),"B",IF(OR(LEFT(UPPER(TRIM(E2020)),2)="SL",UPPER(TRIM(E2020))="C"),"C",IF(OR(LEFT(UPPER(TRIM(E2020)),1)="D",UPPER(TRIM(E2020))="D"),"D","")))))))</f>
        <v/>
      </c>
      <c r="J2020" s="27" t="str">
        <f aca="false">IF(I2020="","",IF(AND(I2020="D",Settings!$B$6&lt;&gt;"Yes"),"",IFERROR(INDEX(Settings!$C$9:$C$12,MATCH(I2020,Settings!$A$9:$A$12,0)),"")))</f>
        <v/>
      </c>
      <c r="K2020" s="27" t="str">
        <f aca="false">IF(J2020="","",COUNTIF($I$2:I2020,I2020))</f>
        <v/>
      </c>
      <c r="L2020" s="27" t="str">
        <f aca="false">IF(J2020="","",CHOOSE(Q2020+1,"Tue","Wed","Thu","Fri"))</f>
        <v/>
      </c>
      <c r="M2020" s="27" t="str">
        <f aca="false">IF(J2020="","",IF(J2020=1,"Every week",R2020+1&amp;" of "&amp;J2020))</f>
        <v/>
      </c>
      <c r="N2020" s="28" t="str">
        <f aca="false">IF(J2020="","",Settings!$B$4+R2020*7+Q2020)</f>
        <v/>
      </c>
      <c r="O2020" s="28" t="str">
        <f aca="true">IF(J2020="","",N2020+MAX(0,ROUNDUP((TODAY()-N2020)/(J2020*7),0))*J2020*7)</f>
        <v/>
      </c>
      <c r="P2020" s="27" t="str">
        <f aca="false">IF(J2020="","",MOD(K2020-1,J2020*4))</f>
        <v/>
      </c>
      <c r="Q2020" s="27" t="str">
        <f aca="false">IF(J2020="","",MOD(P2020,4))</f>
        <v/>
      </c>
      <c r="R2020" s="27" t="str">
        <f aca="false">IF(J2020="","",INT(P2020/4))</f>
        <v/>
      </c>
      <c r="S2020" s="27" t="str">
        <f aca="false">IF(J2020="","",IF(AND('Daily Count Sheet'!$H$3=Q2020,MOD('Daily Count Sheet'!$I$3,J2020)=R2020),1,""))</f>
        <v/>
      </c>
      <c r="T2020" s="27" t="str">
        <f aca="false">IF(S2020=1,COUNTIF($S$2:S2020,1),"")</f>
        <v/>
      </c>
    </row>
    <row r="2021" customFormat="false" ht="15" hidden="false" customHeight="false" outlineLevel="0" collapsed="false">
      <c r="H2021" s="26"/>
      <c r="I2021" s="27" t="str">
        <f aca="false">IF(A2021="","",IF(H2021&lt;&gt;"",UPPER(TRIM(H2021)),IFERROR(CHOOSE(VALUE(E2021)+1,"A","B","C","D"),IF(OR(LEFT(UPPER(TRIM(E2021)),1)="F",UPPER(TRIM(E2021))="A"),"A",IF(OR(LEFT(UPPER(TRIM(E2021)),1)="M",UPPER(TRIM(E2021))="B"),"B",IF(OR(LEFT(UPPER(TRIM(E2021)),2)="SL",UPPER(TRIM(E2021))="C"),"C",IF(OR(LEFT(UPPER(TRIM(E2021)),1)="D",UPPER(TRIM(E2021))="D"),"D","")))))))</f>
        <v/>
      </c>
      <c r="J2021" s="27" t="str">
        <f aca="false">IF(I2021="","",IF(AND(I2021="D",Settings!$B$6&lt;&gt;"Yes"),"",IFERROR(INDEX(Settings!$C$9:$C$12,MATCH(I2021,Settings!$A$9:$A$12,0)),"")))</f>
        <v/>
      </c>
      <c r="K2021" s="27" t="str">
        <f aca="false">IF(J2021="","",COUNTIF($I$2:I2021,I2021))</f>
        <v/>
      </c>
      <c r="L2021" s="27" t="str">
        <f aca="false">IF(J2021="","",CHOOSE(Q2021+1,"Tue","Wed","Thu","Fri"))</f>
        <v/>
      </c>
      <c r="M2021" s="27" t="str">
        <f aca="false">IF(J2021="","",IF(J2021=1,"Every week",R2021+1&amp;" of "&amp;J2021))</f>
        <v/>
      </c>
      <c r="N2021" s="28" t="str">
        <f aca="false">IF(J2021="","",Settings!$B$4+R2021*7+Q2021)</f>
        <v/>
      </c>
      <c r="O2021" s="28" t="str">
        <f aca="true">IF(J2021="","",N2021+MAX(0,ROUNDUP((TODAY()-N2021)/(J2021*7),0))*J2021*7)</f>
        <v/>
      </c>
      <c r="P2021" s="27" t="str">
        <f aca="false">IF(J2021="","",MOD(K2021-1,J2021*4))</f>
        <v/>
      </c>
      <c r="Q2021" s="27" t="str">
        <f aca="false">IF(J2021="","",MOD(P2021,4))</f>
        <v/>
      </c>
      <c r="R2021" s="27" t="str">
        <f aca="false">IF(J2021="","",INT(P2021/4))</f>
        <v/>
      </c>
      <c r="S2021" s="27" t="str">
        <f aca="false">IF(J2021="","",IF(AND('Daily Count Sheet'!$H$3=Q2021,MOD('Daily Count Sheet'!$I$3,J2021)=R2021),1,""))</f>
        <v/>
      </c>
      <c r="T2021" s="27" t="str">
        <f aca="false">IF(S2021=1,COUNTIF($S$2:S2021,1),"")</f>
        <v/>
      </c>
    </row>
    <row r="2022" customFormat="false" ht="15" hidden="false" customHeight="false" outlineLevel="0" collapsed="false">
      <c r="H2022" s="26"/>
      <c r="I2022" s="27" t="str">
        <f aca="false">IF(A2022="","",IF(H2022&lt;&gt;"",UPPER(TRIM(H2022)),IFERROR(CHOOSE(VALUE(E2022)+1,"A","B","C","D"),IF(OR(LEFT(UPPER(TRIM(E2022)),1)="F",UPPER(TRIM(E2022))="A"),"A",IF(OR(LEFT(UPPER(TRIM(E2022)),1)="M",UPPER(TRIM(E2022))="B"),"B",IF(OR(LEFT(UPPER(TRIM(E2022)),2)="SL",UPPER(TRIM(E2022))="C"),"C",IF(OR(LEFT(UPPER(TRIM(E2022)),1)="D",UPPER(TRIM(E2022))="D"),"D","")))))))</f>
        <v/>
      </c>
      <c r="J2022" s="27" t="str">
        <f aca="false">IF(I2022="","",IF(AND(I2022="D",Settings!$B$6&lt;&gt;"Yes"),"",IFERROR(INDEX(Settings!$C$9:$C$12,MATCH(I2022,Settings!$A$9:$A$12,0)),"")))</f>
        <v/>
      </c>
      <c r="K2022" s="27" t="str">
        <f aca="false">IF(J2022="","",COUNTIF($I$2:I2022,I2022))</f>
        <v/>
      </c>
      <c r="L2022" s="27" t="str">
        <f aca="false">IF(J2022="","",CHOOSE(Q2022+1,"Tue","Wed","Thu","Fri"))</f>
        <v/>
      </c>
      <c r="M2022" s="27" t="str">
        <f aca="false">IF(J2022="","",IF(J2022=1,"Every week",R2022+1&amp;" of "&amp;J2022))</f>
        <v/>
      </c>
      <c r="N2022" s="28" t="str">
        <f aca="false">IF(J2022="","",Settings!$B$4+R2022*7+Q2022)</f>
        <v/>
      </c>
      <c r="O2022" s="28" t="str">
        <f aca="true">IF(J2022="","",N2022+MAX(0,ROUNDUP((TODAY()-N2022)/(J2022*7),0))*J2022*7)</f>
        <v/>
      </c>
      <c r="P2022" s="27" t="str">
        <f aca="false">IF(J2022="","",MOD(K2022-1,J2022*4))</f>
        <v/>
      </c>
      <c r="Q2022" s="27" t="str">
        <f aca="false">IF(J2022="","",MOD(P2022,4))</f>
        <v/>
      </c>
      <c r="R2022" s="27" t="str">
        <f aca="false">IF(J2022="","",INT(P2022/4))</f>
        <v/>
      </c>
      <c r="S2022" s="27" t="str">
        <f aca="false">IF(J2022="","",IF(AND('Daily Count Sheet'!$H$3=Q2022,MOD('Daily Count Sheet'!$I$3,J2022)=R2022),1,""))</f>
        <v/>
      </c>
      <c r="T2022" s="27" t="str">
        <f aca="false">IF(S2022=1,COUNTIF($S$2:S2022,1),"")</f>
        <v/>
      </c>
    </row>
    <row r="2023" customFormat="false" ht="15" hidden="false" customHeight="false" outlineLevel="0" collapsed="false">
      <c r="H2023" s="26"/>
      <c r="I2023" s="27" t="str">
        <f aca="false">IF(A2023="","",IF(H2023&lt;&gt;"",UPPER(TRIM(H2023)),IFERROR(CHOOSE(VALUE(E2023)+1,"A","B","C","D"),IF(OR(LEFT(UPPER(TRIM(E2023)),1)="F",UPPER(TRIM(E2023))="A"),"A",IF(OR(LEFT(UPPER(TRIM(E2023)),1)="M",UPPER(TRIM(E2023))="B"),"B",IF(OR(LEFT(UPPER(TRIM(E2023)),2)="SL",UPPER(TRIM(E2023))="C"),"C",IF(OR(LEFT(UPPER(TRIM(E2023)),1)="D",UPPER(TRIM(E2023))="D"),"D","")))))))</f>
        <v/>
      </c>
      <c r="J2023" s="27" t="str">
        <f aca="false">IF(I2023="","",IF(AND(I2023="D",Settings!$B$6&lt;&gt;"Yes"),"",IFERROR(INDEX(Settings!$C$9:$C$12,MATCH(I2023,Settings!$A$9:$A$12,0)),"")))</f>
        <v/>
      </c>
      <c r="K2023" s="27" t="str">
        <f aca="false">IF(J2023="","",COUNTIF($I$2:I2023,I2023))</f>
        <v/>
      </c>
      <c r="L2023" s="27" t="str">
        <f aca="false">IF(J2023="","",CHOOSE(Q2023+1,"Tue","Wed","Thu","Fri"))</f>
        <v/>
      </c>
      <c r="M2023" s="27" t="str">
        <f aca="false">IF(J2023="","",IF(J2023=1,"Every week",R2023+1&amp;" of "&amp;J2023))</f>
        <v/>
      </c>
      <c r="N2023" s="28" t="str">
        <f aca="false">IF(J2023="","",Settings!$B$4+R2023*7+Q2023)</f>
        <v/>
      </c>
      <c r="O2023" s="28" t="str">
        <f aca="true">IF(J2023="","",N2023+MAX(0,ROUNDUP((TODAY()-N2023)/(J2023*7),0))*J2023*7)</f>
        <v/>
      </c>
      <c r="P2023" s="27" t="str">
        <f aca="false">IF(J2023="","",MOD(K2023-1,J2023*4))</f>
        <v/>
      </c>
      <c r="Q2023" s="27" t="str">
        <f aca="false">IF(J2023="","",MOD(P2023,4))</f>
        <v/>
      </c>
      <c r="R2023" s="27" t="str">
        <f aca="false">IF(J2023="","",INT(P2023/4))</f>
        <v/>
      </c>
      <c r="S2023" s="27" t="str">
        <f aca="false">IF(J2023="","",IF(AND('Daily Count Sheet'!$H$3=Q2023,MOD('Daily Count Sheet'!$I$3,J2023)=R2023),1,""))</f>
        <v/>
      </c>
      <c r="T2023" s="27" t="str">
        <f aca="false">IF(S2023=1,COUNTIF($S$2:S2023,1),"")</f>
        <v/>
      </c>
    </row>
    <row r="2024" customFormat="false" ht="15" hidden="false" customHeight="false" outlineLevel="0" collapsed="false">
      <c r="H2024" s="26"/>
      <c r="I2024" s="27" t="str">
        <f aca="false">IF(A2024="","",IF(H2024&lt;&gt;"",UPPER(TRIM(H2024)),IFERROR(CHOOSE(VALUE(E2024)+1,"A","B","C","D"),IF(OR(LEFT(UPPER(TRIM(E2024)),1)="F",UPPER(TRIM(E2024))="A"),"A",IF(OR(LEFT(UPPER(TRIM(E2024)),1)="M",UPPER(TRIM(E2024))="B"),"B",IF(OR(LEFT(UPPER(TRIM(E2024)),2)="SL",UPPER(TRIM(E2024))="C"),"C",IF(OR(LEFT(UPPER(TRIM(E2024)),1)="D",UPPER(TRIM(E2024))="D"),"D","")))))))</f>
        <v/>
      </c>
      <c r="J2024" s="27" t="str">
        <f aca="false">IF(I2024="","",IF(AND(I2024="D",Settings!$B$6&lt;&gt;"Yes"),"",IFERROR(INDEX(Settings!$C$9:$C$12,MATCH(I2024,Settings!$A$9:$A$12,0)),"")))</f>
        <v/>
      </c>
      <c r="K2024" s="27" t="str">
        <f aca="false">IF(J2024="","",COUNTIF($I$2:I2024,I2024))</f>
        <v/>
      </c>
      <c r="L2024" s="27" t="str">
        <f aca="false">IF(J2024="","",CHOOSE(Q2024+1,"Tue","Wed","Thu","Fri"))</f>
        <v/>
      </c>
      <c r="M2024" s="27" t="str">
        <f aca="false">IF(J2024="","",IF(J2024=1,"Every week",R2024+1&amp;" of "&amp;J2024))</f>
        <v/>
      </c>
      <c r="N2024" s="28" t="str">
        <f aca="false">IF(J2024="","",Settings!$B$4+R2024*7+Q2024)</f>
        <v/>
      </c>
      <c r="O2024" s="28" t="str">
        <f aca="true">IF(J2024="","",N2024+MAX(0,ROUNDUP((TODAY()-N2024)/(J2024*7),0))*J2024*7)</f>
        <v/>
      </c>
      <c r="P2024" s="27" t="str">
        <f aca="false">IF(J2024="","",MOD(K2024-1,J2024*4))</f>
        <v/>
      </c>
      <c r="Q2024" s="27" t="str">
        <f aca="false">IF(J2024="","",MOD(P2024,4))</f>
        <v/>
      </c>
      <c r="R2024" s="27" t="str">
        <f aca="false">IF(J2024="","",INT(P2024/4))</f>
        <v/>
      </c>
      <c r="S2024" s="27" t="str">
        <f aca="false">IF(J2024="","",IF(AND('Daily Count Sheet'!$H$3=Q2024,MOD('Daily Count Sheet'!$I$3,J2024)=R2024),1,""))</f>
        <v/>
      </c>
      <c r="T2024" s="27" t="str">
        <f aca="false">IF(S2024=1,COUNTIF($S$2:S2024,1),"")</f>
        <v/>
      </c>
    </row>
    <row r="2025" customFormat="false" ht="15" hidden="false" customHeight="false" outlineLevel="0" collapsed="false">
      <c r="H2025" s="26"/>
      <c r="I2025" s="27" t="str">
        <f aca="false">IF(A2025="","",IF(H2025&lt;&gt;"",UPPER(TRIM(H2025)),IFERROR(CHOOSE(VALUE(E2025)+1,"A","B","C","D"),IF(OR(LEFT(UPPER(TRIM(E2025)),1)="F",UPPER(TRIM(E2025))="A"),"A",IF(OR(LEFT(UPPER(TRIM(E2025)),1)="M",UPPER(TRIM(E2025))="B"),"B",IF(OR(LEFT(UPPER(TRIM(E2025)),2)="SL",UPPER(TRIM(E2025))="C"),"C",IF(OR(LEFT(UPPER(TRIM(E2025)),1)="D",UPPER(TRIM(E2025))="D"),"D","")))))))</f>
        <v/>
      </c>
      <c r="J2025" s="27" t="str">
        <f aca="false">IF(I2025="","",IF(AND(I2025="D",Settings!$B$6&lt;&gt;"Yes"),"",IFERROR(INDEX(Settings!$C$9:$C$12,MATCH(I2025,Settings!$A$9:$A$12,0)),"")))</f>
        <v/>
      </c>
      <c r="K2025" s="27" t="str">
        <f aca="false">IF(J2025="","",COUNTIF($I$2:I2025,I2025))</f>
        <v/>
      </c>
      <c r="L2025" s="27" t="str">
        <f aca="false">IF(J2025="","",CHOOSE(Q2025+1,"Tue","Wed","Thu","Fri"))</f>
        <v/>
      </c>
      <c r="M2025" s="27" t="str">
        <f aca="false">IF(J2025="","",IF(J2025=1,"Every week",R2025+1&amp;" of "&amp;J2025))</f>
        <v/>
      </c>
      <c r="N2025" s="28" t="str">
        <f aca="false">IF(J2025="","",Settings!$B$4+R2025*7+Q2025)</f>
        <v/>
      </c>
      <c r="O2025" s="28" t="str">
        <f aca="true">IF(J2025="","",N2025+MAX(0,ROUNDUP((TODAY()-N2025)/(J2025*7),0))*J2025*7)</f>
        <v/>
      </c>
      <c r="P2025" s="27" t="str">
        <f aca="false">IF(J2025="","",MOD(K2025-1,J2025*4))</f>
        <v/>
      </c>
      <c r="Q2025" s="27" t="str">
        <f aca="false">IF(J2025="","",MOD(P2025,4))</f>
        <v/>
      </c>
      <c r="R2025" s="27" t="str">
        <f aca="false">IF(J2025="","",INT(P2025/4))</f>
        <v/>
      </c>
      <c r="S2025" s="27" t="str">
        <f aca="false">IF(J2025="","",IF(AND('Daily Count Sheet'!$H$3=Q2025,MOD('Daily Count Sheet'!$I$3,J2025)=R2025),1,""))</f>
        <v/>
      </c>
      <c r="T2025" s="27" t="str">
        <f aca="false">IF(S2025=1,COUNTIF($S$2:S2025,1),"")</f>
        <v/>
      </c>
    </row>
    <row r="2026" customFormat="false" ht="15" hidden="false" customHeight="false" outlineLevel="0" collapsed="false">
      <c r="H2026" s="26"/>
      <c r="I2026" s="27" t="str">
        <f aca="false">IF(A2026="","",IF(H2026&lt;&gt;"",UPPER(TRIM(H2026)),IFERROR(CHOOSE(VALUE(E2026)+1,"A","B","C","D"),IF(OR(LEFT(UPPER(TRIM(E2026)),1)="F",UPPER(TRIM(E2026))="A"),"A",IF(OR(LEFT(UPPER(TRIM(E2026)),1)="M",UPPER(TRIM(E2026))="B"),"B",IF(OR(LEFT(UPPER(TRIM(E2026)),2)="SL",UPPER(TRIM(E2026))="C"),"C",IF(OR(LEFT(UPPER(TRIM(E2026)),1)="D",UPPER(TRIM(E2026))="D"),"D","")))))))</f>
        <v/>
      </c>
      <c r="J2026" s="27" t="str">
        <f aca="false">IF(I2026="","",IF(AND(I2026="D",Settings!$B$6&lt;&gt;"Yes"),"",IFERROR(INDEX(Settings!$C$9:$C$12,MATCH(I2026,Settings!$A$9:$A$12,0)),"")))</f>
        <v/>
      </c>
      <c r="K2026" s="27" t="str">
        <f aca="false">IF(J2026="","",COUNTIF($I$2:I2026,I2026))</f>
        <v/>
      </c>
      <c r="L2026" s="27" t="str">
        <f aca="false">IF(J2026="","",CHOOSE(Q2026+1,"Tue","Wed","Thu","Fri"))</f>
        <v/>
      </c>
      <c r="M2026" s="27" t="str">
        <f aca="false">IF(J2026="","",IF(J2026=1,"Every week",R2026+1&amp;" of "&amp;J2026))</f>
        <v/>
      </c>
      <c r="N2026" s="28" t="str">
        <f aca="false">IF(J2026="","",Settings!$B$4+R2026*7+Q2026)</f>
        <v/>
      </c>
      <c r="O2026" s="28" t="str">
        <f aca="true">IF(J2026="","",N2026+MAX(0,ROUNDUP((TODAY()-N2026)/(J2026*7),0))*J2026*7)</f>
        <v/>
      </c>
      <c r="P2026" s="27" t="str">
        <f aca="false">IF(J2026="","",MOD(K2026-1,J2026*4))</f>
        <v/>
      </c>
      <c r="Q2026" s="27" t="str">
        <f aca="false">IF(J2026="","",MOD(P2026,4))</f>
        <v/>
      </c>
      <c r="R2026" s="27" t="str">
        <f aca="false">IF(J2026="","",INT(P2026/4))</f>
        <v/>
      </c>
      <c r="S2026" s="27" t="str">
        <f aca="false">IF(J2026="","",IF(AND('Daily Count Sheet'!$H$3=Q2026,MOD('Daily Count Sheet'!$I$3,J2026)=R2026),1,""))</f>
        <v/>
      </c>
      <c r="T2026" s="27" t="str">
        <f aca="false">IF(S2026=1,COUNTIF($S$2:S2026,1),"")</f>
        <v/>
      </c>
    </row>
    <row r="2027" customFormat="false" ht="15" hidden="false" customHeight="false" outlineLevel="0" collapsed="false">
      <c r="H2027" s="26"/>
      <c r="I2027" s="27" t="str">
        <f aca="false">IF(A2027="","",IF(H2027&lt;&gt;"",UPPER(TRIM(H2027)),IFERROR(CHOOSE(VALUE(E2027)+1,"A","B","C","D"),IF(OR(LEFT(UPPER(TRIM(E2027)),1)="F",UPPER(TRIM(E2027))="A"),"A",IF(OR(LEFT(UPPER(TRIM(E2027)),1)="M",UPPER(TRIM(E2027))="B"),"B",IF(OR(LEFT(UPPER(TRIM(E2027)),2)="SL",UPPER(TRIM(E2027))="C"),"C",IF(OR(LEFT(UPPER(TRIM(E2027)),1)="D",UPPER(TRIM(E2027))="D"),"D","")))))))</f>
        <v/>
      </c>
      <c r="J2027" s="27" t="str">
        <f aca="false">IF(I2027="","",IF(AND(I2027="D",Settings!$B$6&lt;&gt;"Yes"),"",IFERROR(INDEX(Settings!$C$9:$C$12,MATCH(I2027,Settings!$A$9:$A$12,0)),"")))</f>
        <v/>
      </c>
      <c r="K2027" s="27" t="str">
        <f aca="false">IF(J2027="","",COUNTIF($I$2:I2027,I2027))</f>
        <v/>
      </c>
      <c r="L2027" s="27" t="str">
        <f aca="false">IF(J2027="","",CHOOSE(Q2027+1,"Tue","Wed","Thu","Fri"))</f>
        <v/>
      </c>
      <c r="M2027" s="27" t="str">
        <f aca="false">IF(J2027="","",IF(J2027=1,"Every week",R2027+1&amp;" of "&amp;J2027))</f>
        <v/>
      </c>
      <c r="N2027" s="28" t="str">
        <f aca="false">IF(J2027="","",Settings!$B$4+R2027*7+Q2027)</f>
        <v/>
      </c>
      <c r="O2027" s="28" t="str">
        <f aca="true">IF(J2027="","",N2027+MAX(0,ROUNDUP((TODAY()-N2027)/(J2027*7),0))*J2027*7)</f>
        <v/>
      </c>
      <c r="P2027" s="27" t="str">
        <f aca="false">IF(J2027="","",MOD(K2027-1,J2027*4))</f>
        <v/>
      </c>
      <c r="Q2027" s="27" t="str">
        <f aca="false">IF(J2027="","",MOD(P2027,4))</f>
        <v/>
      </c>
      <c r="R2027" s="27" t="str">
        <f aca="false">IF(J2027="","",INT(P2027/4))</f>
        <v/>
      </c>
      <c r="S2027" s="27" t="str">
        <f aca="false">IF(J2027="","",IF(AND('Daily Count Sheet'!$H$3=Q2027,MOD('Daily Count Sheet'!$I$3,J2027)=R2027),1,""))</f>
        <v/>
      </c>
      <c r="T2027" s="27" t="str">
        <f aca="false">IF(S2027=1,COUNTIF($S$2:S2027,1),"")</f>
        <v/>
      </c>
    </row>
    <row r="2028" customFormat="false" ht="15" hidden="false" customHeight="false" outlineLevel="0" collapsed="false">
      <c r="H2028" s="26"/>
      <c r="I2028" s="27" t="str">
        <f aca="false">IF(A2028="","",IF(H2028&lt;&gt;"",UPPER(TRIM(H2028)),IFERROR(CHOOSE(VALUE(E2028)+1,"A","B","C","D"),IF(OR(LEFT(UPPER(TRIM(E2028)),1)="F",UPPER(TRIM(E2028))="A"),"A",IF(OR(LEFT(UPPER(TRIM(E2028)),1)="M",UPPER(TRIM(E2028))="B"),"B",IF(OR(LEFT(UPPER(TRIM(E2028)),2)="SL",UPPER(TRIM(E2028))="C"),"C",IF(OR(LEFT(UPPER(TRIM(E2028)),1)="D",UPPER(TRIM(E2028))="D"),"D","")))))))</f>
        <v/>
      </c>
      <c r="J2028" s="27" t="str">
        <f aca="false">IF(I2028="","",IF(AND(I2028="D",Settings!$B$6&lt;&gt;"Yes"),"",IFERROR(INDEX(Settings!$C$9:$C$12,MATCH(I2028,Settings!$A$9:$A$12,0)),"")))</f>
        <v/>
      </c>
      <c r="K2028" s="27" t="str">
        <f aca="false">IF(J2028="","",COUNTIF($I$2:I2028,I2028))</f>
        <v/>
      </c>
      <c r="L2028" s="27" t="str">
        <f aca="false">IF(J2028="","",CHOOSE(Q2028+1,"Tue","Wed","Thu","Fri"))</f>
        <v/>
      </c>
      <c r="M2028" s="27" t="str">
        <f aca="false">IF(J2028="","",IF(J2028=1,"Every week",R2028+1&amp;" of "&amp;J2028))</f>
        <v/>
      </c>
      <c r="N2028" s="28" t="str">
        <f aca="false">IF(J2028="","",Settings!$B$4+R2028*7+Q2028)</f>
        <v/>
      </c>
      <c r="O2028" s="28" t="str">
        <f aca="true">IF(J2028="","",N2028+MAX(0,ROUNDUP((TODAY()-N2028)/(J2028*7),0))*J2028*7)</f>
        <v/>
      </c>
      <c r="P2028" s="27" t="str">
        <f aca="false">IF(J2028="","",MOD(K2028-1,J2028*4))</f>
        <v/>
      </c>
      <c r="Q2028" s="27" t="str">
        <f aca="false">IF(J2028="","",MOD(P2028,4))</f>
        <v/>
      </c>
      <c r="R2028" s="27" t="str">
        <f aca="false">IF(J2028="","",INT(P2028/4))</f>
        <v/>
      </c>
      <c r="S2028" s="27" t="str">
        <f aca="false">IF(J2028="","",IF(AND('Daily Count Sheet'!$H$3=Q2028,MOD('Daily Count Sheet'!$I$3,J2028)=R2028),1,""))</f>
        <v/>
      </c>
      <c r="T2028" s="27" t="str">
        <f aca="false">IF(S2028=1,COUNTIF($S$2:S2028,1),"")</f>
        <v/>
      </c>
    </row>
    <row r="2029" customFormat="false" ht="15" hidden="false" customHeight="false" outlineLevel="0" collapsed="false">
      <c r="H2029" s="26"/>
      <c r="I2029" s="27" t="str">
        <f aca="false">IF(A2029="","",IF(H2029&lt;&gt;"",UPPER(TRIM(H2029)),IFERROR(CHOOSE(VALUE(E2029)+1,"A","B","C","D"),IF(OR(LEFT(UPPER(TRIM(E2029)),1)="F",UPPER(TRIM(E2029))="A"),"A",IF(OR(LEFT(UPPER(TRIM(E2029)),1)="M",UPPER(TRIM(E2029))="B"),"B",IF(OR(LEFT(UPPER(TRIM(E2029)),2)="SL",UPPER(TRIM(E2029))="C"),"C",IF(OR(LEFT(UPPER(TRIM(E2029)),1)="D",UPPER(TRIM(E2029))="D"),"D","")))))))</f>
        <v/>
      </c>
      <c r="J2029" s="27" t="str">
        <f aca="false">IF(I2029="","",IF(AND(I2029="D",Settings!$B$6&lt;&gt;"Yes"),"",IFERROR(INDEX(Settings!$C$9:$C$12,MATCH(I2029,Settings!$A$9:$A$12,0)),"")))</f>
        <v/>
      </c>
      <c r="K2029" s="27" t="str">
        <f aca="false">IF(J2029="","",COUNTIF($I$2:I2029,I2029))</f>
        <v/>
      </c>
      <c r="L2029" s="27" t="str">
        <f aca="false">IF(J2029="","",CHOOSE(Q2029+1,"Tue","Wed","Thu","Fri"))</f>
        <v/>
      </c>
      <c r="M2029" s="27" t="str">
        <f aca="false">IF(J2029="","",IF(J2029=1,"Every week",R2029+1&amp;" of "&amp;J2029))</f>
        <v/>
      </c>
      <c r="N2029" s="28" t="str">
        <f aca="false">IF(J2029="","",Settings!$B$4+R2029*7+Q2029)</f>
        <v/>
      </c>
      <c r="O2029" s="28" t="str">
        <f aca="true">IF(J2029="","",N2029+MAX(0,ROUNDUP((TODAY()-N2029)/(J2029*7),0))*J2029*7)</f>
        <v/>
      </c>
      <c r="P2029" s="27" t="str">
        <f aca="false">IF(J2029="","",MOD(K2029-1,J2029*4))</f>
        <v/>
      </c>
      <c r="Q2029" s="27" t="str">
        <f aca="false">IF(J2029="","",MOD(P2029,4))</f>
        <v/>
      </c>
      <c r="R2029" s="27" t="str">
        <f aca="false">IF(J2029="","",INT(P2029/4))</f>
        <v/>
      </c>
      <c r="S2029" s="27" t="str">
        <f aca="false">IF(J2029="","",IF(AND('Daily Count Sheet'!$H$3=Q2029,MOD('Daily Count Sheet'!$I$3,J2029)=R2029),1,""))</f>
        <v/>
      </c>
      <c r="T2029" s="27" t="str">
        <f aca="false">IF(S2029=1,COUNTIF($S$2:S2029,1),"")</f>
        <v/>
      </c>
    </row>
    <row r="2030" customFormat="false" ht="15" hidden="false" customHeight="false" outlineLevel="0" collapsed="false">
      <c r="H2030" s="26"/>
      <c r="I2030" s="27" t="str">
        <f aca="false">IF(A2030="","",IF(H2030&lt;&gt;"",UPPER(TRIM(H2030)),IFERROR(CHOOSE(VALUE(E2030)+1,"A","B","C","D"),IF(OR(LEFT(UPPER(TRIM(E2030)),1)="F",UPPER(TRIM(E2030))="A"),"A",IF(OR(LEFT(UPPER(TRIM(E2030)),1)="M",UPPER(TRIM(E2030))="B"),"B",IF(OR(LEFT(UPPER(TRIM(E2030)),2)="SL",UPPER(TRIM(E2030))="C"),"C",IF(OR(LEFT(UPPER(TRIM(E2030)),1)="D",UPPER(TRIM(E2030))="D"),"D","")))))))</f>
        <v/>
      </c>
      <c r="J2030" s="27" t="str">
        <f aca="false">IF(I2030="","",IF(AND(I2030="D",Settings!$B$6&lt;&gt;"Yes"),"",IFERROR(INDEX(Settings!$C$9:$C$12,MATCH(I2030,Settings!$A$9:$A$12,0)),"")))</f>
        <v/>
      </c>
      <c r="K2030" s="27" t="str">
        <f aca="false">IF(J2030="","",COUNTIF($I$2:I2030,I2030))</f>
        <v/>
      </c>
      <c r="L2030" s="27" t="str">
        <f aca="false">IF(J2030="","",CHOOSE(Q2030+1,"Tue","Wed","Thu","Fri"))</f>
        <v/>
      </c>
      <c r="M2030" s="27" t="str">
        <f aca="false">IF(J2030="","",IF(J2030=1,"Every week",R2030+1&amp;" of "&amp;J2030))</f>
        <v/>
      </c>
      <c r="N2030" s="28" t="str">
        <f aca="false">IF(J2030="","",Settings!$B$4+R2030*7+Q2030)</f>
        <v/>
      </c>
      <c r="O2030" s="28" t="str">
        <f aca="true">IF(J2030="","",N2030+MAX(0,ROUNDUP((TODAY()-N2030)/(J2030*7),0))*J2030*7)</f>
        <v/>
      </c>
      <c r="P2030" s="27" t="str">
        <f aca="false">IF(J2030="","",MOD(K2030-1,J2030*4))</f>
        <v/>
      </c>
      <c r="Q2030" s="27" t="str">
        <f aca="false">IF(J2030="","",MOD(P2030,4))</f>
        <v/>
      </c>
      <c r="R2030" s="27" t="str">
        <f aca="false">IF(J2030="","",INT(P2030/4))</f>
        <v/>
      </c>
      <c r="S2030" s="27" t="str">
        <f aca="false">IF(J2030="","",IF(AND('Daily Count Sheet'!$H$3=Q2030,MOD('Daily Count Sheet'!$I$3,J2030)=R2030),1,""))</f>
        <v/>
      </c>
      <c r="T2030" s="27" t="str">
        <f aca="false">IF(S2030=1,COUNTIF($S$2:S2030,1),"")</f>
        <v/>
      </c>
    </row>
    <row r="2031" customFormat="false" ht="15" hidden="false" customHeight="false" outlineLevel="0" collapsed="false">
      <c r="H2031" s="26"/>
      <c r="I2031" s="27" t="str">
        <f aca="false">IF(A2031="","",IF(H2031&lt;&gt;"",UPPER(TRIM(H2031)),IFERROR(CHOOSE(VALUE(E2031)+1,"A","B","C","D"),IF(OR(LEFT(UPPER(TRIM(E2031)),1)="F",UPPER(TRIM(E2031))="A"),"A",IF(OR(LEFT(UPPER(TRIM(E2031)),1)="M",UPPER(TRIM(E2031))="B"),"B",IF(OR(LEFT(UPPER(TRIM(E2031)),2)="SL",UPPER(TRIM(E2031))="C"),"C",IF(OR(LEFT(UPPER(TRIM(E2031)),1)="D",UPPER(TRIM(E2031))="D"),"D","")))))))</f>
        <v/>
      </c>
      <c r="J2031" s="27" t="str">
        <f aca="false">IF(I2031="","",IF(AND(I2031="D",Settings!$B$6&lt;&gt;"Yes"),"",IFERROR(INDEX(Settings!$C$9:$C$12,MATCH(I2031,Settings!$A$9:$A$12,0)),"")))</f>
        <v/>
      </c>
      <c r="K2031" s="27" t="str">
        <f aca="false">IF(J2031="","",COUNTIF($I$2:I2031,I2031))</f>
        <v/>
      </c>
      <c r="L2031" s="27" t="str">
        <f aca="false">IF(J2031="","",CHOOSE(Q2031+1,"Tue","Wed","Thu","Fri"))</f>
        <v/>
      </c>
      <c r="M2031" s="27" t="str">
        <f aca="false">IF(J2031="","",IF(J2031=1,"Every week",R2031+1&amp;" of "&amp;J2031))</f>
        <v/>
      </c>
      <c r="N2031" s="28" t="str">
        <f aca="false">IF(J2031="","",Settings!$B$4+R2031*7+Q2031)</f>
        <v/>
      </c>
      <c r="O2031" s="28" t="str">
        <f aca="true">IF(J2031="","",N2031+MAX(0,ROUNDUP((TODAY()-N2031)/(J2031*7),0))*J2031*7)</f>
        <v/>
      </c>
      <c r="P2031" s="27" t="str">
        <f aca="false">IF(J2031="","",MOD(K2031-1,J2031*4))</f>
        <v/>
      </c>
      <c r="Q2031" s="27" t="str">
        <f aca="false">IF(J2031="","",MOD(P2031,4))</f>
        <v/>
      </c>
      <c r="R2031" s="27" t="str">
        <f aca="false">IF(J2031="","",INT(P2031/4))</f>
        <v/>
      </c>
      <c r="S2031" s="27" t="str">
        <f aca="false">IF(J2031="","",IF(AND('Daily Count Sheet'!$H$3=Q2031,MOD('Daily Count Sheet'!$I$3,J2031)=R2031),1,""))</f>
        <v/>
      </c>
      <c r="T2031" s="27" t="str">
        <f aca="false">IF(S2031=1,COUNTIF($S$2:S2031,1),"")</f>
        <v/>
      </c>
    </row>
    <row r="2032" customFormat="false" ht="15" hidden="false" customHeight="false" outlineLevel="0" collapsed="false">
      <c r="H2032" s="26"/>
      <c r="I2032" s="27" t="str">
        <f aca="false">IF(A2032="","",IF(H2032&lt;&gt;"",UPPER(TRIM(H2032)),IFERROR(CHOOSE(VALUE(E2032)+1,"A","B","C","D"),IF(OR(LEFT(UPPER(TRIM(E2032)),1)="F",UPPER(TRIM(E2032))="A"),"A",IF(OR(LEFT(UPPER(TRIM(E2032)),1)="M",UPPER(TRIM(E2032))="B"),"B",IF(OR(LEFT(UPPER(TRIM(E2032)),2)="SL",UPPER(TRIM(E2032))="C"),"C",IF(OR(LEFT(UPPER(TRIM(E2032)),1)="D",UPPER(TRIM(E2032))="D"),"D","")))))))</f>
        <v/>
      </c>
      <c r="J2032" s="27" t="str">
        <f aca="false">IF(I2032="","",IF(AND(I2032="D",Settings!$B$6&lt;&gt;"Yes"),"",IFERROR(INDEX(Settings!$C$9:$C$12,MATCH(I2032,Settings!$A$9:$A$12,0)),"")))</f>
        <v/>
      </c>
      <c r="K2032" s="27" t="str">
        <f aca="false">IF(J2032="","",COUNTIF($I$2:I2032,I2032))</f>
        <v/>
      </c>
      <c r="L2032" s="27" t="str">
        <f aca="false">IF(J2032="","",CHOOSE(Q2032+1,"Tue","Wed","Thu","Fri"))</f>
        <v/>
      </c>
      <c r="M2032" s="27" t="str">
        <f aca="false">IF(J2032="","",IF(J2032=1,"Every week",R2032+1&amp;" of "&amp;J2032))</f>
        <v/>
      </c>
      <c r="N2032" s="28" t="str">
        <f aca="false">IF(J2032="","",Settings!$B$4+R2032*7+Q2032)</f>
        <v/>
      </c>
      <c r="O2032" s="28" t="str">
        <f aca="true">IF(J2032="","",N2032+MAX(0,ROUNDUP((TODAY()-N2032)/(J2032*7),0))*J2032*7)</f>
        <v/>
      </c>
      <c r="P2032" s="27" t="str">
        <f aca="false">IF(J2032="","",MOD(K2032-1,J2032*4))</f>
        <v/>
      </c>
      <c r="Q2032" s="27" t="str">
        <f aca="false">IF(J2032="","",MOD(P2032,4))</f>
        <v/>
      </c>
      <c r="R2032" s="27" t="str">
        <f aca="false">IF(J2032="","",INT(P2032/4))</f>
        <v/>
      </c>
      <c r="S2032" s="27" t="str">
        <f aca="false">IF(J2032="","",IF(AND('Daily Count Sheet'!$H$3=Q2032,MOD('Daily Count Sheet'!$I$3,J2032)=R2032),1,""))</f>
        <v/>
      </c>
      <c r="T2032" s="27" t="str">
        <f aca="false">IF(S2032=1,COUNTIF($S$2:S2032,1),"")</f>
        <v/>
      </c>
    </row>
    <row r="2033" customFormat="false" ht="15" hidden="false" customHeight="false" outlineLevel="0" collapsed="false">
      <c r="H2033" s="26"/>
      <c r="I2033" s="27" t="str">
        <f aca="false">IF(A2033="","",IF(H2033&lt;&gt;"",UPPER(TRIM(H2033)),IFERROR(CHOOSE(VALUE(E2033)+1,"A","B","C","D"),IF(OR(LEFT(UPPER(TRIM(E2033)),1)="F",UPPER(TRIM(E2033))="A"),"A",IF(OR(LEFT(UPPER(TRIM(E2033)),1)="M",UPPER(TRIM(E2033))="B"),"B",IF(OR(LEFT(UPPER(TRIM(E2033)),2)="SL",UPPER(TRIM(E2033))="C"),"C",IF(OR(LEFT(UPPER(TRIM(E2033)),1)="D",UPPER(TRIM(E2033))="D"),"D","")))))))</f>
        <v/>
      </c>
      <c r="J2033" s="27" t="str">
        <f aca="false">IF(I2033="","",IF(AND(I2033="D",Settings!$B$6&lt;&gt;"Yes"),"",IFERROR(INDEX(Settings!$C$9:$C$12,MATCH(I2033,Settings!$A$9:$A$12,0)),"")))</f>
        <v/>
      </c>
      <c r="K2033" s="27" t="str">
        <f aca="false">IF(J2033="","",COUNTIF($I$2:I2033,I2033))</f>
        <v/>
      </c>
      <c r="L2033" s="27" t="str">
        <f aca="false">IF(J2033="","",CHOOSE(Q2033+1,"Tue","Wed","Thu","Fri"))</f>
        <v/>
      </c>
      <c r="M2033" s="27" t="str">
        <f aca="false">IF(J2033="","",IF(J2033=1,"Every week",R2033+1&amp;" of "&amp;J2033))</f>
        <v/>
      </c>
      <c r="N2033" s="28" t="str">
        <f aca="false">IF(J2033="","",Settings!$B$4+R2033*7+Q2033)</f>
        <v/>
      </c>
      <c r="O2033" s="28" t="str">
        <f aca="true">IF(J2033="","",N2033+MAX(0,ROUNDUP((TODAY()-N2033)/(J2033*7),0))*J2033*7)</f>
        <v/>
      </c>
      <c r="P2033" s="27" t="str">
        <f aca="false">IF(J2033="","",MOD(K2033-1,J2033*4))</f>
        <v/>
      </c>
      <c r="Q2033" s="27" t="str">
        <f aca="false">IF(J2033="","",MOD(P2033,4))</f>
        <v/>
      </c>
      <c r="R2033" s="27" t="str">
        <f aca="false">IF(J2033="","",INT(P2033/4))</f>
        <v/>
      </c>
      <c r="S2033" s="27" t="str">
        <f aca="false">IF(J2033="","",IF(AND('Daily Count Sheet'!$H$3=Q2033,MOD('Daily Count Sheet'!$I$3,J2033)=R2033),1,""))</f>
        <v/>
      </c>
      <c r="T2033" s="27" t="str">
        <f aca="false">IF(S2033=1,COUNTIF($S$2:S2033,1),"")</f>
        <v/>
      </c>
    </row>
    <row r="2034" customFormat="false" ht="15" hidden="false" customHeight="false" outlineLevel="0" collapsed="false">
      <c r="H2034" s="26"/>
      <c r="I2034" s="27" t="str">
        <f aca="false">IF(A2034="","",IF(H2034&lt;&gt;"",UPPER(TRIM(H2034)),IFERROR(CHOOSE(VALUE(E2034)+1,"A","B","C","D"),IF(OR(LEFT(UPPER(TRIM(E2034)),1)="F",UPPER(TRIM(E2034))="A"),"A",IF(OR(LEFT(UPPER(TRIM(E2034)),1)="M",UPPER(TRIM(E2034))="B"),"B",IF(OR(LEFT(UPPER(TRIM(E2034)),2)="SL",UPPER(TRIM(E2034))="C"),"C",IF(OR(LEFT(UPPER(TRIM(E2034)),1)="D",UPPER(TRIM(E2034))="D"),"D","")))))))</f>
        <v/>
      </c>
      <c r="J2034" s="27" t="str">
        <f aca="false">IF(I2034="","",IF(AND(I2034="D",Settings!$B$6&lt;&gt;"Yes"),"",IFERROR(INDEX(Settings!$C$9:$C$12,MATCH(I2034,Settings!$A$9:$A$12,0)),"")))</f>
        <v/>
      </c>
      <c r="K2034" s="27" t="str">
        <f aca="false">IF(J2034="","",COUNTIF($I$2:I2034,I2034))</f>
        <v/>
      </c>
      <c r="L2034" s="27" t="str">
        <f aca="false">IF(J2034="","",CHOOSE(Q2034+1,"Tue","Wed","Thu","Fri"))</f>
        <v/>
      </c>
      <c r="M2034" s="27" t="str">
        <f aca="false">IF(J2034="","",IF(J2034=1,"Every week",R2034+1&amp;" of "&amp;J2034))</f>
        <v/>
      </c>
      <c r="N2034" s="28" t="str">
        <f aca="false">IF(J2034="","",Settings!$B$4+R2034*7+Q2034)</f>
        <v/>
      </c>
      <c r="O2034" s="28" t="str">
        <f aca="true">IF(J2034="","",N2034+MAX(0,ROUNDUP((TODAY()-N2034)/(J2034*7),0))*J2034*7)</f>
        <v/>
      </c>
      <c r="P2034" s="27" t="str">
        <f aca="false">IF(J2034="","",MOD(K2034-1,J2034*4))</f>
        <v/>
      </c>
      <c r="Q2034" s="27" t="str">
        <f aca="false">IF(J2034="","",MOD(P2034,4))</f>
        <v/>
      </c>
      <c r="R2034" s="27" t="str">
        <f aca="false">IF(J2034="","",INT(P2034/4))</f>
        <v/>
      </c>
      <c r="S2034" s="27" t="str">
        <f aca="false">IF(J2034="","",IF(AND('Daily Count Sheet'!$H$3=Q2034,MOD('Daily Count Sheet'!$I$3,J2034)=R2034),1,""))</f>
        <v/>
      </c>
      <c r="T2034" s="27" t="str">
        <f aca="false">IF(S2034=1,COUNTIF($S$2:S2034,1),"")</f>
        <v/>
      </c>
    </row>
    <row r="2035" customFormat="false" ht="15" hidden="false" customHeight="false" outlineLevel="0" collapsed="false">
      <c r="H2035" s="26"/>
      <c r="I2035" s="27" t="str">
        <f aca="false">IF(A2035="","",IF(H2035&lt;&gt;"",UPPER(TRIM(H2035)),IFERROR(CHOOSE(VALUE(E2035)+1,"A","B","C","D"),IF(OR(LEFT(UPPER(TRIM(E2035)),1)="F",UPPER(TRIM(E2035))="A"),"A",IF(OR(LEFT(UPPER(TRIM(E2035)),1)="M",UPPER(TRIM(E2035))="B"),"B",IF(OR(LEFT(UPPER(TRIM(E2035)),2)="SL",UPPER(TRIM(E2035))="C"),"C",IF(OR(LEFT(UPPER(TRIM(E2035)),1)="D",UPPER(TRIM(E2035))="D"),"D","")))))))</f>
        <v/>
      </c>
      <c r="J2035" s="27" t="str">
        <f aca="false">IF(I2035="","",IF(AND(I2035="D",Settings!$B$6&lt;&gt;"Yes"),"",IFERROR(INDEX(Settings!$C$9:$C$12,MATCH(I2035,Settings!$A$9:$A$12,0)),"")))</f>
        <v/>
      </c>
      <c r="K2035" s="27" t="str">
        <f aca="false">IF(J2035="","",COUNTIF($I$2:I2035,I2035))</f>
        <v/>
      </c>
      <c r="L2035" s="27" t="str">
        <f aca="false">IF(J2035="","",CHOOSE(Q2035+1,"Tue","Wed","Thu","Fri"))</f>
        <v/>
      </c>
      <c r="M2035" s="27" t="str">
        <f aca="false">IF(J2035="","",IF(J2035=1,"Every week",R2035+1&amp;" of "&amp;J2035))</f>
        <v/>
      </c>
      <c r="N2035" s="28" t="str">
        <f aca="false">IF(J2035="","",Settings!$B$4+R2035*7+Q2035)</f>
        <v/>
      </c>
      <c r="O2035" s="28" t="str">
        <f aca="true">IF(J2035="","",N2035+MAX(0,ROUNDUP((TODAY()-N2035)/(J2035*7),0))*J2035*7)</f>
        <v/>
      </c>
      <c r="P2035" s="27" t="str">
        <f aca="false">IF(J2035="","",MOD(K2035-1,J2035*4))</f>
        <v/>
      </c>
      <c r="Q2035" s="27" t="str">
        <f aca="false">IF(J2035="","",MOD(P2035,4))</f>
        <v/>
      </c>
      <c r="R2035" s="27" t="str">
        <f aca="false">IF(J2035="","",INT(P2035/4))</f>
        <v/>
      </c>
      <c r="S2035" s="27" t="str">
        <f aca="false">IF(J2035="","",IF(AND('Daily Count Sheet'!$H$3=Q2035,MOD('Daily Count Sheet'!$I$3,J2035)=R2035),1,""))</f>
        <v/>
      </c>
      <c r="T2035" s="27" t="str">
        <f aca="false">IF(S2035=1,COUNTIF($S$2:S2035,1),"")</f>
        <v/>
      </c>
    </row>
    <row r="2036" customFormat="false" ht="15" hidden="false" customHeight="false" outlineLevel="0" collapsed="false">
      <c r="H2036" s="26"/>
      <c r="I2036" s="27" t="str">
        <f aca="false">IF(A2036="","",IF(H2036&lt;&gt;"",UPPER(TRIM(H2036)),IFERROR(CHOOSE(VALUE(E2036)+1,"A","B","C","D"),IF(OR(LEFT(UPPER(TRIM(E2036)),1)="F",UPPER(TRIM(E2036))="A"),"A",IF(OR(LEFT(UPPER(TRIM(E2036)),1)="M",UPPER(TRIM(E2036))="B"),"B",IF(OR(LEFT(UPPER(TRIM(E2036)),2)="SL",UPPER(TRIM(E2036))="C"),"C",IF(OR(LEFT(UPPER(TRIM(E2036)),1)="D",UPPER(TRIM(E2036))="D"),"D","")))))))</f>
        <v/>
      </c>
      <c r="J2036" s="27" t="str">
        <f aca="false">IF(I2036="","",IF(AND(I2036="D",Settings!$B$6&lt;&gt;"Yes"),"",IFERROR(INDEX(Settings!$C$9:$C$12,MATCH(I2036,Settings!$A$9:$A$12,0)),"")))</f>
        <v/>
      </c>
      <c r="K2036" s="27" t="str">
        <f aca="false">IF(J2036="","",COUNTIF($I$2:I2036,I2036))</f>
        <v/>
      </c>
      <c r="L2036" s="27" t="str">
        <f aca="false">IF(J2036="","",CHOOSE(Q2036+1,"Tue","Wed","Thu","Fri"))</f>
        <v/>
      </c>
      <c r="M2036" s="27" t="str">
        <f aca="false">IF(J2036="","",IF(J2036=1,"Every week",R2036+1&amp;" of "&amp;J2036))</f>
        <v/>
      </c>
      <c r="N2036" s="28" t="str">
        <f aca="false">IF(J2036="","",Settings!$B$4+R2036*7+Q2036)</f>
        <v/>
      </c>
      <c r="O2036" s="28" t="str">
        <f aca="true">IF(J2036="","",N2036+MAX(0,ROUNDUP((TODAY()-N2036)/(J2036*7),0))*J2036*7)</f>
        <v/>
      </c>
      <c r="P2036" s="27" t="str">
        <f aca="false">IF(J2036="","",MOD(K2036-1,J2036*4))</f>
        <v/>
      </c>
      <c r="Q2036" s="27" t="str">
        <f aca="false">IF(J2036="","",MOD(P2036,4))</f>
        <v/>
      </c>
      <c r="R2036" s="27" t="str">
        <f aca="false">IF(J2036="","",INT(P2036/4))</f>
        <v/>
      </c>
      <c r="S2036" s="27" t="str">
        <f aca="false">IF(J2036="","",IF(AND('Daily Count Sheet'!$H$3=Q2036,MOD('Daily Count Sheet'!$I$3,J2036)=R2036),1,""))</f>
        <v/>
      </c>
      <c r="T2036" s="27" t="str">
        <f aca="false">IF(S2036=1,COUNTIF($S$2:S2036,1),"")</f>
        <v/>
      </c>
    </row>
    <row r="2037" customFormat="false" ht="15" hidden="false" customHeight="false" outlineLevel="0" collapsed="false">
      <c r="H2037" s="26"/>
      <c r="I2037" s="27" t="str">
        <f aca="false">IF(A2037="","",IF(H2037&lt;&gt;"",UPPER(TRIM(H2037)),IFERROR(CHOOSE(VALUE(E2037)+1,"A","B","C","D"),IF(OR(LEFT(UPPER(TRIM(E2037)),1)="F",UPPER(TRIM(E2037))="A"),"A",IF(OR(LEFT(UPPER(TRIM(E2037)),1)="M",UPPER(TRIM(E2037))="B"),"B",IF(OR(LEFT(UPPER(TRIM(E2037)),2)="SL",UPPER(TRIM(E2037))="C"),"C",IF(OR(LEFT(UPPER(TRIM(E2037)),1)="D",UPPER(TRIM(E2037))="D"),"D","")))))))</f>
        <v/>
      </c>
      <c r="J2037" s="27" t="str">
        <f aca="false">IF(I2037="","",IF(AND(I2037="D",Settings!$B$6&lt;&gt;"Yes"),"",IFERROR(INDEX(Settings!$C$9:$C$12,MATCH(I2037,Settings!$A$9:$A$12,0)),"")))</f>
        <v/>
      </c>
      <c r="K2037" s="27" t="str">
        <f aca="false">IF(J2037="","",COUNTIF($I$2:I2037,I2037))</f>
        <v/>
      </c>
      <c r="L2037" s="27" t="str">
        <f aca="false">IF(J2037="","",CHOOSE(Q2037+1,"Tue","Wed","Thu","Fri"))</f>
        <v/>
      </c>
      <c r="M2037" s="27" t="str">
        <f aca="false">IF(J2037="","",IF(J2037=1,"Every week",R2037+1&amp;" of "&amp;J2037))</f>
        <v/>
      </c>
      <c r="N2037" s="28" t="str">
        <f aca="false">IF(J2037="","",Settings!$B$4+R2037*7+Q2037)</f>
        <v/>
      </c>
      <c r="O2037" s="28" t="str">
        <f aca="true">IF(J2037="","",N2037+MAX(0,ROUNDUP((TODAY()-N2037)/(J2037*7),0))*J2037*7)</f>
        <v/>
      </c>
      <c r="P2037" s="27" t="str">
        <f aca="false">IF(J2037="","",MOD(K2037-1,J2037*4))</f>
        <v/>
      </c>
      <c r="Q2037" s="27" t="str">
        <f aca="false">IF(J2037="","",MOD(P2037,4))</f>
        <v/>
      </c>
      <c r="R2037" s="27" t="str">
        <f aca="false">IF(J2037="","",INT(P2037/4))</f>
        <v/>
      </c>
      <c r="S2037" s="27" t="str">
        <f aca="false">IF(J2037="","",IF(AND('Daily Count Sheet'!$H$3=Q2037,MOD('Daily Count Sheet'!$I$3,J2037)=R2037),1,""))</f>
        <v/>
      </c>
      <c r="T2037" s="27" t="str">
        <f aca="false">IF(S2037=1,COUNTIF($S$2:S2037,1),"")</f>
        <v/>
      </c>
    </row>
    <row r="2038" customFormat="false" ht="15" hidden="false" customHeight="false" outlineLevel="0" collapsed="false">
      <c r="H2038" s="26"/>
      <c r="I2038" s="27" t="str">
        <f aca="false">IF(A2038="","",IF(H2038&lt;&gt;"",UPPER(TRIM(H2038)),IFERROR(CHOOSE(VALUE(E2038)+1,"A","B","C","D"),IF(OR(LEFT(UPPER(TRIM(E2038)),1)="F",UPPER(TRIM(E2038))="A"),"A",IF(OR(LEFT(UPPER(TRIM(E2038)),1)="M",UPPER(TRIM(E2038))="B"),"B",IF(OR(LEFT(UPPER(TRIM(E2038)),2)="SL",UPPER(TRIM(E2038))="C"),"C",IF(OR(LEFT(UPPER(TRIM(E2038)),1)="D",UPPER(TRIM(E2038))="D"),"D","")))))))</f>
        <v/>
      </c>
      <c r="J2038" s="27" t="str">
        <f aca="false">IF(I2038="","",IF(AND(I2038="D",Settings!$B$6&lt;&gt;"Yes"),"",IFERROR(INDEX(Settings!$C$9:$C$12,MATCH(I2038,Settings!$A$9:$A$12,0)),"")))</f>
        <v/>
      </c>
      <c r="K2038" s="27" t="str">
        <f aca="false">IF(J2038="","",COUNTIF($I$2:I2038,I2038))</f>
        <v/>
      </c>
      <c r="L2038" s="27" t="str">
        <f aca="false">IF(J2038="","",CHOOSE(Q2038+1,"Tue","Wed","Thu","Fri"))</f>
        <v/>
      </c>
      <c r="M2038" s="27" t="str">
        <f aca="false">IF(J2038="","",IF(J2038=1,"Every week",R2038+1&amp;" of "&amp;J2038))</f>
        <v/>
      </c>
      <c r="N2038" s="28" t="str">
        <f aca="false">IF(J2038="","",Settings!$B$4+R2038*7+Q2038)</f>
        <v/>
      </c>
      <c r="O2038" s="28" t="str">
        <f aca="true">IF(J2038="","",N2038+MAX(0,ROUNDUP((TODAY()-N2038)/(J2038*7),0))*J2038*7)</f>
        <v/>
      </c>
      <c r="P2038" s="27" t="str">
        <f aca="false">IF(J2038="","",MOD(K2038-1,J2038*4))</f>
        <v/>
      </c>
      <c r="Q2038" s="27" t="str">
        <f aca="false">IF(J2038="","",MOD(P2038,4))</f>
        <v/>
      </c>
      <c r="R2038" s="27" t="str">
        <f aca="false">IF(J2038="","",INT(P2038/4))</f>
        <v/>
      </c>
      <c r="S2038" s="27" t="str">
        <f aca="false">IF(J2038="","",IF(AND('Daily Count Sheet'!$H$3=Q2038,MOD('Daily Count Sheet'!$I$3,J2038)=R2038),1,""))</f>
        <v/>
      </c>
      <c r="T2038" s="27" t="str">
        <f aca="false">IF(S2038=1,COUNTIF($S$2:S2038,1),"")</f>
        <v/>
      </c>
    </row>
    <row r="2039" customFormat="false" ht="15" hidden="false" customHeight="false" outlineLevel="0" collapsed="false">
      <c r="H2039" s="26"/>
      <c r="I2039" s="27" t="str">
        <f aca="false">IF(A2039="","",IF(H2039&lt;&gt;"",UPPER(TRIM(H2039)),IFERROR(CHOOSE(VALUE(E2039)+1,"A","B","C","D"),IF(OR(LEFT(UPPER(TRIM(E2039)),1)="F",UPPER(TRIM(E2039))="A"),"A",IF(OR(LEFT(UPPER(TRIM(E2039)),1)="M",UPPER(TRIM(E2039))="B"),"B",IF(OR(LEFT(UPPER(TRIM(E2039)),2)="SL",UPPER(TRIM(E2039))="C"),"C",IF(OR(LEFT(UPPER(TRIM(E2039)),1)="D",UPPER(TRIM(E2039))="D"),"D","")))))))</f>
        <v/>
      </c>
      <c r="J2039" s="27" t="str">
        <f aca="false">IF(I2039="","",IF(AND(I2039="D",Settings!$B$6&lt;&gt;"Yes"),"",IFERROR(INDEX(Settings!$C$9:$C$12,MATCH(I2039,Settings!$A$9:$A$12,0)),"")))</f>
        <v/>
      </c>
      <c r="K2039" s="27" t="str">
        <f aca="false">IF(J2039="","",COUNTIF($I$2:I2039,I2039))</f>
        <v/>
      </c>
      <c r="L2039" s="27" t="str">
        <f aca="false">IF(J2039="","",CHOOSE(Q2039+1,"Tue","Wed","Thu","Fri"))</f>
        <v/>
      </c>
      <c r="M2039" s="27" t="str">
        <f aca="false">IF(J2039="","",IF(J2039=1,"Every week",R2039+1&amp;" of "&amp;J2039))</f>
        <v/>
      </c>
      <c r="N2039" s="28" t="str">
        <f aca="false">IF(J2039="","",Settings!$B$4+R2039*7+Q2039)</f>
        <v/>
      </c>
      <c r="O2039" s="28" t="str">
        <f aca="true">IF(J2039="","",N2039+MAX(0,ROUNDUP((TODAY()-N2039)/(J2039*7),0))*J2039*7)</f>
        <v/>
      </c>
      <c r="P2039" s="27" t="str">
        <f aca="false">IF(J2039="","",MOD(K2039-1,J2039*4))</f>
        <v/>
      </c>
      <c r="Q2039" s="27" t="str">
        <f aca="false">IF(J2039="","",MOD(P2039,4))</f>
        <v/>
      </c>
      <c r="R2039" s="27" t="str">
        <f aca="false">IF(J2039="","",INT(P2039/4))</f>
        <v/>
      </c>
      <c r="S2039" s="27" t="str">
        <f aca="false">IF(J2039="","",IF(AND('Daily Count Sheet'!$H$3=Q2039,MOD('Daily Count Sheet'!$I$3,J2039)=R2039),1,""))</f>
        <v/>
      </c>
      <c r="T2039" s="27" t="str">
        <f aca="false">IF(S2039=1,COUNTIF($S$2:S2039,1),"")</f>
        <v/>
      </c>
    </row>
    <row r="2040" customFormat="false" ht="15" hidden="false" customHeight="false" outlineLevel="0" collapsed="false">
      <c r="H2040" s="26"/>
      <c r="I2040" s="27" t="str">
        <f aca="false">IF(A2040="","",IF(H2040&lt;&gt;"",UPPER(TRIM(H2040)),IFERROR(CHOOSE(VALUE(E2040)+1,"A","B","C","D"),IF(OR(LEFT(UPPER(TRIM(E2040)),1)="F",UPPER(TRIM(E2040))="A"),"A",IF(OR(LEFT(UPPER(TRIM(E2040)),1)="M",UPPER(TRIM(E2040))="B"),"B",IF(OR(LEFT(UPPER(TRIM(E2040)),2)="SL",UPPER(TRIM(E2040))="C"),"C",IF(OR(LEFT(UPPER(TRIM(E2040)),1)="D",UPPER(TRIM(E2040))="D"),"D","")))))))</f>
        <v/>
      </c>
      <c r="J2040" s="27" t="str">
        <f aca="false">IF(I2040="","",IF(AND(I2040="D",Settings!$B$6&lt;&gt;"Yes"),"",IFERROR(INDEX(Settings!$C$9:$C$12,MATCH(I2040,Settings!$A$9:$A$12,0)),"")))</f>
        <v/>
      </c>
      <c r="K2040" s="27" t="str">
        <f aca="false">IF(J2040="","",COUNTIF($I$2:I2040,I2040))</f>
        <v/>
      </c>
      <c r="L2040" s="27" t="str">
        <f aca="false">IF(J2040="","",CHOOSE(Q2040+1,"Tue","Wed","Thu","Fri"))</f>
        <v/>
      </c>
      <c r="M2040" s="27" t="str">
        <f aca="false">IF(J2040="","",IF(J2040=1,"Every week",R2040+1&amp;" of "&amp;J2040))</f>
        <v/>
      </c>
      <c r="N2040" s="28" t="str">
        <f aca="false">IF(J2040="","",Settings!$B$4+R2040*7+Q2040)</f>
        <v/>
      </c>
      <c r="O2040" s="28" t="str">
        <f aca="true">IF(J2040="","",N2040+MAX(0,ROUNDUP((TODAY()-N2040)/(J2040*7),0))*J2040*7)</f>
        <v/>
      </c>
      <c r="P2040" s="27" t="str">
        <f aca="false">IF(J2040="","",MOD(K2040-1,J2040*4))</f>
        <v/>
      </c>
      <c r="Q2040" s="27" t="str">
        <f aca="false">IF(J2040="","",MOD(P2040,4))</f>
        <v/>
      </c>
      <c r="R2040" s="27" t="str">
        <f aca="false">IF(J2040="","",INT(P2040/4))</f>
        <v/>
      </c>
      <c r="S2040" s="27" t="str">
        <f aca="false">IF(J2040="","",IF(AND('Daily Count Sheet'!$H$3=Q2040,MOD('Daily Count Sheet'!$I$3,J2040)=R2040),1,""))</f>
        <v/>
      </c>
      <c r="T2040" s="27" t="str">
        <f aca="false">IF(S2040=1,COUNTIF($S$2:S2040,1),"")</f>
        <v/>
      </c>
    </row>
    <row r="2041" customFormat="false" ht="15" hidden="false" customHeight="false" outlineLevel="0" collapsed="false">
      <c r="H2041" s="26"/>
      <c r="I2041" s="27" t="str">
        <f aca="false">IF(A2041="","",IF(H2041&lt;&gt;"",UPPER(TRIM(H2041)),IFERROR(CHOOSE(VALUE(E2041)+1,"A","B","C","D"),IF(OR(LEFT(UPPER(TRIM(E2041)),1)="F",UPPER(TRIM(E2041))="A"),"A",IF(OR(LEFT(UPPER(TRIM(E2041)),1)="M",UPPER(TRIM(E2041))="B"),"B",IF(OR(LEFT(UPPER(TRIM(E2041)),2)="SL",UPPER(TRIM(E2041))="C"),"C",IF(OR(LEFT(UPPER(TRIM(E2041)),1)="D",UPPER(TRIM(E2041))="D"),"D","")))))))</f>
        <v/>
      </c>
      <c r="J2041" s="27" t="str">
        <f aca="false">IF(I2041="","",IF(AND(I2041="D",Settings!$B$6&lt;&gt;"Yes"),"",IFERROR(INDEX(Settings!$C$9:$C$12,MATCH(I2041,Settings!$A$9:$A$12,0)),"")))</f>
        <v/>
      </c>
      <c r="K2041" s="27" t="str">
        <f aca="false">IF(J2041="","",COUNTIF($I$2:I2041,I2041))</f>
        <v/>
      </c>
      <c r="L2041" s="27" t="str">
        <f aca="false">IF(J2041="","",CHOOSE(Q2041+1,"Tue","Wed","Thu","Fri"))</f>
        <v/>
      </c>
      <c r="M2041" s="27" t="str">
        <f aca="false">IF(J2041="","",IF(J2041=1,"Every week",R2041+1&amp;" of "&amp;J2041))</f>
        <v/>
      </c>
      <c r="N2041" s="28" t="str">
        <f aca="false">IF(J2041="","",Settings!$B$4+R2041*7+Q2041)</f>
        <v/>
      </c>
      <c r="O2041" s="28" t="str">
        <f aca="true">IF(J2041="","",N2041+MAX(0,ROUNDUP((TODAY()-N2041)/(J2041*7),0))*J2041*7)</f>
        <v/>
      </c>
      <c r="P2041" s="27" t="str">
        <f aca="false">IF(J2041="","",MOD(K2041-1,J2041*4))</f>
        <v/>
      </c>
      <c r="Q2041" s="27" t="str">
        <f aca="false">IF(J2041="","",MOD(P2041,4))</f>
        <v/>
      </c>
      <c r="R2041" s="27" t="str">
        <f aca="false">IF(J2041="","",INT(P2041/4))</f>
        <v/>
      </c>
      <c r="S2041" s="27" t="str">
        <f aca="false">IF(J2041="","",IF(AND('Daily Count Sheet'!$H$3=Q2041,MOD('Daily Count Sheet'!$I$3,J2041)=R2041),1,""))</f>
        <v/>
      </c>
      <c r="T2041" s="27" t="str">
        <f aca="false">IF(S2041=1,COUNTIF($S$2:S2041,1),"")</f>
        <v/>
      </c>
    </row>
    <row r="2042" customFormat="false" ht="15" hidden="false" customHeight="false" outlineLevel="0" collapsed="false">
      <c r="H2042" s="26"/>
      <c r="I2042" s="27" t="str">
        <f aca="false">IF(A2042="","",IF(H2042&lt;&gt;"",UPPER(TRIM(H2042)),IFERROR(CHOOSE(VALUE(E2042)+1,"A","B","C","D"),IF(OR(LEFT(UPPER(TRIM(E2042)),1)="F",UPPER(TRIM(E2042))="A"),"A",IF(OR(LEFT(UPPER(TRIM(E2042)),1)="M",UPPER(TRIM(E2042))="B"),"B",IF(OR(LEFT(UPPER(TRIM(E2042)),2)="SL",UPPER(TRIM(E2042))="C"),"C",IF(OR(LEFT(UPPER(TRIM(E2042)),1)="D",UPPER(TRIM(E2042))="D"),"D","")))))))</f>
        <v/>
      </c>
      <c r="J2042" s="27" t="str">
        <f aca="false">IF(I2042="","",IF(AND(I2042="D",Settings!$B$6&lt;&gt;"Yes"),"",IFERROR(INDEX(Settings!$C$9:$C$12,MATCH(I2042,Settings!$A$9:$A$12,0)),"")))</f>
        <v/>
      </c>
      <c r="K2042" s="27" t="str">
        <f aca="false">IF(J2042="","",COUNTIF($I$2:I2042,I2042))</f>
        <v/>
      </c>
      <c r="L2042" s="27" t="str">
        <f aca="false">IF(J2042="","",CHOOSE(Q2042+1,"Tue","Wed","Thu","Fri"))</f>
        <v/>
      </c>
      <c r="M2042" s="27" t="str">
        <f aca="false">IF(J2042="","",IF(J2042=1,"Every week",R2042+1&amp;" of "&amp;J2042))</f>
        <v/>
      </c>
      <c r="N2042" s="28" t="str">
        <f aca="false">IF(J2042="","",Settings!$B$4+R2042*7+Q2042)</f>
        <v/>
      </c>
      <c r="O2042" s="28" t="str">
        <f aca="true">IF(J2042="","",N2042+MAX(0,ROUNDUP((TODAY()-N2042)/(J2042*7),0))*J2042*7)</f>
        <v/>
      </c>
      <c r="P2042" s="27" t="str">
        <f aca="false">IF(J2042="","",MOD(K2042-1,J2042*4))</f>
        <v/>
      </c>
      <c r="Q2042" s="27" t="str">
        <f aca="false">IF(J2042="","",MOD(P2042,4))</f>
        <v/>
      </c>
      <c r="R2042" s="27" t="str">
        <f aca="false">IF(J2042="","",INT(P2042/4))</f>
        <v/>
      </c>
      <c r="S2042" s="27" t="str">
        <f aca="false">IF(J2042="","",IF(AND('Daily Count Sheet'!$H$3=Q2042,MOD('Daily Count Sheet'!$I$3,J2042)=R2042),1,""))</f>
        <v/>
      </c>
      <c r="T2042" s="27" t="str">
        <f aca="false">IF(S2042=1,COUNTIF($S$2:S2042,1),"")</f>
        <v/>
      </c>
    </row>
    <row r="2043" customFormat="false" ht="15" hidden="false" customHeight="false" outlineLevel="0" collapsed="false">
      <c r="H2043" s="26"/>
      <c r="I2043" s="27" t="str">
        <f aca="false">IF(A2043="","",IF(H2043&lt;&gt;"",UPPER(TRIM(H2043)),IFERROR(CHOOSE(VALUE(E2043)+1,"A","B","C","D"),IF(OR(LEFT(UPPER(TRIM(E2043)),1)="F",UPPER(TRIM(E2043))="A"),"A",IF(OR(LEFT(UPPER(TRIM(E2043)),1)="M",UPPER(TRIM(E2043))="B"),"B",IF(OR(LEFT(UPPER(TRIM(E2043)),2)="SL",UPPER(TRIM(E2043))="C"),"C",IF(OR(LEFT(UPPER(TRIM(E2043)),1)="D",UPPER(TRIM(E2043))="D"),"D","")))))))</f>
        <v/>
      </c>
      <c r="J2043" s="27" t="str">
        <f aca="false">IF(I2043="","",IF(AND(I2043="D",Settings!$B$6&lt;&gt;"Yes"),"",IFERROR(INDEX(Settings!$C$9:$C$12,MATCH(I2043,Settings!$A$9:$A$12,0)),"")))</f>
        <v/>
      </c>
      <c r="K2043" s="27" t="str">
        <f aca="false">IF(J2043="","",COUNTIF($I$2:I2043,I2043))</f>
        <v/>
      </c>
      <c r="L2043" s="27" t="str">
        <f aca="false">IF(J2043="","",CHOOSE(Q2043+1,"Tue","Wed","Thu","Fri"))</f>
        <v/>
      </c>
      <c r="M2043" s="27" t="str">
        <f aca="false">IF(J2043="","",IF(J2043=1,"Every week",R2043+1&amp;" of "&amp;J2043))</f>
        <v/>
      </c>
      <c r="N2043" s="28" t="str">
        <f aca="false">IF(J2043="","",Settings!$B$4+R2043*7+Q2043)</f>
        <v/>
      </c>
      <c r="O2043" s="28" t="str">
        <f aca="true">IF(J2043="","",N2043+MAX(0,ROUNDUP((TODAY()-N2043)/(J2043*7),0))*J2043*7)</f>
        <v/>
      </c>
      <c r="P2043" s="27" t="str">
        <f aca="false">IF(J2043="","",MOD(K2043-1,J2043*4))</f>
        <v/>
      </c>
      <c r="Q2043" s="27" t="str">
        <f aca="false">IF(J2043="","",MOD(P2043,4))</f>
        <v/>
      </c>
      <c r="R2043" s="27" t="str">
        <f aca="false">IF(J2043="","",INT(P2043/4))</f>
        <v/>
      </c>
      <c r="S2043" s="27" t="str">
        <f aca="false">IF(J2043="","",IF(AND('Daily Count Sheet'!$H$3=Q2043,MOD('Daily Count Sheet'!$I$3,J2043)=R2043),1,""))</f>
        <v/>
      </c>
      <c r="T2043" s="27" t="str">
        <f aca="false">IF(S2043=1,COUNTIF($S$2:S2043,1),"")</f>
        <v/>
      </c>
    </row>
    <row r="2044" customFormat="false" ht="15" hidden="false" customHeight="false" outlineLevel="0" collapsed="false">
      <c r="H2044" s="26"/>
      <c r="I2044" s="27" t="str">
        <f aca="false">IF(A2044="","",IF(H2044&lt;&gt;"",UPPER(TRIM(H2044)),IFERROR(CHOOSE(VALUE(E2044)+1,"A","B","C","D"),IF(OR(LEFT(UPPER(TRIM(E2044)),1)="F",UPPER(TRIM(E2044))="A"),"A",IF(OR(LEFT(UPPER(TRIM(E2044)),1)="M",UPPER(TRIM(E2044))="B"),"B",IF(OR(LEFT(UPPER(TRIM(E2044)),2)="SL",UPPER(TRIM(E2044))="C"),"C",IF(OR(LEFT(UPPER(TRIM(E2044)),1)="D",UPPER(TRIM(E2044))="D"),"D","")))))))</f>
        <v/>
      </c>
      <c r="J2044" s="27" t="str">
        <f aca="false">IF(I2044="","",IF(AND(I2044="D",Settings!$B$6&lt;&gt;"Yes"),"",IFERROR(INDEX(Settings!$C$9:$C$12,MATCH(I2044,Settings!$A$9:$A$12,0)),"")))</f>
        <v/>
      </c>
      <c r="K2044" s="27" t="str">
        <f aca="false">IF(J2044="","",COUNTIF($I$2:I2044,I2044))</f>
        <v/>
      </c>
      <c r="L2044" s="27" t="str">
        <f aca="false">IF(J2044="","",CHOOSE(Q2044+1,"Tue","Wed","Thu","Fri"))</f>
        <v/>
      </c>
      <c r="M2044" s="27" t="str">
        <f aca="false">IF(J2044="","",IF(J2044=1,"Every week",R2044+1&amp;" of "&amp;J2044))</f>
        <v/>
      </c>
      <c r="N2044" s="28" t="str">
        <f aca="false">IF(J2044="","",Settings!$B$4+R2044*7+Q2044)</f>
        <v/>
      </c>
      <c r="O2044" s="28" t="str">
        <f aca="true">IF(J2044="","",N2044+MAX(0,ROUNDUP((TODAY()-N2044)/(J2044*7),0))*J2044*7)</f>
        <v/>
      </c>
      <c r="P2044" s="27" t="str">
        <f aca="false">IF(J2044="","",MOD(K2044-1,J2044*4))</f>
        <v/>
      </c>
      <c r="Q2044" s="27" t="str">
        <f aca="false">IF(J2044="","",MOD(P2044,4))</f>
        <v/>
      </c>
      <c r="R2044" s="27" t="str">
        <f aca="false">IF(J2044="","",INT(P2044/4))</f>
        <v/>
      </c>
      <c r="S2044" s="27" t="str">
        <f aca="false">IF(J2044="","",IF(AND('Daily Count Sheet'!$H$3=Q2044,MOD('Daily Count Sheet'!$I$3,J2044)=R2044),1,""))</f>
        <v/>
      </c>
      <c r="T2044" s="27" t="str">
        <f aca="false">IF(S2044=1,COUNTIF($S$2:S2044,1),"")</f>
        <v/>
      </c>
    </row>
    <row r="2045" customFormat="false" ht="15" hidden="false" customHeight="false" outlineLevel="0" collapsed="false">
      <c r="H2045" s="26"/>
      <c r="I2045" s="27" t="str">
        <f aca="false">IF(A2045="","",IF(H2045&lt;&gt;"",UPPER(TRIM(H2045)),IFERROR(CHOOSE(VALUE(E2045)+1,"A","B","C","D"),IF(OR(LEFT(UPPER(TRIM(E2045)),1)="F",UPPER(TRIM(E2045))="A"),"A",IF(OR(LEFT(UPPER(TRIM(E2045)),1)="M",UPPER(TRIM(E2045))="B"),"B",IF(OR(LEFT(UPPER(TRIM(E2045)),2)="SL",UPPER(TRIM(E2045))="C"),"C",IF(OR(LEFT(UPPER(TRIM(E2045)),1)="D",UPPER(TRIM(E2045))="D"),"D","")))))))</f>
        <v/>
      </c>
      <c r="J2045" s="27" t="str">
        <f aca="false">IF(I2045="","",IF(AND(I2045="D",Settings!$B$6&lt;&gt;"Yes"),"",IFERROR(INDEX(Settings!$C$9:$C$12,MATCH(I2045,Settings!$A$9:$A$12,0)),"")))</f>
        <v/>
      </c>
      <c r="K2045" s="27" t="str">
        <f aca="false">IF(J2045="","",COUNTIF($I$2:I2045,I2045))</f>
        <v/>
      </c>
      <c r="L2045" s="27" t="str">
        <f aca="false">IF(J2045="","",CHOOSE(Q2045+1,"Tue","Wed","Thu","Fri"))</f>
        <v/>
      </c>
      <c r="M2045" s="27" t="str">
        <f aca="false">IF(J2045="","",IF(J2045=1,"Every week",R2045+1&amp;" of "&amp;J2045))</f>
        <v/>
      </c>
      <c r="N2045" s="28" t="str">
        <f aca="false">IF(J2045="","",Settings!$B$4+R2045*7+Q2045)</f>
        <v/>
      </c>
      <c r="O2045" s="28" t="str">
        <f aca="true">IF(J2045="","",N2045+MAX(0,ROUNDUP((TODAY()-N2045)/(J2045*7),0))*J2045*7)</f>
        <v/>
      </c>
      <c r="P2045" s="27" t="str">
        <f aca="false">IF(J2045="","",MOD(K2045-1,J2045*4))</f>
        <v/>
      </c>
      <c r="Q2045" s="27" t="str">
        <f aca="false">IF(J2045="","",MOD(P2045,4))</f>
        <v/>
      </c>
      <c r="R2045" s="27" t="str">
        <f aca="false">IF(J2045="","",INT(P2045/4))</f>
        <v/>
      </c>
      <c r="S2045" s="27" t="str">
        <f aca="false">IF(J2045="","",IF(AND('Daily Count Sheet'!$H$3=Q2045,MOD('Daily Count Sheet'!$I$3,J2045)=R2045),1,""))</f>
        <v/>
      </c>
      <c r="T2045" s="27" t="str">
        <f aca="false">IF(S2045=1,COUNTIF($S$2:S2045,1),"")</f>
        <v/>
      </c>
    </row>
    <row r="2046" customFormat="false" ht="15" hidden="false" customHeight="false" outlineLevel="0" collapsed="false">
      <c r="H2046" s="26"/>
      <c r="I2046" s="27" t="str">
        <f aca="false">IF(A2046="","",IF(H2046&lt;&gt;"",UPPER(TRIM(H2046)),IFERROR(CHOOSE(VALUE(E2046)+1,"A","B","C","D"),IF(OR(LEFT(UPPER(TRIM(E2046)),1)="F",UPPER(TRIM(E2046))="A"),"A",IF(OR(LEFT(UPPER(TRIM(E2046)),1)="M",UPPER(TRIM(E2046))="B"),"B",IF(OR(LEFT(UPPER(TRIM(E2046)),2)="SL",UPPER(TRIM(E2046))="C"),"C",IF(OR(LEFT(UPPER(TRIM(E2046)),1)="D",UPPER(TRIM(E2046))="D"),"D","")))))))</f>
        <v/>
      </c>
      <c r="J2046" s="27" t="str">
        <f aca="false">IF(I2046="","",IF(AND(I2046="D",Settings!$B$6&lt;&gt;"Yes"),"",IFERROR(INDEX(Settings!$C$9:$C$12,MATCH(I2046,Settings!$A$9:$A$12,0)),"")))</f>
        <v/>
      </c>
      <c r="K2046" s="27" t="str">
        <f aca="false">IF(J2046="","",COUNTIF($I$2:I2046,I2046))</f>
        <v/>
      </c>
      <c r="L2046" s="27" t="str">
        <f aca="false">IF(J2046="","",CHOOSE(Q2046+1,"Tue","Wed","Thu","Fri"))</f>
        <v/>
      </c>
      <c r="M2046" s="27" t="str">
        <f aca="false">IF(J2046="","",IF(J2046=1,"Every week",R2046+1&amp;" of "&amp;J2046))</f>
        <v/>
      </c>
      <c r="N2046" s="28" t="str">
        <f aca="false">IF(J2046="","",Settings!$B$4+R2046*7+Q2046)</f>
        <v/>
      </c>
      <c r="O2046" s="28" t="str">
        <f aca="true">IF(J2046="","",N2046+MAX(0,ROUNDUP((TODAY()-N2046)/(J2046*7),0))*J2046*7)</f>
        <v/>
      </c>
      <c r="P2046" s="27" t="str">
        <f aca="false">IF(J2046="","",MOD(K2046-1,J2046*4))</f>
        <v/>
      </c>
      <c r="Q2046" s="27" t="str">
        <f aca="false">IF(J2046="","",MOD(P2046,4))</f>
        <v/>
      </c>
      <c r="R2046" s="27" t="str">
        <f aca="false">IF(J2046="","",INT(P2046/4))</f>
        <v/>
      </c>
      <c r="S2046" s="27" t="str">
        <f aca="false">IF(J2046="","",IF(AND('Daily Count Sheet'!$H$3=Q2046,MOD('Daily Count Sheet'!$I$3,J2046)=R2046),1,""))</f>
        <v/>
      </c>
      <c r="T2046" s="27" t="str">
        <f aca="false">IF(S2046=1,COUNTIF($S$2:S2046,1),"")</f>
        <v/>
      </c>
    </row>
    <row r="2047" customFormat="false" ht="15" hidden="false" customHeight="false" outlineLevel="0" collapsed="false">
      <c r="H2047" s="26"/>
      <c r="I2047" s="27" t="str">
        <f aca="false">IF(A2047="","",IF(H2047&lt;&gt;"",UPPER(TRIM(H2047)),IFERROR(CHOOSE(VALUE(E2047)+1,"A","B","C","D"),IF(OR(LEFT(UPPER(TRIM(E2047)),1)="F",UPPER(TRIM(E2047))="A"),"A",IF(OR(LEFT(UPPER(TRIM(E2047)),1)="M",UPPER(TRIM(E2047))="B"),"B",IF(OR(LEFT(UPPER(TRIM(E2047)),2)="SL",UPPER(TRIM(E2047))="C"),"C",IF(OR(LEFT(UPPER(TRIM(E2047)),1)="D",UPPER(TRIM(E2047))="D"),"D","")))))))</f>
        <v/>
      </c>
      <c r="J2047" s="27" t="str">
        <f aca="false">IF(I2047="","",IF(AND(I2047="D",Settings!$B$6&lt;&gt;"Yes"),"",IFERROR(INDEX(Settings!$C$9:$C$12,MATCH(I2047,Settings!$A$9:$A$12,0)),"")))</f>
        <v/>
      </c>
      <c r="K2047" s="27" t="str">
        <f aca="false">IF(J2047="","",COUNTIF($I$2:I2047,I2047))</f>
        <v/>
      </c>
      <c r="L2047" s="27" t="str">
        <f aca="false">IF(J2047="","",CHOOSE(Q2047+1,"Tue","Wed","Thu","Fri"))</f>
        <v/>
      </c>
      <c r="M2047" s="27" t="str">
        <f aca="false">IF(J2047="","",IF(J2047=1,"Every week",R2047+1&amp;" of "&amp;J2047))</f>
        <v/>
      </c>
      <c r="N2047" s="28" t="str">
        <f aca="false">IF(J2047="","",Settings!$B$4+R2047*7+Q2047)</f>
        <v/>
      </c>
      <c r="O2047" s="28" t="str">
        <f aca="true">IF(J2047="","",N2047+MAX(0,ROUNDUP((TODAY()-N2047)/(J2047*7),0))*J2047*7)</f>
        <v/>
      </c>
      <c r="P2047" s="27" t="str">
        <f aca="false">IF(J2047="","",MOD(K2047-1,J2047*4))</f>
        <v/>
      </c>
      <c r="Q2047" s="27" t="str">
        <f aca="false">IF(J2047="","",MOD(P2047,4))</f>
        <v/>
      </c>
      <c r="R2047" s="27" t="str">
        <f aca="false">IF(J2047="","",INT(P2047/4))</f>
        <v/>
      </c>
      <c r="S2047" s="27" t="str">
        <f aca="false">IF(J2047="","",IF(AND('Daily Count Sheet'!$H$3=Q2047,MOD('Daily Count Sheet'!$I$3,J2047)=R2047),1,""))</f>
        <v/>
      </c>
      <c r="T2047" s="27" t="str">
        <f aca="false">IF(S2047=1,COUNTIF($S$2:S2047,1),"")</f>
        <v/>
      </c>
    </row>
    <row r="2048" customFormat="false" ht="15" hidden="false" customHeight="false" outlineLevel="0" collapsed="false">
      <c r="H2048" s="26"/>
      <c r="I2048" s="27" t="str">
        <f aca="false">IF(A2048="","",IF(H2048&lt;&gt;"",UPPER(TRIM(H2048)),IFERROR(CHOOSE(VALUE(E2048)+1,"A","B","C","D"),IF(OR(LEFT(UPPER(TRIM(E2048)),1)="F",UPPER(TRIM(E2048))="A"),"A",IF(OR(LEFT(UPPER(TRIM(E2048)),1)="M",UPPER(TRIM(E2048))="B"),"B",IF(OR(LEFT(UPPER(TRIM(E2048)),2)="SL",UPPER(TRIM(E2048))="C"),"C",IF(OR(LEFT(UPPER(TRIM(E2048)),1)="D",UPPER(TRIM(E2048))="D"),"D","")))))))</f>
        <v/>
      </c>
      <c r="J2048" s="27" t="str">
        <f aca="false">IF(I2048="","",IF(AND(I2048="D",Settings!$B$6&lt;&gt;"Yes"),"",IFERROR(INDEX(Settings!$C$9:$C$12,MATCH(I2048,Settings!$A$9:$A$12,0)),"")))</f>
        <v/>
      </c>
      <c r="K2048" s="27" t="str">
        <f aca="false">IF(J2048="","",COUNTIF($I$2:I2048,I2048))</f>
        <v/>
      </c>
      <c r="L2048" s="27" t="str">
        <f aca="false">IF(J2048="","",CHOOSE(Q2048+1,"Tue","Wed","Thu","Fri"))</f>
        <v/>
      </c>
      <c r="M2048" s="27" t="str">
        <f aca="false">IF(J2048="","",IF(J2048=1,"Every week",R2048+1&amp;" of "&amp;J2048))</f>
        <v/>
      </c>
      <c r="N2048" s="28" t="str">
        <f aca="false">IF(J2048="","",Settings!$B$4+R2048*7+Q2048)</f>
        <v/>
      </c>
      <c r="O2048" s="28" t="str">
        <f aca="true">IF(J2048="","",N2048+MAX(0,ROUNDUP((TODAY()-N2048)/(J2048*7),0))*J2048*7)</f>
        <v/>
      </c>
      <c r="P2048" s="27" t="str">
        <f aca="false">IF(J2048="","",MOD(K2048-1,J2048*4))</f>
        <v/>
      </c>
      <c r="Q2048" s="27" t="str">
        <f aca="false">IF(J2048="","",MOD(P2048,4))</f>
        <v/>
      </c>
      <c r="R2048" s="27" t="str">
        <f aca="false">IF(J2048="","",INT(P2048/4))</f>
        <v/>
      </c>
      <c r="S2048" s="27" t="str">
        <f aca="false">IF(J2048="","",IF(AND('Daily Count Sheet'!$H$3=Q2048,MOD('Daily Count Sheet'!$I$3,J2048)=R2048),1,""))</f>
        <v/>
      </c>
      <c r="T2048" s="27" t="str">
        <f aca="false">IF(S2048=1,COUNTIF($S$2:S2048,1),"")</f>
        <v/>
      </c>
    </row>
    <row r="2049" customFormat="false" ht="15" hidden="false" customHeight="false" outlineLevel="0" collapsed="false">
      <c r="H2049" s="26"/>
      <c r="I2049" s="27" t="str">
        <f aca="false">IF(A2049="","",IF(H2049&lt;&gt;"",UPPER(TRIM(H2049)),IFERROR(CHOOSE(VALUE(E2049)+1,"A","B","C","D"),IF(OR(LEFT(UPPER(TRIM(E2049)),1)="F",UPPER(TRIM(E2049))="A"),"A",IF(OR(LEFT(UPPER(TRIM(E2049)),1)="M",UPPER(TRIM(E2049))="B"),"B",IF(OR(LEFT(UPPER(TRIM(E2049)),2)="SL",UPPER(TRIM(E2049))="C"),"C",IF(OR(LEFT(UPPER(TRIM(E2049)),1)="D",UPPER(TRIM(E2049))="D"),"D","")))))))</f>
        <v/>
      </c>
      <c r="J2049" s="27" t="str">
        <f aca="false">IF(I2049="","",IF(AND(I2049="D",Settings!$B$6&lt;&gt;"Yes"),"",IFERROR(INDEX(Settings!$C$9:$C$12,MATCH(I2049,Settings!$A$9:$A$12,0)),"")))</f>
        <v/>
      </c>
      <c r="K2049" s="27" t="str">
        <f aca="false">IF(J2049="","",COUNTIF($I$2:I2049,I2049))</f>
        <v/>
      </c>
      <c r="L2049" s="27" t="str">
        <f aca="false">IF(J2049="","",CHOOSE(Q2049+1,"Tue","Wed","Thu","Fri"))</f>
        <v/>
      </c>
      <c r="M2049" s="27" t="str">
        <f aca="false">IF(J2049="","",IF(J2049=1,"Every week",R2049+1&amp;" of "&amp;J2049))</f>
        <v/>
      </c>
      <c r="N2049" s="28" t="str">
        <f aca="false">IF(J2049="","",Settings!$B$4+R2049*7+Q2049)</f>
        <v/>
      </c>
      <c r="O2049" s="28" t="str">
        <f aca="true">IF(J2049="","",N2049+MAX(0,ROUNDUP((TODAY()-N2049)/(J2049*7),0))*J2049*7)</f>
        <v/>
      </c>
      <c r="P2049" s="27" t="str">
        <f aca="false">IF(J2049="","",MOD(K2049-1,J2049*4))</f>
        <v/>
      </c>
      <c r="Q2049" s="27" t="str">
        <f aca="false">IF(J2049="","",MOD(P2049,4))</f>
        <v/>
      </c>
      <c r="R2049" s="27" t="str">
        <f aca="false">IF(J2049="","",INT(P2049/4))</f>
        <v/>
      </c>
      <c r="S2049" s="27" t="str">
        <f aca="false">IF(J2049="","",IF(AND('Daily Count Sheet'!$H$3=Q2049,MOD('Daily Count Sheet'!$I$3,J2049)=R2049),1,""))</f>
        <v/>
      </c>
      <c r="T2049" s="27" t="str">
        <f aca="false">IF(S2049=1,COUNTIF($S$2:S2049,1),"")</f>
        <v/>
      </c>
    </row>
    <row r="2050" customFormat="false" ht="15" hidden="false" customHeight="false" outlineLevel="0" collapsed="false">
      <c r="H2050" s="26"/>
      <c r="I2050" s="27" t="str">
        <f aca="false">IF(A2050="","",IF(H2050&lt;&gt;"",UPPER(TRIM(H2050)),IFERROR(CHOOSE(VALUE(E2050)+1,"A","B","C","D"),IF(OR(LEFT(UPPER(TRIM(E2050)),1)="F",UPPER(TRIM(E2050))="A"),"A",IF(OR(LEFT(UPPER(TRIM(E2050)),1)="M",UPPER(TRIM(E2050))="B"),"B",IF(OR(LEFT(UPPER(TRIM(E2050)),2)="SL",UPPER(TRIM(E2050))="C"),"C",IF(OR(LEFT(UPPER(TRIM(E2050)),1)="D",UPPER(TRIM(E2050))="D"),"D","")))))))</f>
        <v/>
      </c>
      <c r="J2050" s="27" t="str">
        <f aca="false">IF(I2050="","",IF(AND(I2050="D",Settings!$B$6&lt;&gt;"Yes"),"",IFERROR(INDEX(Settings!$C$9:$C$12,MATCH(I2050,Settings!$A$9:$A$12,0)),"")))</f>
        <v/>
      </c>
      <c r="K2050" s="27" t="str">
        <f aca="false">IF(J2050="","",COUNTIF($I$2:I2050,I2050))</f>
        <v/>
      </c>
      <c r="L2050" s="27" t="str">
        <f aca="false">IF(J2050="","",CHOOSE(Q2050+1,"Tue","Wed","Thu","Fri"))</f>
        <v/>
      </c>
      <c r="M2050" s="27" t="str">
        <f aca="false">IF(J2050="","",IF(J2050=1,"Every week",R2050+1&amp;" of "&amp;J2050))</f>
        <v/>
      </c>
      <c r="N2050" s="28" t="str">
        <f aca="false">IF(J2050="","",Settings!$B$4+R2050*7+Q2050)</f>
        <v/>
      </c>
      <c r="O2050" s="28" t="str">
        <f aca="true">IF(J2050="","",N2050+MAX(0,ROUNDUP((TODAY()-N2050)/(J2050*7),0))*J2050*7)</f>
        <v/>
      </c>
      <c r="P2050" s="27" t="str">
        <f aca="false">IF(J2050="","",MOD(K2050-1,J2050*4))</f>
        <v/>
      </c>
      <c r="Q2050" s="27" t="str">
        <f aca="false">IF(J2050="","",MOD(P2050,4))</f>
        <v/>
      </c>
      <c r="R2050" s="27" t="str">
        <f aca="false">IF(J2050="","",INT(P2050/4))</f>
        <v/>
      </c>
      <c r="S2050" s="27" t="str">
        <f aca="false">IF(J2050="","",IF(AND('Daily Count Sheet'!$H$3=Q2050,MOD('Daily Count Sheet'!$I$3,J2050)=R2050),1,""))</f>
        <v/>
      </c>
      <c r="T2050" s="27" t="str">
        <f aca="false">IF(S2050=1,COUNTIF($S$2:S2050,1),"")</f>
        <v/>
      </c>
    </row>
    <row r="2051" customFormat="false" ht="15" hidden="false" customHeight="false" outlineLevel="0" collapsed="false">
      <c r="H2051" s="26"/>
      <c r="I2051" s="27" t="str">
        <f aca="false">IF(A2051="","",IF(H2051&lt;&gt;"",UPPER(TRIM(H2051)),IFERROR(CHOOSE(VALUE(E2051)+1,"A","B","C","D"),IF(OR(LEFT(UPPER(TRIM(E2051)),1)="F",UPPER(TRIM(E2051))="A"),"A",IF(OR(LEFT(UPPER(TRIM(E2051)),1)="M",UPPER(TRIM(E2051))="B"),"B",IF(OR(LEFT(UPPER(TRIM(E2051)),2)="SL",UPPER(TRIM(E2051))="C"),"C",IF(OR(LEFT(UPPER(TRIM(E2051)),1)="D",UPPER(TRIM(E2051))="D"),"D","")))))))</f>
        <v/>
      </c>
      <c r="J2051" s="27" t="str">
        <f aca="false">IF(I2051="","",IF(AND(I2051="D",Settings!$B$6&lt;&gt;"Yes"),"",IFERROR(INDEX(Settings!$C$9:$C$12,MATCH(I2051,Settings!$A$9:$A$12,0)),"")))</f>
        <v/>
      </c>
      <c r="K2051" s="27" t="str">
        <f aca="false">IF(J2051="","",COUNTIF($I$2:I2051,I2051))</f>
        <v/>
      </c>
      <c r="L2051" s="27" t="str">
        <f aca="false">IF(J2051="","",CHOOSE(Q2051+1,"Tue","Wed","Thu","Fri"))</f>
        <v/>
      </c>
      <c r="M2051" s="27" t="str">
        <f aca="false">IF(J2051="","",IF(J2051=1,"Every week",R2051+1&amp;" of "&amp;J2051))</f>
        <v/>
      </c>
      <c r="N2051" s="28" t="str">
        <f aca="false">IF(J2051="","",Settings!$B$4+R2051*7+Q2051)</f>
        <v/>
      </c>
      <c r="O2051" s="28" t="str">
        <f aca="true">IF(J2051="","",N2051+MAX(0,ROUNDUP((TODAY()-N2051)/(J2051*7),0))*J2051*7)</f>
        <v/>
      </c>
      <c r="P2051" s="27" t="str">
        <f aca="false">IF(J2051="","",MOD(K2051-1,J2051*4))</f>
        <v/>
      </c>
      <c r="Q2051" s="27" t="str">
        <f aca="false">IF(J2051="","",MOD(P2051,4))</f>
        <v/>
      </c>
      <c r="R2051" s="27" t="str">
        <f aca="false">IF(J2051="","",INT(P2051/4))</f>
        <v/>
      </c>
      <c r="S2051" s="27" t="str">
        <f aca="false">IF(J2051="","",IF(AND('Daily Count Sheet'!$H$3=Q2051,MOD('Daily Count Sheet'!$I$3,J2051)=R2051),1,""))</f>
        <v/>
      </c>
      <c r="T2051" s="27" t="str">
        <f aca="false">IF(S2051=1,COUNTIF($S$2:S2051,1),"")</f>
        <v/>
      </c>
    </row>
    <row r="2052" customFormat="false" ht="15" hidden="false" customHeight="false" outlineLevel="0" collapsed="false">
      <c r="H2052" s="26"/>
      <c r="I2052" s="27" t="str">
        <f aca="false">IF(A2052="","",IF(H2052&lt;&gt;"",UPPER(TRIM(H2052)),IFERROR(CHOOSE(VALUE(E2052)+1,"A","B","C","D"),IF(OR(LEFT(UPPER(TRIM(E2052)),1)="F",UPPER(TRIM(E2052))="A"),"A",IF(OR(LEFT(UPPER(TRIM(E2052)),1)="M",UPPER(TRIM(E2052))="B"),"B",IF(OR(LEFT(UPPER(TRIM(E2052)),2)="SL",UPPER(TRIM(E2052))="C"),"C",IF(OR(LEFT(UPPER(TRIM(E2052)),1)="D",UPPER(TRIM(E2052))="D"),"D","")))))))</f>
        <v/>
      </c>
      <c r="J2052" s="27" t="str">
        <f aca="false">IF(I2052="","",IF(AND(I2052="D",Settings!$B$6&lt;&gt;"Yes"),"",IFERROR(INDEX(Settings!$C$9:$C$12,MATCH(I2052,Settings!$A$9:$A$12,0)),"")))</f>
        <v/>
      </c>
      <c r="K2052" s="27" t="str">
        <f aca="false">IF(J2052="","",COUNTIF($I$2:I2052,I2052))</f>
        <v/>
      </c>
      <c r="L2052" s="27" t="str">
        <f aca="false">IF(J2052="","",CHOOSE(Q2052+1,"Tue","Wed","Thu","Fri"))</f>
        <v/>
      </c>
      <c r="M2052" s="27" t="str">
        <f aca="false">IF(J2052="","",IF(J2052=1,"Every week",R2052+1&amp;" of "&amp;J2052))</f>
        <v/>
      </c>
      <c r="N2052" s="28" t="str">
        <f aca="false">IF(J2052="","",Settings!$B$4+R2052*7+Q2052)</f>
        <v/>
      </c>
      <c r="O2052" s="28" t="str">
        <f aca="true">IF(J2052="","",N2052+MAX(0,ROUNDUP((TODAY()-N2052)/(J2052*7),0))*J2052*7)</f>
        <v/>
      </c>
      <c r="P2052" s="27" t="str">
        <f aca="false">IF(J2052="","",MOD(K2052-1,J2052*4))</f>
        <v/>
      </c>
      <c r="Q2052" s="27" t="str">
        <f aca="false">IF(J2052="","",MOD(P2052,4))</f>
        <v/>
      </c>
      <c r="R2052" s="27" t="str">
        <f aca="false">IF(J2052="","",INT(P2052/4))</f>
        <v/>
      </c>
      <c r="S2052" s="27" t="str">
        <f aca="false">IF(J2052="","",IF(AND('Daily Count Sheet'!$H$3=Q2052,MOD('Daily Count Sheet'!$I$3,J2052)=R2052),1,""))</f>
        <v/>
      </c>
      <c r="T2052" s="27" t="str">
        <f aca="false">IF(S2052=1,COUNTIF($S$2:S2052,1),"")</f>
        <v/>
      </c>
    </row>
    <row r="2053" customFormat="false" ht="15" hidden="false" customHeight="false" outlineLevel="0" collapsed="false">
      <c r="H2053" s="26"/>
      <c r="I2053" s="27" t="str">
        <f aca="false">IF(A2053="","",IF(H2053&lt;&gt;"",UPPER(TRIM(H2053)),IFERROR(CHOOSE(VALUE(E2053)+1,"A","B","C","D"),IF(OR(LEFT(UPPER(TRIM(E2053)),1)="F",UPPER(TRIM(E2053))="A"),"A",IF(OR(LEFT(UPPER(TRIM(E2053)),1)="M",UPPER(TRIM(E2053))="B"),"B",IF(OR(LEFT(UPPER(TRIM(E2053)),2)="SL",UPPER(TRIM(E2053))="C"),"C",IF(OR(LEFT(UPPER(TRIM(E2053)),1)="D",UPPER(TRIM(E2053))="D"),"D","")))))))</f>
        <v/>
      </c>
      <c r="J2053" s="27" t="str">
        <f aca="false">IF(I2053="","",IF(AND(I2053="D",Settings!$B$6&lt;&gt;"Yes"),"",IFERROR(INDEX(Settings!$C$9:$C$12,MATCH(I2053,Settings!$A$9:$A$12,0)),"")))</f>
        <v/>
      </c>
      <c r="K2053" s="27" t="str">
        <f aca="false">IF(J2053="","",COUNTIF($I$2:I2053,I2053))</f>
        <v/>
      </c>
      <c r="L2053" s="27" t="str">
        <f aca="false">IF(J2053="","",CHOOSE(Q2053+1,"Tue","Wed","Thu","Fri"))</f>
        <v/>
      </c>
      <c r="M2053" s="27" t="str">
        <f aca="false">IF(J2053="","",IF(J2053=1,"Every week",R2053+1&amp;" of "&amp;J2053))</f>
        <v/>
      </c>
      <c r="N2053" s="28" t="str">
        <f aca="false">IF(J2053="","",Settings!$B$4+R2053*7+Q2053)</f>
        <v/>
      </c>
      <c r="O2053" s="28" t="str">
        <f aca="true">IF(J2053="","",N2053+MAX(0,ROUNDUP((TODAY()-N2053)/(J2053*7),0))*J2053*7)</f>
        <v/>
      </c>
      <c r="P2053" s="27" t="str">
        <f aca="false">IF(J2053="","",MOD(K2053-1,J2053*4))</f>
        <v/>
      </c>
      <c r="Q2053" s="27" t="str">
        <f aca="false">IF(J2053="","",MOD(P2053,4))</f>
        <v/>
      </c>
      <c r="R2053" s="27" t="str">
        <f aca="false">IF(J2053="","",INT(P2053/4))</f>
        <v/>
      </c>
      <c r="S2053" s="27" t="str">
        <f aca="false">IF(J2053="","",IF(AND('Daily Count Sheet'!$H$3=Q2053,MOD('Daily Count Sheet'!$I$3,J2053)=R2053),1,""))</f>
        <v/>
      </c>
      <c r="T2053" s="27" t="str">
        <f aca="false">IF(S2053=1,COUNTIF($S$2:S2053,1),"")</f>
        <v/>
      </c>
    </row>
    <row r="2054" customFormat="false" ht="15" hidden="false" customHeight="false" outlineLevel="0" collapsed="false">
      <c r="H2054" s="26"/>
      <c r="I2054" s="27" t="str">
        <f aca="false">IF(A2054="","",IF(H2054&lt;&gt;"",UPPER(TRIM(H2054)),IFERROR(CHOOSE(VALUE(E2054)+1,"A","B","C","D"),IF(OR(LEFT(UPPER(TRIM(E2054)),1)="F",UPPER(TRIM(E2054))="A"),"A",IF(OR(LEFT(UPPER(TRIM(E2054)),1)="M",UPPER(TRIM(E2054))="B"),"B",IF(OR(LEFT(UPPER(TRIM(E2054)),2)="SL",UPPER(TRIM(E2054))="C"),"C",IF(OR(LEFT(UPPER(TRIM(E2054)),1)="D",UPPER(TRIM(E2054))="D"),"D","")))))))</f>
        <v/>
      </c>
      <c r="J2054" s="27" t="str">
        <f aca="false">IF(I2054="","",IF(AND(I2054="D",Settings!$B$6&lt;&gt;"Yes"),"",IFERROR(INDEX(Settings!$C$9:$C$12,MATCH(I2054,Settings!$A$9:$A$12,0)),"")))</f>
        <v/>
      </c>
      <c r="K2054" s="27" t="str">
        <f aca="false">IF(J2054="","",COUNTIF($I$2:I2054,I2054))</f>
        <v/>
      </c>
      <c r="L2054" s="27" t="str">
        <f aca="false">IF(J2054="","",CHOOSE(Q2054+1,"Tue","Wed","Thu","Fri"))</f>
        <v/>
      </c>
      <c r="M2054" s="27" t="str">
        <f aca="false">IF(J2054="","",IF(J2054=1,"Every week",R2054+1&amp;" of "&amp;J2054))</f>
        <v/>
      </c>
      <c r="N2054" s="28" t="str">
        <f aca="false">IF(J2054="","",Settings!$B$4+R2054*7+Q2054)</f>
        <v/>
      </c>
      <c r="O2054" s="28" t="str">
        <f aca="true">IF(J2054="","",N2054+MAX(0,ROUNDUP((TODAY()-N2054)/(J2054*7),0))*J2054*7)</f>
        <v/>
      </c>
      <c r="P2054" s="27" t="str">
        <f aca="false">IF(J2054="","",MOD(K2054-1,J2054*4))</f>
        <v/>
      </c>
      <c r="Q2054" s="27" t="str">
        <f aca="false">IF(J2054="","",MOD(P2054,4))</f>
        <v/>
      </c>
      <c r="R2054" s="27" t="str">
        <f aca="false">IF(J2054="","",INT(P2054/4))</f>
        <v/>
      </c>
      <c r="S2054" s="27" t="str">
        <f aca="false">IF(J2054="","",IF(AND('Daily Count Sheet'!$H$3=Q2054,MOD('Daily Count Sheet'!$I$3,J2054)=R2054),1,""))</f>
        <v/>
      </c>
      <c r="T2054" s="27" t="str">
        <f aca="false">IF(S2054=1,COUNTIF($S$2:S2054,1),"")</f>
        <v/>
      </c>
    </row>
    <row r="2055" customFormat="false" ht="15" hidden="false" customHeight="false" outlineLevel="0" collapsed="false">
      <c r="H2055" s="26"/>
      <c r="I2055" s="27" t="str">
        <f aca="false">IF(A2055="","",IF(H2055&lt;&gt;"",UPPER(TRIM(H2055)),IFERROR(CHOOSE(VALUE(E2055)+1,"A","B","C","D"),IF(OR(LEFT(UPPER(TRIM(E2055)),1)="F",UPPER(TRIM(E2055))="A"),"A",IF(OR(LEFT(UPPER(TRIM(E2055)),1)="M",UPPER(TRIM(E2055))="B"),"B",IF(OR(LEFT(UPPER(TRIM(E2055)),2)="SL",UPPER(TRIM(E2055))="C"),"C",IF(OR(LEFT(UPPER(TRIM(E2055)),1)="D",UPPER(TRIM(E2055))="D"),"D","")))))))</f>
        <v/>
      </c>
      <c r="J2055" s="27" t="str">
        <f aca="false">IF(I2055="","",IF(AND(I2055="D",Settings!$B$6&lt;&gt;"Yes"),"",IFERROR(INDEX(Settings!$C$9:$C$12,MATCH(I2055,Settings!$A$9:$A$12,0)),"")))</f>
        <v/>
      </c>
      <c r="K2055" s="27" t="str">
        <f aca="false">IF(J2055="","",COUNTIF($I$2:I2055,I2055))</f>
        <v/>
      </c>
      <c r="L2055" s="27" t="str">
        <f aca="false">IF(J2055="","",CHOOSE(Q2055+1,"Tue","Wed","Thu","Fri"))</f>
        <v/>
      </c>
      <c r="M2055" s="27" t="str">
        <f aca="false">IF(J2055="","",IF(J2055=1,"Every week",R2055+1&amp;" of "&amp;J2055))</f>
        <v/>
      </c>
      <c r="N2055" s="28" t="str">
        <f aca="false">IF(J2055="","",Settings!$B$4+R2055*7+Q2055)</f>
        <v/>
      </c>
      <c r="O2055" s="28" t="str">
        <f aca="true">IF(J2055="","",N2055+MAX(0,ROUNDUP((TODAY()-N2055)/(J2055*7),0))*J2055*7)</f>
        <v/>
      </c>
      <c r="P2055" s="27" t="str">
        <f aca="false">IF(J2055="","",MOD(K2055-1,J2055*4))</f>
        <v/>
      </c>
      <c r="Q2055" s="27" t="str">
        <f aca="false">IF(J2055="","",MOD(P2055,4))</f>
        <v/>
      </c>
      <c r="R2055" s="27" t="str">
        <f aca="false">IF(J2055="","",INT(P2055/4))</f>
        <v/>
      </c>
      <c r="S2055" s="27" t="str">
        <f aca="false">IF(J2055="","",IF(AND('Daily Count Sheet'!$H$3=Q2055,MOD('Daily Count Sheet'!$I$3,J2055)=R2055),1,""))</f>
        <v/>
      </c>
      <c r="T2055" s="27" t="str">
        <f aca="false">IF(S2055=1,COUNTIF($S$2:S2055,1),"")</f>
        <v/>
      </c>
    </row>
    <row r="2056" customFormat="false" ht="15" hidden="false" customHeight="false" outlineLevel="0" collapsed="false">
      <c r="H2056" s="26"/>
      <c r="I2056" s="27" t="str">
        <f aca="false">IF(A2056="","",IF(H2056&lt;&gt;"",UPPER(TRIM(H2056)),IFERROR(CHOOSE(VALUE(E2056)+1,"A","B","C","D"),IF(OR(LEFT(UPPER(TRIM(E2056)),1)="F",UPPER(TRIM(E2056))="A"),"A",IF(OR(LEFT(UPPER(TRIM(E2056)),1)="M",UPPER(TRIM(E2056))="B"),"B",IF(OR(LEFT(UPPER(TRIM(E2056)),2)="SL",UPPER(TRIM(E2056))="C"),"C",IF(OR(LEFT(UPPER(TRIM(E2056)),1)="D",UPPER(TRIM(E2056))="D"),"D","")))))))</f>
        <v/>
      </c>
      <c r="J2056" s="27" t="str">
        <f aca="false">IF(I2056="","",IF(AND(I2056="D",Settings!$B$6&lt;&gt;"Yes"),"",IFERROR(INDEX(Settings!$C$9:$C$12,MATCH(I2056,Settings!$A$9:$A$12,0)),"")))</f>
        <v/>
      </c>
      <c r="K2056" s="27" t="str">
        <f aca="false">IF(J2056="","",COUNTIF($I$2:I2056,I2056))</f>
        <v/>
      </c>
      <c r="L2056" s="27" t="str">
        <f aca="false">IF(J2056="","",CHOOSE(Q2056+1,"Tue","Wed","Thu","Fri"))</f>
        <v/>
      </c>
      <c r="M2056" s="27" t="str">
        <f aca="false">IF(J2056="","",IF(J2056=1,"Every week",R2056+1&amp;" of "&amp;J2056))</f>
        <v/>
      </c>
      <c r="N2056" s="28" t="str">
        <f aca="false">IF(J2056="","",Settings!$B$4+R2056*7+Q2056)</f>
        <v/>
      </c>
      <c r="O2056" s="28" t="str">
        <f aca="true">IF(J2056="","",N2056+MAX(0,ROUNDUP((TODAY()-N2056)/(J2056*7),0))*J2056*7)</f>
        <v/>
      </c>
      <c r="P2056" s="27" t="str">
        <f aca="false">IF(J2056="","",MOD(K2056-1,J2056*4))</f>
        <v/>
      </c>
      <c r="Q2056" s="27" t="str">
        <f aca="false">IF(J2056="","",MOD(P2056,4))</f>
        <v/>
      </c>
      <c r="R2056" s="27" t="str">
        <f aca="false">IF(J2056="","",INT(P2056/4))</f>
        <v/>
      </c>
      <c r="S2056" s="27" t="str">
        <f aca="false">IF(J2056="","",IF(AND('Daily Count Sheet'!$H$3=Q2056,MOD('Daily Count Sheet'!$I$3,J2056)=R2056),1,""))</f>
        <v/>
      </c>
      <c r="T2056" s="27" t="str">
        <f aca="false">IF(S2056=1,COUNTIF($S$2:S2056,1),"")</f>
        <v/>
      </c>
    </row>
    <row r="2057" customFormat="false" ht="15" hidden="false" customHeight="false" outlineLevel="0" collapsed="false">
      <c r="H2057" s="26"/>
      <c r="I2057" s="27" t="str">
        <f aca="false">IF(A2057="","",IF(H2057&lt;&gt;"",UPPER(TRIM(H2057)),IFERROR(CHOOSE(VALUE(E2057)+1,"A","B","C","D"),IF(OR(LEFT(UPPER(TRIM(E2057)),1)="F",UPPER(TRIM(E2057))="A"),"A",IF(OR(LEFT(UPPER(TRIM(E2057)),1)="M",UPPER(TRIM(E2057))="B"),"B",IF(OR(LEFT(UPPER(TRIM(E2057)),2)="SL",UPPER(TRIM(E2057))="C"),"C",IF(OR(LEFT(UPPER(TRIM(E2057)),1)="D",UPPER(TRIM(E2057))="D"),"D","")))))))</f>
        <v/>
      </c>
      <c r="J2057" s="27" t="str">
        <f aca="false">IF(I2057="","",IF(AND(I2057="D",Settings!$B$6&lt;&gt;"Yes"),"",IFERROR(INDEX(Settings!$C$9:$C$12,MATCH(I2057,Settings!$A$9:$A$12,0)),"")))</f>
        <v/>
      </c>
      <c r="K2057" s="27" t="str">
        <f aca="false">IF(J2057="","",COUNTIF($I$2:I2057,I2057))</f>
        <v/>
      </c>
      <c r="L2057" s="27" t="str">
        <f aca="false">IF(J2057="","",CHOOSE(Q2057+1,"Tue","Wed","Thu","Fri"))</f>
        <v/>
      </c>
      <c r="M2057" s="27" t="str">
        <f aca="false">IF(J2057="","",IF(J2057=1,"Every week",R2057+1&amp;" of "&amp;J2057))</f>
        <v/>
      </c>
      <c r="N2057" s="28" t="str">
        <f aca="false">IF(J2057="","",Settings!$B$4+R2057*7+Q2057)</f>
        <v/>
      </c>
      <c r="O2057" s="28" t="str">
        <f aca="true">IF(J2057="","",N2057+MAX(0,ROUNDUP((TODAY()-N2057)/(J2057*7),0))*J2057*7)</f>
        <v/>
      </c>
      <c r="P2057" s="27" t="str">
        <f aca="false">IF(J2057="","",MOD(K2057-1,J2057*4))</f>
        <v/>
      </c>
      <c r="Q2057" s="27" t="str">
        <f aca="false">IF(J2057="","",MOD(P2057,4))</f>
        <v/>
      </c>
      <c r="R2057" s="27" t="str">
        <f aca="false">IF(J2057="","",INT(P2057/4))</f>
        <v/>
      </c>
      <c r="S2057" s="27" t="str">
        <f aca="false">IF(J2057="","",IF(AND('Daily Count Sheet'!$H$3=Q2057,MOD('Daily Count Sheet'!$I$3,J2057)=R2057),1,""))</f>
        <v/>
      </c>
      <c r="T2057" s="27" t="str">
        <f aca="false">IF(S2057=1,COUNTIF($S$2:S2057,1),"")</f>
        <v/>
      </c>
    </row>
    <row r="2058" customFormat="false" ht="15" hidden="false" customHeight="false" outlineLevel="0" collapsed="false">
      <c r="H2058" s="26"/>
      <c r="I2058" s="27" t="str">
        <f aca="false">IF(A2058="","",IF(H2058&lt;&gt;"",UPPER(TRIM(H2058)),IFERROR(CHOOSE(VALUE(E2058)+1,"A","B","C","D"),IF(OR(LEFT(UPPER(TRIM(E2058)),1)="F",UPPER(TRIM(E2058))="A"),"A",IF(OR(LEFT(UPPER(TRIM(E2058)),1)="M",UPPER(TRIM(E2058))="B"),"B",IF(OR(LEFT(UPPER(TRIM(E2058)),2)="SL",UPPER(TRIM(E2058))="C"),"C",IF(OR(LEFT(UPPER(TRIM(E2058)),1)="D",UPPER(TRIM(E2058))="D"),"D","")))))))</f>
        <v/>
      </c>
      <c r="J2058" s="27" t="str">
        <f aca="false">IF(I2058="","",IF(AND(I2058="D",Settings!$B$6&lt;&gt;"Yes"),"",IFERROR(INDEX(Settings!$C$9:$C$12,MATCH(I2058,Settings!$A$9:$A$12,0)),"")))</f>
        <v/>
      </c>
      <c r="K2058" s="27" t="str">
        <f aca="false">IF(J2058="","",COUNTIF($I$2:I2058,I2058))</f>
        <v/>
      </c>
      <c r="L2058" s="27" t="str">
        <f aca="false">IF(J2058="","",CHOOSE(Q2058+1,"Tue","Wed","Thu","Fri"))</f>
        <v/>
      </c>
      <c r="M2058" s="27" t="str">
        <f aca="false">IF(J2058="","",IF(J2058=1,"Every week",R2058+1&amp;" of "&amp;J2058))</f>
        <v/>
      </c>
      <c r="N2058" s="28" t="str">
        <f aca="false">IF(J2058="","",Settings!$B$4+R2058*7+Q2058)</f>
        <v/>
      </c>
      <c r="O2058" s="28" t="str">
        <f aca="true">IF(J2058="","",N2058+MAX(0,ROUNDUP((TODAY()-N2058)/(J2058*7),0))*J2058*7)</f>
        <v/>
      </c>
      <c r="P2058" s="27" t="str">
        <f aca="false">IF(J2058="","",MOD(K2058-1,J2058*4))</f>
        <v/>
      </c>
      <c r="Q2058" s="27" t="str">
        <f aca="false">IF(J2058="","",MOD(P2058,4))</f>
        <v/>
      </c>
      <c r="R2058" s="27" t="str">
        <f aca="false">IF(J2058="","",INT(P2058/4))</f>
        <v/>
      </c>
      <c r="S2058" s="27" t="str">
        <f aca="false">IF(J2058="","",IF(AND('Daily Count Sheet'!$H$3=Q2058,MOD('Daily Count Sheet'!$I$3,J2058)=R2058),1,""))</f>
        <v/>
      </c>
      <c r="T2058" s="27" t="str">
        <f aca="false">IF(S2058=1,COUNTIF($S$2:S2058,1),"")</f>
        <v/>
      </c>
    </row>
    <row r="2059" customFormat="false" ht="15" hidden="false" customHeight="false" outlineLevel="0" collapsed="false">
      <c r="H2059" s="26"/>
      <c r="I2059" s="27" t="str">
        <f aca="false">IF(A2059="","",IF(H2059&lt;&gt;"",UPPER(TRIM(H2059)),IFERROR(CHOOSE(VALUE(E2059)+1,"A","B","C","D"),IF(OR(LEFT(UPPER(TRIM(E2059)),1)="F",UPPER(TRIM(E2059))="A"),"A",IF(OR(LEFT(UPPER(TRIM(E2059)),1)="M",UPPER(TRIM(E2059))="B"),"B",IF(OR(LEFT(UPPER(TRIM(E2059)),2)="SL",UPPER(TRIM(E2059))="C"),"C",IF(OR(LEFT(UPPER(TRIM(E2059)),1)="D",UPPER(TRIM(E2059))="D"),"D","")))))))</f>
        <v/>
      </c>
      <c r="J2059" s="27" t="str">
        <f aca="false">IF(I2059="","",IF(AND(I2059="D",Settings!$B$6&lt;&gt;"Yes"),"",IFERROR(INDEX(Settings!$C$9:$C$12,MATCH(I2059,Settings!$A$9:$A$12,0)),"")))</f>
        <v/>
      </c>
      <c r="K2059" s="27" t="str">
        <f aca="false">IF(J2059="","",COUNTIF($I$2:I2059,I2059))</f>
        <v/>
      </c>
      <c r="L2059" s="27" t="str">
        <f aca="false">IF(J2059="","",CHOOSE(Q2059+1,"Tue","Wed","Thu","Fri"))</f>
        <v/>
      </c>
      <c r="M2059" s="27" t="str">
        <f aca="false">IF(J2059="","",IF(J2059=1,"Every week",R2059+1&amp;" of "&amp;J2059))</f>
        <v/>
      </c>
      <c r="N2059" s="28" t="str">
        <f aca="false">IF(J2059="","",Settings!$B$4+R2059*7+Q2059)</f>
        <v/>
      </c>
      <c r="O2059" s="28" t="str">
        <f aca="true">IF(J2059="","",N2059+MAX(0,ROUNDUP((TODAY()-N2059)/(J2059*7),0))*J2059*7)</f>
        <v/>
      </c>
      <c r="P2059" s="27" t="str">
        <f aca="false">IF(J2059="","",MOD(K2059-1,J2059*4))</f>
        <v/>
      </c>
      <c r="Q2059" s="27" t="str">
        <f aca="false">IF(J2059="","",MOD(P2059,4))</f>
        <v/>
      </c>
      <c r="R2059" s="27" t="str">
        <f aca="false">IF(J2059="","",INT(P2059/4))</f>
        <v/>
      </c>
      <c r="S2059" s="27" t="str">
        <f aca="false">IF(J2059="","",IF(AND('Daily Count Sheet'!$H$3=Q2059,MOD('Daily Count Sheet'!$I$3,J2059)=R2059),1,""))</f>
        <v/>
      </c>
      <c r="T2059" s="27" t="str">
        <f aca="false">IF(S2059=1,COUNTIF($S$2:S2059,1),"")</f>
        <v/>
      </c>
    </row>
    <row r="2060" customFormat="false" ht="15" hidden="false" customHeight="false" outlineLevel="0" collapsed="false">
      <c r="H2060" s="26"/>
      <c r="I2060" s="27" t="str">
        <f aca="false">IF(A2060="","",IF(H2060&lt;&gt;"",UPPER(TRIM(H2060)),IFERROR(CHOOSE(VALUE(E2060)+1,"A","B","C","D"),IF(OR(LEFT(UPPER(TRIM(E2060)),1)="F",UPPER(TRIM(E2060))="A"),"A",IF(OR(LEFT(UPPER(TRIM(E2060)),1)="M",UPPER(TRIM(E2060))="B"),"B",IF(OR(LEFT(UPPER(TRIM(E2060)),2)="SL",UPPER(TRIM(E2060))="C"),"C",IF(OR(LEFT(UPPER(TRIM(E2060)),1)="D",UPPER(TRIM(E2060))="D"),"D","")))))))</f>
        <v/>
      </c>
      <c r="J2060" s="27" t="str">
        <f aca="false">IF(I2060="","",IF(AND(I2060="D",Settings!$B$6&lt;&gt;"Yes"),"",IFERROR(INDEX(Settings!$C$9:$C$12,MATCH(I2060,Settings!$A$9:$A$12,0)),"")))</f>
        <v/>
      </c>
      <c r="K2060" s="27" t="str">
        <f aca="false">IF(J2060="","",COUNTIF($I$2:I2060,I2060))</f>
        <v/>
      </c>
      <c r="L2060" s="27" t="str">
        <f aca="false">IF(J2060="","",CHOOSE(Q2060+1,"Tue","Wed","Thu","Fri"))</f>
        <v/>
      </c>
      <c r="M2060" s="27" t="str">
        <f aca="false">IF(J2060="","",IF(J2060=1,"Every week",R2060+1&amp;" of "&amp;J2060))</f>
        <v/>
      </c>
      <c r="N2060" s="28" t="str">
        <f aca="false">IF(J2060="","",Settings!$B$4+R2060*7+Q2060)</f>
        <v/>
      </c>
      <c r="O2060" s="28" t="str">
        <f aca="true">IF(J2060="","",N2060+MAX(0,ROUNDUP((TODAY()-N2060)/(J2060*7),0))*J2060*7)</f>
        <v/>
      </c>
      <c r="P2060" s="27" t="str">
        <f aca="false">IF(J2060="","",MOD(K2060-1,J2060*4))</f>
        <v/>
      </c>
      <c r="Q2060" s="27" t="str">
        <f aca="false">IF(J2060="","",MOD(P2060,4))</f>
        <v/>
      </c>
      <c r="R2060" s="27" t="str">
        <f aca="false">IF(J2060="","",INT(P2060/4))</f>
        <v/>
      </c>
      <c r="S2060" s="27" t="str">
        <f aca="false">IF(J2060="","",IF(AND('Daily Count Sheet'!$H$3=Q2060,MOD('Daily Count Sheet'!$I$3,J2060)=R2060),1,""))</f>
        <v/>
      </c>
      <c r="T2060" s="27" t="str">
        <f aca="false">IF(S2060=1,COUNTIF($S$2:S2060,1),"")</f>
        <v/>
      </c>
    </row>
    <row r="2061" customFormat="false" ht="15" hidden="false" customHeight="false" outlineLevel="0" collapsed="false">
      <c r="H2061" s="26"/>
      <c r="I2061" s="27" t="str">
        <f aca="false">IF(A2061="","",IF(H2061&lt;&gt;"",UPPER(TRIM(H2061)),IFERROR(CHOOSE(VALUE(E2061)+1,"A","B","C","D"),IF(OR(LEFT(UPPER(TRIM(E2061)),1)="F",UPPER(TRIM(E2061))="A"),"A",IF(OR(LEFT(UPPER(TRIM(E2061)),1)="M",UPPER(TRIM(E2061))="B"),"B",IF(OR(LEFT(UPPER(TRIM(E2061)),2)="SL",UPPER(TRIM(E2061))="C"),"C",IF(OR(LEFT(UPPER(TRIM(E2061)),1)="D",UPPER(TRIM(E2061))="D"),"D","")))))))</f>
        <v/>
      </c>
      <c r="J2061" s="27" t="str">
        <f aca="false">IF(I2061="","",IF(AND(I2061="D",Settings!$B$6&lt;&gt;"Yes"),"",IFERROR(INDEX(Settings!$C$9:$C$12,MATCH(I2061,Settings!$A$9:$A$12,0)),"")))</f>
        <v/>
      </c>
      <c r="K2061" s="27" t="str">
        <f aca="false">IF(J2061="","",COUNTIF($I$2:I2061,I2061))</f>
        <v/>
      </c>
      <c r="L2061" s="27" t="str">
        <f aca="false">IF(J2061="","",CHOOSE(Q2061+1,"Tue","Wed","Thu","Fri"))</f>
        <v/>
      </c>
      <c r="M2061" s="27" t="str">
        <f aca="false">IF(J2061="","",IF(J2061=1,"Every week",R2061+1&amp;" of "&amp;J2061))</f>
        <v/>
      </c>
      <c r="N2061" s="28" t="str">
        <f aca="false">IF(J2061="","",Settings!$B$4+R2061*7+Q2061)</f>
        <v/>
      </c>
      <c r="O2061" s="28" t="str">
        <f aca="true">IF(J2061="","",N2061+MAX(0,ROUNDUP((TODAY()-N2061)/(J2061*7),0))*J2061*7)</f>
        <v/>
      </c>
      <c r="P2061" s="27" t="str">
        <f aca="false">IF(J2061="","",MOD(K2061-1,J2061*4))</f>
        <v/>
      </c>
      <c r="Q2061" s="27" t="str">
        <f aca="false">IF(J2061="","",MOD(P2061,4))</f>
        <v/>
      </c>
      <c r="R2061" s="27" t="str">
        <f aca="false">IF(J2061="","",INT(P2061/4))</f>
        <v/>
      </c>
      <c r="S2061" s="27" t="str">
        <f aca="false">IF(J2061="","",IF(AND('Daily Count Sheet'!$H$3=Q2061,MOD('Daily Count Sheet'!$I$3,J2061)=R2061),1,""))</f>
        <v/>
      </c>
      <c r="T2061" s="27" t="str">
        <f aca="false">IF(S2061=1,COUNTIF($S$2:S2061,1),"")</f>
        <v/>
      </c>
    </row>
    <row r="2062" customFormat="false" ht="15" hidden="false" customHeight="false" outlineLevel="0" collapsed="false">
      <c r="H2062" s="26"/>
      <c r="I2062" s="27" t="str">
        <f aca="false">IF(A2062="","",IF(H2062&lt;&gt;"",UPPER(TRIM(H2062)),IFERROR(CHOOSE(VALUE(E2062)+1,"A","B","C","D"),IF(OR(LEFT(UPPER(TRIM(E2062)),1)="F",UPPER(TRIM(E2062))="A"),"A",IF(OR(LEFT(UPPER(TRIM(E2062)),1)="M",UPPER(TRIM(E2062))="B"),"B",IF(OR(LEFT(UPPER(TRIM(E2062)),2)="SL",UPPER(TRIM(E2062))="C"),"C",IF(OR(LEFT(UPPER(TRIM(E2062)),1)="D",UPPER(TRIM(E2062))="D"),"D","")))))))</f>
        <v/>
      </c>
      <c r="J2062" s="27" t="str">
        <f aca="false">IF(I2062="","",IF(AND(I2062="D",Settings!$B$6&lt;&gt;"Yes"),"",IFERROR(INDEX(Settings!$C$9:$C$12,MATCH(I2062,Settings!$A$9:$A$12,0)),"")))</f>
        <v/>
      </c>
      <c r="K2062" s="27" t="str">
        <f aca="false">IF(J2062="","",COUNTIF($I$2:I2062,I2062))</f>
        <v/>
      </c>
      <c r="L2062" s="27" t="str">
        <f aca="false">IF(J2062="","",CHOOSE(Q2062+1,"Tue","Wed","Thu","Fri"))</f>
        <v/>
      </c>
      <c r="M2062" s="27" t="str">
        <f aca="false">IF(J2062="","",IF(J2062=1,"Every week",R2062+1&amp;" of "&amp;J2062))</f>
        <v/>
      </c>
      <c r="N2062" s="28" t="str">
        <f aca="false">IF(J2062="","",Settings!$B$4+R2062*7+Q2062)</f>
        <v/>
      </c>
      <c r="O2062" s="28" t="str">
        <f aca="true">IF(J2062="","",N2062+MAX(0,ROUNDUP((TODAY()-N2062)/(J2062*7),0))*J2062*7)</f>
        <v/>
      </c>
      <c r="P2062" s="27" t="str">
        <f aca="false">IF(J2062="","",MOD(K2062-1,J2062*4))</f>
        <v/>
      </c>
      <c r="Q2062" s="27" t="str">
        <f aca="false">IF(J2062="","",MOD(P2062,4))</f>
        <v/>
      </c>
      <c r="R2062" s="27" t="str">
        <f aca="false">IF(J2062="","",INT(P2062/4))</f>
        <v/>
      </c>
      <c r="S2062" s="27" t="str">
        <f aca="false">IF(J2062="","",IF(AND('Daily Count Sheet'!$H$3=Q2062,MOD('Daily Count Sheet'!$I$3,J2062)=R2062),1,""))</f>
        <v/>
      </c>
      <c r="T2062" s="27" t="str">
        <f aca="false">IF(S2062=1,COUNTIF($S$2:S2062,1),"")</f>
        <v/>
      </c>
    </row>
    <row r="2063" customFormat="false" ht="15" hidden="false" customHeight="false" outlineLevel="0" collapsed="false">
      <c r="H2063" s="26"/>
      <c r="I2063" s="27" t="str">
        <f aca="false">IF(A2063="","",IF(H2063&lt;&gt;"",UPPER(TRIM(H2063)),IFERROR(CHOOSE(VALUE(E2063)+1,"A","B","C","D"),IF(OR(LEFT(UPPER(TRIM(E2063)),1)="F",UPPER(TRIM(E2063))="A"),"A",IF(OR(LEFT(UPPER(TRIM(E2063)),1)="M",UPPER(TRIM(E2063))="B"),"B",IF(OR(LEFT(UPPER(TRIM(E2063)),2)="SL",UPPER(TRIM(E2063))="C"),"C",IF(OR(LEFT(UPPER(TRIM(E2063)),1)="D",UPPER(TRIM(E2063))="D"),"D","")))))))</f>
        <v/>
      </c>
      <c r="J2063" s="27" t="str">
        <f aca="false">IF(I2063="","",IF(AND(I2063="D",Settings!$B$6&lt;&gt;"Yes"),"",IFERROR(INDEX(Settings!$C$9:$C$12,MATCH(I2063,Settings!$A$9:$A$12,0)),"")))</f>
        <v/>
      </c>
      <c r="K2063" s="27" t="str">
        <f aca="false">IF(J2063="","",COUNTIF($I$2:I2063,I2063))</f>
        <v/>
      </c>
      <c r="L2063" s="27" t="str">
        <f aca="false">IF(J2063="","",CHOOSE(Q2063+1,"Tue","Wed","Thu","Fri"))</f>
        <v/>
      </c>
      <c r="M2063" s="27" t="str">
        <f aca="false">IF(J2063="","",IF(J2063=1,"Every week",R2063+1&amp;" of "&amp;J2063))</f>
        <v/>
      </c>
      <c r="N2063" s="28" t="str">
        <f aca="false">IF(J2063="","",Settings!$B$4+R2063*7+Q2063)</f>
        <v/>
      </c>
      <c r="O2063" s="28" t="str">
        <f aca="true">IF(J2063="","",N2063+MAX(0,ROUNDUP((TODAY()-N2063)/(J2063*7),0))*J2063*7)</f>
        <v/>
      </c>
      <c r="P2063" s="27" t="str">
        <f aca="false">IF(J2063="","",MOD(K2063-1,J2063*4))</f>
        <v/>
      </c>
      <c r="Q2063" s="27" t="str">
        <f aca="false">IF(J2063="","",MOD(P2063,4))</f>
        <v/>
      </c>
      <c r="R2063" s="27" t="str">
        <f aca="false">IF(J2063="","",INT(P2063/4))</f>
        <v/>
      </c>
      <c r="S2063" s="27" t="str">
        <f aca="false">IF(J2063="","",IF(AND('Daily Count Sheet'!$H$3=Q2063,MOD('Daily Count Sheet'!$I$3,J2063)=R2063),1,""))</f>
        <v/>
      </c>
      <c r="T2063" s="27" t="str">
        <f aca="false">IF(S2063=1,COUNTIF($S$2:S2063,1),"")</f>
        <v/>
      </c>
    </row>
    <row r="2064" customFormat="false" ht="15" hidden="false" customHeight="false" outlineLevel="0" collapsed="false">
      <c r="H2064" s="26"/>
      <c r="I2064" s="27" t="str">
        <f aca="false">IF(A2064="","",IF(H2064&lt;&gt;"",UPPER(TRIM(H2064)),IFERROR(CHOOSE(VALUE(E2064)+1,"A","B","C","D"),IF(OR(LEFT(UPPER(TRIM(E2064)),1)="F",UPPER(TRIM(E2064))="A"),"A",IF(OR(LEFT(UPPER(TRIM(E2064)),1)="M",UPPER(TRIM(E2064))="B"),"B",IF(OR(LEFT(UPPER(TRIM(E2064)),2)="SL",UPPER(TRIM(E2064))="C"),"C",IF(OR(LEFT(UPPER(TRIM(E2064)),1)="D",UPPER(TRIM(E2064))="D"),"D","")))))))</f>
        <v/>
      </c>
      <c r="J2064" s="27" t="str">
        <f aca="false">IF(I2064="","",IF(AND(I2064="D",Settings!$B$6&lt;&gt;"Yes"),"",IFERROR(INDEX(Settings!$C$9:$C$12,MATCH(I2064,Settings!$A$9:$A$12,0)),"")))</f>
        <v/>
      </c>
      <c r="K2064" s="27" t="str">
        <f aca="false">IF(J2064="","",COUNTIF($I$2:I2064,I2064))</f>
        <v/>
      </c>
      <c r="L2064" s="27" t="str">
        <f aca="false">IF(J2064="","",CHOOSE(Q2064+1,"Tue","Wed","Thu","Fri"))</f>
        <v/>
      </c>
      <c r="M2064" s="27" t="str">
        <f aca="false">IF(J2064="","",IF(J2064=1,"Every week",R2064+1&amp;" of "&amp;J2064))</f>
        <v/>
      </c>
      <c r="N2064" s="28" t="str">
        <f aca="false">IF(J2064="","",Settings!$B$4+R2064*7+Q2064)</f>
        <v/>
      </c>
      <c r="O2064" s="28" t="str">
        <f aca="true">IF(J2064="","",N2064+MAX(0,ROUNDUP((TODAY()-N2064)/(J2064*7),0))*J2064*7)</f>
        <v/>
      </c>
      <c r="P2064" s="27" t="str">
        <f aca="false">IF(J2064="","",MOD(K2064-1,J2064*4))</f>
        <v/>
      </c>
      <c r="Q2064" s="27" t="str">
        <f aca="false">IF(J2064="","",MOD(P2064,4))</f>
        <v/>
      </c>
      <c r="R2064" s="27" t="str">
        <f aca="false">IF(J2064="","",INT(P2064/4))</f>
        <v/>
      </c>
      <c r="S2064" s="27" t="str">
        <f aca="false">IF(J2064="","",IF(AND('Daily Count Sheet'!$H$3=Q2064,MOD('Daily Count Sheet'!$I$3,J2064)=R2064),1,""))</f>
        <v/>
      </c>
      <c r="T2064" s="27" t="str">
        <f aca="false">IF(S2064=1,COUNTIF($S$2:S2064,1),"")</f>
        <v/>
      </c>
    </row>
    <row r="2065" customFormat="false" ht="15" hidden="false" customHeight="false" outlineLevel="0" collapsed="false">
      <c r="H2065" s="26"/>
      <c r="I2065" s="27" t="str">
        <f aca="false">IF(A2065="","",IF(H2065&lt;&gt;"",UPPER(TRIM(H2065)),IFERROR(CHOOSE(VALUE(E2065)+1,"A","B","C","D"),IF(OR(LEFT(UPPER(TRIM(E2065)),1)="F",UPPER(TRIM(E2065))="A"),"A",IF(OR(LEFT(UPPER(TRIM(E2065)),1)="M",UPPER(TRIM(E2065))="B"),"B",IF(OR(LEFT(UPPER(TRIM(E2065)),2)="SL",UPPER(TRIM(E2065))="C"),"C",IF(OR(LEFT(UPPER(TRIM(E2065)),1)="D",UPPER(TRIM(E2065))="D"),"D","")))))))</f>
        <v/>
      </c>
      <c r="J2065" s="27" t="str">
        <f aca="false">IF(I2065="","",IF(AND(I2065="D",Settings!$B$6&lt;&gt;"Yes"),"",IFERROR(INDEX(Settings!$C$9:$C$12,MATCH(I2065,Settings!$A$9:$A$12,0)),"")))</f>
        <v/>
      </c>
      <c r="K2065" s="27" t="str">
        <f aca="false">IF(J2065="","",COUNTIF($I$2:I2065,I2065))</f>
        <v/>
      </c>
      <c r="L2065" s="27" t="str">
        <f aca="false">IF(J2065="","",CHOOSE(Q2065+1,"Tue","Wed","Thu","Fri"))</f>
        <v/>
      </c>
      <c r="M2065" s="27" t="str">
        <f aca="false">IF(J2065="","",IF(J2065=1,"Every week",R2065+1&amp;" of "&amp;J2065))</f>
        <v/>
      </c>
      <c r="N2065" s="28" t="str">
        <f aca="false">IF(J2065="","",Settings!$B$4+R2065*7+Q2065)</f>
        <v/>
      </c>
      <c r="O2065" s="28" t="str">
        <f aca="true">IF(J2065="","",N2065+MAX(0,ROUNDUP((TODAY()-N2065)/(J2065*7),0))*J2065*7)</f>
        <v/>
      </c>
      <c r="P2065" s="27" t="str">
        <f aca="false">IF(J2065="","",MOD(K2065-1,J2065*4))</f>
        <v/>
      </c>
      <c r="Q2065" s="27" t="str">
        <f aca="false">IF(J2065="","",MOD(P2065,4))</f>
        <v/>
      </c>
      <c r="R2065" s="27" t="str">
        <f aca="false">IF(J2065="","",INT(P2065/4))</f>
        <v/>
      </c>
      <c r="S2065" s="27" t="str">
        <f aca="false">IF(J2065="","",IF(AND('Daily Count Sheet'!$H$3=Q2065,MOD('Daily Count Sheet'!$I$3,J2065)=R2065),1,""))</f>
        <v/>
      </c>
      <c r="T2065" s="27" t="str">
        <f aca="false">IF(S2065=1,COUNTIF($S$2:S2065,1),"")</f>
        <v/>
      </c>
    </row>
    <row r="2066" customFormat="false" ht="15" hidden="false" customHeight="false" outlineLevel="0" collapsed="false">
      <c r="H2066" s="26"/>
      <c r="I2066" s="27" t="str">
        <f aca="false">IF(A2066="","",IF(H2066&lt;&gt;"",UPPER(TRIM(H2066)),IFERROR(CHOOSE(VALUE(E2066)+1,"A","B","C","D"),IF(OR(LEFT(UPPER(TRIM(E2066)),1)="F",UPPER(TRIM(E2066))="A"),"A",IF(OR(LEFT(UPPER(TRIM(E2066)),1)="M",UPPER(TRIM(E2066))="B"),"B",IF(OR(LEFT(UPPER(TRIM(E2066)),2)="SL",UPPER(TRIM(E2066))="C"),"C",IF(OR(LEFT(UPPER(TRIM(E2066)),1)="D",UPPER(TRIM(E2066))="D"),"D","")))))))</f>
        <v/>
      </c>
      <c r="J2066" s="27" t="str">
        <f aca="false">IF(I2066="","",IF(AND(I2066="D",Settings!$B$6&lt;&gt;"Yes"),"",IFERROR(INDEX(Settings!$C$9:$C$12,MATCH(I2066,Settings!$A$9:$A$12,0)),"")))</f>
        <v/>
      </c>
      <c r="K2066" s="27" t="str">
        <f aca="false">IF(J2066="","",COUNTIF($I$2:I2066,I2066))</f>
        <v/>
      </c>
      <c r="L2066" s="27" t="str">
        <f aca="false">IF(J2066="","",CHOOSE(Q2066+1,"Tue","Wed","Thu","Fri"))</f>
        <v/>
      </c>
      <c r="M2066" s="27" t="str">
        <f aca="false">IF(J2066="","",IF(J2066=1,"Every week",R2066+1&amp;" of "&amp;J2066))</f>
        <v/>
      </c>
      <c r="N2066" s="28" t="str">
        <f aca="false">IF(J2066="","",Settings!$B$4+R2066*7+Q2066)</f>
        <v/>
      </c>
      <c r="O2066" s="28" t="str">
        <f aca="true">IF(J2066="","",N2066+MAX(0,ROUNDUP((TODAY()-N2066)/(J2066*7),0))*J2066*7)</f>
        <v/>
      </c>
      <c r="P2066" s="27" t="str">
        <f aca="false">IF(J2066="","",MOD(K2066-1,J2066*4))</f>
        <v/>
      </c>
      <c r="Q2066" s="27" t="str">
        <f aca="false">IF(J2066="","",MOD(P2066,4))</f>
        <v/>
      </c>
      <c r="R2066" s="27" t="str">
        <f aca="false">IF(J2066="","",INT(P2066/4))</f>
        <v/>
      </c>
      <c r="S2066" s="27" t="str">
        <f aca="false">IF(J2066="","",IF(AND('Daily Count Sheet'!$H$3=Q2066,MOD('Daily Count Sheet'!$I$3,J2066)=R2066),1,""))</f>
        <v/>
      </c>
      <c r="T2066" s="27" t="str">
        <f aca="false">IF(S2066=1,COUNTIF($S$2:S2066,1),"")</f>
        <v/>
      </c>
    </row>
    <row r="2067" customFormat="false" ht="15" hidden="false" customHeight="false" outlineLevel="0" collapsed="false">
      <c r="H2067" s="26"/>
      <c r="I2067" s="27" t="str">
        <f aca="false">IF(A2067="","",IF(H2067&lt;&gt;"",UPPER(TRIM(H2067)),IFERROR(CHOOSE(VALUE(E2067)+1,"A","B","C","D"),IF(OR(LEFT(UPPER(TRIM(E2067)),1)="F",UPPER(TRIM(E2067))="A"),"A",IF(OR(LEFT(UPPER(TRIM(E2067)),1)="M",UPPER(TRIM(E2067))="B"),"B",IF(OR(LEFT(UPPER(TRIM(E2067)),2)="SL",UPPER(TRIM(E2067))="C"),"C",IF(OR(LEFT(UPPER(TRIM(E2067)),1)="D",UPPER(TRIM(E2067))="D"),"D","")))))))</f>
        <v/>
      </c>
      <c r="J2067" s="27" t="str">
        <f aca="false">IF(I2067="","",IF(AND(I2067="D",Settings!$B$6&lt;&gt;"Yes"),"",IFERROR(INDEX(Settings!$C$9:$C$12,MATCH(I2067,Settings!$A$9:$A$12,0)),"")))</f>
        <v/>
      </c>
      <c r="K2067" s="27" t="str">
        <f aca="false">IF(J2067="","",COUNTIF($I$2:I2067,I2067))</f>
        <v/>
      </c>
      <c r="L2067" s="27" t="str">
        <f aca="false">IF(J2067="","",CHOOSE(Q2067+1,"Tue","Wed","Thu","Fri"))</f>
        <v/>
      </c>
      <c r="M2067" s="27" t="str">
        <f aca="false">IF(J2067="","",IF(J2067=1,"Every week",R2067+1&amp;" of "&amp;J2067))</f>
        <v/>
      </c>
      <c r="N2067" s="28" t="str">
        <f aca="false">IF(J2067="","",Settings!$B$4+R2067*7+Q2067)</f>
        <v/>
      </c>
      <c r="O2067" s="28" t="str">
        <f aca="true">IF(J2067="","",N2067+MAX(0,ROUNDUP((TODAY()-N2067)/(J2067*7),0))*J2067*7)</f>
        <v/>
      </c>
      <c r="P2067" s="27" t="str">
        <f aca="false">IF(J2067="","",MOD(K2067-1,J2067*4))</f>
        <v/>
      </c>
      <c r="Q2067" s="27" t="str">
        <f aca="false">IF(J2067="","",MOD(P2067,4))</f>
        <v/>
      </c>
      <c r="R2067" s="27" t="str">
        <f aca="false">IF(J2067="","",INT(P2067/4))</f>
        <v/>
      </c>
      <c r="S2067" s="27" t="str">
        <f aca="false">IF(J2067="","",IF(AND('Daily Count Sheet'!$H$3=Q2067,MOD('Daily Count Sheet'!$I$3,J2067)=R2067),1,""))</f>
        <v/>
      </c>
      <c r="T2067" s="27" t="str">
        <f aca="false">IF(S2067=1,COUNTIF($S$2:S2067,1),"")</f>
        <v/>
      </c>
    </row>
    <row r="2068" customFormat="false" ht="15" hidden="false" customHeight="false" outlineLevel="0" collapsed="false">
      <c r="H2068" s="26"/>
      <c r="I2068" s="27" t="str">
        <f aca="false">IF(A2068="","",IF(H2068&lt;&gt;"",UPPER(TRIM(H2068)),IFERROR(CHOOSE(VALUE(E2068)+1,"A","B","C","D"),IF(OR(LEFT(UPPER(TRIM(E2068)),1)="F",UPPER(TRIM(E2068))="A"),"A",IF(OR(LEFT(UPPER(TRIM(E2068)),1)="M",UPPER(TRIM(E2068))="B"),"B",IF(OR(LEFT(UPPER(TRIM(E2068)),2)="SL",UPPER(TRIM(E2068))="C"),"C",IF(OR(LEFT(UPPER(TRIM(E2068)),1)="D",UPPER(TRIM(E2068))="D"),"D","")))))))</f>
        <v/>
      </c>
      <c r="J2068" s="27" t="str">
        <f aca="false">IF(I2068="","",IF(AND(I2068="D",Settings!$B$6&lt;&gt;"Yes"),"",IFERROR(INDEX(Settings!$C$9:$C$12,MATCH(I2068,Settings!$A$9:$A$12,0)),"")))</f>
        <v/>
      </c>
      <c r="K2068" s="27" t="str">
        <f aca="false">IF(J2068="","",COUNTIF($I$2:I2068,I2068))</f>
        <v/>
      </c>
      <c r="L2068" s="27" t="str">
        <f aca="false">IF(J2068="","",CHOOSE(Q2068+1,"Tue","Wed","Thu","Fri"))</f>
        <v/>
      </c>
      <c r="M2068" s="27" t="str">
        <f aca="false">IF(J2068="","",IF(J2068=1,"Every week",R2068+1&amp;" of "&amp;J2068))</f>
        <v/>
      </c>
      <c r="N2068" s="28" t="str">
        <f aca="false">IF(J2068="","",Settings!$B$4+R2068*7+Q2068)</f>
        <v/>
      </c>
      <c r="O2068" s="28" t="str">
        <f aca="true">IF(J2068="","",N2068+MAX(0,ROUNDUP((TODAY()-N2068)/(J2068*7),0))*J2068*7)</f>
        <v/>
      </c>
      <c r="P2068" s="27" t="str">
        <f aca="false">IF(J2068="","",MOD(K2068-1,J2068*4))</f>
        <v/>
      </c>
      <c r="Q2068" s="27" t="str">
        <f aca="false">IF(J2068="","",MOD(P2068,4))</f>
        <v/>
      </c>
      <c r="R2068" s="27" t="str">
        <f aca="false">IF(J2068="","",INT(P2068/4))</f>
        <v/>
      </c>
      <c r="S2068" s="27" t="str">
        <f aca="false">IF(J2068="","",IF(AND('Daily Count Sheet'!$H$3=Q2068,MOD('Daily Count Sheet'!$I$3,J2068)=R2068),1,""))</f>
        <v/>
      </c>
      <c r="T2068" s="27" t="str">
        <f aca="false">IF(S2068=1,COUNTIF($S$2:S2068,1),"")</f>
        <v/>
      </c>
    </row>
    <row r="2069" customFormat="false" ht="15" hidden="false" customHeight="false" outlineLevel="0" collapsed="false">
      <c r="H2069" s="26"/>
      <c r="I2069" s="27" t="str">
        <f aca="false">IF(A2069="","",IF(H2069&lt;&gt;"",UPPER(TRIM(H2069)),IFERROR(CHOOSE(VALUE(E2069)+1,"A","B","C","D"),IF(OR(LEFT(UPPER(TRIM(E2069)),1)="F",UPPER(TRIM(E2069))="A"),"A",IF(OR(LEFT(UPPER(TRIM(E2069)),1)="M",UPPER(TRIM(E2069))="B"),"B",IF(OR(LEFT(UPPER(TRIM(E2069)),2)="SL",UPPER(TRIM(E2069))="C"),"C",IF(OR(LEFT(UPPER(TRIM(E2069)),1)="D",UPPER(TRIM(E2069))="D"),"D","")))))))</f>
        <v/>
      </c>
      <c r="J2069" s="27" t="str">
        <f aca="false">IF(I2069="","",IF(AND(I2069="D",Settings!$B$6&lt;&gt;"Yes"),"",IFERROR(INDEX(Settings!$C$9:$C$12,MATCH(I2069,Settings!$A$9:$A$12,0)),"")))</f>
        <v/>
      </c>
      <c r="K2069" s="27" t="str">
        <f aca="false">IF(J2069="","",COUNTIF($I$2:I2069,I2069))</f>
        <v/>
      </c>
      <c r="L2069" s="27" t="str">
        <f aca="false">IF(J2069="","",CHOOSE(Q2069+1,"Tue","Wed","Thu","Fri"))</f>
        <v/>
      </c>
      <c r="M2069" s="27" t="str">
        <f aca="false">IF(J2069="","",IF(J2069=1,"Every week",R2069+1&amp;" of "&amp;J2069))</f>
        <v/>
      </c>
      <c r="N2069" s="28" t="str">
        <f aca="false">IF(J2069="","",Settings!$B$4+R2069*7+Q2069)</f>
        <v/>
      </c>
      <c r="O2069" s="28" t="str">
        <f aca="true">IF(J2069="","",N2069+MAX(0,ROUNDUP((TODAY()-N2069)/(J2069*7),0))*J2069*7)</f>
        <v/>
      </c>
      <c r="P2069" s="27" t="str">
        <f aca="false">IF(J2069="","",MOD(K2069-1,J2069*4))</f>
        <v/>
      </c>
      <c r="Q2069" s="27" t="str">
        <f aca="false">IF(J2069="","",MOD(P2069,4))</f>
        <v/>
      </c>
      <c r="R2069" s="27" t="str">
        <f aca="false">IF(J2069="","",INT(P2069/4))</f>
        <v/>
      </c>
      <c r="S2069" s="27" t="str">
        <f aca="false">IF(J2069="","",IF(AND('Daily Count Sheet'!$H$3=Q2069,MOD('Daily Count Sheet'!$I$3,J2069)=R2069),1,""))</f>
        <v/>
      </c>
      <c r="T2069" s="27" t="str">
        <f aca="false">IF(S2069=1,COUNTIF($S$2:S2069,1),"")</f>
        <v/>
      </c>
    </row>
    <row r="2070" customFormat="false" ht="15" hidden="false" customHeight="false" outlineLevel="0" collapsed="false">
      <c r="H2070" s="26"/>
      <c r="I2070" s="27" t="str">
        <f aca="false">IF(A2070="","",IF(H2070&lt;&gt;"",UPPER(TRIM(H2070)),IFERROR(CHOOSE(VALUE(E2070)+1,"A","B","C","D"),IF(OR(LEFT(UPPER(TRIM(E2070)),1)="F",UPPER(TRIM(E2070))="A"),"A",IF(OR(LEFT(UPPER(TRIM(E2070)),1)="M",UPPER(TRIM(E2070))="B"),"B",IF(OR(LEFT(UPPER(TRIM(E2070)),2)="SL",UPPER(TRIM(E2070))="C"),"C",IF(OR(LEFT(UPPER(TRIM(E2070)),1)="D",UPPER(TRIM(E2070))="D"),"D","")))))))</f>
        <v/>
      </c>
      <c r="J2070" s="27" t="str">
        <f aca="false">IF(I2070="","",IF(AND(I2070="D",Settings!$B$6&lt;&gt;"Yes"),"",IFERROR(INDEX(Settings!$C$9:$C$12,MATCH(I2070,Settings!$A$9:$A$12,0)),"")))</f>
        <v/>
      </c>
      <c r="K2070" s="27" t="str">
        <f aca="false">IF(J2070="","",COUNTIF($I$2:I2070,I2070))</f>
        <v/>
      </c>
      <c r="L2070" s="27" t="str">
        <f aca="false">IF(J2070="","",CHOOSE(Q2070+1,"Tue","Wed","Thu","Fri"))</f>
        <v/>
      </c>
      <c r="M2070" s="27" t="str">
        <f aca="false">IF(J2070="","",IF(J2070=1,"Every week",R2070+1&amp;" of "&amp;J2070))</f>
        <v/>
      </c>
      <c r="N2070" s="28" t="str">
        <f aca="false">IF(J2070="","",Settings!$B$4+R2070*7+Q2070)</f>
        <v/>
      </c>
      <c r="O2070" s="28" t="str">
        <f aca="true">IF(J2070="","",N2070+MAX(0,ROUNDUP((TODAY()-N2070)/(J2070*7),0))*J2070*7)</f>
        <v/>
      </c>
      <c r="P2070" s="27" t="str">
        <f aca="false">IF(J2070="","",MOD(K2070-1,J2070*4))</f>
        <v/>
      </c>
      <c r="Q2070" s="27" t="str">
        <f aca="false">IF(J2070="","",MOD(P2070,4))</f>
        <v/>
      </c>
      <c r="R2070" s="27" t="str">
        <f aca="false">IF(J2070="","",INT(P2070/4))</f>
        <v/>
      </c>
      <c r="S2070" s="27" t="str">
        <f aca="false">IF(J2070="","",IF(AND('Daily Count Sheet'!$H$3=Q2070,MOD('Daily Count Sheet'!$I$3,J2070)=R2070),1,""))</f>
        <v/>
      </c>
      <c r="T2070" s="27" t="str">
        <f aca="false">IF(S2070=1,COUNTIF($S$2:S2070,1),"")</f>
        <v/>
      </c>
    </row>
    <row r="2071" customFormat="false" ht="15" hidden="false" customHeight="false" outlineLevel="0" collapsed="false">
      <c r="H2071" s="26"/>
      <c r="I2071" s="27" t="str">
        <f aca="false">IF(A2071="","",IF(H2071&lt;&gt;"",UPPER(TRIM(H2071)),IFERROR(CHOOSE(VALUE(E2071)+1,"A","B","C","D"),IF(OR(LEFT(UPPER(TRIM(E2071)),1)="F",UPPER(TRIM(E2071))="A"),"A",IF(OR(LEFT(UPPER(TRIM(E2071)),1)="M",UPPER(TRIM(E2071))="B"),"B",IF(OR(LEFT(UPPER(TRIM(E2071)),2)="SL",UPPER(TRIM(E2071))="C"),"C",IF(OR(LEFT(UPPER(TRIM(E2071)),1)="D",UPPER(TRIM(E2071))="D"),"D","")))))))</f>
        <v/>
      </c>
      <c r="J2071" s="27" t="str">
        <f aca="false">IF(I2071="","",IF(AND(I2071="D",Settings!$B$6&lt;&gt;"Yes"),"",IFERROR(INDEX(Settings!$C$9:$C$12,MATCH(I2071,Settings!$A$9:$A$12,0)),"")))</f>
        <v/>
      </c>
      <c r="K2071" s="27" t="str">
        <f aca="false">IF(J2071="","",COUNTIF($I$2:I2071,I2071))</f>
        <v/>
      </c>
      <c r="L2071" s="27" t="str">
        <f aca="false">IF(J2071="","",CHOOSE(Q2071+1,"Tue","Wed","Thu","Fri"))</f>
        <v/>
      </c>
      <c r="M2071" s="27" t="str">
        <f aca="false">IF(J2071="","",IF(J2071=1,"Every week",R2071+1&amp;" of "&amp;J2071))</f>
        <v/>
      </c>
      <c r="N2071" s="28" t="str">
        <f aca="false">IF(J2071="","",Settings!$B$4+R2071*7+Q2071)</f>
        <v/>
      </c>
      <c r="O2071" s="28" t="str">
        <f aca="true">IF(J2071="","",N2071+MAX(0,ROUNDUP((TODAY()-N2071)/(J2071*7),0))*J2071*7)</f>
        <v/>
      </c>
      <c r="P2071" s="27" t="str">
        <f aca="false">IF(J2071="","",MOD(K2071-1,J2071*4))</f>
        <v/>
      </c>
      <c r="Q2071" s="27" t="str">
        <f aca="false">IF(J2071="","",MOD(P2071,4))</f>
        <v/>
      </c>
      <c r="R2071" s="27" t="str">
        <f aca="false">IF(J2071="","",INT(P2071/4))</f>
        <v/>
      </c>
      <c r="S2071" s="27" t="str">
        <f aca="false">IF(J2071="","",IF(AND('Daily Count Sheet'!$H$3=Q2071,MOD('Daily Count Sheet'!$I$3,J2071)=R2071),1,""))</f>
        <v/>
      </c>
      <c r="T2071" s="27" t="str">
        <f aca="false">IF(S2071=1,COUNTIF($S$2:S2071,1),"")</f>
        <v/>
      </c>
    </row>
    <row r="2072" customFormat="false" ht="15" hidden="false" customHeight="false" outlineLevel="0" collapsed="false">
      <c r="H2072" s="26"/>
      <c r="I2072" s="27" t="str">
        <f aca="false">IF(A2072="","",IF(H2072&lt;&gt;"",UPPER(TRIM(H2072)),IFERROR(CHOOSE(VALUE(E2072)+1,"A","B","C","D"),IF(OR(LEFT(UPPER(TRIM(E2072)),1)="F",UPPER(TRIM(E2072))="A"),"A",IF(OR(LEFT(UPPER(TRIM(E2072)),1)="M",UPPER(TRIM(E2072))="B"),"B",IF(OR(LEFT(UPPER(TRIM(E2072)),2)="SL",UPPER(TRIM(E2072))="C"),"C",IF(OR(LEFT(UPPER(TRIM(E2072)),1)="D",UPPER(TRIM(E2072))="D"),"D","")))))))</f>
        <v/>
      </c>
      <c r="J2072" s="27" t="str">
        <f aca="false">IF(I2072="","",IF(AND(I2072="D",Settings!$B$6&lt;&gt;"Yes"),"",IFERROR(INDEX(Settings!$C$9:$C$12,MATCH(I2072,Settings!$A$9:$A$12,0)),"")))</f>
        <v/>
      </c>
      <c r="K2072" s="27" t="str">
        <f aca="false">IF(J2072="","",COUNTIF($I$2:I2072,I2072))</f>
        <v/>
      </c>
      <c r="L2072" s="27" t="str">
        <f aca="false">IF(J2072="","",CHOOSE(Q2072+1,"Tue","Wed","Thu","Fri"))</f>
        <v/>
      </c>
      <c r="M2072" s="27" t="str">
        <f aca="false">IF(J2072="","",IF(J2072=1,"Every week",R2072+1&amp;" of "&amp;J2072))</f>
        <v/>
      </c>
      <c r="N2072" s="28" t="str">
        <f aca="false">IF(J2072="","",Settings!$B$4+R2072*7+Q2072)</f>
        <v/>
      </c>
      <c r="O2072" s="28" t="str">
        <f aca="true">IF(J2072="","",N2072+MAX(0,ROUNDUP((TODAY()-N2072)/(J2072*7),0))*J2072*7)</f>
        <v/>
      </c>
      <c r="P2072" s="27" t="str">
        <f aca="false">IF(J2072="","",MOD(K2072-1,J2072*4))</f>
        <v/>
      </c>
      <c r="Q2072" s="27" t="str">
        <f aca="false">IF(J2072="","",MOD(P2072,4))</f>
        <v/>
      </c>
      <c r="R2072" s="27" t="str">
        <f aca="false">IF(J2072="","",INT(P2072/4))</f>
        <v/>
      </c>
      <c r="S2072" s="27" t="str">
        <f aca="false">IF(J2072="","",IF(AND('Daily Count Sheet'!$H$3=Q2072,MOD('Daily Count Sheet'!$I$3,J2072)=R2072),1,""))</f>
        <v/>
      </c>
      <c r="T2072" s="27" t="str">
        <f aca="false">IF(S2072=1,COUNTIF($S$2:S2072,1),"")</f>
        <v/>
      </c>
    </row>
    <row r="2073" customFormat="false" ht="15" hidden="false" customHeight="false" outlineLevel="0" collapsed="false">
      <c r="H2073" s="26"/>
      <c r="I2073" s="27" t="str">
        <f aca="false">IF(A2073="","",IF(H2073&lt;&gt;"",UPPER(TRIM(H2073)),IFERROR(CHOOSE(VALUE(E2073)+1,"A","B","C","D"),IF(OR(LEFT(UPPER(TRIM(E2073)),1)="F",UPPER(TRIM(E2073))="A"),"A",IF(OR(LEFT(UPPER(TRIM(E2073)),1)="M",UPPER(TRIM(E2073))="B"),"B",IF(OR(LEFT(UPPER(TRIM(E2073)),2)="SL",UPPER(TRIM(E2073))="C"),"C",IF(OR(LEFT(UPPER(TRIM(E2073)),1)="D",UPPER(TRIM(E2073))="D"),"D","")))))))</f>
        <v/>
      </c>
      <c r="J2073" s="27" t="str">
        <f aca="false">IF(I2073="","",IF(AND(I2073="D",Settings!$B$6&lt;&gt;"Yes"),"",IFERROR(INDEX(Settings!$C$9:$C$12,MATCH(I2073,Settings!$A$9:$A$12,0)),"")))</f>
        <v/>
      </c>
      <c r="K2073" s="27" t="str">
        <f aca="false">IF(J2073="","",COUNTIF($I$2:I2073,I2073))</f>
        <v/>
      </c>
      <c r="L2073" s="27" t="str">
        <f aca="false">IF(J2073="","",CHOOSE(Q2073+1,"Tue","Wed","Thu","Fri"))</f>
        <v/>
      </c>
      <c r="M2073" s="27" t="str">
        <f aca="false">IF(J2073="","",IF(J2073=1,"Every week",R2073+1&amp;" of "&amp;J2073))</f>
        <v/>
      </c>
      <c r="N2073" s="28" t="str">
        <f aca="false">IF(J2073="","",Settings!$B$4+R2073*7+Q2073)</f>
        <v/>
      </c>
      <c r="O2073" s="28" t="str">
        <f aca="true">IF(J2073="","",N2073+MAX(0,ROUNDUP((TODAY()-N2073)/(J2073*7),0))*J2073*7)</f>
        <v/>
      </c>
      <c r="P2073" s="27" t="str">
        <f aca="false">IF(J2073="","",MOD(K2073-1,J2073*4))</f>
        <v/>
      </c>
      <c r="Q2073" s="27" t="str">
        <f aca="false">IF(J2073="","",MOD(P2073,4))</f>
        <v/>
      </c>
      <c r="R2073" s="27" t="str">
        <f aca="false">IF(J2073="","",INT(P2073/4))</f>
        <v/>
      </c>
      <c r="S2073" s="27" t="str">
        <f aca="false">IF(J2073="","",IF(AND('Daily Count Sheet'!$H$3=Q2073,MOD('Daily Count Sheet'!$I$3,J2073)=R2073),1,""))</f>
        <v/>
      </c>
      <c r="T2073" s="27" t="str">
        <f aca="false">IF(S2073=1,COUNTIF($S$2:S2073,1),"")</f>
        <v/>
      </c>
    </row>
    <row r="2074" customFormat="false" ht="15" hidden="false" customHeight="false" outlineLevel="0" collapsed="false">
      <c r="H2074" s="26"/>
      <c r="I2074" s="27" t="str">
        <f aca="false">IF(A2074="","",IF(H2074&lt;&gt;"",UPPER(TRIM(H2074)),IFERROR(CHOOSE(VALUE(E2074)+1,"A","B","C","D"),IF(OR(LEFT(UPPER(TRIM(E2074)),1)="F",UPPER(TRIM(E2074))="A"),"A",IF(OR(LEFT(UPPER(TRIM(E2074)),1)="M",UPPER(TRIM(E2074))="B"),"B",IF(OR(LEFT(UPPER(TRIM(E2074)),2)="SL",UPPER(TRIM(E2074))="C"),"C",IF(OR(LEFT(UPPER(TRIM(E2074)),1)="D",UPPER(TRIM(E2074))="D"),"D","")))))))</f>
        <v/>
      </c>
      <c r="J2074" s="27" t="str">
        <f aca="false">IF(I2074="","",IF(AND(I2074="D",Settings!$B$6&lt;&gt;"Yes"),"",IFERROR(INDEX(Settings!$C$9:$C$12,MATCH(I2074,Settings!$A$9:$A$12,0)),"")))</f>
        <v/>
      </c>
      <c r="K2074" s="27" t="str">
        <f aca="false">IF(J2074="","",COUNTIF($I$2:I2074,I2074))</f>
        <v/>
      </c>
      <c r="L2074" s="27" t="str">
        <f aca="false">IF(J2074="","",CHOOSE(Q2074+1,"Tue","Wed","Thu","Fri"))</f>
        <v/>
      </c>
      <c r="M2074" s="27" t="str">
        <f aca="false">IF(J2074="","",IF(J2074=1,"Every week",R2074+1&amp;" of "&amp;J2074))</f>
        <v/>
      </c>
      <c r="N2074" s="28" t="str">
        <f aca="false">IF(J2074="","",Settings!$B$4+R2074*7+Q2074)</f>
        <v/>
      </c>
      <c r="O2074" s="28" t="str">
        <f aca="true">IF(J2074="","",N2074+MAX(0,ROUNDUP((TODAY()-N2074)/(J2074*7),0))*J2074*7)</f>
        <v/>
      </c>
      <c r="P2074" s="27" t="str">
        <f aca="false">IF(J2074="","",MOD(K2074-1,J2074*4))</f>
        <v/>
      </c>
      <c r="Q2074" s="27" t="str">
        <f aca="false">IF(J2074="","",MOD(P2074,4))</f>
        <v/>
      </c>
      <c r="R2074" s="27" t="str">
        <f aca="false">IF(J2074="","",INT(P2074/4))</f>
        <v/>
      </c>
      <c r="S2074" s="27" t="str">
        <f aca="false">IF(J2074="","",IF(AND('Daily Count Sheet'!$H$3=Q2074,MOD('Daily Count Sheet'!$I$3,J2074)=R2074),1,""))</f>
        <v/>
      </c>
      <c r="T2074" s="27" t="str">
        <f aca="false">IF(S2074=1,COUNTIF($S$2:S2074,1),"")</f>
        <v/>
      </c>
    </row>
    <row r="2075" customFormat="false" ht="15" hidden="false" customHeight="false" outlineLevel="0" collapsed="false">
      <c r="H2075" s="26"/>
      <c r="I2075" s="27" t="str">
        <f aca="false">IF(A2075="","",IF(H2075&lt;&gt;"",UPPER(TRIM(H2075)),IFERROR(CHOOSE(VALUE(E2075)+1,"A","B","C","D"),IF(OR(LEFT(UPPER(TRIM(E2075)),1)="F",UPPER(TRIM(E2075))="A"),"A",IF(OR(LEFT(UPPER(TRIM(E2075)),1)="M",UPPER(TRIM(E2075))="B"),"B",IF(OR(LEFT(UPPER(TRIM(E2075)),2)="SL",UPPER(TRIM(E2075))="C"),"C",IF(OR(LEFT(UPPER(TRIM(E2075)),1)="D",UPPER(TRIM(E2075))="D"),"D","")))))))</f>
        <v/>
      </c>
      <c r="J2075" s="27" t="str">
        <f aca="false">IF(I2075="","",IF(AND(I2075="D",Settings!$B$6&lt;&gt;"Yes"),"",IFERROR(INDEX(Settings!$C$9:$C$12,MATCH(I2075,Settings!$A$9:$A$12,0)),"")))</f>
        <v/>
      </c>
      <c r="K2075" s="27" t="str">
        <f aca="false">IF(J2075="","",COUNTIF($I$2:I2075,I2075))</f>
        <v/>
      </c>
      <c r="L2075" s="27" t="str">
        <f aca="false">IF(J2075="","",CHOOSE(Q2075+1,"Tue","Wed","Thu","Fri"))</f>
        <v/>
      </c>
      <c r="M2075" s="27" t="str">
        <f aca="false">IF(J2075="","",IF(J2075=1,"Every week",R2075+1&amp;" of "&amp;J2075))</f>
        <v/>
      </c>
      <c r="N2075" s="28" t="str">
        <f aca="false">IF(J2075="","",Settings!$B$4+R2075*7+Q2075)</f>
        <v/>
      </c>
      <c r="O2075" s="28" t="str">
        <f aca="true">IF(J2075="","",N2075+MAX(0,ROUNDUP((TODAY()-N2075)/(J2075*7),0))*J2075*7)</f>
        <v/>
      </c>
      <c r="P2075" s="27" t="str">
        <f aca="false">IF(J2075="","",MOD(K2075-1,J2075*4))</f>
        <v/>
      </c>
      <c r="Q2075" s="27" t="str">
        <f aca="false">IF(J2075="","",MOD(P2075,4))</f>
        <v/>
      </c>
      <c r="R2075" s="27" t="str">
        <f aca="false">IF(J2075="","",INT(P2075/4))</f>
        <v/>
      </c>
      <c r="S2075" s="27" t="str">
        <f aca="false">IF(J2075="","",IF(AND('Daily Count Sheet'!$H$3=Q2075,MOD('Daily Count Sheet'!$I$3,J2075)=R2075),1,""))</f>
        <v/>
      </c>
      <c r="T2075" s="27" t="str">
        <f aca="false">IF(S2075=1,COUNTIF($S$2:S2075,1),"")</f>
        <v/>
      </c>
    </row>
    <row r="2076" customFormat="false" ht="15" hidden="false" customHeight="false" outlineLevel="0" collapsed="false">
      <c r="H2076" s="26"/>
      <c r="I2076" s="27" t="str">
        <f aca="false">IF(A2076="","",IF(H2076&lt;&gt;"",UPPER(TRIM(H2076)),IFERROR(CHOOSE(VALUE(E2076)+1,"A","B","C","D"),IF(OR(LEFT(UPPER(TRIM(E2076)),1)="F",UPPER(TRIM(E2076))="A"),"A",IF(OR(LEFT(UPPER(TRIM(E2076)),1)="M",UPPER(TRIM(E2076))="B"),"B",IF(OR(LEFT(UPPER(TRIM(E2076)),2)="SL",UPPER(TRIM(E2076))="C"),"C",IF(OR(LEFT(UPPER(TRIM(E2076)),1)="D",UPPER(TRIM(E2076))="D"),"D","")))))))</f>
        <v/>
      </c>
      <c r="J2076" s="27" t="str">
        <f aca="false">IF(I2076="","",IF(AND(I2076="D",Settings!$B$6&lt;&gt;"Yes"),"",IFERROR(INDEX(Settings!$C$9:$C$12,MATCH(I2076,Settings!$A$9:$A$12,0)),"")))</f>
        <v/>
      </c>
      <c r="K2076" s="27" t="str">
        <f aca="false">IF(J2076="","",COUNTIF($I$2:I2076,I2076))</f>
        <v/>
      </c>
      <c r="L2076" s="27" t="str">
        <f aca="false">IF(J2076="","",CHOOSE(Q2076+1,"Tue","Wed","Thu","Fri"))</f>
        <v/>
      </c>
      <c r="M2076" s="27" t="str">
        <f aca="false">IF(J2076="","",IF(J2076=1,"Every week",R2076+1&amp;" of "&amp;J2076))</f>
        <v/>
      </c>
      <c r="N2076" s="28" t="str">
        <f aca="false">IF(J2076="","",Settings!$B$4+R2076*7+Q2076)</f>
        <v/>
      </c>
      <c r="O2076" s="28" t="str">
        <f aca="true">IF(J2076="","",N2076+MAX(0,ROUNDUP((TODAY()-N2076)/(J2076*7),0))*J2076*7)</f>
        <v/>
      </c>
      <c r="P2076" s="27" t="str">
        <f aca="false">IF(J2076="","",MOD(K2076-1,J2076*4))</f>
        <v/>
      </c>
      <c r="Q2076" s="27" t="str">
        <f aca="false">IF(J2076="","",MOD(P2076,4))</f>
        <v/>
      </c>
      <c r="R2076" s="27" t="str">
        <f aca="false">IF(J2076="","",INT(P2076/4))</f>
        <v/>
      </c>
      <c r="S2076" s="27" t="str">
        <f aca="false">IF(J2076="","",IF(AND('Daily Count Sheet'!$H$3=Q2076,MOD('Daily Count Sheet'!$I$3,J2076)=R2076),1,""))</f>
        <v/>
      </c>
      <c r="T2076" s="27" t="str">
        <f aca="false">IF(S2076=1,COUNTIF($S$2:S2076,1),"")</f>
        <v/>
      </c>
    </row>
    <row r="2077" customFormat="false" ht="15" hidden="false" customHeight="false" outlineLevel="0" collapsed="false">
      <c r="H2077" s="26"/>
      <c r="I2077" s="27" t="str">
        <f aca="false">IF(A2077="","",IF(H2077&lt;&gt;"",UPPER(TRIM(H2077)),IFERROR(CHOOSE(VALUE(E2077)+1,"A","B","C","D"),IF(OR(LEFT(UPPER(TRIM(E2077)),1)="F",UPPER(TRIM(E2077))="A"),"A",IF(OR(LEFT(UPPER(TRIM(E2077)),1)="M",UPPER(TRIM(E2077))="B"),"B",IF(OR(LEFT(UPPER(TRIM(E2077)),2)="SL",UPPER(TRIM(E2077))="C"),"C",IF(OR(LEFT(UPPER(TRIM(E2077)),1)="D",UPPER(TRIM(E2077))="D"),"D","")))))))</f>
        <v/>
      </c>
      <c r="J2077" s="27" t="str">
        <f aca="false">IF(I2077="","",IF(AND(I2077="D",Settings!$B$6&lt;&gt;"Yes"),"",IFERROR(INDEX(Settings!$C$9:$C$12,MATCH(I2077,Settings!$A$9:$A$12,0)),"")))</f>
        <v/>
      </c>
      <c r="K2077" s="27" t="str">
        <f aca="false">IF(J2077="","",COUNTIF($I$2:I2077,I2077))</f>
        <v/>
      </c>
      <c r="L2077" s="27" t="str">
        <f aca="false">IF(J2077="","",CHOOSE(Q2077+1,"Tue","Wed","Thu","Fri"))</f>
        <v/>
      </c>
      <c r="M2077" s="27" t="str">
        <f aca="false">IF(J2077="","",IF(J2077=1,"Every week",R2077+1&amp;" of "&amp;J2077))</f>
        <v/>
      </c>
      <c r="N2077" s="28" t="str">
        <f aca="false">IF(J2077="","",Settings!$B$4+R2077*7+Q2077)</f>
        <v/>
      </c>
      <c r="O2077" s="28" t="str">
        <f aca="true">IF(J2077="","",N2077+MAX(0,ROUNDUP((TODAY()-N2077)/(J2077*7),0))*J2077*7)</f>
        <v/>
      </c>
      <c r="P2077" s="27" t="str">
        <f aca="false">IF(J2077="","",MOD(K2077-1,J2077*4))</f>
        <v/>
      </c>
      <c r="Q2077" s="27" t="str">
        <f aca="false">IF(J2077="","",MOD(P2077,4))</f>
        <v/>
      </c>
      <c r="R2077" s="27" t="str">
        <f aca="false">IF(J2077="","",INT(P2077/4))</f>
        <v/>
      </c>
      <c r="S2077" s="27" t="str">
        <f aca="false">IF(J2077="","",IF(AND('Daily Count Sheet'!$H$3=Q2077,MOD('Daily Count Sheet'!$I$3,J2077)=R2077),1,""))</f>
        <v/>
      </c>
      <c r="T2077" s="27" t="str">
        <f aca="false">IF(S2077=1,COUNTIF($S$2:S2077,1),"")</f>
        <v/>
      </c>
    </row>
    <row r="2078" customFormat="false" ht="15" hidden="false" customHeight="false" outlineLevel="0" collapsed="false">
      <c r="H2078" s="26"/>
      <c r="I2078" s="27" t="str">
        <f aca="false">IF(A2078="","",IF(H2078&lt;&gt;"",UPPER(TRIM(H2078)),IFERROR(CHOOSE(VALUE(E2078)+1,"A","B","C","D"),IF(OR(LEFT(UPPER(TRIM(E2078)),1)="F",UPPER(TRIM(E2078))="A"),"A",IF(OR(LEFT(UPPER(TRIM(E2078)),1)="M",UPPER(TRIM(E2078))="B"),"B",IF(OR(LEFT(UPPER(TRIM(E2078)),2)="SL",UPPER(TRIM(E2078))="C"),"C",IF(OR(LEFT(UPPER(TRIM(E2078)),1)="D",UPPER(TRIM(E2078))="D"),"D","")))))))</f>
        <v/>
      </c>
      <c r="J2078" s="27" t="str">
        <f aca="false">IF(I2078="","",IF(AND(I2078="D",Settings!$B$6&lt;&gt;"Yes"),"",IFERROR(INDEX(Settings!$C$9:$C$12,MATCH(I2078,Settings!$A$9:$A$12,0)),"")))</f>
        <v/>
      </c>
      <c r="K2078" s="27" t="str">
        <f aca="false">IF(J2078="","",COUNTIF($I$2:I2078,I2078))</f>
        <v/>
      </c>
      <c r="L2078" s="27" t="str">
        <f aca="false">IF(J2078="","",CHOOSE(Q2078+1,"Tue","Wed","Thu","Fri"))</f>
        <v/>
      </c>
      <c r="M2078" s="27" t="str">
        <f aca="false">IF(J2078="","",IF(J2078=1,"Every week",R2078+1&amp;" of "&amp;J2078))</f>
        <v/>
      </c>
      <c r="N2078" s="28" t="str">
        <f aca="false">IF(J2078="","",Settings!$B$4+R2078*7+Q2078)</f>
        <v/>
      </c>
      <c r="O2078" s="28" t="str">
        <f aca="true">IF(J2078="","",N2078+MAX(0,ROUNDUP((TODAY()-N2078)/(J2078*7),0))*J2078*7)</f>
        <v/>
      </c>
      <c r="P2078" s="27" t="str">
        <f aca="false">IF(J2078="","",MOD(K2078-1,J2078*4))</f>
        <v/>
      </c>
      <c r="Q2078" s="27" t="str">
        <f aca="false">IF(J2078="","",MOD(P2078,4))</f>
        <v/>
      </c>
      <c r="R2078" s="27" t="str">
        <f aca="false">IF(J2078="","",INT(P2078/4))</f>
        <v/>
      </c>
      <c r="S2078" s="27" t="str">
        <f aca="false">IF(J2078="","",IF(AND('Daily Count Sheet'!$H$3=Q2078,MOD('Daily Count Sheet'!$I$3,J2078)=R2078),1,""))</f>
        <v/>
      </c>
      <c r="T2078" s="27" t="str">
        <f aca="false">IF(S2078=1,COUNTIF($S$2:S2078,1),"")</f>
        <v/>
      </c>
    </row>
    <row r="2079" customFormat="false" ht="15" hidden="false" customHeight="false" outlineLevel="0" collapsed="false">
      <c r="H2079" s="26"/>
      <c r="I2079" s="27" t="str">
        <f aca="false">IF(A2079="","",IF(H2079&lt;&gt;"",UPPER(TRIM(H2079)),IFERROR(CHOOSE(VALUE(E2079)+1,"A","B","C","D"),IF(OR(LEFT(UPPER(TRIM(E2079)),1)="F",UPPER(TRIM(E2079))="A"),"A",IF(OR(LEFT(UPPER(TRIM(E2079)),1)="M",UPPER(TRIM(E2079))="B"),"B",IF(OR(LEFT(UPPER(TRIM(E2079)),2)="SL",UPPER(TRIM(E2079))="C"),"C",IF(OR(LEFT(UPPER(TRIM(E2079)),1)="D",UPPER(TRIM(E2079))="D"),"D","")))))))</f>
        <v/>
      </c>
      <c r="J2079" s="27" t="str">
        <f aca="false">IF(I2079="","",IF(AND(I2079="D",Settings!$B$6&lt;&gt;"Yes"),"",IFERROR(INDEX(Settings!$C$9:$C$12,MATCH(I2079,Settings!$A$9:$A$12,0)),"")))</f>
        <v/>
      </c>
      <c r="K2079" s="27" t="str">
        <f aca="false">IF(J2079="","",COUNTIF($I$2:I2079,I2079))</f>
        <v/>
      </c>
      <c r="L2079" s="27" t="str">
        <f aca="false">IF(J2079="","",CHOOSE(Q2079+1,"Tue","Wed","Thu","Fri"))</f>
        <v/>
      </c>
      <c r="M2079" s="27" t="str">
        <f aca="false">IF(J2079="","",IF(J2079=1,"Every week",R2079+1&amp;" of "&amp;J2079))</f>
        <v/>
      </c>
      <c r="N2079" s="28" t="str">
        <f aca="false">IF(J2079="","",Settings!$B$4+R2079*7+Q2079)</f>
        <v/>
      </c>
      <c r="O2079" s="28" t="str">
        <f aca="true">IF(J2079="","",N2079+MAX(0,ROUNDUP((TODAY()-N2079)/(J2079*7),0))*J2079*7)</f>
        <v/>
      </c>
      <c r="P2079" s="27" t="str">
        <f aca="false">IF(J2079="","",MOD(K2079-1,J2079*4))</f>
        <v/>
      </c>
      <c r="Q2079" s="27" t="str">
        <f aca="false">IF(J2079="","",MOD(P2079,4))</f>
        <v/>
      </c>
      <c r="R2079" s="27" t="str">
        <f aca="false">IF(J2079="","",INT(P2079/4))</f>
        <v/>
      </c>
      <c r="S2079" s="27" t="str">
        <f aca="false">IF(J2079="","",IF(AND('Daily Count Sheet'!$H$3=Q2079,MOD('Daily Count Sheet'!$I$3,J2079)=R2079),1,""))</f>
        <v/>
      </c>
      <c r="T2079" s="27" t="str">
        <f aca="false">IF(S2079=1,COUNTIF($S$2:S2079,1),"")</f>
        <v/>
      </c>
    </row>
    <row r="2080" customFormat="false" ht="15" hidden="false" customHeight="false" outlineLevel="0" collapsed="false">
      <c r="H2080" s="26"/>
      <c r="I2080" s="27" t="str">
        <f aca="false">IF(A2080="","",IF(H2080&lt;&gt;"",UPPER(TRIM(H2080)),IFERROR(CHOOSE(VALUE(E2080)+1,"A","B","C","D"),IF(OR(LEFT(UPPER(TRIM(E2080)),1)="F",UPPER(TRIM(E2080))="A"),"A",IF(OR(LEFT(UPPER(TRIM(E2080)),1)="M",UPPER(TRIM(E2080))="B"),"B",IF(OR(LEFT(UPPER(TRIM(E2080)),2)="SL",UPPER(TRIM(E2080))="C"),"C",IF(OR(LEFT(UPPER(TRIM(E2080)),1)="D",UPPER(TRIM(E2080))="D"),"D","")))))))</f>
        <v/>
      </c>
      <c r="J2080" s="27" t="str">
        <f aca="false">IF(I2080="","",IF(AND(I2080="D",Settings!$B$6&lt;&gt;"Yes"),"",IFERROR(INDEX(Settings!$C$9:$C$12,MATCH(I2080,Settings!$A$9:$A$12,0)),"")))</f>
        <v/>
      </c>
      <c r="K2080" s="27" t="str">
        <f aca="false">IF(J2080="","",COUNTIF($I$2:I2080,I2080))</f>
        <v/>
      </c>
      <c r="L2080" s="27" t="str">
        <f aca="false">IF(J2080="","",CHOOSE(Q2080+1,"Tue","Wed","Thu","Fri"))</f>
        <v/>
      </c>
      <c r="M2080" s="27" t="str">
        <f aca="false">IF(J2080="","",IF(J2080=1,"Every week",R2080+1&amp;" of "&amp;J2080))</f>
        <v/>
      </c>
      <c r="N2080" s="28" t="str">
        <f aca="false">IF(J2080="","",Settings!$B$4+R2080*7+Q2080)</f>
        <v/>
      </c>
      <c r="O2080" s="28" t="str">
        <f aca="true">IF(J2080="","",N2080+MAX(0,ROUNDUP((TODAY()-N2080)/(J2080*7),0))*J2080*7)</f>
        <v/>
      </c>
      <c r="P2080" s="27" t="str">
        <f aca="false">IF(J2080="","",MOD(K2080-1,J2080*4))</f>
        <v/>
      </c>
      <c r="Q2080" s="27" t="str">
        <f aca="false">IF(J2080="","",MOD(P2080,4))</f>
        <v/>
      </c>
      <c r="R2080" s="27" t="str">
        <f aca="false">IF(J2080="","",INT(P2080/4))</f>
        <v/>
      </c>
      <c r="S2080" s="27" t="str">
        <f aca="false">IF(J2080="","",IF(AND('Daily Count Sheet'!$H$3=Q2080,MOD('Daily Count Sheet'!$I$3,J2080)=R2080),1,""))</f>
        <v/>
      </c>
      <c r="T2080" s="27" t="str">
        <f aca="false">IF(S2080=1,COUNTIF($S$2:S2080,1),"")</f>
        <v/>
      </c>
    </row>
    <row r="2081" customFormat="false" ht="15" hidden="false" customHeight="false" outlineLevel="0" collapsed="false">
      <c r="H2081" s="26"/>
      <c r="I2081" s="27" t="str">
        <f aca="false">IF(A2081="","",IF(H2081&lt;&gt;"",UPPER(TRIM(H2081)),IFERROR(CHOOSE(VALUE(E2081)+1,"A","B","C","D"),IF(OR(LEFT(UPPER(TRIM(E2081)),1)="F",UPPER(TRIM(E2081))="A"),"A",IF(OR(LEFT(UPPER(TRIM(E2081)),1)="M",UPPER(TRIM(E2081))="B"),"B",IF(OR(LEFT(UPPER(TRIM(E2081)),2)="SL",UPPER(TRIM(E2081))="C"),"C",IF(OR(LEFT(UPPER(TRIM(E2081)),1)="D",UPPER(TRIM(E2081))="D"),"D","")))))))</f>
        <v/>
      </c>
      <c r="J2081" s="27" t="str">
        <f aca="false">IF(I2081="","",IF(AND(I2081="D",Settings!$B$6&lt;&gt;"Yes"),"",IFERROR(INDEX(Settings!$C$9:$C$12,MATCH(I2081,Settings!$A$9:$A$12,0)),"")))</f>
        <v/>
      </c>
      <c r="K2081" s="27" t="str">
        <f aca="false">IF(J2081="","",COUNTIF($I$2:I2081,I2081))</f>
        <v/>
      </c>
      <c r="L2081" s="27" t="str">
        <f aca="false">IF(J2081="","",CHOOSE(Q2081+1,"Tue","Wed","Thu","Fri"))</f>
        <v/>
      </c>
      <c r="M2081" s="27" t="str">
        <f aca="false">IF(J2081="","",IF(J2081=1,"Every week",R2081+1&amp;" of "&amp;J2081))</f>
        <v/>
      </c>
      <c r="N2081" s="28" t="str">
        <f aca="false">IF(J2081="","",Settings!$B$4+R2081*7+Q2081)</f>
        <v/>
      </c>
      <c r="O2081" s="28" t="str">
        <f aca="true">IF(J2081="","",N2081+MAX(0,ROUNDUP((TODAY()-N2081)/(J2081*7),0))*J2081*7)</f>
        <v/>
      </c>
      <c r="P2081" s="27" t="str">
        <f aca="false">IF(J2081="","",MOD(K2081-1,J2081*4))</f>
        <v/>
      </c>
      <c r="Q2081" s="27" t="str">
        <f aca="false">IF(J2081="","",MOD(P2081,4))</f>
        <v/>
      </c>
      <c r="R2081" s="27" t="str">
        <f aca="false">IF(J2081="","",INT(P2081/4))</f>
        <v/>
      </c>
      <c r="S2081" s="27" t="str">
        <f aca="false">IF(J2081="","",IF(AND('Daily Count Sheet'!$H$3=Q2081,MOD('Daily Count Sheet'!$I$3,J2081)=R2081),1,""))</f>
        <v/>
      </c>
      <c r="T2081" s="27" t="str">
        <f aca="false">IF(S2081=1,COUNTIF($S$2:S2081,1),"")</f>
        <v/>
      </c>
    </row>
    <row r="2082" customFormat="false" ht="15" hidden="false" customHeight="false" outlineLevel="0" collapsed="false">
      <c r="H2082" s="26"/>
      <c r="I2082" s="27" t="str">
        <f aca="false">IF(A2082="","",IF(H2082&lt;&gt;"",UPPER(TRIM(H2082)),IFERROR(CHOOSE(VALUE(E2082)+1,"A","B","C","D"),IF(OR(LEFT(UPPER(TRIM(E2082)),1)="F",UPPER(TRIM(E2082))="A"),"A",IF(OR(LEFT(UPPER(TRIM(E2082)),1)="M",UPPER(TRIM(E2082))="B"),"B",IF(OR(LEFT(UPPER(TRIM(E2082)),2)="SL",UPPER(TRIM(E2082))="C"),"C",IF(OR(LEFT(UPPER(TRIM(E2082)),1)="D",UPPER(TRIM(E2082))="D"),"D","")))))))</f>
        <v/>
      </c>
      <c r="J2082" s="27" t="str">
        <f aca="false">IF(I2082="","",IF(AND(I2082="D",Settings!$B$6&lt;&gt;"Yes"),"",IFERROR(INDEX(Settings!$C$9:$C$12,MATCH(I2082,Settings!$A$9:$A$12,0)),"")))</f>
        <v/>
      </c>
      <c r="K2082" s="27" t="str">
        <f aca="false">IF(J2082="","",COUNTIF($I$2:I2082,I2082))</f>
        <v/>
      </c>
      <c r="L2082" s="27" t="str">
        <f aca="false">IF(J2082="","",CHOOSE(Q2082+1,"Tue","Wed","Thu","Fri"))</f>
        <v/>
      </c>
      <c r="M2082" s="27" t="str">
        <f aca="false">IF(J2082="","",IF(J2082=1,"Every week",R2082+1&amp;" of "&amp;J2082))</f>
        <v/>
      </c>
      <c r="N2082" s="28" t="str">
        <f aca="false">IF(J2082="","",Settings!$B$4+R2082*7+Q2082)</f>
        <v/>
      </c>
      <c r="O2082" s="28" t="str">
        <f aca="true">IF(J2082="","",N2082+MAX(0,ROUNDUP((TODAY()-N2082)/(J2082*7),0))*J2082*7)</f>
        <v/>
      </c>
      <c r="P2082" s="27" t="str">
        <f aca="false">IF(J2082="","",MOD(K2082-1,J2082*4))</f>
        <v/>
      </c>
      <c r="Q2082" s="27" t="str">
        <f aca="false">IF(J2082="","",MOD(P2082,4))</f>
        <v/>
      </c>
      <c r="R2082" s="27" t="str">
        <f aca="false">IF(J2082="","",INT(P2082/4))</f>
        <v/>
      </c>
      <c r="S2082" s="27" t="str">
        <f aca="false">IF(J2082="","",IF(AND('Daily Count Sheet'!$H$3=Q2082,MOD('Daily Count Sheet'!$I$3,J2082)=R2082),1,""))</f>
        <v/>
      </c>
      <c r="T2082" s="27" t="str">
        <f aca="false">IF(S2082=1,COUNTIF($S$2:S2082,1),"")</f>
        <v/>
      </c>
    </row>
    <row r="2083" customFormat="false" ht="15" hidden="false" customHeight="false" outlineLevel="0" collapsed="false">
      <c r="H2083" s="26"/>
      <c r="I2083" s="27" t="str">
        <f aca="false">IF(A2083="","",IF(H2083&lt;&gt;"",UPPER(TRIM(H2083)),IFERROR(CHOOSE(VALUE(E2083)+1,"A","B","C","D"),IF(OR(LEFT(UPPER(TRIM(E2083)),1)="F",UPPER(TRIM(E2083))="A"),"A",IF(OR(LEFT(UPPER(TRIM(E2083)),1)="M",UPPER(TRIM(E2083))="B"),"B",IF(OR(LEFT(UPPER(TRIM(E2083)),2)="SL",UPPER(TRIM(E2083))="C"),"C",IF(OR(LEFT(UPPER(TRIM(E2083)),1)="D",UPPER(TRIM(E2083))="D"),"D","")))))))</f>
        <v/>
      </c>
      <c r="J2083" s="27" t="str">
        <f aca="false">IF(I2083="","",IF(AND(I2083="D",Settings!$B$6&lt;&gt;"Yes"),"",IFERROR(INDEX(Settings!$C$9:$C$12,MATCH(I2083,Settings!$A$9:$A$12,0)),"")))</f>
        <v/>
      </c>
      <c r="K2083" s="27" t="str">
        <f aca="false">IF(J2083="","",COUNTIF($I$2:I2083,I2083))</f>
        <v/>
      </c>
      <c r="L2083" s="27" t="str">
        <f aca="false">IF(J2083="","",CHOOSE(Q2083+1,"Tue","Wed","Thu","Fri"))</f>
        <v/>
      </c>
      <c r="M2083" s="27" t="str">
        <f aca="false">IF(J2083="","",IF(J2083=1,"Every week",R2083+1&amp;" of "&amp;J2083))</f>
        <v/>
      </c>
      <c r="N2083" s="28" t="str">
        <f aca="false">IF(J2083="","",Settings!$B$4+R2083*7+Q2083)</f>
        <v/>
      </c>
      <c r="O2083" s="28" t="str">
        <f aca="true">IF(J2083="","",N2083+MAX(0,ROUNDUP((TODAY()-N2083)/(J2083*7),0))*J2083*7)</f>
        <v/>
      </c>
      <c r="P2083" s="27" t="str">
        <f aca="false">IF(J2083="","",MOD(K2083-1,J2083*4))</f>
        <v/>
      </c>
      <c r="Q2083" s="27" t="str">
        <f aca="false">IF(J2083="","",MOD(P2083,4))</f>
        <v/>
      </c>
      <c r="R2083" s="27" t="str">
        <f aca="false">IF(J2083="","",INT(P2083/4))</f>
        <v/>
      </c>
      <c r="S2083" s="27" t="str">
        <f aca="false">IF(J2083="","",IF(AND('Daily Count Sheet'!$H$3=Q2083,MOD('Daily Count Sheet'!$I$3,J2083)=R2083),1,""))</f>
        <v/>
      </c>
      <c r="T2083" s="27" t="str">
        <f aca="false">IF(S2083=1,COUNTIF($S$2:S2083,1),"")</f>
        <v/>
      </c>
    </row>
    <row r="2084" customFormat="false" ht="15" hidden="false" customHeight="false" outlineLevel="0" collapsed="false">
      <c r="H2084" s="26"/>
      <c r="I2084" s="27" t="str">
        <f aca="false">IF(A2084="","",IF(H2084&lt;&gt;"",UPPER(TRIM(H2084)),IFERROR(CHOOSE(VALUE(E2084)+1,"A","B","C","D"),IF(OR(LEFT(UPPER(TRIM(E2084)),1)="F",UPPER(TRIM(E2084))="A"),"A",IF(OR(LEFT(UPPER(TRIM(E2084)),1)="M",UPPER(TRIM(E2084))="B"),"B",IF(OR(LEFT(UPPER(TRIM(E2084)),2)="SL",UPPER(TRIM(E2084))="C"),"C",IF(OR(LEFT(UPPER(TRIM(E2084)),1)="D",UPPER(TRIM(E2084))="D"),"D","")))))))</f>
        <v/>
      </c>
      <c r="J2084" s="27" t="str">
        <f aca="false">IF(I2084="","",IF(AND(I2084="D",Settings!$B$6&lt;&gt;"Yes"),"",IFERROR(INDEX(Settings!$C$9:$C$12,MATCH(I2084,Settings!$A$9:$A$12,0)),"")))</f>
        <v/>
      </c>
      <c r="K2084" s="27" t="str">
        <f aca="false">IF(J2084="","",COUNTIF($I$2:I2084,I2084))</f>
        <v/>
      </c>
      <c r="L2084" s="27" t="str">
        <f aca="false">IF(J2084="","",CHOOSE(Q2084+1,"Tue","Wed","Thu","Fri"))</f>
        <v/>
      </c>
      <c r="M2084" s="27" t="str">
        <f aca="false">IF(J2084="","",IF(J2084=1,"Every week",R2084+1&amp;" of "&amp;J2084))</f>
        <v/>
      </c>
      <c r="N2084" s="28" t="str">
        <f aca="false">IF(J2084="","",Settings!$B$4+R2084*7+Q2084)</f>
        <v/>
      </c>
      <c r="O2084" s="28" t="str">
        <f aca="true">IF(J2084="","",N2084+MAX(0,ROUNDUP((TODAY()-N2084)/(J2084*7),0))*J2084*7)</f>
        <v/>
      </c>
      <c r="P2084" s="27" t="str">
        <f aca="false">IF(J2084="","",MOD(K2084-1,J2084*4))</f>
        <v/>
      </c>
      <c r="Q2084" s="27" t="str">
        <f aca="false">IF(J2084="","",MOD(P2084,4))</f>
        <v/>
      </c>
      <c r="R2084" s="27" t="str">
        <f aca="false">IF(J2084="","",INT(P2084/4))</f>
        <v/>
      </c>
      <c r="S2084" s="27" t="str">
        <f aca="false">IF(J2084="","",IF(AND('Daily Count Sheet'!$H$3=Q2084,MOD('Daily Count Sheet'!$I$3,J2084)=R2084),1,""))</f>
        <v/>
      </c>
      <c r="T2084" s="27" t="str">
        <f aca="false">IF(S2084=1,COUNTIF($S$2:S2084,1),"")</f>
        <v/>
      </c>
    </row>
    <row r="2085" customFormat="false" ht="15" hidden="false" customHeight="false" outlineLevel="0" collapsed="false">
      <c r="H2085" s="26"/>
      <c r="I2085" s="27" t="str">
        <f aca="false">IF(A2085="","",IF(H2085&lt;&gt;"",UPPER(TRIM(H2085)),IFERROR(CHOOSE(VALUE(E2085)+1,"A","B","C","D"),IF(OR(LEFT(UPPER(TRIM(E2085)),1)="F",UPPER(TRIM(E2085))="A"),"A",IF(OR(LEFT(UPPER(TRIM(E2085)),1)="M",UPPER(TRIM(E2085))="B"),"B",IF(OR(LEFT(UPPER(TRIM(E2085)),2)="SL",UPPER(TRIM(E2085))="C"),"C",IF(OR(LEFT(UPPER(TRIM(E2085)),1)="D",UPPER(TRIM(E2085))="D"),"D","")))))))</f>
        <v/>
      </c>
      <c r="J2085" s="27" t="str">
        <f aca="false">IF(I2085="","",IF(AND(I2085="D",Settings!$B$6&lt;&gt;"Yes"),"",IFERROR(INDEX(Settings!$C$9:$C$12,MATCH(I2085,Settings!$A$9:$A$12,0)),"")))</f>
        <v/>
      </c>
      <c r="K2085" s="27" t="str">
        <f aca="false">IF(J2085="","",COUNTIF($I$2:I2085,I2085))</f>
        <v/>
      </c>
      <c r="L2085" s="27" t="str">
        <f aca="false">IF(J2085="","",CHOOSE(Q2085+1,"Tue","Wed","Thu","Fri"))</f>
        <v/>
      </c>
      <c r="M2085" s="27" t="str">
        <f aca="false">IF(J2085="","",IF(J2085=1,"Every week",R2085+1&amp;" of "&amp;J2085))</f>
        <v/>
      </c>
      <c r="N2085" s="28" t="str">
        <f aca="false">IF(J2085="","",Settings!$B$4+R2085*7+Q2085)</f>
        <v/>
      </c>
      <c r="O2085" s="28" t="str">
        <f aca="true">IF(J2085="","",N2085+MAX(0,ROUNDUP((TODAY()-N2085)/(J2085*7),0))*J2085*7)</f>
        <v/>
      </c>
      <c r="P2085" s="27" t="str">
        <f aca="false">IF(J2085="","",MOD(K2085-1,J2085*4))</f>
        <v/>
      </c>
      <c r="Q2085" s="27" t="str">
        <f aca="false">IF(J2085="","",MOD(P2085,4))</f>
        <v/>
      </c>
      <c r="R2085" s="27" t="str">
        <f aca="false">IF(J2085="","",INT(P2085/4))</f>
        <v/>
      </c>
      <c r="S2085" s="27" t="str">
        <f aca="false">IF(J2085="","",IF(AND('Daily Count Sheet'!$H$3=Q2085,MOD('Daily Count Sheet'!$I$3,J2085)=R2085),1,""))</f>
        <v/>
      </c>
      <c r="T2085" s="27" t="str">
        <f aca="false">IF(S2085=1,COUNTIF($S$2:S2085,1),"")</f>
        <v/>
      </c>
    </row>
    <row r="2086" customFormat="false" ht="15" hidden="false" customHeight="false" outlineLevel="0" collapsed="false">
      <c r="H2086" s="26"/>
      <c r="I2086" s="27" t="str">
        <f aca="false">IF(A2086="","",IF(H2086&lt;&gt;"",UPPER(TRIM(H2086)),IFERROR(CHOOSE(VALUE(E2086)+1,"A","B","C","D"),IF(OR(LEFT(UPPER(TRIM(E2086)),1)="F",UPPER(TRIM(E2086))="A"),"A",IF(OR(LEFT(UPPER(TRIM(E2086)),1)="M",UPPER(TRIM(E2086))="B"),"B",IF(OR(LEFT(UPPER(TRIM(E2086)),2)="SL",UPPER(TRIM(E2086))="C"),"C",IF(OR(LEFT(UPPER(TRIM(E2086)),1)="D",UPPER(TRIM(E2086))="D"),"D","")))))))</f>
        <v/>
      </c>
      <c r="J2086" s="27" t="str">
        <f aca="false">IF(I2086="","",IF(AND(I2086="D",Settings!$B$6&lt;&gt;"Yes"),"",IFERROR(INDEX(Settings!$C$9:$C$12,MATCH(I2086,Settings!$A$9:$A$12,0)),"")))</f>
        <v/>
      </c>
      <c r="K2086" s="27" t="str">
        <f aca="false">IF(J2086="","",COUNTIF($I$2:I2086,I2086))</f>
        <v/>
      </c>
      <c r="L2086" s="27" t="str">
        <f aca="false">IF(J2086="","",CHOOSE(Q2086+1,"Tue","Wed","Thu","Fri"))</f>
        <v/>
      </c>
      <c r="M2086" s="27" t="str">
        <f aca="false">IF(J2086="","",IF(J2086=1,"Every week",R2086+1&amp;" of "&amp;J2086))</f>
        <v/>
      </c>
      <c r="N2086" s="28" t="str">
        <f aca="false">IF(J2086="","",Settings!$B$4+R2086*7+Q2086)</f>
        <v/>
      </c>
      <c r="O2086" s="28" t="str">
        <f aca="true">IF(J2086="","",N2086+MAX(0,ROUNDUP((TODAY()-N2086)/(J2086*7),0))*J2086*7)</f>
        <v/>
      </c>
      <c r="P2086" s="27" t="str">
        <f aca="false">IF(J2086="","",MOD(K2086-1,J2086*4))</f>
        <v/>
      </c>
      <c r="Q2086" s="27" t="str">
        <f aca="false">IF(J2086="","",MOD(P2086,4))</f>
        <v/>
      </c>
      <c r="R2086" s="27" t="str">
        <f aca="false">IF(J2086="","",INT(P2086/4))</f>
        <v/>
      </c>
      <c r="S2086" s="27" t="str">
        <f aca="false">IF(J2086="","",IF(AND('Daily Count Sheet'!$H$3=Q2086,MOD('Daily Count Sheet'!$I$3,J2086)=R2086),1,""))</f>
        <v/>
      </c>
      <c r="T2086" s="27" t="str">
        <f aca="false">IF(S2086=1,COUNTIF($S$2:S2086,1),"")</f>
        <v/>
      </c>
    </row>
    <row r="2087" customFormat="false" ht="15" hidden="false" customHeight="false" outlineLevel="0" collapsed="false">
      <c r="H2087" s="26"/>
      <c r="I2087" s="27" t="str">
        <f aca="false">IF(A2087="","",IF(H2087&lt;&gt;"",UPPER(TRIM(H2087)),IFERROR(CHOOSE(VALUE(E2087)+1,"A","B","C","D"),IF(OR(LEFT(UPPER(TRIM(E2087)),1)="F",UPPER(TRIM(E2087))="A"),"A",IF(OR(LEFT(UPPER(TRIM(E2087)),1)="M",UPPER(TRIM(E2087))="B"),"B",IF(OR(LEFT(UPPER(TRIM(E2087)),2)="SL",UPPER(TRIM(E2087))="C"),"C",IF(OR(LEFT(UPPER(TRIM(E2087)),1)="D",UPPER(TRIM(E2087))="D"),"D","")))))))</f>
        <v/>
      </c>
      <c r="J2087" s="27" t="str">
        <f aca="false">IF(I2087="","",IF(AND(I2087="D",Settings!$B$6&lt;&gt;"Yes"),"",IFERROR(INDEX(Settings!$C$9:$C$12,MATCH(I2087,Settings!$A$9:$A$12,0)),"")))</f>
        <v/>
      </c>
      <c r="K2087" s="27" t="str">
        <f aca="false">IF(J2087="","",COUNTIF($I$2:I2087,I2087))</f>
        <v/>
      </c>
      <c r="L2087" s="27" t="str">
        <f aca="false">IF(J2087="","",CHOOSE(Q2087+1,"Tue","Wed","Thu","Fri"))</f>
        <v/>
      </c>
      <c r="M2087" s="27" t="str">
        <f aca="false">IF(J2087="","",IF(J2087=1,"Every week",R2087+1&amp;" of "&amp;J2087))</f>
        <v/>
      </c>
      <c r="N2087" s="28" t="str">
        <f aca="false">IF(J2087="","",Settings!$B$4+R2087*7+Q2087)</f>
        <v/>
      </c>
      <c r="O2087" s="28" t="str">
        <f aca="true">IF(J2087="","",N2087+MAX(0,ROUNDUP((TODAY()-N2087)/(J2087*7),0))*J2087*7)</f>
        <v/>
      </c>
      <c r="P2087" s="27" t="str">
        <f aca="false">IF(J2087="","",MOD(K2087-1,J2087*4))</f>
        <v/>
      </c>
      <c r="Q2087" s="27" t="str">
        <f aca="false">IF(J2087="","",MOD(P2087,4))</f>
        <v/>
      </c>
      <c r="R2087" s="27" t="str">
        <f aca="false">IF(J2087="","",INT(P2087/4))</f>
        <v/>
      </c>
      <c r="S2087" s="27" t="str">
        <f aca="false">IF(J2087="","",IF(AND('Daily Count Sheet'!$H$3=Q2087,MOD('Daily Count Sheet'!$I$3,J2087)=R2087),1,""))</f>
        <v/>
      </c>
      <c r="T2087" s="27" t="str">
        <f aca="false">IF(S2087=1,COUNTIF($S$2:S2087,1),"")</f>
        <v/>
      </c>
    </row>
    <row r="2088" customFormat="false" ht="15" hidden="false" customHeight="false" outlineLevel="0" collapsed="false">
      <c r="H2088" s="26"/>
      <c r="I2088" s="27" t="str">
        <f aca="false">IF(A2088="","",IF(H2088&lt;&gt;"",UPPER(TRIM(H2088)),IFERROR(CHOOSE(VALUE(E2088)+1,"A","B","C","D"),IF(OR(LEFT(UPPER(TRIM(E2088)),1)="F",UPPER(TRIM(E2088))="A"),"A",IF(OR(LEFT(UPPER(TRIM(E2088)),1)="M",UPPER(TRIM(E2088))="B"),"B",IF(OR(LEFT(UPPER(TRIM(E2088)),2)="SL",UPPER(TRIM(E2088))="C"),"C",IF(OR(LEFT(UPPER(TRIM(E2088)),1)="D",UPPER(TRIM(E2088))="D"),"D","")))))))</f>
        <v/>
      </c>
      <c r="J2088" s="27" t="str">
        <f aca="false">IF(I2088="","",IF(AND(I2088="D",Settings!$B$6&lt;&gt;"Yes"),"",IFERROR(INDEX(Settings!$C$9:$C$12,MATCH(I2088,Settings!$A$9:$A$12,0)),"")))</f>
        <v/>
      </c>
      <c r="K2088" s="27" t="str">
        <f aca="false">IF(J2088="","",COUNTIF($I$2:I2088,I2088))</f>
        <v/>
      </c>
      <c r="L2088" s="27" t="str">
        <f aca="false">IF(J2088="","",CHOOSE(Q2088+1,"Tue","Wed","Thu","Fri"))</f>
        <v/>
      </c>
      <c r="M2088" s="27" t="str">
        <f aca="false">IF(J2088="","",IF(J2088=1,"Every week",R2088+1&amp;" of "&amp;J2088))</f>
        <v/>
      </c>
      <c r="N2088" s="28" t="str">
        <f aca="false">IF(J2088="","",Settings!$B$4+R2088*7+Q2088)</f>
        <v/>
      </c>
      <c r="O2088" s="28" t="str">
        <f aca="true">IF(J2088="","",N2088+MAX(0,ROUNDUP((TODAY()-N2088)/(J2088*7),0))*J2088*7)</f>
        <v/>
      </c>
      <c r="P2088" s="27" t="str">
        <f aca="false">IF(J2088="","",MOD(K2088-1,J2088*4))</f>
        <v/>
      </c>
      <c r="Q2088" s="27" t="str">
        <f aca="false">IF(J2088="","",MOD(P2088,4))</f>
        <v/>
      </c>
      <c r="R2088" s="27" t="str">
        <f aca="false">IF(J2088="","",INT(P2088/4))</f>
        <v/>
      </c>
      <c r="S2088" s="27" t="str">
        <f aca="false">IF(J2088="","",IF(AND('Daily Count Sheet'!$H$3=Q2088,MOD('Daily Count Sheet'!$I$3,J2088)=R2088),1,""))</f>
        <v/>
      </c>
      <c r="T2088" s="27" t="str">
        <f aca="false">IF(S2088=1,COUNTIF($S$2:S2088,1),"")</f>
        <v/>
      </c>
    </row>
    <row r="2089" customFormat="false" ht="15" hidden="false" customHeight="false" outlineLevel="0" collapsed="false">
      <c r="H2089" s="26"/>
      <c r="I2089" s="27" t="str">
        <f aca="false">IF(A2089="","",IF(H2089&lt;&gt;"",UPPER(TRIM(H2089)),IFERROR(CHOOSE(VALUE(E2089)+1,"A","B","C","D"),IF(OR(LEFT(UPPER(TRIM(E2089)),1)="F",UPPER(TRIM(E2089))="A"),"A",IF(OR(LEFT(UPPER(TRIM(E2089)),1)="M",UPPER(TRIM(E2089))="B"),"B",IF(OR(LEFT(UPPER(TRIM(E2089)),2)="SL",UPPER(TRIM(E2089))="C"),"C",IF(OR(LEFT(UPPER(TRIM(E2089)),1)="D",UPPER(TRIM(E2089))="D"),"D","")))))))</f>
        <v/>
      </c>
      <c r="J2089" s="27" t="str">
        <f aca="false">IF(I2089="","",IF(AND(I2089="D",Settings!$B$6&lt;&gt;"Yes"),"",IFERROR(INDEX(Settings!$C$9:$C$12,MATCH(I2089,Settings!$A$9:$A$12,0)),"")))</f>
        <v/>
      </c>
      <c r="K2089" s="27" t="str">
        <f aca="false">IF(J2089="","",COUNTIF($I$2:I2089,I2089))</f>
        <v/>
      </c>
      <c r="L2089" s="27" t="str">
        <f aca="false">IF(J2089="","",CHOOSE(Q2089+1,"Tue","Wed","Thu","Fri"))</f>
        <v/>
      </c>
      <c r="M2089" s="27" t="str">
        <f aca="false">IF(J2089="","",IF(J2089=1,"Every week",R2089+1&amp;" of "&amp;J2089))</f>
        <v/>
      </c>
      <c r="N2089" s="28" t="str">
        <f aca="false">IF(J2089="","",Settings!$B$4+R2089*7+Q2089)</f>
        <v/>
      </c>
      <c r="O2089" s="28" t="str">
        <f aca="true">IF(J2089="","",N2089+MAX(0,ROUNDUP((TODAY()-N2089)/(J2089*7),0))*J2089*7)</f>
        <v/>
      </c>
      <c r="P2089" s="27" t="str">
        <f aca="false">IF(J2089="","",MOD(K2089-1,J2089*4))</f>
        <v/>
      </c>
      <c r="Q2089" s="27" t="str">
        <f aca="false">IF(J2089="","",MOD(P2089,4))</f>
        <v/>
      </c>
      <c r="R2089" s="27" t="str">
        <f aca="false">IF(J2089="","",INT(P2089/4))</f>
        <v/>
      </c>
      <c r="S2089" s="27" t="str">
        <f aca="false">IF(J2089="","",IF(AND('Daily Count Sheet'!$H$3=Q2089,MOD('Daily Count Sheet'!$I$3,J2089)=R2089),1,""))</f>
        <v/>
      </c>
      <c r="T2089" s="27" t="str">
        <f aca="false">IF(S2089=1,COUNTIF($S$2:S2089,1),"")</f>
        <v/>
      </c>
    </row>
    <row r="2090" customFormat="false" ht="15" hidden="false" customHeight="false" outlineLevel="0" collapsed="false">
      <c r="H2090" s="26"/>
      <c r="I2090" s="27" t="str">
        <f aca="false">IF(A2090="","",IF(H2090&lt;&gt;"",UPPER(TRIM(H2090)),IFERROR(CHOOSE(VALUE(E2090)+1,"A","B","C","D"),IF(OR(LEFT(UPPER(TRIM(E2090)),1)="F",UPPER(TRIM(E2090))="A"),"A",IF(OR(LEFT(UPPER(TRIM(E2090)),1)="M",UPPER(TRIM(E2090))="B"),"B",IF(OR(LEFT(UPPER(TRIM(E2090)),2)="SL",UPPER(TRIM(E2090))="C"),"C",IF(OR(LEFT(UPPER(TRIM(E2090)),1)="D",UPPER(TRIM(E2090))="D"),"D","")))))))</f>
        <v/>
      </c>
      <c r="J2090" s="27" t="str">
        <f aca="false">IF(I2090="","",IF(AND(I2090="D",Settings!$B$6&lt;&gt;"Yes"),"",IFERROR(INDEX(Settings!$C$9:$C$12,MATCH(I2090,Settings!$A$9:$A$12,0)),"")))</f>
        <v/>
      </c>
      <c r="K2090" s="27" t="str">
        <f aca="false">IF(J2090="","",COUNTIF($I$2:I2090,I2090))</f>
        <v/>
      </c>
      <c r="L2090" s="27" t="str">
        <f aca="false">IF(J2090="","",CHOOSE(Q2090+1,"Tue","Wed","Thu","Fri"))</f>
        <v/>
      </c>
      <c r="M2090" s="27" t="str">
        <f aca="false">IF(J2090="","",IF(J2090=1,"Every week",R2090+1&amp;" of "&amp;J2090))</f>
        <v/>
      </c>
      <c r="N2090" s="28" t="str">
        <f aca="false">IF(J2090="","",Settings!$B$4+R2090*7+Q2090)</f>
        <v/>
      </c>
      <c r="O2090" s="28" t="str">
        <f aca="true">IF(J2090="","",N2090+MAX(0,ROUNDUP((TODAY()-N2090)/(J2090*7),0))*J2090*7)</f>
        <v/>
      </c>
      <c r="P2090" s="27" t="str">
        <f aca="false">IF(J2090="","",MOD(K2090-1,J2090*4))</f>
        <v/>
      </c>
      <c r="Q2090" s="27" t="str">
        <f aca="false">IF(J2090="","",MOD(P2090,4))</f>
        <v/>
      </c>
      <c r="R2090" s="27" t="str">
        <f aca="false">IF(J2090="","",INT(P2090/4))</f>
        <v/>
      </c>
      <c r="S2090" s="27" t="str">
        <f aca="false">IF(J2090="","",IF(AND('Daily Count Sheet'!$H$3=Q2090,MOD('Daily Count Sheet'!$I$3,J2090)=R2090),1,""))</f>
        <v/>
      </c>
      <c r="T2090" s="27" t="str">
        <f aca="false">IF(S2090=1,COUNTIF($S$2:S2090,1),"")</f>
        <v/>
      </c>
    </row>
    <row r="2091" customFormat="false" ht="15" hidden="false" customHeight="false" outlineLevel="0" collapsed="false">
      <c r="H2091" s="26"/>
      <c r="I2091" s="27" t="str">
        <f aca="false">IF(A2091="","",IF(H2091&lt;&gt;"",UPPER(TRIM(H2091)),IFERROR(CHOOSE(VALUE(E2091)+1,"A","B","C","D"),IF(OR(LEFT(UPPER(TRIM(E2091)),1)="F",UPPER(TRIM(E2091))="A"),"A",IF(OR(LEFT(UPPER(TRIM(E2091)),1)="M",UPPER(TRIM(E2091))="B"),"B",IF(OR(LEFT(UPPER(TRIM(E2091)),2)="SL",UPPER(TRIM(E2091))="C"),"C",IF(OR(LEFT(UPPER(TRIM(E2091)),1)="D",UPPER(TRIM(E2091))="D"),"D","")))))))</f>
        <v/>
      </c>
      <c r="J2091" s="27" t="str">
        <f aca="false">IF(I2091="","",IF(AND(I2091="D",Settings!$B$6&lt;&gt;"Yes"),"",IFERROR(INDEX(Settings!$C$9:$C$12,MATCH(I2091,Settings!$A$9:$A$12,0)),"")))</f>
        <v/>
      </c>
      <c r="K2091" s="27" t="str">
        <f aca="false">IF(J2091="","",COUNTIF($I$2:I2091,I2091))</f>
        <v/>
      </c>
      <c r="L2091" s="27" t="str">
        <f aca="false">IF(J2091="","",CHOOSE(Q2091+1,"Tue","Wed","Thu","Fri"))</f>
        <v/>
      </c>
      <c r="M2091" s="27" t="str">
        <f aca="false">IF(J2091="","",IF(J2091=1,"Every week",R2091+1&amp;" of "&amp;J2091))</f>
        <v/>
      </c>
      <c r="N2091" s="28" t="str">
        <f aca="false">IF(J2091="","",Settings!$B$4+R2091*7+Q2091)</f>
        <v/>
      </c>
      <c r="O2091" s="28" t="str">
        <f aca="true">IF(J2091="","",N2091+MAX(0,ROUNDUP((TODAY()-N2091)/(J2091*7),0))*J2091*7)</f>
        <v/>
      </c>
      <c r="P2091" s="27" t="str">
        <f aca="false">IF(J2091="","",MOD(K2091-1,J2091*4))</f>
        <v/>
      </c>
      <c r="Q2091" s="27" t="str">
        <f aca="false">IF(J2091="","",MOD(P2091,4))</f>
        <v/>
      </c>
      <c r="R2091" s="27" t="str">
        <f aca="false">IF(J2091="","",INT(P2091/4))</f>
        <v/>
      </c>
      <c r="S2091" s="27" t="str">
        <f aca="false">IF(J2091="","",IF(AND('Daily Count Sheet'!$H$3=Q2091,MOD('Daily Count Sheet'!$I$3,J2091)=R2091),1,""))</f>
        <v/>
      </c>
      <c r="T2091" s="27" t="str">
        <f aca="false">IF(S2091=1,COUNTIF($S$2:S2091,1),"")</f>
        <v/>
      </c>
    </row>
    <row r="2092" customFormat="false" ht="15" hidden="false" customHeight="false" outlineLevel="0" collapsed="false">
      <c r="H2092" s="26"/>
      <c r="I2092" s="27" t="str">
        <f aca="false">IF(A2092="","",IF(H2092&lt;&gt;"",UPPER(TRIM(H2092)),IFERROR(CHOOSE(VALUE(E2092)+1,"A","B","C","D"),IF(OR(LEFT(UPPER(TRIM(E2092)),1)="F",UPPER(TRIM(E2092))="A"),"A",IF(OR(LEFT(UPPER(TRIM(E2092)),1)="M",UPPER(TRIM(E2092))="B"),"B",IF(OR(LEFT(UPPER(TRIM(E2092)),2)="SL",UPPER(TRIM(E2092))="C"),"C",IF(OR(LEFT(UPPER(TRIM(E2092)),1)="D",UPPER(TRIM(E2092))="D"),"D","")))))))</f>
        <v/>
      </c>
      <c r="J2092" s="27" t="str">
        <f aca="false">IF(I2092="","",IF(AND(I2092="D",Settings!$B$6&lt;&gt;"Yes"),"",IFERROR(INDEX(Settings!$C$9:$C$12,MATCH(I2092,Settings!$A$9:$A$12,0)),"")))</f>
        <v/>
      </c>
      <c r="K2092" s="27" t="str">
        <f aca="false">IF(J2092="","",COUNTIF($I$2:I2092,I2092))</f>
        <v/>
      </c>
      <c r="L2092" s="27" t="str">
        <f aca="false">IF(J2092="","",CHOOSE(Q2092+1,"Tue","Wed","Thu","Fri"))</f>
        <v/>
      </c>
      <c r="M2092" s="27" t="str">
        <f aca="false">IF(J2092="","",IF(J2092=1,"Every week",R2092+1&amp;" of "&amp;J2092))</f>
        <v/>
      </c>
      <c r="N2092" s="28" t="str">
        <f aca="false">IF(J2092="","",Settings!$B$4+R2092*7+Q2092)</f>
        <v/>
      </c>
      <c r="O2092" s="28" t="str">
        <f aca="true">IF(J2092="","",N2092+MAX(0,ROUNDUP((TODAY()-N2092)/(J2092*7),0))*J2092*7)</f>
        <v/>
      </c>
      <c r="P2092" s="27" t="str">
        <f aca="false">IF(J2092="","",MOD(K2092-1,J2092*4))</f>
        <v/>
      </c>
      <c r="Q2092" s="27" t="str">
        <f aca="false">IF(J2092="","",MOD(P2092,4))</f>
        <v/>
      </c>
      <c r="R2092" s="27" t="str">
        <f aca="false">IF(J2092="","",INT(P2092/4))</f>
        <v/>
      </c>
      <c r="S2092" s="27" t="str">
        <f aca="false">IF(J2092="","",IF(AND('Daily Count Sheet'!$H$3=Q2092,MOD('Daily Count Sheet'!$I$3,J2092)=R2092),1,""))</f>
        <v/>
      </c>
      <c r="T2092" s="27" t="str">
        <f aca="false">IF(S2092=1,COUNTIF($S$2:S2092,1),"")</f>
        <v/>
      </c>
    </row>
    <row r="2093" customFormat="false" ht="15" hidden="false" customHeight="false" outlineLevel="0" collapsed="false">
      <c r="H2093" s="26"/>
      <c r="I2093" s="27" t="str">
        <f aca="false">IF(A2093="","",IF(H2093&lt;&gt;"",UPPER(TRIM(H2093)),IFERROR(CHOOSE(VALUE(E2093)+1,"A","B","C","D"),IF(OR(LEFT(UPPER(TRIM(E2093)),1)="F",UPPER(TRIM(E2093))="A"),"A",IF(OR(LEFT(UPPER(TRIM(E2093)),1)="M",UPPER(TRIM(E2093))="B"),"B",IF(OR(LEFT(UPPER(TRIM(E2093)),2)="SL",UPPER(TRIM(E2093))="C"),"C",IF(OR(LEFT(UPPER(TRIM(E2093)),1)="D",UPPER(TRIM(E2093))="D"),"D","")))))))</f>
        <v/>
      </c>
      <c r="J2093" s="27" t="str">
        <f aca="false">IF(I2093="","",IF(AND(I2093="D",Settings!$B$6&lt;&gt;"Yes"),"",IFERROR(INDEX(Settings!$C$9:$C$12,MATCH(I2093,Settings!$A$9:$A$12,0)),"")))</f>
        <v/>
      </c>
      <c r="K2093" s="27" t="str">
        <f aca="false">IF(J2093="","",COUNTIF($I$2:I2093,I2093))</f>
        <v/>
      </c>
      <c r="L2093" s="27" t="str">
        <f aca="false">IF(J2093="","",CHOOSE(Q2093+1,"Tue","Wed","Thu","Fri"))</f>
        <v/>
      </c>
      <c r="M2093" s="27" t="str">
        <f aca="false">IF(J2093="","",IF(J2093=1,"Every week",R2093+1&amp;" of "&amp;J2093))</f>
        <v/>
      </c>
      <c r="N2093" s="28" t="str">
        <f aca="false">IF(J2093="","",Settings!$B$4+R2093*7+Q2093)</f>
        <v/>
      </c>
      <c r="O2093" s="28" t="str">
        <f aca="true">IF(J2093="","",N2093+MAX(0,ROUNDUP((TODAY()-N2093)/(J2093*7),0))*J2093*7)</f>
        <v/>
      </c>
      <c r="P2093" s="27" t="str">
        <f aca="false">IF(J2093="","",MOD(K2093-1,J2093*4))</f>
        <v/>
      </c>
      <c r="Q2093" s="27" t="str">
        <f aca="false">IF(J2093="","",MOD(P2093,4))</f>
        <v/>
      </c>
      <c r="R2093" s="27" t="str">
        <f aca="false">IF(J2093="","",INT(P2093/4))</f>
        <v/>
      </c>
      <c r="S2093" s="27" t="str">
        <f aca="false">IF(J2093="","",IF(AND('Daily Count Sheet'!$H$3=Q2093,MOD('Daily Count Sheet'!$I$3,J2093)=R2093),1,""))</f>
        <v/>
      </c>
      <c r="T2093" s="27" t="str">
        <f aca="false">IF(S2093=1,COUNTIF($S$2:S2093,1),"")</f>
        <v/>
      </c>
    </row>
    <row r="2094" customFormat="false" ht="15" hidden="false" customHeight="false" outlineLevel="0" collapsed="false">
      <c r="H2094" s="26"/>
      <c r="I2094" s="27" t="str">
        <f aca="false">IF(A2094="","",IF(H2094&lt;&gt;"",UPPER(TRIM(H2094)),IFERROR(CHOOSE(VALUE(E2094)+1,"A","B","C","D"),IF(OR(LEFT(UPPER(TRIM(E2094)),1)="F",UPPER(TRIM(E2094))="A"),"A",IF(OR(LEFT(UPPER(TRIM(E2094)),1)="M",UPPER(TRIM(E2094))="B"),"B",IF(OR(LEFT(UPPER(TRIM(E2094)),2)="SL",UPPER(TRIM(E2094))="C"),"C",IF(OR(LEFT(UPPER(TRIM(E2094)),1)="D",UPPER(TRIM(E2094))="D"),"D","")))))))</f>
        <v/>
      </c>
      <c r="J2094" s="27" t="str">
        <f aca="false">IF(I2094="","",IF(AND(I2094="D",Settings!$B$6&lt;&gt;"Yes"),"",IFERROR(INDEX(Settings!$C$9:$C$12,MATCH(I2094,Settings!$A$9:$A$12,0)),"")))</f>
        <v/>
      </c>
      <c r="K2094" s="27" t="str">
        <f aca="false">IF(J2094="","",COUNTIF($I$2:I2094,I2094))</f>
        <v/>
      </c>
      <c r="L2094" s="27" t="str">
        <f aca="false">IF(J2094="","",CHOOSE(Q2094+1,"Tue","Wed","Thu","Fri"))</f>
        <v/>
      </c>
      <c r="M2094" s="27" t="str">
        <f aca="false">IF(J2094="","",IF(J2094=1,"Every week",R2094+1&amp;" of "&amp;J2094))</f>
        <v/>
      </c>
      <c r="N2094" s="28" t="str">
        <f aca="false">IF(J2094="","",Settings!$B$4+R2094*7+Q2094)</f>
        <v/>
      </c>
      <c r="O2094" s="28" t="str">
        <f aca="true">IF(J2094="","",N2094+MAX(0,ROUNDUP((TODAY()-N2094)/(J2094*7),0))*J2094*7)</f>
        <v/>
      </c>
      <c r="P2094" s="27" t="str">
        <f aca="false">IF(J2094="","",MOD(K2094-1,J2094*4))</f>
        <v/>
      </c>
      <c r="Q2094" s="27" t="str">
        <f aca="false">IF(J2094="","",MOD(P2094,4))</f>
        <v/>
      </c>
      <c r="R2094" s="27" t="str">
        <f aca="false">IF(J2094="","",INT(P2094/4))</f>
        <v/>
      </c>
      <c r="S2094" s="27" t="str">
        <f aca="false">IF(J2094="","",IF(AND('Daily Count Sheet'!$H$3=Q2094,MOD('Daily Count Sheet'!$I$3,J2094)=R2094),1,""))</f>
        <v/>
      </c>
      <c r="T2094" s="27" t="str">
        <f aca="false">IF(S2094=1,COUNTIF($S$2:S2094,1),"")</f>
        <v/>
      </c>
    </row>
    <row r="2095" customFormat="false" ht="15" hidden="false" customHeight="false" outlineLevel="0" collapsed="false">
      <c r="H2095" s="26"/>
      <c r="I2095" s="27" t="str">
        <f aca="false">IF(A2095="","",IF(H2095&lt;&gt;"",UPPER(TRIM(H2095)),IFERROR(CHOOSE(VALUE(E2095)+1,"A","B","C","D"),IF(OR(LEFT(UPPER(TRIM(E2095)),1)="F",UPPER(TRIM(E2095))="A"),"A",IF(OR(LEFT(UPPER(TRIM(E2095)),1)="M",UPPER(TRIM(E2095))="B"),"B",IF(OR(LEFT(UPPER(TRIM(E2095)),2)="SL",UPPER(TRIM(E2095))="C"),"C",IF(OR(LEFT(UPPER(TRIM(E2095)),1)="D",UPPER(TRIM(E2095))="D"),"D","")))))))</f>
        <v/>
      </c>
      <c r="J2095" s="27" t="str">
        <f aca="false">IF(I2095="","",IF(AND(I2095="D",Settings!$B$6&lt;&gt;"Yes"),"",IFERROR(INDEX(Settings!$C$9:$C$12,MATCH(I2095,Settings!$A$9:$A$12,0)),"")))</f>
        <v/>
      </c>
      <c r="K2095" s="27" t="str">
        <f aca="false">IF(J2095="","",COUNTIF($I$2:I2095,I2095))</f>
        <v/>
      </c>
      <c r="L2095" s="27" t="str">
        <f aca="false">IF(J2095="","",CHOOSE(Q2095+1,"Tue","Wed","Thu","Fri"))</f>
        <v/>
      </c>
      <c r="M2095" s="27" t="str">
        <f aca="false">IF(J2095="","",IF(J2095=1,"Every week",R2095+1&amp;" of "&amp;J2095))</f>
        <v/>
      </c>
      <c r="N2095" s="28" t="str">
        <f aca="false">IF(J2095="","",Settings!$B$4+R2095*7+Q2095)</f>
        <v/>
      </c>
      <c r="O2095" s="28" t="str">
        <f aca="true">IF(J2095="","",N2095+MAX(0,ROUNDUP((TODAY()-N2095)/(J2095*7),0))*J2095*7)</f>
        <v/>
      </c>
      <c r="P2095" s="27" t="str">
        <f aca="false">IF(J2095="","",MOD(K2095-1,J2095*4))</f>
        <v/>
      </c>
      <c r="Q2095" s="27" t="str">
        <f aca="false">IF(J2095="","",MOD(P2095,4))</f>
        <v/>
      </c>
      <c r="R2095" s="27" t="str">
        <f aca="false">IF(J2095="","",INT(P2095/4))</f>
        <v/>
      </c>
      <c r="S2095" s="27" t="str">
        <f aca="false">IF(J2095="","",IF(AND('Daily Count Sheet'!$H$3=Q2095,MOD('Daily Count Sheet'!$I$3,J2095)=R2095),1,""))</f>
        <v/>
      </c>
      <c r="T2095" s="27" t="str">
        <f aca="false">IF(S2095=1,COUNTIF($S$2:S2095,1),"")</f>
        <v/>
      </c>
    </row>
    <row r="2096" customFormat="false" ht="15" hidden="false" customHeight="false" outlineLevel="0" collapsed="false">
      <c r="H2096" s="26"/>
      <c r="I2096" s="27" t="str">
        <f aca="false">IF(A2096="","",IF(H2096&lt;&gt;"",UPPER(TRIM(H2096)),IFERROR(CHOOSE(VALUE(E2096)+1,"A","B","C","D"),IF(OR(LEFT(UPPER(TRIM(E2096)),1)="F",UPPER(TRIM(E2096))="A"),"A",IF(OR(LEFT(UPPER(TRIM(E2096)),1)="M",UPPER(TRIM(E2096))="B"),"B",IF(OR(LEFT(UPPER(TRIM(E2096)),2)="SL",UPPER(TRIM(E2096))="C"),"C",IF(OR(LEFT(UPPER(TRIM(E2096)),1)="D",UPPER(TRIM(E2096))="D"),"D","")))))))</f>
        <v/>
      </c>
      <c r="J2096" s="27" t="str">
        <f aca="false">IF(I2096="","",IF(AND(I2096="D",Settings!$B$6&lt;&gt;"Yes"),"",IFERROR(INDEX(Settings!$C$9:$C$12,MATCH(I2096,Settings!$A$9:$A$12,0)),"")))</f>
        <v/>
      </c>
      <c r="K2096" s="27" t="str">
        <f aca="false">IF(J2096="","",COUNTIF($I$2:I2096,I2096))</f>
        <v/>
      </c>
      <c r="L2096" s="27" t="str">
        <f aca="false">IF(J2096="","",CHOOSE(Q2096+1,"Tue","Wed","Thu","Fri"))</f>
        <v/>
      </c>
      <c r="M2096" s="27" t="str">
        <f aca="false">IF(J2096="","",IF(J2096=1,"Every week",R2096+1&amp;" of "&amp;J2096))</f>
        <v/>
      </c>
      <c r="N2096" s="28" t="str">
        <f aca="false">IF(J2096="","",Settings!$B$4+R2096*7+Q2096)</f>
        <v/>
      </c>
      <c r="O2096" s="28" t="str">
        <f aca="true">IF(J2096="","",N2096+MAX(0,ROUNDUP((TODAY()-N2096)/(J2096*7),0))*J2096*7)</f>
        <v/>
      </c>
      <c r="P2096" s="27" t="str">
        <f aca="false">IF(J2096="","",MOD(K2096-1,J2096*4))</f>
        <v/>
      </c>
      <c r="Q2096" s="27" t="str">
        <f aca="false">IF(J2096="","",MOD(P2096,4))</f>
        <v/>
      </c>
      <c r="R2096" s="27" t="str">
        <f aca="false">IF(J2096="","",INT(P2096/4))</f>
        <v/>
      </c>
      <c r="S2096" s="27" t="str">
        <f aca="false">IF(J2096="","",IF(AND('Daily Count Sheet'!$H$3=Q2096,MOD('Daily Count Sheet'!$I$3,J2096)=R2096),1,""))</f>
        <v/>
      </c>
      <c r="T2096" s="27" t="str">
        <f aca="false">IF(S2096=1,COUNTIF($S$2:S2096,1),"")</f>
        <v/>
      </c>
    </row>
    <row r="2097" customFormat="false" ht="15" hidden="false" customHeight="false" outlineLevel="0" collapsed="false">
      <c r="H2097" s="26"/>
      <c r="I2097" s="27" t="str">
        <f aca="false">IF(A2097="","",IF(H2097&lt;&gt;"",UPPER(TRIM(H2097)),IFERROR(CHOOSE(VALUE(E2097)+1,"A","B","C","D"),IF(OR(LEFT(UPPER(TRIM(E2097)),1)="F",UPPER(TRIM(E2097))="A"),"A",IF(OR(LEFT(UPPER(TRIM(E2097)),1)="M",UPPER(TRIM(E2097))="B"),"B",IF(OR(LEFT(UPPER(TRIM(E2097)),2)="SL",UPPER(TRIM(E2097))="C"),"C",IF(OR(LEFT(UPPER(TRIM(E2097)),1)="D",UPPER(TRIM(E2097))="D"),"D","")))))))</f>
        <v/>
      </c>
      <c r="J2097" s="27" t="str">
        <f aca="false">IF(I2097="","",IF(AND(I2097="D",Settings!$B$6&lt;&gt;"Yes"),"",IFERROR(INDEX(Settings!$C$9:$C$12,MATCH(I2097,Settings!$A$9:$A$12,0)),"")))</f>
        <v/>
      </c>
      <c r="K2097" s="27" t="str">
        <f aca="false">IF(J2097="","",COUNTIF($I$2:I2097,I2097))</f>
        <v/>
      </c>
      <c r="L2097" s="27" t="str">
        <f aca="false">IF(J2097="","",CHOOSE(Q2097+1,"Tue","Wed","Thu","Fri"))</f>
        <v/>
      </c>
      <c r="M2097" s="27" t="str">
        <f aca="false">IF(J2097="","",IF(J2097=1,"Every week",R2097+1&amp;" of "&amp;J2097))</f>
        <v/>
      </c>
      <c r="N2097" s="28" t="str">
        <f aca="false">IF(J2097="","",Settings!$B$4+R2097*7+Q2097)</f>
        <v/>
      </c>
      <c r="O2097" s="28" t="str">
        <f aca="true">IF(J2097="","",N2097+MAX(0,ROUNDUP((TODAY()-N2097)/(J2097*7),0))*J2097*7)</f>
        <v/>
      </c>
      <c r="P2097" s="27" t="str">
        <f aca="false">IF(J2097="","",MOD(K2097-1,J2097*4))</f>
        <v/>
      </c>
      <c r="Q2097" s="27" t="str">
        <f aca="false">IF(J2097="","",MOD(P2097,4))</f>
        <v/>
      </c>
      <c r="R2097" s="27" t="str">
        <f aca="false">IF(J2097="","",INT(P2097/4))</f>
        <v/>
      </c>
      <c r="S2097" s="27" t="str">
        <f aca="false">IF(J2097="","",IF(AND('Daily Count Sheet'!$H$3=Q2097,MOD('Daily Count Sheet'!$I$3,J2097)=R2097),1,""))</f>
        <v/>
      </c>
      <c r="T2097" s="27" t="str">
        <f aca="false">IF(S2097=1,COUNTIF($S$2:S2097,1),"")</f>
        <v/>
      </c>
    </row>
    <row r="2098" customFormat="false" ht="15" hidden="false" customHeight="false" outlineLevel="0" collapsed="false">
      <c r="H2098" s="26"/>
      <c r="I2098" s="27" t="str">
        <f aca="false">IF(A2098="","",IF(H2098&lt;&gt;"",UPPER(TRIM(H2098)),IFERROR(CHOOSE(VALUE(E2098)+1,"A","B","C","D"),IF(OR(LEFT(UPPER(TRIM(E2098)),1)="F",UPPER(TRIM(E2098))="A"),"A",IF(OR(LEFT(UPPER(TRIM(E2098)),1)="M",UPPER(TRIM(E2098))="B"),"B",IF(OR(LEFT(UPPER(TRIM(E2098)),2)="SL",UPPER(TRIM(E2098))="C"),"C",IF(OR(LEFT(UPPER(TRIM(E2098)),1)="D",UPPER(TRIM(E2098))="D"),"D","")))))))</f>
        <v/>
      </c>
      <c r="J2098" s="27" t="str">
        <f aca="false">IF(I2098="","",IF(AND(I2098="D",Settings!$B$6&lt;&gt;"Yes"),"",IFERROR(INDEX(Settings!$C$9:$C$12,MATCH(I2098,Settings!$A$9:$A$12,0)),"")))</f>
        <v/>
      </c>
      <c r="K2098" s="27" t="str">
        <f aca="false">IF(J2098="","",COUNTIF($I$2:I2098,I2098))</f>
        <v/>
      </c>
      <c r="L2098" s="27" t="str">
        <f aca="false">IF(J2098="","",CHOOSE(Q2098+1,"Tue","Wed","Thu","Fri"))</f>
        <v/>
      </c>
      <c r="M2098" s="27" t="str">
        <f aca="false">IF(J2098="","",IF(J2098=1,"Every week",R2098+1&amp;" of "&amp;J2098))</f>
        <v/>
      </c>
      <c r="N2098" s="28" t="str">
        <f aca="false">IF(J2098="","",Settings!$B$4+R2098*7+Q2098)</f>
        <v/>
      </c>
      <c r="O2098" s="28" t="str">
        <f aca="true">IF(J2098="","",N2098+MAX(0,ROUNDUP((TODAY()-N2098)/(J2098*7),0))*J2098*7)</f>
        <v/>
      </c>
      <c r="P2098" s="27" t="str">
        <f aca="false">IF(J2098="","",MOD(K2098-1,J2098*4))</f>
        <v/>
      </c>
      <c r="Q2098" s="27" t="str">
        <f aca="false">IF(J2098="","",MOD(P2098,4))</f>
        <v/>
      </c>
      <c r="R2098" s="27" t="str">
        <f aca="false">IF(J2098="","",INT(P2098/4))</f>
        <v/>
      </c>
      <c r="S2098" s="27" t="str">
        <f aca="false">IF(J2098="","",IF(AND('Daily Count Sheet'!$H$3=Q2098,MOD('Daily Count Sheet'!$I$3,J2098)=R2098),1,""))</f>
        <v/>
      </c>
      <c r="T2098" s="27" t="str">
        <f aca="false">IF(S2098=1,COUNTIF($S$2:S2098,1),"")</f>
        <v/>
      </c>
    </row>
    <row r="2099" customFormat="false" ht="15" hidden="false" customHeight="false" outlineLevel="0" collapsed="false">
      <c r="H2099" s="26"/>
      <c r="I2099" s="27" t="str">
        <f aca="false">IF(A2099="","",IF(H2099&lt;&gt;"",UPPER(TRIM(H2099)),IFERROR(CHOOSE(VALUE(E2099)+1,"A","B","C","D"),IF(OR(LEFT(UPPER(TRIM(E2099)),1)="F",UPPER(TRIM(E2099))="A"),"A",IF(OR(LEFT(UPPER(TRIM(E2099)),1)="M",UPPER(TRIM(E2099))="B"),"B",IF(OR(LEFT(UPPER(TRIM(E2099)),2)="SL",UPPER(TRIM(E2099))="C"),"C",IF(OR(LEFT(UPPER(TRIM(E2099)),1)="D",UPPER(TRIM(E2099))="D"),"D","")))))))</f>
        <v/>
      </c>
      <c r="J2099" s="27" t="str">
        <f aca="false">IF(I2099="","",IF(AND(I2099="D",Settings!$B$6&lt;&gt;"Yes"),"",IFERROR(INDEX(Settings!$C$9:$C$12,MATCH(I2099,Settings!$A$9:$A$12,0)),"")))</f>
        <v/>
      </c>
      <c r="K2099" s="27" t="str">
        <f aca="false">IF(J2099="","",COUNTIF($I$2:I2099,I2099))</f>
        <v/>
      </c>
      <c r="L2099" s="27" t="str">
        <f aca="false">IF(J2099="","",CHOOSE(Q2099+1,"Tue","Wed","Thu","Fri"))</f>
        <v/>
      </c>
      <c r="M2099" s="27" t="str">
        <f aca="false">IF(J2099="","",IF(J2099=1,"Every week",R2099+1&amp;" of "&amp;J2099))</f>
        <v/>
      </c>
      <c r="N2099" s="28" t="str">
        <f aca="false">IF(J2099="","",Settings!$B$4+R2099*7+Q2099)</f>
        <v/>
      </c>
      <c r="O2099" s="28" t="str">
        <f aca="true">IF(J2099="","",N2099+MAX(0,ROUNDUP((TODAY()-N2099)/(J2099*7),0))*J2099*7)</f>
        <v/>
      </c>
      <c r="P2099" s="27" t="str">
        <f aca="false">IF(J2099="","",MOD(K2099-1,J2099*4))</f>
        <v/>
      </c>
      <c r="Q2099" s="27" t="str">
        <f aca="false">IF(J2099="","",MOD(P2099,4))</f>
        <v/>
      </c>
      <c r="R2099" s="27" t="str">
        <f aca="false">IF(J2099="","",INT(P2099/4))</f>
        <v/>
      </c>
      <c r="S2099" s="27" t="str">
        <f aca="false">IF(J2099="","",IF(AND('Daily Count Sheet'!$H$3=Q2099,MOD('Daily Count Sheet'!$I$3,J2099)=R2099),1,""))</f>
        <v/>
      </c>
      <c r="T2099" s="27" t="str">
        <f aca="false">IF(S2099=1,COUNTIF($S$2:S2099,1),"")</f>
        <v/>
      </c>
    </row>
    <row r="2100" customFormat="false" ht="15" hidden="false" customHeight="false" outlineLevel="0" collapsed="false">
      <c r="H2100" s="26"/>
      <c r="I2100" s="27" t="str">
        <f aca="false">IF(A2100="","",IF(H2100&lt;&gt;"",UPPER(TRIM(H2100)),IFERROR(CHOOSE(VALUE(E2100)+1,"A","B","C","D"),IF(OR(LEFT(UPPER(TRIM(E2100)),1)="F",UPPER(TRIM(E2100))="A"),"A",IF(OR(LEFT(UPPER(TRIM(E2100)),1)="M",UPPER(TRIM(E2100))="B"),"B",IF(OR(LEFT(UPPER(TRIM(E2100)),2)="SL",UPPER(TRIM(E2100))="C"),"C",IF(OR(LEFT(UPPER(TRIM(E2100)),1)="D",UPPER(TRIM(E2100))="D"),"D","")))))))</f>
        <v/>
      </c>
      <c r="J2100" s="27" t="str">
        <f aca="false">IF(I2100="","",IF(AND(I2100="D",Settings!$B$6&lt;&gt;"Yes"),"",IFERROR(INDEX(Settings!$C$9:$C$12,MATCH(I2100,Settings!$A$9:$A$12,0)),"")))</f>
        <v/>
      </c>
      <c r="K2100" s="27" t="str">
        <f aca="false">IF(J2100="","",COUNTIF($I$2:I2100,I2100))</f>
        <v/>
      </c>
      <c r="L2100" s="27" t="str">
        <f aca="false">IF(J2100="","",CHOOSE(Q2100+1,"Tue","Wed","Thu","Fri"))</f>
        <v/>
      </c>
      <c r="M2100" s="27" t="str">
        <f aca="false">IF(J2100="","",IF(J2100=1,"Every week",R2100+1&amp;" of "&amp;J2100))</f>
        <v/>
      </c>
      <c r="N2100" s="28" t="str">
        <f aca="false">IF(J2100="","",Settings!$B$4+R2100*7+Q2100)</f>
        <v/>
      </c>
      <c r="O2100" s="28" t="str">
        <f aca="true">IF(J2100="","",N2100+MAX(0,ROUNDUP((TODAY()-N2100)/(J2100*7),0))*J2100*7)</f>
        <v/>
      </c>
      <c r="P2100" s="27" t="str">
        <f aca="false">IF(J2100="","",MOD(K2100-1,J2100*4))</f>
        <v/>
      </c>
      <c r="Q2100" s="27" t="str">
        <f aca="false">IF(J2100="","",MOD(P2100,4))</f>
        <v/>
      </c>
      <c r="R2100" s="27" t="str">
        <f aca="false">IF(J2100="","",INT(P2100/4))</f>
        <v/>
      </c>
      <c r="S2100" s="27" t="str">
        <f aca="false">IF(J2100="","",IF(AND('Daily Count Sheet'!$H$3=Q2100,MOD('Daily Count Sheet'!$I$3,J2100)=R2100),1,""))</f>
        <v/>
      </c>
      <c r="T2100" s="27" t="str">
        <f aca="false">IF(S2100=1,COUNTIF($S$2:S2100,1),"")</f>
        <v/>
      </c>
    </row>
    <row r="2101" customFormat="false" ht="15" hidden="false" customHeight="false" outlineLevel="0" collapsed="false">
      <c r="H2101" s="26"/>
      <c r="I2101" s="27" t="str">
        <f aca="false">IF(A2101="","",IF(H2101&lt;&gt;"",UPPER(TRIM(H2101)),IFERROR(CHOOSE(VALUE(E2101)+1,"A","B","C","D"),IF(OR(LEFT(UPPER(TRIM(E2101)),1)="F",UPPER(TRIM(E2101))="A"),"A",IF(OR(LEFT(UPPER(TRIM(E2101)),1)="M",UPPER(TRIM(E2101))="B"),"B",IF(OR(LEFT(UPPER(TRIM(E2101)),2)="SL",UPPER(TRIM(E2101))="C"),"C",IF(OR(LEFT(UPPER(TRIM(E2101)),1)="D",UPPER(TRIM(E2101))="D"),"D","")))))))</f>
        <v/>
      </c>
      <c r="J2101" s="27" t="str">
        <f aca="false">IF(I2101="","",IF(AND(I2101="D",Settings!$B$6&lt;&gt;"Yes"),"",IFERROR(INDEX(Settings!$C$9:$C$12,MATCH(I2101,Settings!$A$9:$A$12,0)),"")))</f>
        <v/>
      </c>
      <c r="K2101" s="27" t="str">
        <f aca="false">IF(J2101="","",COUNTIF($I$2:I2101,I2101))</f>
        <v/>
      </c>
      <c r="L2101" s="27" t="str">
        <f aca="false">IF(J2101="","",CHOOSE(Q2101+1,"Tue","Wed","Thu","Fri"))</f>
        <v/>
      </c>
      <c r="M2101" s="27" t="str">
        <f aca="false">IF(J2101="","",IF(J2101=1,"Every week",R2101+1&amp;" of "&amp;J2101))</f>
        <v/>
      </c>
      <c r="N2101" s="28" t="str">
        <f aca="false">IF(J2101="","",Settings!$B$4+R2101*7+Q2101)</f>
        <v/>
      </c>
      <c r="O2101" s="28" t="str">
        <f aca="true">IF(J2101="","",N2101+MAX(0,ROUNDUP((TODAY()-N2101)/(J2101*7),0))*J2101*7)</f>
        <v/>
      </c>
      <c r="P2101" s="27" t="str">
        <f aca="false">IF(J2101="","",MOD(K2101-1,J2101*4))</f>
        <v/>
      </c>
      <c r="Q2101" s="27" t="str">
        <f aca="false">IF(J2101="","",MOD(P2101,4))</f>
        <v/>
      </c>
      <c r="R2101" s="27" t="str">
        <f aca="false">IF(J2101="","",INT(P2101/4))</f>
        <v/>
      </c>
      <c r="S2101" s="27" t="str">
        <f aca="false">IF(J2101="","",IF(AND('Daily Count Sheet'!$H$3=Q2101,MOD('Daily Count Sheet'!$I$3,J2101)=R2101),1,""))</f>
        <v/>
      </c>
      <c r="T2101" s="27" t="str">
        <f aca="false">IF(S2101=1,COUNTIF($S$2:S2101,1),"")</f>
        <v/>
      </c>
    </row>
    <row r="2102" customFormat="false" ht="15" hidden="false" customHeight="false" outlineLevel="0" collapsed="false">
      <c r="H2102" s="26"/>
      <c r="I2102" s="27" t="str">
        <f aca="false">IF(A2102="","",IF(H2102&lt;&gt;"",UPPER(TRIM(H2102)),IFERROR(CHOOSE(VALUE(E2102)+1,"A","B","C","D"),IF(OR(LEFT(UPPER(TRIM(E2102)),1)="F",UPPER(TRIM(E2102))="A"),"A",IF(OR(LEFT(UPPER(TRIM(E2102)),1)="M",UPPER(TRIM(E2102))="B"),"B",IF(OR(LEFT(UPPER(TRIM(E2102)),2)="SL",UPPER(TRIM(E2102))="C"),"C",IF(OR(LEFT(UPPER(TRIM(E2102)),1)="D",UPPER(TRIM(E2102))="D"),"D","")))))))</f>
        <v/>
      </c>
      <c r="J2102" s="27" t="str">
        <f aca="false">IF(I2102="","",IF(AND(I2102="D",Settings!$B$6&lt;&gt;"Yes"),"",IFERROR(INDEX(Settings!$C$9:$C$12,MATCH(I2102,Settings!$A$9:$A$12,0)),"")))</f>
        <v/>
      </c>
      <c r="K2102" s="27" t="str">
        <f aca="false">IF(J2102="","",COUNTIF($I$2:I2102,I2102))</f>
        <v/>
      </c>
      <c r="L2102" s="27" t="str">
        <f aca="false">IF(J2102="","",CHOOSE(Q2102+1,"Tue","Wed","Thu","Fri"))</f>
        <v/>
      </c>
      <c r="M2102" s="27" t="str">
        <f aca="false">IF(J2102="","",IF(J2102=1,"Every week",R2102+1&amp;" of "&amp;J2102))</f>
        <v/>
      </c>
      <c r="N2102" s="28" t="str">
        <f aca="false">IF(J2102="","",Settings!$B$4+R2102*7+Q2102)</f>
        <v/>
      </c>
      <c r="O2102" s="28" t="str">
        <f aca="true">IF(J2102="","",N2102+MAX(0,ROUNDUP((TODAY()-N2102)/(J2102*7),0))*J2102*7)</f>
        <v/>
      </c>
      <c r="P2102" s="27" t="str">
        <f aca="false">IF(J2102="","",MOD(K2102-1,J2102*4))</f>
        <v/>
      </c>
      <c r="Q2102" s="27" t="str">
        <f aca="false">IF(J2102="","",MOD(P2102,4))</f>
        <v/>
      </c>
      <c r="R2102" s="27" t="str">
        <f aca="false">IF(J2102="","",INT(P2102/4))</f>
        <v/>
      </c>
      <c r="S2102" s="27" t="str">
        <f aca="false">IF(J2102="","",IF(AND('Daily Count Sheet'!$H$3=Q2102,MOD('Daily Count Sheet'!$I$3,J2102)=R2102),1,""))</f>
        <v/>
      </c>
      <c r="T2102" s="27" t="str">
        <f aca="false">IF(S2102=1,COUNTIF($S$2:S2102,1),"")</f>
        <v/>
      </c>
    </row>
    <row r="2103" customFormat="false" ht="15" hidden="false" customHeight="false" outlineLevel="0" collapsed="false">
      <c r="H2103" s="26"/>
      <c r="I2103" s="27" t="str">
        <f aca="false">IF(A2103="","",IF(H2103&lt;&gt;"",UPPER(TRIM(H2103)),IFERROR(CHOOSE(VALUE(E2103)+1,"A","B","C","D"),IF(OR(LEFT(UPPER(TRIM(E2103)),1)="F",UPPER(TRIM(E2103))="A"),"A",IF(OR(LEFT(UPPER(TRIM(E2103)),1)="M",UPPER(TRIM(E2103))="B"),"B",IF(OR(LEFT(UPPER(TRIM(E2103)),2)="SL",UPPER(TRIM(E2103))="C"),"C",IF(OR(LEFT(UPPER(TRIM(E2103)),1)="D",UPPER(TRIM(E2103))="D"),"D","")))))))</f>
        <v/>
      </c>
      <c r="J2103" s="27" t="str">
        <f aca="false">IF(I2103="","",IF(AND(I2103="D",Settings!$B$6&lt;&gt;"Yes"),"",IFERROR(INDEX(Settings!$C$9:$C$12,MATCH(I2103,Settings!$A$9:$A$12,0)),"")))</f>
        <v/>
      </c>
      <c r="K2103" s="27" t="str">
        <f aca="false">IF(J2103="","",COUNTIF($I$2:I2103,I2103))</f>
        <v/>
      </c>
      <c r="L2103" s="27" t="str">
        <f aca="false">IF(J2103="","",CHOOSE(Q2103+1,"Tue","Wed","Thu","Fri"))</f>
        <v/>
      </c>
      <c r="M2103" s="27" t="str">
        <f aca="false">IF(J2103="","",IF(J2103=1,"Every week",R2103+1&amp;" of "&amp;J2103))</f>
        <v/>
      </c>
      <c r="N2103" s="28" t="str">
        <f aca="false">IF(J2103="","",Settings!$B$4+R2103*7+Q2103)</f>
        <v/>
      </c>
      <c r="O2103" s="28" t="str">
        <f aca="true">IF(J2103="","",N2103+MAX(0,ROUNDUP((TODAY()-N2103)/(J2103*7),0))*J2103*7)</f>
        <v/>
      </c>
      <c r="P2103" s="27" t="str">
        <f aca="false">IF(J2103="","",MOD(K2103-1,J2103*4))</f>
        <v/>
      </c>
      <c r="Q2103" s="27" t="str">
        <f aca="false">IF(J2103="","",MOD(P2103,4))</f>
        <v/>
      </c>
      <c r="R2103" s="27" t="str">
        <f aca="false">IF(J2103="","",INT(P2103/4))</f>
        <v/>
      </c>
      <c r="S2103" s="27" t="str">
        <f aca="false">IF(J2103="","",IF(AND('Daily Count Sheet'!$H$3=Q2103,MOD('Daily Count Sheet'!$I$3,J2103)=R2103),1,""))</f>
        <v/>
      </c>
      <c r="T2103" s="27" t="str">
        <f aca="false">IF(S2103=1,COUNTIF($S$2:S2103,1),"")</f>
        <v/>
      </c>
    </row>
    <row r="2104" customFormat="false" ht="15" hidden="false" customHeight="false" outlineLevel="0" collapsed="false">
      <c r="H2104" s="26"/>
      <c r="I2104" s="27" t="str">
        <f aca="false">IF(A2104="","",IF(H2104&lt;&gt;"",UPPER(TRIM(H2104)),IFERROR(CHOOSE(VALUE(E2104)+1,"A","B","C","D"),IF(OR(LEFT(UPPER(TRIM(E2104)),1)="F",UPPER(TRIM(E2104))="A"),"A",IF(OR(LEFT(UPPER(TRIM(E2104)),1)="M",UPPER(TRIM(E2104))="B"),"B",IF(OR(LEFT(UPPER(TRIM(E2104)),2)="SL",UPPER(TRIM(E2104))="C"),"C",IF(OR(LEFT(UPPER(TRIM(E2104)),1)="D",UPPER(TRIM(E2104))="D"),"D","")))))))</f>
        <v/>
      </c>
      <c r="J2104" s="27" t="str">
        <f aca="false">IF(I2104="","",IF(AND(I2104="D",Settings!$B$6&lt;&gt;"Yes"),"",IFERROR(INDEX(Settings!$C$9:$C$12,MATCH(I2104,Settings!$A$9:$A$12,0)),"")))</f>
        <v/>
      </c>
      <c r="K2104" s="27" t="str">
        <f aca="false">IF(J2104="","",COUNTIF($I$2:I2104,I2104))</f>
        <v/>
      </c>
      <c r="L2104" s="27" t="str">
        <f aca="false">IF(J2104="","",CHOOSE(Q2104+1,"Tue","Wed","Thu","Fri"))</f>
        <v/>
      </c>
      <c r="M2104" s="27" t="str">
        <f aca="false">IF(J2104="","",IF(J2104=1,"Every week",R2104+1&amp;" of "&amp;J2104))</f>
        <v/>
      </c>
      <c r="N2104" s="28" t="str">
        <f aca="false">IF(J2104="","",Settings!$B$4+R2104*7+Q2104)</f>
        <v/>
      </c>
      <c r="O2104" s="28" t="str">
        <f aca="true">IF(J2104="","",N2104+MAX(0,ROUNDUP((TODAY()-N2104)/(J2104*7),0))*J2104*7)</f>
        <v/>
      </c>
      <c r="P2104" s="27" t="str">
        <f aca="false">IF(J2104="","",MOD(K2104-1,J2104*4))</f>
        <v/>
      </c>
      <c r="Q2104" s="27" t="str">
        <f aca="false">IF(J2104="","",MOD(P2104,4))</f>
        <v/>
      </c>
      <c r="R2104" s="27" t="str">
        <f aca="false">IF(J2104="","",INT(P2104/4))</f>
        <v/>
      </c>
      <c r="S2104" s="27" t="str">
        <f aca="false">IF(J2104="","",IF(AND('Daily Count Sheet'!$H$3=Q2104,MOD('Daily Count Sheet'!$I$3,J2104)=R2104),1,""))</f>
        <v/>
      </c>
      <c r="T2104" s="27" t="str">
        <f aca="false">IF(S2104=1,COUNTIF($S$2:S2104,1),"")</f>
        <v/>
      </c>
    </row>
    <row r="2105" customFormat="false" ht="15" hidden="false" customHeight="false" outlineLevel="0" collapsed="false">
      <c r="H2105" s="26"/>
      <c r="I2105" s="27" t="str">
        <f aca="false">IF(A2105="","",IF(H2105&lt;&gt;"",UPPER(TRIM(H2105)),IFERROR(CHOOSE(VALUE(E2105)+1,"A","B","C","D"),IF(OR(LEFT(UPPER(TRIM(E2105)),1)="F",UPPER(TRIM(E2105))="A"),"A",IF(OR(LEFT(UPPER(TRIM(E2105)),1)="M",UPPER(TRIM(E2105))="B"),"B",IF(OR(LEFT(UPPER(TRIM(E2105)),2)="SL",UPPER(TRIM(E2105))="C"),"C",IF(OR(LEFT(UPPER(TRIM(E2105)),1)="D",UPPER(TRIM(E2105))="D"),"D","")))))))</f>
        <v/>
      </c>
      <c r="J2105" s="27" t="str">
        <f aca="false">IF(I2105="","",IF(AND(I2105="D",Settings!$B$6&lt;&gt;"Yes"),"",IFERROR(INDEX(Settings!$C$9:$C$12,MATCH(I2105,Settings!$A$9:$A$12,0)),"")))</f>
        <v/>
      </c>
      <c r="K2105" s="27" t="str">
        <f aca="false">IF(J2105="","",COUNTIF($I$2:I2105,I2105))</f>
        <v/>
      </c>
      <c r="L2105" s="27" t="str">
        <f aca="false">IF(J2105="","",CHOOSE(Q2105+1,"Tue","Wed","Thu","Fri"))</f>
        <v/>
      </c>
      <c r="M2105" s="27" t="str">
        <f aca="false">IF(J2105="","",IF(J2105=1,"Every week",R2105+1&amp;" of "&amp;J2105))</f>
        <v/>
      </c>
      <c r="N2105" s="28" t="str">
        <f aca="false">IF(J2105="","",Settings!$B$4+R2105*7+Q2105)</f>
        <v/>
      </c>
      <c r="O2105" s="28" t="str">
        <f aca="true">IF(J2105="","",N2105+MAX(0,ROUNDUP((TODAY()-N2105)/(J2105*7),0))*J2105*7)</f>
        <v/>
      </c>
      <c r="P2105" s="27" t="str">
        <f aca="false">IF(J2105="","",MOD(K2105-1,J2105*4))</f>
        <v/>
      </c>
      <c r="Q2105" s="27" t="str">
        <f aca="false">IF(J2105="","",MOD(P2105,4))</f>
        <v/>
      </c>
      <c r="R2105" s="27" t="str">
        <f aca="false">IF(J2105="","",INT(P2105/4))</f>
        <v/>
      </c>
      <c r="S2105" s="27" t="str">
        <f aca="false">IF(J2105="","",IF(AND('Daily Count Sheet'!$H$3=Q2105,MOD('Daily Count Sheet'!$I$3,J2105)=R2105),1,""))</f>
        <v/>
      </c>
      <c r="T2105" s="27" t="str">
        <f aca="false">IF(S2105=1,COUNTIF($S$2:S2105,1),"")</f>
        <v/>
      </c>
    </row>
    <row r="2106" customFormat="false" ht="15" hidden="false" customHeight="false" outlineLevel="0" collapsed="false">
      <c r="H2106" s="26"/>
      <c r="I2106" s="27" t="str">
        <f aca="false">IF(A2106="","",IF(H2106&lt;&gt;"",UPPER(TRIM(H2106)),IFERROR(CHOOSE(VALUE(E2106)+1,"A","B","C","D"),IF(OR(LEFT(UPPER(TRIM(E2106)),1)="F",UPPER(TRIM(E2106))="A"),"A",IF(OR(LEFT(UPPER(TRIM(E2106)),1)="M",UPPER(TRIM(E2106))="B"),"B",IF(OR(LEFT(UPPER(TRIM(E2106)),2)="SL",UPPER(TRIM(E2106))="C"),"C",IF(OR(LEFT(UPPER(TRIM(E2106)),1)="D",UPPER(TRIM(E2106))="D"),"D","")))))))</f>
        <v/>
      </c>
      <c r="J2106" s="27" t="str">
        <f aca="false">IF(I2106="","",IF(AND(I2106="D",Settings!$B$6&lt;&gt;"Yes"),"",IFERROR(INDEX(Settings!$C$9:$C$12,MATCH(I2106,Settings!$A$9:$A$12,0)),"")))</f>
        <v/>
      </c>
      <c r="K2106" s="27" t="str">
        <f aca="false">IF(J2106="","",COUNTIF($I$2:I2106,I2106))</f>
        <v/>
      </c>
      <c r="L2106" s="27" t="str">
        <f aca="false">IF(J2106="","",CHOOSE(Q2106+1,"Tue","Wed","Thu","Fri"))</f>
        <v/>
      </c>
      <c r="M2106" s="27" t="str">
        <f aca="false">IF(J2106="","",IF(J2106=1,"Every week",R2106+1&amp;" of "&amp;J2106))</f>
        <v/>
      </c>
      <c r="N2106" s="28" t="str">
        <f aca="false">IF(J2106="","",Settings!$B$4+R2106*7+Q2106)</f>
        <v/>
      </c>
      <c r="O2106" s="28" t="str">
        <f aca="true">IF(J2106="","",N2106+MAX(0,ROUNDUP((TODAY()-N2106)/(J2106*7),0))*J2106*7)</f>
        <v/>
      </c>
      <c r="P2106" s="27" t="str">
        <f aca="false">IF(J2106="","",MOD(K2106-1,J2106*4))</f>
        <v/>
      </c>
      <c r="Q2106" s="27" t="str">
        <f aca="false">IF(J2106="","",MOD(P2106,4))</f>
        <v/>
      </c>
      <c r="R2106" s="27" t="str">
        <f aca="false">IF(J2106="","",INT(P2106/4))</f>
        <v/>
      </c>
      <c r="S2106" s="27" t="str">
        <f aca="false">IF(J2106="","",IF(AND('Daily Count Sheet'!$H$3=Q2106,MOD('Daily Count Sheet'!$I$3,J2106)=R2106),1,""))</f>
        <v/>
      </c>
      <c r="T2106" s="27" t="str">
        <f aca="false">IF(S2106=1,COUNTIF($S$2:S2106,1),"")</f>
        <v/>
      </c>
    </row>
    <row r="2107" customFormat="false" ht="15" hidden="false" customHeight="false" outlineLevel="0" collapsed="false">
      <c r="H2107" s="26"/>
      <c r="I2107" s="27" t="str">
        <f aca="false">IF(A2107="","",IF(H2107&lt;&gt;"",UPPER(TRIM(H2107)),IFERROR(CHOOSE(VALUE(E2107)+1,"A","B","C","D"),IF(OR(LEFT(UPPER(TRIM(E2107)),1)="F",UPPER(TRIM(E2107))="A"),"A",IF(OR(LEFT(UPPER(TRIM(E2107)),1)="M",UPPER(TRIM(E2107))="B"),"B",IF(OR(LEFT(UPPER(TRIM(E2107)),2)="SL",UPPER(TRIM(E2107))="C"),"C",IF(OR(LEFT(UPPER(TRIM(E2107)),1)="D",UPPER(TRIM(E2107))="D"),"D","")))))))</f>
        <v/>
      </c>
      <c r="J2107" s="27" t="str">
        <f aca="false">IF(I2107="","",IF(AND(I2107="D",Settings!$B$6&lt;&gt;"Yes"),"",IFERROR(INDEX(Settings!$C$9:$C$12,MATCH(I2107,Settings!$A$9:$A$12,0)),"")))</f>
        <v/>
      </c>
      <c r="K2107" s="27" t="str">
        <f aca="false">IF(J2107="","",COUNTIF($I$2:I2107,I2107))</f>
        <v/>
      </c>
      <c r="L2107" s="27" t="str">
        <f aca="false">IF(J2107="","",CHOOSE(Q2107+1,"Tue","Wed","Thu","Fri"))</f>
        <v/>
      </c>
      <c r="M2107" s="27" t="str">
        <f aca="false">IF(J2107="","",IF(J2107=1,"Every week",R2107+1&amp;" of "&amp;J2107))</f>
        <v/>
      </c>
      <c r="N2107" s="28" t="str">
        <f aca="false">IF(J2107="","",Settings!$B$4+R2107*7+Q2107)</f>
        <v/>
      </c>
      <c r="O2107" s="28" t="str">
        <f aca="true">IF(J2107="","",N2107+MAX(0,ROUNDUP((TODAY()-N2107)/(J2107*7),0))*J2107*7)</f>
        <v/>
      </c>
      <c r="P2107" s="27" t="str">
        <f aca="false">IF(J2107="","",MOD(K2107-1,J2107*4))</f>
        <v/>
      </c>
      <c r="Q2107" s="27" t="str">
        <f aca="false">IF(J2107="","",MOD(P2107,4))</f>
        <v/>
      </c>
      <c r="R2107" s="27" t="str">
        <f aca="false">IF(J2107="","",INT(P2107/4))</f>
        <v/>
      </c>
      <c r="S2107" s="27" t="str">
        <f aca="false">IF(J2107="","",IF(AND('Daily Count Sheet'!$H$3=Q2107,MOD('Daily Count Sheet'!$I$3,J2107)=R2107),1,""))</f>
        <v/>
      </c>
      <c r="T2107" s="27" t="str">
        <f aca="false">IF(S2107=1,COUNTIF($S$2:S2107,1),"")</f>
        <v/>
      </c>
    </row>
    <row r="2108" customFormat="false" ht="15" hidden="false" customHeight="false" outlineLevel="0" collapsed="false">
      <c r="H2108" s="26"/>
      <c r="I2108" s="27" t="str">
        <f aca="false">IF(A2108="","",IF(H2108&lt;&gt;"",UPPER(TRIM(H2108)),IFERROR(CHOOSE(VALUE(E2108)+1,"A","B","C","D"),IF(OR(LEFT(UPPER(TRIM(E2108)),1)="F",UPPER(TRIM(E2108))="A"),"A",IF(OR(LEFT(UPPER(TRIM(E2108)),1)="M",UPPER(TRIM(E2108))="B"),"B",IF(OR(LEFT(UPPER(TRIM(E2108)),2)="SL",UPPER(TRIM(E2108))="C"),"C",IF(OR(LEFT(UPPER(TRIM(E2108)),1)="D",UPPER(TRIM(E2108))="D"),"D","")))))))</f>
        <v/>
      </c>
      <c r="J2108" s="27" t="str">
        <f aca="false">IF(I2108="","",IF(AND(I2108="D",Settings!$B$6&lt;&gt;"Yes"),"",IFERROR(INDEX(Settings!$C$9:$C$12,MATCH(I2108,Settings!$A$9:$A$12,0)),"")))</f>
        <v/>
      </c>
      <c r="K2108" s="27" t="str">
        <f aca="false">IF(J2108="","",COUNTIF($I$2:I2108,I2108))</f>
        <v/>
      </c>
      <c r="L2108" s="27" t="str">
        <f aca="false">IF(J2108="","",CHOOSE(Q2108+1,"Tue","Wed","Thu","Fri"))</f>
        <v/>
      </c>
      <c r="M2108" s="27" t="str">
        <f aca="false">IF(J2108="","",IF(J2108=1,"Every week",R2108+1&amp;" of "&amp;J2108))</f>
        <v/>
      </c>
      <c r="N2108" s="28" t="str">
        <f aca="false">IF(J2108="","",Settings!$B$4+R2108*7+Q2108)</f>
        <v/>
      </c>
      <c r="O2108" s="28" t="str">
        <f aca="true">IF(J2108="","",N2108+MAX(0,ROUNDUP((TODAY()-N2108)/(J2108*7),0))*J2108*7)</f>
        <v/>
      </c>
      <c r="P2108" s="27" t="str">
        <f aca="false">IF(J2108="","",MOD(K2108-1,J2108*4))</f>
        <v/>
      </c>
      <c r="Q2108" s="27" t="str">
        <f aca="false">IF(J2108="","",MOD(P2108,4))</f>
        <v/>
      </c>
      <c r="R2108" s="27" t="str">
        <f aca="false">IF(J2108="","",INT(P2108/4))</f>
        <v/>
      </c>
      <c r="S2108" s="27" t="str">
        <f aca="false">IF(J2108="","",IF(AND('Daily Count Sheet'!$H$3=Q2108,MOD('Daily Count Sheet'!$I$3,J2108)=R2108),1,""))</f>
        <v/>
      </c>
      <c r="T2108" s="27" t="str">
        <f aca="false">IF(S2108=1,COUNTIF($S$2:S2108,1),"")</f>
        <v/>
      </c>
    </row>
    <row r="2109" customFormat="false" ht="15" hidden="false" customHeight="false" outlineLevel="0" collapsed="false">
      <c r="H2109" s="26"/>
      <c r="I2109" s="27" t="str">
        <f aca="false">IF(A2109="","",IF(H2109&lt;&gt;"",UPPER(TRIM(H2109)),IFERROR(CHOOSE(VALUE(E2109)+1,"A","B","C","D"),IF(OR(LEFT(UPPER(TRIM(E2109)),1)="F",UPPER(TRIM(E2109))="A"),"A",IF(OR(LEFT(UPPER(TRIM(E2109)),1)="M",UPPER(TRIM(E2109))="B"),"B",IF(OR(LEFT(UPPER(TRIM(E2109)),2)="SL",UPPER(TRIM(E2109))="C"),"C",IF(OR(LEFT(UPPER(TRIM(E2109)),1)="D",UPPER(TRIM(E2109))="D"),"D","")))))))</f>
        <v/>
      </c>
      <c r="J2109" s="27" t="str">
        <f aca="false">IF(I2109="","",IF(AND(I2109="D",Settings!$B$6&lt;&gt;"Yes"),"",IFERROR(INDEX(Settings!$C$9:$C$12,MATCH(I2109,Settings!$A$9:$A$12,0)),"")))</f>
        <v/>
      </c>
      <c r="K2109" s="27" t="str">
        <f aca="false">IF(J2109="","",COUNTIF($I$2:I2109,I2109))</f>
        <v/>
      </c>
      <c r="L2109" s="27" t="str">
        <f aca="false">IF(J2109="","",CHOOSE(Q2109+1,"Tue","Wed","Thu","Fri"))</f>
        <v/>
      </c>
      <c r="M2109" s="27" t="str">
        <f aca="false">IF(J2109="","",IF(J2109=1,"Every week",R2109+1&amp;" of "&amp;J2109))</f>
        <v/>
      </c>
      <c r="N2109" s="28" t="str">
        <f aca="false">IF(J2109="","",Settings!$B$4+R2109*7+Q2109)</f>
        <v/>
      </c>
      <c r="O2109" s="28" t="str">
        <f aca="true">IF(J2109="","",N2109+MAX(0,ROUNDUP((TODAY()-N2109)/(J2109*7),0))*J2109*7)</f>
        <v/>
      </c>
      <c r="P2109" s="27" t="str">
        <f aca="false">IF(J2109="","",MOD(K2109-1,J2109*4))</f>
        <v/>
      </c>
      <c r="Q2109" s="27" t="str">
        <f aca="false">IF(J2109="","",MOD(P2109,4))</f>
        <v/>
      </c>
      <c r="R2109" s="27" t="str">
        <f aca="false">IF(J2109="","",INT(P2109/4))</f>
        <v/>
      </c>
      <c r="S2109" s="27" t="str">
        <f aca="false">IF(J2109="","",IF(AND('Daily Count Sheet'!$H$3=Q2109,MOD('Daily Count Sheet'!$I$3,J2109)=R2109),1,""))</f>
        <v/>
      </c>
      <c r="T2109" s="27" t="str">
        <f aca="false">IF(S2109=1,COUNTIF($S$2:S2109,1),"")</f>
        <v/>
      </c>
    </row>
    <row r="2110" customFormat="false" ht="15" hidden="false" customHeight="false" outlineLevel="0" collapsed="false">
      <c r="H2110" s="26"/>
      <c r="I2110" s="27" t="str">
        <f aca="false">IF(A2110="","",IF(H2110&lt;&gt;"",UPPER(TRIM(H2110)),IFERROR(CHOOSE(VALUE(E2110)+1,"A","B","C","D"),IF(OR(LEFT(UPPER(TRIM(E2110)),1)="F",UPPER(TRIM(E2110))="A"),"A",IF(OR(LEFT(UPPER(TRIM(E2110)),1)="M",UPPER(TRIM(E2110))="B"),"B",IF(OR(LEFT(UPPER(TRIM(E2110)),2)="SL",UPPER(TRIM(E2110))="C"),"C",IF(OR(LEFT(UPPER(TRIM(E2110)),1)="D",UPPER(TRIM(E2110))="D"),"D","")))))))</f>
        <v/>
      </c>
      <c r="J2110" s="27" t="str">
        <f aca="false">IF(I2110="","",IF(AND(I2110="D",Settings!$B$6&lt;&gt;"Yes"),"",IFERROR(INDEX(Settings!$C$9:$C$12,MATCH(I2110,Settings!$A$9:$A$12,0)),"")))</f>
        <v/>
      </c>
      <c r="K2110" s="27" t="str">
        <f aca="false">IF(J2110="","",COUNTIF($I$2:I2110,I2110))</f>
        <v/>
      </c>
      <c r="L2110" s="27" t="str">
        <f aca="false">IF(J2110="","",CHOOSE(Q2110+1,"Tue","Wed","Thu","Fri"))</f>
        <v/>
      </c>
      <c r="M2110" s="27" t="str">
        <f aca="false">IF(J2110="","",IF(J2110=1,"Every week",R2110+1&amp;" of "&amp;J2110))</f>
        <v/>
      </c>
      <c r="N2110" s="28" t="str">
        <f aca="false">IF(J2110="","",Settings!$B$4+R2110*7+Q2110)</f>
        <v/>
      </c>
      <c r="O2110" s="28" t="str">
        <f aca="true">IF(J2110="","",N2110+MAX(0,ROUNDUP((TODAY()-N2110)/(J2110*7),0))*J2110*7)</f>
        <v/>
      </c>
      <c r="P2110" s="27" t="str">
        <f aca="false">IF(J2110="","",MOD(K2110-1,J2110*4))</f>
        <v/>
      </c>
      <c r="Q2110" s="27" t="str">
        <f aca="false">IF(J2110="","",MOD(P2110,4))</f>
        <v/>
      </c>
      <c r="R2110" s="27" t="str">
        <f aca="false">IF(J2110="","",INT(P2110/4))</f>
        <v/>
      </c>
      <c r="S2110" s="27" t="str">
        <f aca="false">IF(J2110="","",IF(AND('Daily Count Sheet'!$H$3=Q2110,MOD('Daily Count Sheet'!$I$3,J2110)=R2110),1,""))</f>
        <v/>
      </c>
      <c r="T2110" s="27" t="str">
        <f aca="false">IF(S2110=1,COUNTIF($S$2:S2110,1),"")</f>
        <v/>
      </c>
    </row>
    <row r="2111" customFormat="false" ht="15" hidden="false" customHeight="false" outlineLevel="0" collapsed="false">
      <c r="H2111" s="26"/>
      <c r="I2111" s="27" t="str">
        <f aca="false">IF(A2111="","",IF(H2111&lt;&gt;"",UPPER(TRIM(H2111)),IFERROR(CHOOSE(VALUE(E2111)+1,"A","B","C","D"),IF(OR(LEFT(UPPER(TRIM(E2111)),1)="F",UPPER(TRIM(E2111))="A"),"A",IF(OR(LEFT(UPPER(TRIM(E2111)),1)="M",UPPER(TRIM(E2111))="B"),"B",IF(OR(LEFT(UPPER(TRIM(E2111)),2)="SL",UPPER(TRIM(E2111))="C"),"C",IF(OR(LEFT(UPPER(TRIM(E2111)),1)="D",UPPER(TRIM(E2111))="D"),"D","")))))))</f>
        <v/>
      </c>
      <c r="J2111" s="27" t="str">
        <f aca="false">IF(I2111="","",IF(AND(I2111="D",Settings!$B$6&lt;&gt;"Yes"),"",IFERROR(INDEX(Settings!$C$9:$C$12,MATCH(I2111,Settings!$A$9:$A$12,0)),"")))</f>
        <v/>
      </c>
      <c r="K2111" s="27" t="str">
        <f aca="false">IF(J2111="","",COUNTIF($I$2:I2111,I2111))</f>
        <v/>
      </c>
      <c r="L2111" s="27" t="str">
        <f aca="false">IF(J2111="","",CHOOSE(Q2111+1,"Tue","Wed","Thu","Fri"))</f>
        <v/>
      </c>
      <c r="M2111" s="27" t="str">
        <f aca="false">IF(J2111="","",IF(J2111=1,"Every week",R2111+1&amp;" of "&amp;J2111))</f>
        <v/>
      </c>
      <c r="N2111" s="28" t="str">
        <f aca="false">IF(J2111="","",Settings!$B$4+R2111*7+Q2111)</f>
        <v/>
      </c>
      <c r="O2111" s="28" t="str">
        <f aca="true">IF(J2111="","",N2111+MAX(0,ROUNDUP((TODAY()-N2111)/(J2111*7),0))*J2111*7)</f>
        <v/>
      </c>
      <c r="P2111" s="27" t="str">
        <f aca="false">IF(J2111="","",MOD(K2111-1,J2111*4))</f>
        <v/>
      </c>
      <c r="Q2111" s="27" t="str">
        <f aca="false">IF(J2111="","",MOD(P2111,4))</f>
        <v/>
      </c>
      <c r="R2111" s="27" t="str">
        <f aca="false">IF(J2111="","",INT(P2111/4))</f>
        <v/>
      </c>
      <c r="S2111" s="27" t="str">
        <f aca="false">IF(J2111="","",IF(AND('Daily Count Sheet'!$H$3=Q2111,MOD('Daily Count Sheet'!$I$3,J2111)=R2111),1,""))</f>
        <v/>
      </c>
      <c r="T2111" s="27" t="str">
        <f aca="false">IF(S2111=1,COUNTIF($S$2:S2111,1),"")</f>
        <v/>
      </c>
    </row>
    <row r="2112" customFormat="false" ht="15" hidden="false" customHeight="false" outlineLevel="0" collapsed="false">
      <c r="H2112" s="26"/>
      <c r="I2112" s="27" t="str">
        <f aca="false">IF(A2112="","",IF(H2112&lt;&gt;"",UPPER(TRIM(H2112)),IFERROR(CHOOSE(VALUE(E2112)+1,"A","B","C","D"),IF(OR(LEFT(UPPER(TRIM(E2112)),1)="F",UPPER(TRIM(E2112))="A"),"A",IF(OR(LEFT(UPPER(TRIM(E2112)),1)="M",UPPER(TRIM(E2112))="B"),"B",IF(OR(LEFT(UPPER(TRIM(E2112)),2)="SL",UPPER(TRIM(E2112))="C"),"C",IF(OR(LEFT(UPPER(TRIM(E2112)),1)="D",UPPER(TRIM(E2112))="D"),"D","")))))))</f>
        <v/>
      </c>
      <c r="J2112" s="27" t="str">
        <f aca="false">IF(I2112="","",IF(AND(I2112="D",Settings!$B$6&lt;&gt;"Yes"),"",IFERROR(INDEX(Settings!$C$9:$C$12,MATCH(I2112,Settings!$A$9:$A$12,0)),"")))</f>
        <v/>
      </c>
      <c r="K2112" s="27" t="str">
        <f aca="false">IF(J2112="","",COUNTIF($I$2:I2112,I2112))</f>
        <v/>
      </c>
      <c r="L2112" s="27" t="str">
        <f aca="false">IF(J2112="","",CHOOSE(Q2112+1,"Tue","Wed","Thu","Fri"))</f>
        <v/>
      </c>
      <c r="M2112" s="27" t="str">
        <f aca="false">IF(J2112="","",IF(J2112=1,"Every week",R2112+1&amp;" of "&amp;J2112))</f>
        <v/>
      </c>
      <c r="N2112" s="28" t="str">
        <f aca="false">IF(J2112="","",Settings!$B$4+R2112*7+Q2112)</f>
        <v/>
      </c>
      <c r="O2112" s="28" t="str">
        <f aca="true">IF(J2112="","",N2112+MAX(0,ROUNDUP((TODAY()-N2112)/(J2112*7),0))*J2112*7)</f>
        <v/>
      </c>
      <c r="P2112" s="27" t="str">
        <f aca="false">IF(J2112="","",MOD(K2112-1,J2112*4))</f>
        <v/>
      </c>
      <c r="Q2112" s="27" t="str">
        <f aca="false">IF(J2112="","",MOD(P2112,4))</f>
        <v/>
      </c>
      <c r="R2112" s="27" t="str">
        <f aca="false">IF(J2112="","",INT(P2112/4))</f>
        <v/>
      </c>
      <c r="S2112" s="27" t="str">
        <f aca="false">IF(J2112="","",IF(AND('Daily Count Sheet'!$H$3=Q2112,MOD('Daily Count Sheet'!$I$3,J2112)=R2112),1,""))</f>
        <v/>
      </c>
      <c r="T2112" s="27" t="str">
        <f aca="false">IF(S2112=1,COUNTIF($S$2:S2112,1),"")</f>
        <v/>
      </c>
    </row>
    <row r="2113" customFormat="false" ht="15" hidden="false" customHeight="false" outlineLevel="0" collapsed="false">
      <c r="H2113" s="26"/>
      <c r="I2113" s="27" t="str">
        <f aca="false">IF(A2113="","",IF(H2113&lt;&gt;"",UPPER(TRIM(H2113)),IFERROR(CHOOSE(VALUE(E2113)+1,"A","B","C","D"),IF(OR(LEFT(UPPER(TRIM(E2113)),1)="F",UPPER(TRIM(E2113))="A"),"A",IF(OR(LEFT(UPPER(TRIM(E2113)),1)="M",UPPER(TRIM(E2113))="B"),"B",IF(OR(LEFT(UPPER(TRIM(E2113)),2)="SL",UPPER(TRIM(E2113))="C"),"C",IF(OR(LEFT(UPPER(TRIM(E2113)),1)="D",UPPER(TRIM(E2113))="D"),"D","")))))))</f>
        <v/>
      </c>
      <c r="J2113" s="27" t="str">
        <f aca="false">IF(I2113="","",IF(AND(I2113="D",Settings!$B$6&lt;&gt;"Yes"),"",IFERROR(INDEX(Settings!$C$9:$C$12,MATCH(I2113,Settings!$A$9:$A$12,0)),"")))</f>
        <v/>
      </c>
      <c r="K2113" s="27" t="str">
        <f aca="false">IF(J2113="","",COUNTIF($I$2:I2113,I2113))</f>
        <v/>
      </c>
      <c r="L2113" s="27" t="str">
        <f aca="false">IF(J2113="","",CHOOSE(Q2113+1,"Tue","Wed","Thu","Fri"))</f>
        <v/>
      </c>
      <c r="M2113" s="27" t="str">
        <f aca="false">IF(J2113="","",IF(J2113=1,"Every week",R2113+1&amp;" of "&amp;J2113))</f>
        <v/>
      </c>
      <c r="N2113" s="28" t="str">
        <f aca="false">IF(J2113="","",Settings!$B$4+R2113*7+Q2113)</f>
        <v/>
      </c>
      <c r="O2113" s="28" t="str">
        <f aca="true">IF(J2113="","",N2113+MAX(0,ROUNDUP((TODAY()-N2113)/(J2113*7),0))*J2113*7)</f>
        <v/>
      </c>
      <c r="P2113" s="27" t="str">
        <f aca="false">IF(J2113="","",MOD(K2113-1,J2113*4))</f>
        <v/>
      </c>
      <c r="Q2113" s="27" t="str">
        <f aca="false">IF(J2113="","",MOD(P2113,4))</f>
        <v/>
      </c>
      <c r="R2113" s="27" t="str">
        <f aca="false">IF(J2113="","",INT(P2113/4))</f>
        <v/>
      </c>
      <c r="S2113" s="27" t="str">
        <f aca="false">IF(J2113="","",IF(AND('Daily Count Sheet'!$H$3=Q2113,MOD('Daily Count Sheet'!$I$3,J2113)=R2113),1,""))</f>
        <v/>
      </c>
      <c r="T2113" s="27" t="str">
        <f aca="false">IF(S2113=1,COUNTIF($S$2:S2113,1),"")</f>
        <v/>
      </c>
    </row>
    <row r="2114" customFormat="false" ht="15" hidden="false" customHeight="false" outlineLevel="0" collapsed="false">
      <c r="H2114" s="26"/>
      <c r="I2114" s="27" t="str">
        <f aca="false">IF(A2114="","",IF(H2114&lt;&gt;"",UPPER(TRIM(H2114)),IFERROR(CHOOSE(VALUE(E2114)+1,"A","B","C","D"),IF(OR(LEFT(UPPER(TRIM(E2114)),1)="F",UPPER(TRIM(E2114))="A"),"A",IF(OR(LEFT(UPPER(TRIM(E2114)),1)="M",UPPER(TRIM(E2114))="B"),"B",IF(OR(LEFT(UPPER(TRIM(E2114)),2)="SL",UPPER(TRIM(E2114))="C"),"C",IF(OR(LEFT(UPPER(TRIM(E2114)),1)="D",UPPER(TRIM(E2114))="D"),"D","")))))))</f>
        <v/>
      </c>
      <c r="J2114" s="27" t="str">
        <f aca="false">IF(I2114="","",IF(AND(I2114="D",Settings!$B$6&lt;&gt;"Yes"),"",IFERROR(INDEX(Settings!$C$9:$C$12,MATCH(I2114,Settings!$A$9:$A$12,0)),"")))</f>
        <v/>
      </c>
      <c r="K2114" s="27" t="str">
        <f aca="false">IF(J2114="","",COUNTIF($I$2:I2114,I2114))</f>
        <v/>
      </c>
      <c r="L2114" s="27" t="str">
        <f aca="false">IF(J2114="","",CHOOSE(Q2114+1,"Tue","Wed","Thu","Fri"))</f>
        <v/>
      </c>
      <c r="M2114" s="27" t="str">
        <f aca="false">IF(J2114="","",IF(J2114=1,"Every week",R2114+1&amp;" of "&amp;J2114))</f>
        <v/>
      </c>
      <c r="N2114" s="28" t="str">
        <f aca="false">IF(J2114="","",Settings!$B$4+R2114*7+Q2114)</f>
        <v/>
      </c>
      <c r="O2114" s="28" t="str">
        <f aca="true">IF(J2114="","",N2114+MAX(0,ROUNDUP((TODAY()-N2114)/(J2114*7),0))*J2114*7)</f>
        <v/>
      </c>
      <c r="P2114" s="27" t="str">
        <f aca="false">IF(J2114="","",MOD(K2114-1,J2114*4))</f>
        <v/>
      </c>
      <c r="Q2114" s="27" t="str">
        <f aca="false">IF(J2114="","",MOD(P2114,4))</f>
        <v/>
      </c>
      <c r="R2114" s="27" t="str">
        <f aca="false">IF(J2114="","",INT(P2114/4))</f>
        <v/>
      </c>
      <c r="S2114" s="27" t="str">
        <f aca="false">IF(J2114="","",IF(AND('Daily Count Sheet'!$H$3=Q2114,MOD('Daily Count Sheet'!$I$3,J2114)=R2114),1,""))</f>
        <v/>
      </c>
      <c r="T2114" s="27" t="str">
        <f aca="false">IF(S2114=1,COUNTIF($S$2:S2114,1),"")</f>
        <v/>
      </c>
    </row>
    <row r="2115" customFormat="false" ht="15" hidden="false" customHeight="false" outlineLevel="0" collapsed="false">
      <c r="H2115" s="26"/>
      <c r="I2115" s="27" t="str">
        <f aca="false">IF(A2115="","",IF(H2115&lt;&gt;"",UPPER(TRIM(H2115)),IFERROR(CHOOSE(VALUE(E2115)+1,"A","B","C","D"),IF(OR(LEFT(UPPER(TRIM(E2115)),1)="F",UPPER(TRIM(E2115))="A"),"A",IF(OR(LEFT(UPPER(TRIM(E2115)),1)="M",UPPER(TRIM(E2115))="B"),"B",IF(OR(LEFT(UPPER(TRIM(E2115)),2)="SL",UPPER(TRIM(E2115))="C"),"C",IF(OR(LEFT(UPPER(TRIM(E2115)),1)="D",UPPER(TRIM(E2115))="D"),"D","")))))))</f>
        <v/>
      </c>
      <c r="J2115" s="27" t="str">
        <f aca="false">IF(I2115="","",IF(AND(I2115="D",Settings!$B$6&lt;&gt;"Yes"),"",IFERROR(INDEX(Settings!$C$9:$C$12,MATCH(I2115,Settings!$A$9:$A$12,0)),"")))</f>
        <v/>
      </c>
      <c r="K2115" s="27" t="str">
        <f aca="false">IF(J2115="","",COUNTIF($I$2:I2115,I2115))</f>
        <v/>
      </c>
      <c r="L2115" s="27" t="str">
        <f aca="false">IF(J2115="","",CHOOSE(Q2115+1,"Tue","Wed","Thu","Fri"))</f>
        <v/>
      </c>
      <c r="M2115" s="27" t="str">
        <f aca="false">IF(J2115="","",IF(J2115=1,"Every week",R2115+1&amp;" of "&amp;J2115))</f>
        <v/>
      </c>
      <c r="N2115" s="28" t="str">
        <f aca="false">IF(J2115="","",Settings!$B$4+R2115*7+Q2115)</f>
        <v/>
      </c>
      <c r="O2115" s="28" t="str">
        <f aca="true">IF(J2115="","",N2115+MAX(0,ROUNDUP((TODAY()-N2115)/(J2115*7),0))*J2115*7)</f>
        <v/>
      </c>
      <c r="P2115" s="27" t="str">
        <f aca="false">IF(J2115="","",MOD(K2115-1,J2115*4))</f>
        <v/>
      </c>
      <c r="Q2115" s="27" t="str">
        <f aca="false">IF(J2115="","",MOD(P2115,4))</f>
        <v/>
      </c>
      <c r="R2115" s="27" t="str">
        <f aca="false">IF(J2115="","",INT(P2115/4))</f>
        <v/>
      </c>
      <c r="S2115" s="27" t="str">
        <f aca="false">IF(J2115="","",IF(AND('Daily Count Sheet'!$H$3=Q2115,MOD('Daily Count Sheet'!$I$3,J2115)=R2115),1,""))</f>
        <v/>
      </c>
      <c r="T2115" s="27" t="str">
        <f aca="false">IF(S2115=1,COUNTIF($S$2:S2115,1),"")</f>
        <v/>
      </c>
    </row>
    <row r="2116" customFormat="false" ht="15" hidden="false" customHeight="false" outlineLevel="0" collapsed="false">
      <c r="H2116" s="26"/>
      <c r="I2116" s="27" t="str">
        <f aca="false">IF(A2116="","",IF(H2116&lt;&gt;"",UPPER(TRIM(H2116)),IFERROR(CHOOSE(VALUE(E2116)+1,"A","B","C","D"),IF(OR(LEFT(UPPER(TRIM(E2116)),1)="F",UPPER(TRIM(E2116))="A"),"A",IF(OR(LEFT(UPPER(TRIM(E2116)),1)="M",UPPER(TRIM(E2116))="B"),"B",IF(OR(LEFT(UPPER(TRIM(E2116)),2)="SL",UPPER(TRIM(E2116))="C"),"C",IF(OR(LEFT(UPPER(TRIM(E2116)),1)="D",UPPER(TRIM(E2116))="D"),"D","")))))))</f>
        <v/>
      </c>
      <c r="J2116" s="27" t="str">
        <f aca="false">IF(I2116="","",IF(AND(I2116="D",Settings!$B$6&lt;&gt;"Yes"),"",IFERROR(INDEX(Settings!$C$9:$C$12,MATCH(I2116,Settings!$A$9:$A$12,0)),"")))</f>
        <v/>
      </c>
      <c r="K2116" s="27" t="str">
        <f aca="false">IF(J2116="","",COUNTIF($I$2:I2116,I2116))</f>
        <v/>
      </c>
      <c r="L2116" s="27" t="str">
        <f aca="false">IF(J2116="","",CHOOSE(Q2116+1,"Tue","Wed","Thu","Fri"))</f>
        <v/>
      </c>
      <c r="M2116" s="27" t="str">
        <f aca="false">IF(J2116="","",IF(J2116=1,"Every week",R2116+1&amp;" of "&amp;J2116))</f>
        <v/>
      </c>
      <c r="N2116" s="28" t="str">
        <f aca="false">IF(J2116="","",Settings!$B$4+R2116*7+Q2116)</f>
        <v/>
      </c>
      <c r="O2116" s="28" t="str">
        <f aca="true">IF(J2116="","",N2116+MAX(0,ROUNDUP((TODAY()-N2116)/(J2116*7),0))*J2116*7)</f>
        <v/>
      </c>
      <c r="P2116" s="27" t="str">
        <f aca="false">IF(J2116="","",MOD(K2116-1,J2116*4))</f>
        <v/>
      </c>
      <c r="Q2116" s="27" t="str">
        <f aca="false">IF(J2116="","",MOD(P2116,4))</f>
        <v/>
      </c>
      <c r="R2116" s="27" t="str">
        <f aca="false">IF(J2116="","",INT(P2116/4))</f>
        <v/>
      </c>
      <c r="S2116" s="27" t="str">
        <f aca="false">IF(J2116="","",IF(AND('Daily Count Sheet'!$H$3=Q2116,MOD('Daily Count Sheet'!$I$3,J2116)=R2116),1,""))</f>
        <v/>
      </c>
      <c r="T2116" s="27" t="str">
        <f aca="false">IF(S2116=1,COUNTIF($S$2:S2116,1),"")</f>
        <v/>
      </c>
    </row>
    <row r="2117" customFormat="false" ht="15" hidden="false" customHeight="false" outlineLevel="0" collapsed="false">
      <c r="H2117" s="26"/>
      <c r="I2117" s="27" t="str">
        <f aca="false">IF(A2117="","",IF(H2117&lt;&gt;"",UPPER(TRIM(H2117)),IFERROR(CHOOSE(VALUE(E2117)+1,"A","B","C","D"),IF(OR(LEFT(UPPER(TRIM(E2117)),1)="F",UPPER(TRIM(E2117))="A"),"A",IF(OR(LEFT(UPPER(TRIM(E2117)),1)="M",UPPER(TRIM(E2117))="B"),"B",IF(OR(LEFT(UPPER(TRIM(E2117)),2)="SL",UPPER(TRIM(E2117))="C"),"C",IF(OR(LEFT(UPPER(TRIM(E2117)),1)="D",UPPER(TRIM(E2117))="D"),"D","")))))))</f>
        <v/>
      </c>
      <c r="J2117" s="27" t="str">
        <f aca="false">IF(I2117="","",IF(AND(I2117="D",Settings!$B$6&lt;&gt;"Yes"),"",IFERROR(INDEX(Settings!$C$9:$C$12,MATCH(I2117,Settings!$A$9:$A$12,0)),"")))</f>
        <v/>
      </c>
      <c r="K2117" s="27" t="str">
        <f aca="false">IF(J2117="","",COUNTIF($I$2:I2117,I2117))</f>
        <v/>
      </c>
      <c r="L2117" s="27" t="str">
        <f aca="false">IF(J2117="","",CHOOSE(Q2117+1,"Tue","Wed","Thu","Fri"))</f>
        <v/>
      </c>
      <c r="M2117" s="27" t="str">
        <f aca="false">IF(J2117="","",IF(J2117=1,"Every week",R2117+1&amp;" of "&amp;J2117))</f>
        <v/>
      </c>
      <c r="N2117" s="28" t="str">
        <f aca="false">IF(J2117="","",Settings!$B$4+R2117*7+Q2117)</f>
        <v/>
      </c>
      <c r="O2117" s="28" t="str">
        <f aca="true">IF(J2117="","",N2117+MAX(0,ROUNDUP((TODAY()-N2117)/(J2117*7),0))*J2117*7)</f>
        <v/>
      </c>
      <c r="P2117" s="27" t="str">
        <f aca="false">IF(J2117="","",MOD(K2117-1,J2117*4))</f>
        <v/>
      </c>
      <c r="Q2117" s="27" t="str">
        <f aca="false">IF(J2117="","",MOD(P2117,4))</f>
        <v/>
      </c>
      <c r="R2117" s="27" t="str">
        <f aca="false">IF(J2117="","",INT(P2117/4))</f>
        <v/>
      </c>
      <c r="S2117" s="27" t="str">
        <f aca="false">IF(J2117="","",IF(AND('Daily Count Sheet'!$H$3=Q2117,MOD('Daily Count Sheet'!$I$3,J2117)=R2117),1,""))</f>
        <v/>
      </c>
      <c r="T2117" s="27" t="str">
        <f aca="false">IF(S2117=1,COUNTIF($S$2:S2117,1),"")</f>
        <v/>
      </c>
    </row>
    <row r="2118" customFormat="false" ht="15" hidden="false" customHeight="false" outlineLevel="0" collapsed="false">
      <c r="H2118" s="26"/>
      <c r="I2118" s="27" t="str">
        <f aca="false">IF(A2118="","",IF(H2118&lt;&gt;"",UPPER(TRIM(H2118)),IFERROR(CHOOSE(VALUE(E2118)+1,"A","B","C","D"),IF(OR(LEFT(UPPER(TRIM(E2118)),1)="F",UPPER(TRIM(E2118))="A"),"A",IF(OR(LEFT(UPPER(TRIM(E2118)),1)="M",UPPER(TRIM(E2118))="B"),"B",IF(OR(LEFT(UPPER(TRIM(E2118)),2)="SL",UPPER(TRIM(E2118))="C"),"C",IF(OR(LEFT(UPPER(TRIM(E2118)),1)="D",UPPER(TRIM(E2118))="D"),"D","")))))))</f>
        <v/>
      </c>
      <c r="J2118" s="27" t="str">
        <f aca="false">IF(I2118="","",IF(AND(I2118="D",Settings!$B$6&lt;&gt;"Yes"),"",IFERROR(INDEX(Settings!$C$9:$C$12,MATCH(I2118,Settings!$A$9:$A$12,0)),"")))</f>
        <v/>
      </c>
      <c r="K2118" s="27" t="str">
        <f aca="false">IF(J2118="","",COUNTIF($I$2:I2118,I2118))</f>
        <v/>
      </c>
      <c r="L2118" s="27" t="str">
        <f aca="false">IF(J2118="","",CHOOSE(Q2118+1,"Tue","Wed","Thu","Fri"))</f>
        <v/>
      </c>
      <c r="M2118" s="27" t="str">
        <f aca="false">IF(J2118="","",IF(J2118=1,"Every week",R2118+1&amp;" of "&amp;J2118))</f>
        <v/>
      </c>
      <c r="N2118" s="28" t="str">
        <f aca="false">IF(J2118="","",Settings!$B$4+R2118*7+Q2118)</f>
        <v/>
      </c>
      <c r="O2118" s="28" t="str">
        <f aca="true">IF(J2118="","",N2118+MAX(0,ROUNDUP((TODAY()-N2118)/(J2118*7),0))*J2118*7)</f>
        <v/>
      </c>
      <c r="P2118" s="27" t="str">
        <f aca="false">IF(J2118="","",MOD(K2118-1,J2118*4))</f>
        <v/>
      </c>
      <c r="Q2118" s="27" t="str">
        <f aca="false">IF(J2118="","",MOD(P2118,4))</f>
        <v/>
      </c>
      <c r="R2118" s="27" t="str">
        <f aca="false">IF(J2118="","",INT(P2118/4))</f>
        <v/>
      </c>
      <c r="S2118" s="27" t="str">
        <f aca="false">IF(J2118="","",IF(AND('Daily Count Sheet'!$H$3=Q2118,MOD('Daily Count Sheet'!$I$3,J2118)=R2118),1,""))</f>
        <v/>
      </c>
      <c r="T2118" s="27" t="str">
        <f aca="false">IF(S2118=1,COUNTIF($S$2:S2118,1),"")</f>
        <v/>
      </c>
    </row>
    <row r="2119" customFormat="false" ht="15" hidden="false" customHeight="false" outlineLevel="0" collapsed="false">
      <c r="H2119" s="26"/>
      <c r="I2119" s="27" t="str">
        <f aca="false">IF(A2119="","",IF(H2119&lt;&gt;"",UPPER(TRIM(H2119)),IFERROR(CHOOSE(VALUE(E2119)+1,"A","B","C","D"),IF(OR(LEFT(UPPER(TRIM(E2119)),1)="F",UPPER(TRIM(E2119))="A"),"A",IF(OR(LEFT(UPPER(TRIM(E2119)),1)="M",UPPER(TRIM(E2119))="B"),"B",IF(OR(LEFT(UPPER(TRIM(E2119)),2)="SL",UPPER(TRIM(E2119))="C"),"C",IF(OR(LEFT(UPPER(TRIM(E2119)),1)="D",UPPER(TRIM(E2119))="D"),"D","")))))))</f>
        <v/>
      </c>
      <c r="J2119" s="27" t="str">
        <f aca="false">IF(I2119="","",IF(AND(I2119="D",Settings!$B$6&lt;&gt;"Yes"),"",IFERROR(INDEX(Settings!$C$9:$C$12,MATCH(I2119,Settings!$A$9:$A$12,0)),"")))</f>
        <v/>
      </c>
      <c r="K2119" s="27" t="str">
        <f aca="false">IF(J2119="","",COUNTIF($I$2:I2119,I2119))</f>
        <v/>
      </c>
      <c r="L2119" s="27" t="str">
        <f aca="false">IF(J2119="","",CHOOSE(Q2119+1,"Tue","Wed","Thu","Fri"))</f>
        <v/>
      </c>
      <c r="M2119" s="27" t="str">
        <f aca="false">IF(J2119="","",IF(J2119=1,"Every week",R2119+1&amp;" of "&amp;J2119))</f>
        <v/>
      </c>
      <c r="N2119" s="28" t="str">
        <f aca="false">IF(J2119="","",Settings!$B$4+R2119*7+Q2119)</f>
        <v/>
      </c>
      <c r="O2119" s="28" t="str">
        <f aca="true">IF(J2119="","",N2119+MAX(0,ROUNDUP((TODAY()-N2119)/(J2119*7),0))*J2119*7)</f>
        <v/>
      </c>
      <c r="P2119" s="27" t="str">
        <f aca="false">IF(J2119="","",MOD(K2119-1,J2119*4))</f>
        <v/>
      </c>
      <c r="Q2119" s="27" t="str">
        <f aca="false">IF(J2119="","",MOD(P2119,4))</f>
        <v/>
      </c>
      <c r="R2119" s="27" t="str">
        <f aca="false">IF(J2119="","",INT(P2119/4))</f>
        <v/>
      </c>
      <c r="S2119" s="27" t="str">
        <f aca="false">IF(J2119="","",IF(AND('Daily Count Sheet'!$H$3=Q2119,MOD('Daily Count Sheet'!$I$3,J2119)=R2119),1,""))</f>
        <v/>
      </c>
      <c r="T2119" s="27" t="str">
        <f aca="false">IF(S2119=1,COUNTIF($S$2:S2119,1),"")</f>
        <v/>
      </c>
    </row>
    <row r="2120" customFormat="false" ht="15" hidden="false" customHeight="false" outlineLevel="0" collapsed="false">
      <c r="H2120" s="26"/>
      <c r="I2120" s="27" t="str">
        <f aca="false">IF(A2120="","",IF(H2120&lt;&gt;"",UPPER(TRIM(H2120)),IFERROR(CHOOSE(VALUE(E2120)+1,"A","B","C","D"),IF(OR(LEFT(UPPER(TRIM(E2120)),1)="F",UPPER(TRIM(E2120))="A"),"A",IF(OR(LEFT(UPPER(TRIM(E2120)),1)="M",UPPER(TRIM(E2120))="B"),"B",IF(OR(LEFT(UPPER(TRIM(E2120)),2)="SL",UPPER(TRIM(E2120))="C"),"C",IF(OR(LEFT(UPPER(TRIM(E2120)),1)="D",UPPER(TRIM(E2120))="D"),"D","")))))))</f>
        <v/>
      </c>
      <c r="J2120" s="27" t="str">
        <f aca="false">IF(I2120="","",IF(AND(I2120="D",Settings!$B$6&lt;&gt;"Yes"),"",IFERROR(INDEX(Settings!$C$9:$C$12,MATCH(I2120,Settings!$A$9:$A$12,0)),"")))</f>
        <v/>
      </c>
      <c r="K2120" s="27" t="str">
        <f aca="false">IF(J2120="","",COUNTIF($I$2:I2120,I2120))</f>
        <v/>
      </c>
      <c r="L2120" s="27" t="str">
        <f aca="false">IF(J2120="","",CHOOSE(Q2120+1,"Tue","Wed","Thu","Fri"))</f>
        <v/>
      </c>
      <c r="M2120" s="27" t="str">
        <f aca="false">IF(J2120="","",IF(J2120=1,"Every week",R2120+1&amp;" of "&amp;J2120))</f>
        <v/>
      </c>
      <c r="N2120" s="28" t="str">
        <f aca="false">IF(J2120="","",Settings!$B$4+R2120*7+Q2120)</f>
        <v/>
      </c>
      <c r="O2120" s="28" t="str">
        <f aca="true">IF(J2120="","",N2120+MAX(0,ROUNDUP((TODAY()-N2120)/(J2120*7),0))*J2120*7)</f>
        <v/>
      </c>
      <c r="P2120" s="27" t="str">
        <f aca="false">IF(J2120="","",MOD(K2120-1,J2120*4))</f>
        <v/>
      </c>
      <c r="Q2120" s="27" t="str">
        <f aca="false">IF(J2120="","",MOD(P2120,4))</f>
        <v/>
      </c>
      <c r="R2120" s="27" t="str">
        <f aca="false">IF(J2120="","",INT(P2120/4))</f>
        <v/>
      </c>
      <c r="S2120" s="27" t="str">
        <f aca="false">IF(J2120="","",IF(AND('Daily Count Sheet'!$H$3=Q2120,MOD('Daily Count Sheet'!$I$3,J2120)=R2120),1,""))</f>
        <v/>
      </c>
      <c r="T2120" s="27" t="str">
        <f aca="false">IF(S2120=1,COUNTIF($S$2:S2120,1),"")</f>
        <v/>
      </c>
    </row>
    <row r="2121" customFormat="false" ht="15" hidden="false" customHeight="false" outlineLevel="0" collapsed="false">
      <c r="H2121" s="26"/>
      <c r="I2121" s="27" t="str">
        <f aca="false">IF(A2121="","",IF(H2121&lt;&gt;"",UPPER(TRIM(H2121)),IFERROR(CHOOSE(VALUE(E2121)+1,"A","B","C","D"),IF(OR(LEFT(UPPER(TRIM(E2121)),1)="F",UPPER(TRIM(E2121))="A"),"A",IF(OR(LEFT(UPPER(TRIM(E2121)),1)="M",UPPER(TRIM(E2121))="B"),"B",IF(OR(LEFT(UPPER(TRIM(E2121)),2)="SL",UPPER(TRIM(E2121))="C"),"C",IF(OR(LEFT(UPPER(TRIM(E2121)),1)="D",UPPER(TRIM(E2121))="D"),"D","")))))))</f>
        <v/>
      </c>
      <c r="J2121" s="27" t="str">
        <f aca="false">IF(I2121="","",IF(AND(I2121="D",Settings!$B$6&lt;&gt;"Yes"),"",IFERROR(INDEX(Settings!$C$9:$C$12,MATCH(I2121,Settings!$A$9:$A$12,0)),"")))</f>
        <v/>
      </c>
      <c r="K2121" s="27" t="str">
        <f aca="false">IF(J2121="","",COUNTIF($I$2:I2121,I2121))</f>
        <v/>
      </c>
      <c r="L2121" s="27" t="str">
        <f aca="false">IF(J2121="","",CHOOSE(Q2121+1,"Tue","Wed","Thu","Fri"))</f>
        <v/>
      </c>
      <c r="M2121" s="27" t="str">
        <f aca="false">IF(J2121="","",IF(J2121=1,"Every week",R2121+1&amp;" of "&amp;J2121))</f>
        <v/>
      </c>
      <c r="N2121" s="28" t="str">
        <f aca="false">IF(J2121="","",Settings!$B$4+R2121*7+Q2121)</f>
        <v/>
      </c>
      <c r="O2121" s="28" t="str">
        <f aca="true">IF(J2121="","",N2121+MAX(0,ROUNDUP((TODAY()-N2121)/(J2121*7),0))*J2121*7)</f>
        <v/>
      </c>
      <c r="P2121" s="27" t="str">
        <f aca="false">IF(J2121="","",MOD(K2121-1,J2121*4))</f>
        <v/>
      </c>
      <c r="Q2121" s="27" t="str">
        <f aca="false">IF(J2121="","",MOD(P2121,4))</f>
        <v/>
      </c>
      <c r="R2121" s="27" t="str">
        <f aca="false">IF(J2121="","",INT(P2121/4))</f>
        <v/>
      </c>
      <c r="S2121" s="27" t="str">
        <f aca="false">IF(J2121="","",IF(AND('Daily Count Sheet'!$H$3=Q2121,MOD('Daily Count Sheet'!$I$3,J2121)=R2121),1,""))</f>
        <v/>
      </c>
      <c r="T2121" s="27" t="str">
        <f aca="false">IF(S2121=1,COUNTIF($S$2:S2121,1),"")</f>
        <v/>
      </c>
    </row>
    <row r="2122" customFormat="false" ht="15" hidden="false" customHeight="false" outlineLevel="0" collapsed="false">
      <c r="H2122" s="26"/>
      <c r="I2122" s="27" t="str">
        <f aca="false">IF(A2122="","",IF(H2122&lt;&gt;"",UPPER(TRIM(H2122)),IFERROR(CHOOSE(VALUE(E2122)+1,"A","B","C","D"),IF(OR(LEFT(UPPER(TRIM(E2122)),1)="F",UPPER(TRIM(E2122))="A"),"A",IF(OR(LEFT(UPPER(TRIM(E2122)),1)="M",UPPER(TRIM(E2122))="B"),"B",IF(OR(LEFT(UPPER(TRIM(E2122)),2)="SL",UPPER(TRIM(E2122))="C"),"C",IF(OR(LEFT(UPPER(TRIM(E2122)),1)="D",UPPER(TRIM(E2122))="D"),"D","")))))))</f>
        <v/>
      </c>
      <c r="J2122" s="27" t="str">
        <f aca="false">IF(I2122="","",IF(AND(I2122="D",Settings!$B$6&lt;&gt;"Yes"),"",IFERROR(INDEX(Settings!$C$9:$C$12,MATCH(I2122,Settings!$A$9:$A$12,0)),"")))</f>
        <v/>
      </c>
      <c r="K2122" s="27" t="str">
        <f aca="false">IF(J2122="","",COUNTIF($I$2:I2122,I2122))</f>
        <v/>
      </c>
      <c r="L2122" s="27" t="str">
        <f aca="false">IF(J2122="","",CHOOSE(Q2122+1,"Tue","Wed","Thu","Fri"))</f>
        <v/>
      </c>
      <c r="M2122" s="27" t="str">
        <f aca="false">IF(J2122="","",IF(J2122=1,"Every week",R2122+1&amp;" of "&amp;J2122))</f>
        <v/>
      </c>
      <c r="N2122" s="28" t="str">
        <f aca="false">IF(J2122="","",Settings!$B$4+R2122*7+Q2122)</f>
        <v/>
      </c>
      <c r="O2122" s="28" t="str">
        <f aca="true">IF(J2122="","",N2122+MAX(0,ROUNDUP((TODAY()-N2122)/(J2122*7),0))*J2122*7)</f>
        <v/>
      </c>
      <c r="P2122" s="27" t="str">
        <f aca="false">IF(J2122="","",MOD(K2122-1,J2122*4))</f>
        <v/>
      </c>
      <c r="Q2122" s="27" t="str">
        <f aca="false">IF(J2122="","",MOD(P2122,4))</f>
        <v/>
      </c>
      <c r="R2122" s="27" t="str">
        <f aca="false">IF(J2122="","",INT(P2122/4))</f>
        <v/>
      </c>
      <c r="S2122" s="27" t="str">
        <f aca="false">IF(J2122="","",IF(AND('Daily Count Sheet'!$H$3=Q2122,MOD('Daily Count Sheet'!$I$3,J2122)=R2122),1,""))</f>
        <v/>
      </c>
      <c r="T2122" s="27" t="str">
        <f aca="false">IF(S2122=1,COUNTIF($S$2:S2122,1),"")</f>
        <v/>
      </c>
    </row>
    <row r="2123" customFormat="false" ht="15" hidden="false" customHeight="false" outlineLevel="0" collapsed="false">
      <c r="H2123" s="26"/>
      <c r="I2123" s="27" t="str">
        <f aca="false">IF(A2123="","",IF(H2123&lt;&gt;"",UPPER(TRIM(H2123)),IFERROR(CHOOSE(VALUE(E2123)+1,"A","B","C","D"),IF(OR(LEFT(UPPER(TRIM(E2123)),1)="F",UPPER(TRIM(E2123))="A"),"A",IF(OR(LEFT(UPPER(TRIM(E2123)),1)="M",UPPER(TRIM(E2123))="B"),"B",IF(OR(LEFT(UPPER(TRIM(E2123)),2)="SL",UPPER(TRIM(E2123))="C"),"C",IF(OR(LEFT(UPPER(TRIM(E2123)),1)="D",UPPER(TRIM(E2123))="D"),"D","")))))))</f>
        <v/>
      </c>
      <c r="J2123" s="27" t="str">
        <f aca="false">IF(I2123="","",IF(AND(I2123="D",Settings!$B$6&lt;&gt;"Yes"),"",IFERROR(INDEX(Settings!$C$9:$C$12,MATCH(I2123,Settings!$A$9:$A$12,0)),"")))</f>
        <v/>
      </c>
      <c r="K2123" s="27" t="str">
        <f aca="false">IF(J2123="","",COUNTIF($I$2:I2123,I2123))</f>
        <v/>
      </c>
      <c r="L2123" s="27" t="str">
        <f aca="false">IF(J2123="","",CHOOSE(Q2123+1,"Tue","Wed","Thu","Fri"))</f>
        <v/>
      </c>
      <c r="M2123" s="27" t="str">
        <f aca="false">IF(J2123="","",IF(J2123=1,"Every week",R2123+1&amp;" of "&amp;J2123))</f>
        <v/>
      </c>
      <c r="N2123" s="28" t="str">
        <f aca="false">IF(J2123="","",Settings!$B$4+R2123*7+Q2123)</f>
        <v/>
      </c>
      <c r="O2123" s="28" t="str">
        <f aca="true">IF(J2123="","",N2123+MAX(0,ROUNDUP((TODAY()-N2123)/(J2123*7),0))*J2123*7)</f>
        <v/>
      </c>
      <c r="P2123" s="27" t="str">
        <f aca="false">IF(J2123="","",MOD(K2123-1,J2123*4))</f>
        <v/>
      </c>
      <c r="Q2123" s="27" t="str">
        <f aca="false">IF(J2123="","",MOD(P2123,4))</f>
        <v/>
      </c>
      <c r="R2123" s="27" t="str">
        <f aca="false">IF(J2123="","",INT(P2123/4))</f>
        <v/>
      </c>
      <c r="S2123" s="27" t="str">
        <f aca="false">IF(J2123="","",IF(AND('Daily Count Sheet'!$H$3=Q2123,MOD('Daily Count Sheet'!$I$3,J2123)=R2123),1,""))</f>
        <v/>
      </c>
      <c r="T2123" s="27" t="str">
        <f aca="false">IF(S2123=1,COUNTIF($S$2:S2123,1),"")</f>
        <v/>
      </c>
    </row>
    <row r="2124" customFormat="false" ht="15" hidden="false" customHeight="false" outlineLevel="0" collapsed="false">
      <c r="H2124" s="26"/>
      <c r="I2124" s="27" t="str">
        <f aca="false">IF(A2124="","",IF(H2124&lt;&gt;"",UPPER(TRIM(H2124)),IFERROR(CHOOSE(VALUE(E2124)+1,"A","B","C","D"),IF(OR(LEFT(UPPER(TRIM(E2124)),1)="F",UPPER(TRIM(E2124))="A"),"A",IF(OR(LEFT(UPPER(TRIM(E2124)),1)="M",UPPER(TRIM(E2124))="B"),"B",IF(OR(LEFT(UPPER(TRIM(E2124)),2)="SL",UPPER(TRIM(E2124))="C"),"C",IF(OR(LEFT(UPPER(TRIM(E2124)),1)="D",UPPER(TRIM(E2124))="D"),"D","")))))))</f>
        <v/>
      </c>
      <c r="J2124" s="27" t="str">
        <f aca="false">IF(I2124="","",IF(AND(I2124="D",Settings!$B$6&lt;&gt;"Yes"),"",IFERROR(INDEX(Settings!$C$9:$C$12,MATCH(I2124,Settings!$A$9:$A$12,0)),"")))</f>
        <v/>
      </c>
      <c r="K2124" s="27" t="str">
        <f aca="false">IF(J2124="","",COUNTIF($I$2:I2124,I2124))</f>
        <v/>
      </c>
      <c r="L2124" s="27" t="str">
        <f aca="false">IF(J2124="","",CHOOSE(Q2124+1,"Tue","Wed","Thu","Fri"))</f>
        <v/>
      </c>
      <c r="M2124" s="27" t="str">
        <f aca="false">IF(J2124="","",IF(J2124=1,"Every week",R2124+1&amp;" of "&amp;J2124))</f>
        <v/>
      </c>
      <c r="N2124" s="28" t="str">
        <f aca="false">IF(J2124="","",Settings!$B$4+R2124*7+Q2124)</f>
        <v/>
      </c>
      <c r="O2124" s="28" t="str">
        <f aca="true">IF(J2124="","",N2124+MAX(0,ROUNDUP((TODAY()-N2124)/(J2124*7),0))*J2124*7)</f>
        <v/>
      </c>
      <c r="P2124" s="27" t="str">
        <f aca="false">IF(J2124="","",MOD(K2124-1,J2124*4))</f>
        <v/>
      </c>
      <c r="Q2124" s="27" t="str">
        <f aca="false">IF(J2124="","",MOD(P2124,4))</f>
        <v/>
      </c>
      <c r="R2124" s="27" t="str">
        <f aca="false">IF(J2124="","",INT(P2124/4))</f>
        <v/>
      </c>
      <c r="S2124" s="27" t="str">
        <f aca="false">IF(J2124="","",IF(AND('Daily Count Sheet'!$H$3=Q2124,MOD('Daily Count Sheet'!$I$3,J2124)=R2124),1,""))</f>
        <v/>
      </c>
      <c r="T2124" s="27" t="str">
        <f aca="false">IF(S2124=1,COUNTIF($S$2:S2124,1),"")</f>
        <v/>
      </c>
    </row>
    <row r="2125" customFormat="false" ht="15" hidden="false" customHeight="false" outlineLevel="0" collapsed="false">
      <c r="H2125" s="26"/>
      <c r="I2125" s="27" t="str">
        <f aca="false">IF(A2125="","",IF(H2125&lt;&gt;"",UPPER(TRIM(H2125)),IFERROR(CHOOSE(VALUE(E2125)+1,"A","B","C","D"),IF(OR(LEFT(UPPER(TRIM(E2125)),1)="F",UPPER(TRIM(E2125))="A"),"A",IF(OR(LEFT(UPPER(TRIM(E2125)),1)="M",UPPER(TRIM(E2125))="B"),"B",IF(OR(LEFT(UPPER(TRIM(E2125)),2)="SL",UPPER(TRIM(E2125))="C"),"C",IF(OR(LEFT(UPPER(TRIM(E2125)),1)="D",UPPER(TRIM(E2125))="D"),"D","")))))))</f>
        <v/>
      </c>
      <c r="J2125" s="27" t="str">
        <f aca="false">IF(I2125="","",IF(AND(I2125="D",Settings!$B$6&lt;&gt;"Yes"),"",IFERROR(INDEX(Settings!$C$9:$C$12,MATCH(I2125,Settings!$A$9:$A$12,0)),"")))</f>
        <v/>
      </c>
      <c r="K2125" s="27" t="str">
        <f aca="false">IF(J2125="","",COUNTIF($I$2:I2125,I2125))</f>
        <v/>
      </c>
      <c r="L2125" s="27" t="str">
        <f aca="false">IF(J2125="","",CHOOSE(Q2125+1,"Tue","Wed","Thu","Fri"))</f>
        <v/>
      </c>
      <c r="M2125" s="27" t="str">
        <f aca="false">IF(J2125="","",IF(J2125=1,"Every week",R2125+1&amp;" of "&amp;J2125))</f>
        <v/>
      </c>
      <c r="N2125" s="28" t="str">
        <f aca="false">IF(J2125="","",Settings!$B$4+R2125*7+Q2125)</f>
        <v/>
      </c>
      <c r="O2125" s="28" t="str">
        <f aca="true">IF(J2125="","",N2125+MAX(0,ROUNDUP((TODAY()-N2125)/(J2125*7),0))*J2125*7)</f>
        <v/>
      </c>
      <c r="P2125" s="27" t="str">
        <f aca="false">IF(J2125="","",MOD(K2125-1,J2125*4))</f>
        <v/>
      </c>
      <c r="Q2125" s="27" t="str">
        <f aca="false">IF(J2125="","",MOD(P2125,4))</f>
        <v/>
      </c>
      <c r="R2125" s="27" t="str">
        <f aca="false">IF(J2125="","",INT(P2125/4))</f>
        <v/>
      </c>
      <c r="S2125" s="27" t="str">
        <f aca="false">IF(J2125="","",IF(AND('Daily Count Sheet'!$H$3=Q2125,MOD('Daily Count Sheet'!$I$3,J2125)=R2125),1,""))</f>
        <v/>
      </c>
      <c r="T2125" s="27" t="str">
        <f aca="false">IF(S2125=1,COUNTIF($S$2:S2125,1),"")</f>
        <v/>
      </c>
    </row>
    <row r="2126" customFormat="false" ht="15" hidden="false" customHeight="false" outlineLevel="0" collapsed="false">
      <c r="H2126" s="26"/>
      <c r="I2126" s="27" t="str">
        <f aca="false">IF(A2126="","",IF(H2126&lt;&gt;"",UPPER(TRIM(H2126)),IFERROR(CHOOSE(VALUE(E2126)+1,"A","B","C","D"),IF(OR(LEFT(UPPER(TRIM(E2126)),1)="F",UPPER(TRIM(E2126))="A"),"A",IF(OR(LEFT(UPPER(TRIM(E2126)),1)="M",UPPER(TRIM(E2126))="B"),"B",IF(OR(LEFT(UPPER(TRIM(E2126)),2)="SL",UPPER(TRIM(E2126))="C"),"C",IF(OR(LEFT(UPPER(TRIM(E2126)),1)="D",UPPER(TRIM(E2126))="D"),"D","")))))))</f>
        <v/>
      </c>
      <c r="J2126" s="27" t="str">
        <f aca="false">IF(I2126="","",IF(AND(I2126="D",Settings!$B$6&lt;&gt;"Yes"),"",IFERROR(INDEX(Settings!$C$9:$C$12,MATCH(I2126,Settings!$A$9:$A$12,0)),"")))</f>
        <v/>
      </c>
      <c r="K2126" s="27" t="str">
        <f aca="false">IF(J2126="","",COUNTIF($I$2:I2126,I2126))</f>
        <v/>
      </c>
      <c r="L2126" s="27" t="str">
        <f aca="false">IF(J2126="","",CHOOSE(Q2126+1,"Tue","Wed","Thu","Fri"))</f>
        <v/>
      </c>
      <c r="M2126" s="27" t="str">
        <f aca="false">IF(J2126="","",IF(J2126=1,"Every week",R2126+1&amp;" of "&amp;J2126))</f>
        <v/>
      </c>
      <c r="N2126" s="28" t="str">
        <f aca="false">IF(J2126="","",Settings!$B$4+R2126*7+Q2126)</f>
        <v/>
      </c>
      <c r="O2126" s="28" t="str">
        <f aca="true">IF(J2126="","",N2126+MAX(0,ROUNDUP((TODAY()-N2126)/(J2126*7),0))*J2126*7)</f>
        <v/>
      </c>
      <c r="P2126" s="27" t="str">
        <f aca="false">IF(J2126="","",MOD(K2126-1,J2126*4))</f>
        <v/>
      </c>
      <c r="Q2126" s="27" t="str">
        <f aca="false">IF(J2126="","",MOD(P2126,4))</f>
        <v/>
      </c>
      <c r="R2126" s="27" t="str">
        <f aca="false">IF(J2126="","",INT(P2126/4))</f>
        <v/>
      </c>
      <c r="S2126" s="27" t="str">
        <f aca="false">IF(J2126="","",IF(AND('Daily Count Sheet'!$H$3=Q2126,MOD('Daily Count Sheet'!$I$3,J2126)=R2126),1,""))</f>
        <v/>
      </c>
      <c r="T2126" s="27" t="str">
        <f aca="false">IF(S2126=1,COUNTIF($S$2:S2126,1),"")</f>
        <v/>
      </c>
    </row>
    <row r="2127" customFormat="false" ht="15" hidden="false" customHeight="false" outlineLevel="0" collapsed="false">
      <c r="H2127" s="26"/>
      <c r="I2127" s="27" t="str">
        <f aca="false">IF(A2127="","",IF(H2127&lt;&gt;"",UPPER(TRIM(H2127)),IFERROR(CHOOSE(VALUE(E2127)+1,"A","B","C","D"),IF(OR(LEFT(UPPER(TRIM(E2127)),1)="F",UPPER(TRIM(E2127))="A"),"A",IF(OR(LEFT(UPPER(TRIM(E2127)),1)="M",UPPER(TRIM(E2127))="B"),"B",IF(OR(LEFT(UPPER(TRIM(E2127)),2)="SL",UPPER(TRIM(E2127))="C"),"C",IF(OR(LEFT(UPPER(TRIM(E2127)),1)="D",UPPER(TRIM(E2127))="D"),"D","")))))))</f>
        <v/>
      </c>
      <c r="J2127" s="27" t="str">
        <f aca="false">IF(I2127="","",IF(AND(I2127="D",Settings!$B$6&lt;&gt;"Yes"),"",IFERROR(INDEX(Settings!$C$9:$C$12,MATCH(I2127,Settings!$A$9:$A$12,0)),"")))</f>
        <v/>
      </c>
      <c r="K2127" s="27" t="str">
        <f aca="false">IF(J2127="","",COUNTIF($I$2:I2127,I2127))</f>
        <v/>
      </c>
      <c r="L2127" s="27" t="str">
        <f aca="false">IF(J2127="","",CHOOSE(Q2127+1,"Tue","Wed","Thu","Fri"))</f>
        <v/>
      </c>
      <c r="M2127" s="27" t="str">
        <f aca="false">IF(J2127="","",IF(J2127=1,"Every week",R2127+1&amp;" of "&amp;J2127))</f>
        <v/>
      </c>
      <c r="N2127" s="28" t="str">
        <f aca="false">IF(J2127="","",Settings!$B$4+R2127*7+Q2127)</f>
        <v/>
      </c>
      <c r="O2127" s="28" t="str">
        <f aca="true">IF(J2127="","",N2127+MAX(0,ROUNDUP((TODAY()-N2127)/(J2127*7),0))*J2127*7)</f>
        <v/>
      </c>
      <c r="P2127" s="27" t="str">
        <f aca="false">IF(J2127="","",MOD(K2127-1,J2127*4))</f>
        <v/>
      </c>
      <c r="Q2127" s="27" t="str">
        <f aca="false">IF(J2127="","",MOD(P2127,4))</f>
        <v/>
      </c>
      <c r="R2127" s="27" t="str">
        <f aca="false">IF(J2127="","",INT(P2127/4))</f>
        <v/>
      </c>
      <c r="S2127" s="27" t="str">
        <f aca="false">IF(J2127="","",IF(AND('Daily Count Sheet'!$H$3=Q2127,MOD('Daily Count Sheet'!$I$3,J2127)=R2127),1,""))</f>
        <v/>
      </c>
      <c r="T2127" s="27" t="str">
        <f aca="false">IF(S2127=1,COUNTIF($S$2:S2127,1),"")</f>
        <v/>
      </c>
    </row>
    <row r="2128" customFormat="false" ht="15" hidden="false" customHeight="false" outlineLevel="0" collapsed="false">
      <c r="H2128" s="26"/>
      <c r="I2128" s="27" t="str">
        <f aca="false">IF(A2128="","",IF(H2128&lt;&gt;"",UPPER(TRIM(H2128)),IFERROR(CHOOSE(VALUE(E2128)+1,"A","B","C","D"),IF(OR(LEFT(UPPER(TRIM(E2128)),1)="F",UPPER(TRIM(E2128))="A"),"A",IF(OR(LEFT(UPPER(TRIM(E2128)),1)="M",UPPER(TRIM(E2128))="B"),"B",IF(OR(LEFT(UPPER(TRIM(E2128)),2)="SL",UPPER(TRIM(E2128))="C"),"C",IF(OR(LEFT(UPPER(TRIM(E2128)),1)="D",UPPER(TRIM(E2128))="D"),"D","")))))))</f>
        <v/>
      </c>
      <c r="J2128" s="27" t="str">
        <f aca="false">IF(I2128="","",IF(AND(I2128="D",Settings!$B$6&lt;&gt;"Yes"),"",IFERROR(INDEX(Settings!$C$9:$C$12,MATCH(I2128,Settings!$A$9:$A$12,0)),"")))</f>
        <v/>
      </c>
      <c r="K2128" s="27" t="str">
        <f aca="false">IF(J2128="","",COUNTIF($I$2:I2128,I2128))</f>
        <v/>
      </c>
      <c r="L2128" s="27" t="str">
        <f aca="false">IF(J2128="","",CHOOSE(Q2128+1,"Tue","Wed","Thu","Fri"))</f>
        <v/>
      </c>
      <c r="M2128" s="27" t="str">
        <f aca="false">IF(J2128="","",IF(J2128=1,"Every week",R2128+1&amp;" of "&amp;J2128))</f>
        <v/>
      </c>
      <c r="N2128" s="28" t="str">
        <f aca="false">IF(J2128="","",Settings!$B$4+R2128*7+Q2128)</f>
        <v/>
      </c>
      <c r="O2128" s="28" t="str">
        <f aca="true">IF(J2128="","",N2128+MAX(0,ROUNDUP((TODAY()-N2128)/(J2128*7),0))*J2128*7)</f>
        <v/>
      </c>
      <c r="P2128" s="27" t="str">
        <f aca="false">IF(J2128="","",MOD(K2128-1,J2128*4))</f>
        <v/>
      </c>
      <c r="Q2128" s="27" t="str">
        <f aca="false">IF(J2128="","",MOD(P2128,4))</f>
        <v/>
      </c>
      <c r="R2128" s="27" t="str">
        <f aca="false">IF(J2128="","",INT(P2128/4))</f>
        <v/>
      </c>
      <c r="S2128" s="27" t="str">
        <f aca="false">IF(J2128="","",IF(AND('Daily Count Sheet'!$H$3=Q2128,MOD('Daily Count Sheet'!$I$3,J2128)=R2128),1,""))</f>
        <v/>
      </c>
      <c r="T2128" s="27" t="str">
        <f aca="false">IF(S2128=1,COUNTIF($S$2:S2128,1),"")</f>
        <v/>
      </c>
    </row>
    <row r="2129" customFormat="false" ht="15" hidden="false" customHeight="false" outlineLevel="0" collapsed="false">
      <c r="H2129" s="26"/>
      <c r="I2129" s="27" t="str">
        <f aca="false">IF(A2129="","",IF(H2129&lt;&gt;"",UPPER(TRIM(H2129)),IFERROR(CHOOSE(VALUE(E2129)+1,"A","B","C","D"),IF(OR(LEFT(UPPER(TRIM(E2129)),1)="F",UPPER(TRIM(E2129))="A"),"A",IF(OR(LEFT(UPPER(TRIM(E2129)),1)="M",UPPER(TRIM(E2129))="B"),"B",IF(OR(LEFT(UPPER(TRIM(E2129)),2)="SL",UPPER(TRIM(E2129))="C"),"C",IF(OR(LEFT(UPPER(TRIM(E2129)),1)="D",UPPER(TRIM(E2129))="D"),"D","")))))))</f>
        <v/>
      </c>
      <c r="J2129" s="27" t="str">
        <f aca="false">IF(I2129="","",IF(AND(I2129="D",Settings!$B$6&lt;&gt;"Yes"),"",IFERROR(INDEX(Settings!$C$9:$C$12,MATCH(I2129,Settings!$A$9:$A$12,0)),"")))</f>
        <v/>
      </c>
      <c r="K2129" s="27" t="str">
        <f aca="false">IF(J2129="","",COUNTIF($I$2:I2129,I2129))</f>
        <v/>
      </c>
      <c r="L2129" s="27" t="str">
        <f aca="false">IF(J2129="","",CHOOSE(Q2129+1,"Tue","Wed","Thu","Fri"))</f>
        <v/>
      </c>
      <c r="M2129" s="27" t="str">
        <f aca="false">IF(J2129="","",IF(J2129=1,"Every week",R2129+1&amp;" of "&amp;J2129))</f>
        <v/>
      </c>
      <c r="N2129" s="28" t="str">
        <f aca="false">IF(J2129="","",Settings!$B$4+R2129*7+Q2129)</f>
        <v/>
      </c>
      <c r="O2129" s="28" t="str">
        <f aca="true">IF(J2129="","",N2129+MAX(0,ROUNDUP((TODAY()-N2129)/(J2129*7),0))*J2129*7)</f>
        <v/>
      </c>
      <c r="P2129" s="27" t="str">
        <f aca="false">IF(J2129="","",MOD(K2129-1,J2129*4))</f>
        <v/>
      </c>
      <c r="Q2129" s="27" t="str">
        <f aca="false">IF(J2129="","",MOD(P2129,4))</f>
        <v/>
      </c>
      <c r="R2129" s="27" t="str">
        <f aca="false">IF(J2129="","",INT(P2129/4))</f>
        <v/>
      </c>
      <c r="S2129" s="27" t="str">
        <f aca="false">IF(J2129="","",IF(AND('Daily Count Sheet'!$H$3=Q2129,MOD('Daily Count Sheet'!$I$3,J2129)=R2129),1,""))</f>
        <v/>
      </c>
      <c r="T2129" s="27" t="str">
        <f aca="false">IF(S2129=1,COUNTIF($S$2:S2129,1),"")</f>
        <v/>
      </c>
    </row>
    <row r="2130" customFormat="false" ht="15" hidden="false" customHeight="false" outlineLevel="0" collapsed="false">
      <c r="H2130" s="26"/>
      <c r="I2130" s="27" t="str">
        <f aca="false">IF(A2130="","",IF(H2130&lt;&gt;"",UPPER(TRIM(H2130)),IFERROR(CHOOSE(VALUE(E2130)+1,"A","B","C","D"),IF(OR(LEFT(UPPER(TRIM(E2130)),1)="F",UPPER(TRIM(E2130))="A"),"A",IF(OR(LEFT(UPPER(TRIM(E2130)),1)="M",UPPER(TRIM(E2130))="B"),"B",IF(OR(LEFT(UPPER(TRIM(E2130)),2)="SL",UPPER(TRIM(E2130))="C"),"C",IF(OR(LEFT(UPPER(TRIM(E2130)),1)="D",UPPER(TRIM(E2130))="D"),"D","")))))))</f>
        <v/>
      </c>
      <c r="J2130" s="27" t="str">
        <f aca="false">IF(I2130="","",IF(AND(I2130="D",Settings!$B$6&lt;&gt;"Yes"),"",IFERROR(INDEX(Settings!$C$9:$C$12,MATCH(I2130,Settings!$A$9:$A$12,0)),"")))</f>
        <v/>
      </c>
      <c r="K2130" s="27" t="str">
        <f aca="false">IF(J2130="","",COUNTIF($I$2:I2130,I2130))</f>
        <v/>
      </c>
      <c r="L2130" s="27" t="str">
        <f aca="false">IF(J2130="","",CHOOSE(Q2130+1,"Tue","Wed","Thu","Fri"))</f>
        <v/>
      </c>
      <c r="M2130" s="27" t="str">
        <f aca="false">IF(J2130="","",IF(J2130=1,"Every week",R2130+1&amp;" of "&amp;J2130))</f>
        <v/>
      </c>
      <c r="N2130" s="28" t="str">
        <f aca="false">IF(J2130="","",Settings!$B$4+R2130*7+Q2130)</f>
        <v/>
      </c>
      <c r="O2130" s="28" t="str">
        <f aca="true">IF(J2130="","",N2130+MAX(0,ROUNDUP((TODAY()-N2130)/(J2130*7),0))*J2130*7)</f>
        <v/>
      </c>
      <c r="P2130" s="27" t="str">
        <f aca="false">IF(J2130="","",MOD(K2130-1,J2130*4))</f>
        <v/>
      </c>
      <c r="Q2130" s="27" t="str">
        <f aca="false">IF(J2130="","",MOD(P2130,4))</f>
        <v/>
      </c>
      <c r="R2130" s="27" t="str">
        <f aca="false">IF(J2130="","",INT(P2130/4))</f>
        <v/>
      </c>
      <c r="S2130" s="27" t="str">
        <f aca="false">IF(J2130="","",IF(AND('Daily Count Sheet'!$H$3=Q2130,MOD('Daily Count Sheet'!$I$3,J2130)=R2130),1,""))</f>
        <v/>
      </c>
      <c r="T2130" s="27" t="str">
        <f aca="false">IF(S2130=1,COUNTIF($S$2:S2130,1),"")</f>
        <v/>
      </c>
    </row>
    <row r="2131" customFormat="false" ht="15" hidden="false" customHeight="false" outlineLevel="0" collapsed="false">
      <c r="H2131" s="26"/>
      <c r="I2131" s="27" t="str">
        <f aca="false">IF(A2131="","",IF(H2131&lt;&gt;"",UPPER(TRIM(H2131)),IFERROR(CHOOSE(VALUE(E2131)+1,"A","B","C","D"),IF(OR(LEFT(UPPER(TRIM(E2131)),1)="F",UPPER(TRIM(E2131))="A"),"A",IF(OR(LEFT(UPPER(TRIM(E2131)),1)="M",UPPER(TRIM(E2131))="B"),"B",IF(OR(LEFT(UPPER(TRIM(E2131)),2)="SL",UPPER(TRIM(E2131))="C"),"C",IF(OR(LEFT(UPPER(TRIM(E2131)),1)="D",UPPER(TRIM(E2131))="D"),"D","")))))))</f>
        <v/>
      </c>
      <c r="J2131" s="27" t="str">
        <f aca="false">IF(I2131="","",IF(AND(I2131="D",Settings!$B$6&lt;&gt;"Yes"),"",IFERROR(INDEX(Settings!$C$9:$C$12,MATCH(I2131,Settings!$A$9:$A$12,0)),"")))</f>
        <v/>
      </c>
      <c r="K2131" s="27" t="str">
        <f aca="false">IF(J2131="","",COUNTIF($I$2:I2131,I2131))</f>
        <v/>
      </c>
      <c r="L2131" s="27" t="str">
        <f aca="false">IF(J2131="","",CHOOSE(Q2131+1,"Tue","Wed","Thu","Fri"))</f>
        <v/>
      </c>
      <c r="M2131" s="27" t="str">
        <f aca="false">IF(J2131="","",IF(J2131=1,"Every week",R2131+1&amp;" of "&amp;J2131))</f>
        <v/>
      </c>
      <c r="N2131" s="28" t="str">
        <f aca="false">IF(J2131="","",Settings!$B$4+R2131*7+Q2131)</f>
        <v/>
      </c>
      <c r="O2131" s="28" t="str">
        <f aca="true">IF(J2131="","",N2131+MAX(0,ROUNDUP((TODAY()-N2131)/(J2131*7),0))*J2131*7)</f>
        <v/>
      </c>
      <c r="P2131" s="27" t="str">
        <f aca="false">IF(J2131="","",MOD(K2131-1,J2131*4))</f>
        <v/>
      </c>
      <c r="Q2131" s="27" t="str">
        <f aca="false">IF(J2131="","",MOD(P2131,4))</f>
        <v/>
      </c>
      <c r="R2131" s="27" t="str">
        <f aca="false">IF(J2131="","",INT(P2131/4))</f>
        <v/>
      </c>
      <c r="S2131" s="27" t="str">
        <f aca="false">IF(J2131="","",IF(AND('Daily Count Sheet'!$H$3=Q2131,MOD('Daily Count Sheet'!$I$3,J2131)=R2131),1,""))</f>
        <v/>
      </c>
      <c r="T2131" s="27" t="str">
        <f aca="false">IF(S2131=1,COUNTIF($S$2:S2131,1),"")</f>
        <v/>
      </c>
    </row>
    <row r="2132" customFormat="false" ht="15" hidden="false" customHeight="false" outlineLevel="0" collapsed="false">
      <c r="H2132" s="26"/>
      <c r="I2132" s="27" t="str">
        <f aca="false">IF(A2132="","",IF(H2132&lt;&gt;"",UPPER(TRIM(H2132)),IFERROR(CHOOSE(VALUE(E2132)+1,"A","B","C","D"),IF(OR(LEFT(UPPER(TRIM(E2132)),1)="F",UPPER(TRIM(E2132))="A"),"A",IF(OR(LEFT(UPPER(TRIM(E2132)),1)="M",UPPER(TRIM(E2132))="B"),"B",IF(OR(LEFT(UPPER(TRIM(E2132)),2)="SL",UPPER(TRIM(E2132))="C"),"C",IF(OR(LEFT(UPPER(TRIM(E2132)),1)="D",UPPER(TRIM(E2132))="D"),"D","")))))))</f>
        <v/>
      </c>
      <c r="J2132" s="27" t="str">
        <f aca="false">IF(I2132="","",IF(AND(I2132="D",Settings!$B$6&lt;&gt;"Yes"),"",IFERROR(INDEX(Settings!$C$9:$C$12,MATCH(I2132,Settings!$A$9:$A$12,0)),"")))</f>
        <v/>
      </c>
      <c r="K2132" s="27" t="str">
        <f aca="false">IF(J2132="","",COUNTIF($I$2:I2132,I2132))</f>
        <v/>
      </c>
      <c r="L2132" s="27" t="str">
        <f aca="false">IF(J2132="","",CHOOSE(Q2132+1,"Tue","Wed","Thu","Fri"))</f>
        <v/>
      </c>
      <c r="M2132" s="27" t="str">
        <f aca="false">IF(J2132="","",IF(J2132=1,"Every week",R2132+1&amp;" of "&amp;J2132))</f>
        <v/>
      </c>
      <c r="N2132" s="28" t="str">
        <f aca="false">IF(J2132="","",Settings!$B$4+R2132*7+Q2132)</f>
        <v/>
      </c>
      <c r="O2132" s="28" t="str">
        <f aca="true">IF(J2132="","",N2132+MAX(0,ROUNDUP((TODAY()-N2132)/(J2132*7),0))*J2132*7)</f>
        <v/>
      </c>
      <c r="P2132" s="27" t="str">
        <f aca="false">IF(J2132="","",MOD(K2132-1,J2132*4))</f>
        <v/>
      </c>
      <c r="Q2132" s="27" t="str">
        <f aca="false">IF(J2132="","",MOD(P2132,4))</f>
        <v/>
      </c>
      <c r="R2132" s="27" t="str">
        <f aca="false">IF(J2132="","",INT(P2132/4))</f>
        <v/>
      </c>
      <c r="S2132" s="27" t="str">
        <f aca="false">IF(J2132="","",IF(AND('Daily Count Sheet'!$H$3=Q2132,MOD('Daily Count Sheet'!$I$3,J2132)=R2132),1,""))</f>
        <v/>
      </c>
      <c r="T2132" s="27" t="str">
        <f aca="false">IF(S2132=1,COUNTIF($S$2:S2132,1),"")</f>
        <v/>
      </c>
    </row>
    <row r="2133" customFormat="false" ht="15" hidden="false" customHeight="false" outlineLevel="0" collapsed="false">
      <c r="H2133" s="26"/>
      <c r="I2133" s="27" t="str">
        <f aca="false">IF(A2133="","",IF(H2133&lt;&gt;"",UPPER(TRIM(H2133)),IFERROR(CHOOSE(VALUE(E2133)+1,"A","B","C","D"),IF(OR(LEFT(UPPER(TRIM(E2133)),1)="F",UPPER(TRIM(E2133))="A"),"A",IF(OR(LEFT(UPPER(TRIM(E2133)),1)="M",UPPER(TRIM(E2133))="B"),"B",IF(OR(LEFT(UPPER(TRIM(E2133)),2)="SL",UPPER(TRIM(E2133))="C"),"C",IF(OR(LEFT(UPPER(TRIM(E2133)),1)="D",UPPER(TRIM(E2133))="D"),"D","")))))))</f>
        <v/>
      </c>
      <c r="J2133" s="27" t="str">
        <f aca="false">IF(I2133="","",IF(AND(I2133="D",Settings!$B$6&lt;&gt;"Yes"),"",IFERROR(INDEX(Settings!$C$9:$C$12,MATCH(I2133,Settings!$A$9:$A$12,0)),"")))</f>
        <v/>
      </c>
      <c r="K2133" s="27" t="str">
        <f aca="false">IF(J2133="","",COUNTIF($I$2:I2133,I2133))</f>
        <v/>
      </c>
      <c r="L2133" s="27" t="str">
        <f aca="false">IF(J2133="","",CHOOSE(Q2133+1,"Tue","Wed","Thu","Fri"))</f>
        <v/>
      </c>
      <c r="M2133" s="27" t="str">
        <f aca="false">IF(J2133="","",IF(J2133=1,"Every week",R2133+1&amp;" of "&amp;J2133))</f>
        <v/>
      </c>
      <c r="N2133" s="28" t="str">
        <f aca="false">IF(J2133="","",Settings!$B$4+R2133*7+Q2133)</f>
        <v/>
      </c>
      <c r="O2133" s="28" t="str">
        <f aca="true">IF(J2133="","",N2133+MAX(0,ROUNDUP((TODAY()-N2133)/(J2133*7),0))*J2133*7)</f>
        <v/>
      </c>
      <c r="P2133" s="27" t="str">
        <f aca="false">IF(J2133="","",MOD(K2133-1,J2133*4))</f>
        <v/>
      </c>
      <c r="Q2133" s="27" t="str">
        <f aca="false">IF(J2133="","",MOD(P2133,4))</f>
        <v/>
      </c>
      <c r="R2133" s="27" t="str">
        <f aca="false">IF(J2133="","",INT(P2133/4))</f>
        <v/>
      </c>
      <c r="S2133" s="27" t="str">
        <f aca="false">IF(J2133="","",IF(AND('Daily Count Sheet'!$H$3=Q2133,MOD('Daily Count Sheet'!$I$3,J2133)=R2133),1,""))</f>
        <v/>
      </c>
      <c r="T2133" s="27" t="str">
        <f aca="false">IF(S2133=1,COUNTIF($S$2:S2133,1),"")</f>
        <v/>
      </c>
    </row>
    <row r="2134" customFormat="false" ht="15" hidden="false" customHeight="false" outlineLevel="0" collapsed="false">
      <c r="H2134" s="26"/>
      <c r="I2134" s="27" t="str">
        <f aca="false">IF(A2134="","",IF(H2134&lt;&gt;"",UPPER(TRIM(H2134)),IFERROR(CHOOSE(VALUE(E2134)+1,"A","B","C","D"),IF(OR(LEFT(UPPER(TRIM(E2134)),1)="F",UPPER(TRIM(E2134))="A"),"A",IF(OR(LEFT(UPPER(TRIM(E2134)),1)="M",UPPER(TRIM(E2134))="B"),"B",IF(OR(LEFT(UPPER(TRIM(E2134)),2)="SL",UPPER(TRIM(E2134))="C"),"C",IF(OR(LEFT(UPPER(TRIM(E2134)),1)="D",UPPER(TRIM(E2134))="D"),"D","")))))))</f>
        <v/>
      </c>
      <c r="J2134" s="27" t="str">
        <f aca="false">IF(I2134="","",IF(AND(I2134="D",Settings!$B$6&lt;&gt;"Yes"),"",IFERROR(INDEX(Settings!$C$9:$C$12,MATCH(I2134,Settings!$A$9:$A$12,0)),"")))</f>
        <v/>
      </c>
      <c r="K2134" s="27" t="str">
        <f aca="false">IF(J2134="","",COUNTIF($I$2:I2134,I2134))</f>
        <v/>
      </c>
      <c r="L2134" s="27" t="str">
        <f aca="false">IF(J2134="","",CHOOSE(Q2134+1,"Tue","Wed","Thu","Fri"))</f>
        <v/>
      </c>
      <c r="M2134" s="27" t="str">
        <f aca="false">IF(J2134="","",IF(J2134=1,"Every week",R2134+1&amp;" of "&amp;J2134))</f>
        <v/>
      </c>
      <c r="N2134" s="28" t="str">
        <f aca="false">IF(J2134="","",Settings!$B$4+R2134*7+Q2134)</f>
        <v/>
      </c>
      <c r="O2134" s="28" t="str">
        <f aca="true">IF(J2134="","",N2134+MAX(0,ROUNDUP((TODAY()-N2134)/(J2134*7),0))*J2134*7)</f>
        <v/>
      </c>
      <c r="P2134" s="27" t="str">
        <f aca="false">IF(J2134="","",MOD(K2134-1,J2134*4))</f>
        <v/>
      </c>
      <c r="Q2134" s="27" t="str">
        <f aca="false">IF(J2134="","",MOD(P2134,4))</f>
        <v/>
      </c>
      <c r="R2134" s="27" t="str">
        <f aca="false">IF(J2134="","",INT(P2134/4))</f>
        <v/>
      </c>
      <c r="S2134" s="27" t="str">
        <f aca="false">IF(J2134="","",IF(AND('Daily Count Sheet'!$H$3=Q2134,MOD('Daily Count Sheet'!$I$3,J2134)=R2134),1,""))</f>
        <v/>
      </c>
      <c r="T2134" s="27" t="str">
        <f aca="false">IF(S2134=1,COUNTIF($S$2:S2134,1),"")</f>
        <v/>
      </c>
    </row>
    <row r="2135" customFormat="false" ht="15" hidden="false" customHeight="false" outlineLevel="0" collapsed="false">
      <c r="H2135" s="26"/>
      <c r="I2135" s="27" t="str">
        <f aca="false">IF(A2135="","",IF(H2135&lt;&gt;"",UPPER(TRIM(H2135)),IFERROR(CHOOSE(VALUE(E2135)+1,"A","B","C","D"),IF(OR(LEFT(UPPER(TRIM(E2135)),1)="F",UPPER(TRIM(E2135))="A"),"A",IF(OR(LEFT(UPPER(TRIM(E2135)),1)="M",UPPER(TRIM(E2135))="B"),"B",IF(OR(LEFT(UPPER(TRIM(E2135)),2)="SL",UPPER(TRIM(E2135))="C"),"C",IF(OR(LEFT(UPPER(TRIM(E2135)),1)="D",UPPER(TRIM(E2135))="D"),"D","")))))))</f>
        <v/>
      </c>
      <c r="J2135" s="27" t="str">
        <f aca="false">IF(I2135="","",IF(AND(I2135="D",Settings!$B$6&lt;&gt;"Yes"),"",IFERROR(INDEX(Settings!$C$9:$C$12,MATCH(I2135,Settings!$A$9:$A$12,0)),"")))</f>
        <v/>
      </c>
      <c r="K2135" s="27" t="str">
        <f aca="false">IF(J2135="","",COUNTIF($I$2:I2135,I2135))</f>
        <v/>
      </c>
      <c r="L2135" s="27" t="str">
        <f aca="false">IF(J2135="","",CHOOSE(Q2135+1,"Tue","Wed","Thu","Fri"))</f>
        <v/>
      </c>
      <c r="M2135" s="27" t="str">
        <f aca="false">IF(J2135="","",IF(J2135=1,"Every week",R2135+1&amp;" of "&amp;J2135))</f>
        <v/>
      </c>
      <c r="N2135" s="28" t="str">
        <f aca="false">IF(J2135="","",Settings!$B$4+R2135*7+Q2135)</f>
        <v/>
      </c>
      <c r="O2135" s="28" t="str">
        <f aca="true">IF(J2135="","",N2135+MAX(0,ROUNDUP((TODAY()-N2135)/(J2135*7),0))*J2135*7)</f>
        <v/>
      </c>
      <c r="P2135" s="27" t="str">
        <f aca="false">IF(J2135="","",MOD(K2135-1,J2135*4))</f>
        <v/>
      </c>
      <c r="Q2135" s="27" t="str">
        <f aca="false">IF(J2135="","",MOD(P2135,4))</f>
        <v/>
      </c>
      <c r="R2135" s="27" t="str">
        <f aca="false">IF(J2135="","",INT(P2135/4))</f>
        <v/>
      </c>
      <c r="S2135" s="27" t="str">
        <f aca="false">IF(J2135="","",IF(AND('Daily Count Sheet'!$H$3=Q2135,MOD('Daily Count Sheet'!$I$3,J2135)=R2135),1,""))</f>
        <v/>
      </c>
      <c r="T2135" s="27" t="str">
        <f aca="false">IF(S2135=1,COUNTIF($S$2:S2135,1),"")</f>
        <v/>
      </c>
    </row>
    <row r="2136" customFormat="false" ht="15" hidden="false" customHeight="false" outlineLevel="0" collapsed="false">
      <c r="H2136" s="26"/>
      <c r="I2136" s="27" t="str">
        <f aca="false">IF(A2136="","",IF(H2136&lt;&gt;"",UPPER(TRIM(H2136)),IFERROR(CHOOSE(VALUE(E2136)+1,"A","B","C","D"),IF(OR(LEFT(UPPER(TRIM(E2136)),1)="F",UPPER(TRIM(E2136))="A"),"A",IF(OR(LEFT(UPPER(TRIM(E2136)),1)="M",UPPER(TRIM(E2136))="B"),"B",IF(OR(LEFT(UPPER(TRIM(E2136)),2)="SL",UPPER(TRIM(E2136))="C"),"C",IF(OR(LEFT(UPPER(TRIM(E2136)),1)="D",UPPER(TRIM(E2136))="D"),"D","")))))))</f>
        <v/>
      </c>
      <c r="J2136" s="27" t="str">
        <f aca="false">IF(I2136="","",IF(AND(I2136="D",Settings!$B$6&lt;&gt;"Yes"),"",IFERROR(INDEX(Settings!$C$9:$C$12,MATCH(I2136,Settings!$A$9:$A$12,0)),"")))</f>
        <v/>
      </c>
      <c r="K2136" s="27" t="str">
        <f aca="false">IF(J2136="","",COUNTIF($I$2:I2136,I2136))</f>
        <v/>
      </c>
      <c r="L2136" s="27" t="str">
        <f aca="false">IF(J2136="","",CHOOSE(Q2136+1,"Tue","Wed","Thu","Fri"))</f>
        <v/>
      </c>
      <c r="M2136" s="27" t="str">
        <f aca="false">IF(J2136="","",IF(J2136=1,"Every week",R2136+1&amp;" of "&amp;J2136))</f>
        <v/>
      </c>
      <c r="N2136" s="28" t="str">
        <f aca="false">IF(J2136="","",Settings!$B$4+R2136*7+Q2136)</f>
        <v/>
      </c>
      <c r="O2136" s="28" t="str">
        <f aca="true">IF(J2136="","",N2136+MAX(0,ROUNDUP((TODAY()-N2136)/(J2136*7),0))*J2136*7)</f>
        <v/>
      </c>
      <c r="P2136" s="27" t="str">
        <f aca="false">IF(J2136="","",MOD(K2136-1,J2136*4))</f>
        <v/>
      </c>
      <c r="Q2136" s="27" t="str">
        <f aca="false">IF(J2136="","",MOD(P2136,4))</f>
        <v/>
      </c>
      <c r="R2136" s="27" t="str">
        <f aca="false">IF(J2136="","",INT(P2136/4))</f>
        <v/>
      </c>
      <c r="S2136" s="27" t="str">
        <f aca="false">IF(J2136="","",IF(AND('Daily Count Sheet'!$H$3=Q2136,MOD('Daily Count Sheet'!$I$3,J2136)=R2136),1,""))</f>
        <v/>
      </c>
      <c r="T2136" s="27" t="str">
        <f aca="false">IF(S2136=1,COUNTIF($S$2:S2136,1),"")</f>
        <v/>
      </c>
    </row>
    <row r="2137" customFormat="false" ht="15" hidden="false" customHeight="false" outlineLevel="0" collapsed="false">
      <c r="H2137" s="26"/>
      <c r="I2137" s="27" t="str">
        <f aca="false">IF(A2137="","",IF(H2137&lt;&gt;"",UPPER(TRIM(H2137)),IFERROR(CHOOSE(VALUE(E2137)+1,"A","B","C","D"),IF(OR(LEFT(UPPER(TRIM(E2137)),1)="F",UPPER(TRIM(E2137))="A"),"A",IF(OR(LEFT(UPPER(TRIM(E2137)),1)="M",UPPER(TRIM(E2137))="B"),"B",IF(OR(LEFT(UPPER(TRIM(E2137)),2)="SL",UPPER(TRIM(E2137))="C"),"C",IF(OR(LEFT(UPPER(TRIM(E2137)),1)="D",UPPER(TRIM(E2137))="D"),"D","")))))))</f>
        <v/>
      </c>
      <c r="J2137" s="27" t="str">
        <f aca="false">IF(I2137="","",IF(AND(I2137="D",Settings!$B$6&lt;&gt;"Yes"),"",IFERROR(INDEX(Settings!$C$9:$C$12,MATCH(I2137,Settings!$A$9:$A$12,0)),"")))</f>
        <v/>
      </c>
      <c r="K2137" s="27" t="str">
        <f aca="false">IF(J2137="","",COUNTIF($I$2:I2137,I2137))</f>
        <v/>
      </c>
      <c r="L2137" s="27" t="str">
        <f aca="false">IF(J2137="","",CHOOSE(Q2137+1,"Tue","Wed","Thu","Fri"))</f>
        <v/>
      </c>
      <c r="M2137" s="27" t="str">
        <f aca="false">IF(J2137="","",IF(J2137=1,"Every week",R2137+1&amp;" of "&amp;J2137))</f>
        <v/>
      </c>
      <c r="N2137" s="28" t="str">
        <f aca="false">IF(J2137="","",Settings!$B$4+R2137*7+Q2137)</f>
        <v/>
      </c>
      <c r="O2137" s="28" t="str">
        <f aca="true">IF(J2137="","",N2137+MAX(0,ROUNDUP((TODAY()-N2137)/(J2137*7),0))*J2137*7)</f>
        <v/>
      </c>
      <c r="P2137" s="27" t="str">
        <f aca="false">IF(J2137="","",MOD(K2137-1,J2137*4))</f>
        <v/>
      </c>
      <c r="Q2137" s="27" t="str">
        <f aca="false">IF(J2137="","",MOD(P2137,4))</f>
        <v/>
      </c>
      <c r="R2137" s="27" t="str">
        <f aca="false">IF(J2137="","",INT(P2137/4))</f>
        <v/>
      </c>
      <c r="S2137" s="27" t="str">
        <f aca="false">IF(J2137="","",IF(AND('Daily Count Sheet'!$H$3=Q2137,MOD('Daily Count Sheet'!$I$3,J2137)=R2137),1,""))</f>
        <v/>
      </c>
      <c r="T2137" s="27" t="str">
        <f aca="false">IF(S2137=1,COUNTIF($S$2:S2137,1),"")</f>
        <v/>
      </c>
    </row>
    <row r="2138" customFormat="false" ht="15" hidden="false" customHeight="false" outlineLevel="0" collapsed="false">
      <c r="H2138" s="26"/>
      <c r="I2138" s="27" t="str">
        <f aca="false">IF(A2138="","",IF(H2138&lt;&gt;"",UPPER(TRIM(H2138)),IFERROR(CHOOSE(VALUE(E2138)+1,"A","B","C","D"),IF(OR(LEFT(UPPER(TRIM(E2138)),1)="F",UPPER(TRIM(E2138))="A"),"A",IF(OR(LEFT(UPPER(TRIM(E2138)),1)="M",UPPER(TRIM(E2138))="B"),"B",IF(OR(LEFT(UPPER(TRIM(E2138)),2)="SL",UPPER(TRIM(E2138))="C"),"C",IF(OR(LEFT(UPPER(TRIM(E2138)),1)="D",UPPER(TRIM(E2138))="D"),"D","")))))))</f>
        <v/>
      </c>
      <c r="J2138" s="27" t="str">
        <f aca="false">IF(I2138="","",IF(AND(I2138="D",Settings!$B$6&lt;&gt;"Yes"),"",IFERROR(INDEX(Settings!$C$9:$C$12,MATCH(I2138,Settings!$A$9:$A$12,0)),"")))</f>
        <v/>
      </c>
      <c r="K2138" s="27" t="str">
        <f aca="false">IF(J2138="","",COUNTIF($I$2:I2138,I2138))</f>
        <v/>
      </c>
      <c r="L2138" s="27" t="str">
        <f aca="false">IF(J2138="","",CHOOSE(Q2138+1,"Tue","Wed","Thu","Fri"))</f>
        <v/>
      </c>
      <c r="M2138" s="27" t="str">
        <f aca="false">IF(J2138="","",IF(J2138=1,"Every week",R2138+1&amp;" of "&amp;J2138))</f>
        <v/>
      </c>
      <c r="N2138" s="28" t="str">
        <f aca="false">IF(J2138="","",Settings!$B$4+R2138*7+Q2138)</f>
        <v/>
      </c>
      <c r="O2138" s="28" t="str">
        <f aca="true">IF(J2138="","",N2138+MAX(0,ROUNDUP((TODAY()-N2138)/(J2138*7),0))*J2138*7)</f>
        <v/>
      </c>
      <c r="P2138" s="27" t="str">
        <f aca="false">IF(J2138="","",MOD(K2138-1,J2138*4))</f>
        <v/>
      </c>
      <c r="Q2138" s="27" t="str">
        <f aca="false">IF(J2138="","",MOD(P2138,4))</f>
        <v/>
      </c>
      <c r="R2138" s="27" t="str">
        <f aca="false">IF(J2138="","",INT(P2138/4))</f>
        <v/>
      </c>
      <c r="S2138" s="27" t="str">
        <f aca="false">IF(J2138="","",IF(AND('Daily Count Sheet'!$H$3=Q2138,MOD('Daily Count Sheet'!$I$3,J2138)=R2138),1,""))</f>
        <v/>
      </c>
      <c r="T2138" s="27" t="str">
        <f aca="false">IF(S2138=1,COUNTIF($S$2:S2138,1),"")</f>
        <v/>
      </c>
    </row>
    <row r="2139" customFormat="false" ht="15" hidden="false" customHeight="false" outlineLevel="0" collapsed="false">
      <c r="H2139" s="26"/>
      <c r="I2139" s="27" t="str">
        <f aca="false">IF(A2139="","",IF(H2139&lt;&gt;"",UPPER(TRIM(H2139)),IFERROR(CHOOSE(VALUE(E2139)+1,"A","B","C","D"),IF(OR(LEFT(UPPER(TRIM(E2139)),1)="F",UPPER(TRIM(E2139))="A"),"A",IF(OR(LEFT(UPPER(TRIM(E2139)),1)="M",UPPER(TRIM(E2139))="B"),"B",IF(OR(LEFT(UPPER(TRIM(E2139)),2)="SL",UPPER(TRIM(E2139))="C"),"C",IF(OR(LEFT(UPPER(TRIM(E2139)),1)="D",UPPER(TRIM(E2139))="D"),"D","")))))))</f>
        <v/>
      </c>
      <c r="J2139" s="27" t="str">
        <f aca="false">IF(I2139="","",IF(AND(I2139="D",Settings!$B$6&lt;&gt;"Yes"),"",IFERROR(INDEX(Settings!$C$9:$C$12,MATCH(I2139,Settings!$A$9:$A$12,0)),"")))</f>
        <v/>
      </c>
      <c r="K2139" s="27" t="str">
        <f aca="false">IF(J2139="","",COUNTIF($I$2:I2139,I2139))</f>
        <v/>
      </c>
      <c r="L2139" s="27" t="str">
        <f aca="false">IF(J2139="","",CHOOSE(Q2139+1,"Tue","Wed","Thu","Fri"))</f>
        <v/>
      </c>
      <c r="M2139" s="27" t="str">
        <f aca="false">IF(J2139="","",IF(J2139=1,"Every week",R2139+1&amp;" of "&amp;J2139))</f>
        <v/>
      </c>
      <c r="N2139" s="28" t="str">
        <f aca="false">IF(J2139="","",Settings!$B$4+R2139*7+Q2139)</f>
        <v/>
      </c>
      <c r="O2139" s="28" t="str">
        <f aca="true">IF(J2139="","",N2139+MAX(0,ROUNDUP((TODAY()-N2139)/(J2139*7),0))*J2139*7)</f>
        <v/>
      </c>
      <c r="P2139" s="27" t="str">
        <f aca="false">IF(J2139="","",MOD(K2139-1,J2139*4))</f>
        <v/>
      </c>
      <c r="Q2139" s="27" t="str">
        <f aca="false">IF(J2139="","",MOD(P2139,4))</f>
        <v/>
      </c>
      <c r="R2139" s="27" t="str">
        <f aca="false">IF(J2139="","",INT(P2139/4))</f>
        <v/>
      </c>
      <c r="S2139" s="27" t="str">
        <f aca="false">IF(J2139="","",IF(AND('Daily Count Sheet'!$H$3=Q2139,MOD('Daily Count Sheet'!$I$3,J2139)=R2139),1,""))</f>
        <v/>
      </c>
      <c r="T2139" s="27" t="str">
        <f aca="false">IF(S2139=1,COUNTIF($S$2:S2139,1),"")</f>
        <v/>
      </c>
    </row>
    <row r="2140" customFormat="false" ht="15" hidden="false" customHeight="false" outlineLevel="0" collapsed="false">
      <c r="H2140" s="26"/>
      <c r="I2140" s="27" t="str">
        <f aca="false">IF(A2140="","",IF(H2140&lt;&gt;"",UPPER(TRIM(H2140)),IFERROR(CHOOSE(VALUE(E2140)+1,"A","B","C","D"),IF(OR(LEFT(UPPER(TRIM(E2140)),1)="F",UPPER(TRIM(E2140))="A"),"A",IF(OR(LEFT(UPPER(TRIM(E2140)),1)="M",UPPER(TRIM(E2140))="B"),"B",IF(OR(LEFT(UPPER(TRIM(E2140)),2)="SL",UPPER(TRIM(E2140))="C"),"C",IF(OR(LEFT(UPPER(TRIM(E2140)),1)="D",UPPER(TRIM(E2140))="D"),"D","")))))))</f>
        <v/>
      </c>
      <c r="J2140" s="27" t="str">
        <f aca="false">IF(I2140="","",IF(AND(I2140="D",Settings!$B$6&lt;&gt;"Yes"),"",IFERROR(INDEX(Settings!$C$9:$C$12,MATCH(I2140,Settings!$A$9:$A$12,0)),"")))</f>
        <v/>
      </c>
      <c r="K2140" s="27" t="str">
        <f aca="false">IF(J2140="","",COUNTIF($I$2:I2140,I2140))</f>
        <v/>
      </c>
      <c r="L2140" s="27" t="str">
        <f aca="false">IF(J2140="","",CHOOSE(Q2140+1,"Tue","Wed","Thu","Fri"))</f>
        <v/>
      </c>
      <c r="M2140" s="27" t="str">
        <f aca="false">IF(J2140="","",IF(J2140=1,"Every week",R2140+1&amp;" of "&amp;J2140))</f>
        <v/>
      </c>
      <c r="N2140" s="28" t="str">
        <f aca="false">IF(J2140="","",Settings!$B$4+R2140*7+Q2140)</f>
        <v/>
      </c>
      <c r="O2140" s="28" t="str">
        <f aca="true">IF(J2140="","",N2140+MAX(0,ROUNDUP((TODAY()-N2140)/(J2140*7),0))*J2140*7)</f>
        <v/>
      </c>
      <c r="P2140" s="27" t="str">
        <f aca="false">IF(J2140="","",MOD(K2140-1,J2140*4))</f>
        <v/>
      </c>
      <c r="Q2140" s="27" t="str">
        <f aca="false">IF(J2140="","",MOD(P2140,4))</f>
        <v/>
      </c>
      <c r="R2140" s="27" t="str">
        <f aca="false">IF(J2140="","",INT(P2140/4))</f>
        <v/>
      </c>
      <c r="S2140" s="27" t="str">
        <f aca="false">IF(J2140="","",IF(AND('Daily Count Sheet'!$H$3=Q2140,MOD('Daily Count Sheet'!$I$3,J2140)=R2140),1,""))</f>
        <v/>
      </c>
      <c r="T2140" s="27" t="str">
        <f aca="false">IF(S2140=1,COUNTIF($S$2:S2140,1),"")</f>
        <v/>
      </c>
    </row>
    <row r="2141" customFormat="false" ht="15" hidden="false" customHeight="false" outlineLevel="0" collapsed="false">
      <c r="H2141" s="26"/>
      <c r="I2141" s="27" t="str">
        <f aca="false">IF(A2141="","",IF(H2141&lt;&gt;"",UPPER(TRIM(H2141)),IFERROR(CHOOSE(VALUE(E2141)+1,"A","B","C","D"),IF(OR(LEFT(UPPER(TRIM(E2141)),1)="F",UPPER(TRIM(E2141))="A"),"A",IF(OR(LEFT(UPPER(TRIM(E2141)),1)="M",UPPER(TRIM(E2141))="B"),"B",IF(OR(LEFT(UPPER(TRIM(E2141)),2)="SL",UPPER(TRIM(E2141))="C"),"C",IF(OR(LEFT(UPPER(TRIM(E2141)),1)="D",UPPER(TRIM(E2141))="D"),"D","")))))))</f>
        <v/>
      </c>
      <c r="J2141" s="27" t="str">
        <f aca="false">IF(I2141="","",IF(AND(I2141="D",Settings!$B$6&lt;&gt;"Yes"),"",IFERROR(INDEX(Settings!$C$9:$C$12,MATCH(I2141,Settings!$A$9:$A$12,0)),"")))</f>
        <v/>
      </c>
      <c r="K2141" s="27" t="str">
        <f aca="false">IF(J2141="","",COUNTIF($I$2:I2141,I2141))</f>
        <v/>
      </c>
      <c r="L2141" s="27" t="str">
        <f aca="false">IF(J2141="","",CHOOSE(Q2141+1,"Tue","Wed","Thu","Fri"))</f>
        <v/>
      </c>
      <c r="M2141" s="27" t="str">
        <f aca="false">IF(J2141="","",IF(J2141=1,"Every week",R2141+1&amp;" of "&amp;J2141))</f>
        <v/>
      </c>
      <c r="N2141" s="28" t="str">
        <f aca="false">IF(J2141="","",Settings!$B$4+R2141*7+Q2141)</f>
        <v/>
      </c>
      <c r="O2141" s="28" t="str">
        <f aca="true">IF(J2141="","",N2141+MAX(0,ROUNDUP((TODAY()-N2141)/(J2141*7),0))*J2141*7)</f>
        <v/>
      </c>
      <c r="P2141" s="27" t="str">
        <f aca="false">IF(J2141="","",MOD(K2141-1,J2141*4))</f>
        <v/>
      </c>
      <c r="Q2141" s="27" t="str">
        <f aca="false">IF(J2141="","",MOD(P2141,4))</f>
        <v/>
      </c>
      <c r="R2141" s="27" t="str">
        <f aca="false">IF(J2141="","",INT(P2141/4))</f>
        <v/>
      </c>
      <c r="S2141" s="27" t="str">
        <f aca="false">IF(J2141="","",IF(AND('Daily Count Sheet'!$H$3=Q2141,MOD('Daily Count Sheet'!$I$3,J2141)=R2141),1,""))</f>
        <v/>
      </c>
      <c r="T2141" s="27" t="str">
        <f aca="false">IF(S2141=1,COUNTIF($S$2:S2141,1),"")</f>
        <v/>
      </c>
    </row>
    <row r="2142" customFormat="false" ht="15" hidden="false" customHeight="false" outlineLevel="0" collapsed="false">
      <c r="H2142" s="26"/>
      <c r="I2142" s="27" t="str">
        <f aca="false">IF(A2142="","",IF(H2142&lt;&gt;"",UPPER(TRIM(H2142)),IFERROR(CHOOSE(VALUE(E2142)+1,"A","B","C","D"),IF(OR(LEFT(UPPER(TRIM(E2142)),1)="F",UPPER(TRIM(E2142))="A"),"A",IF(OR(LEFT(UPPER(TRIM(E2142)),1)="M",UPPER(TRIM(E2142))="B"),"B",IF(OR(LEFT(UPPER(TRIM(E2142)),2)="SL",UPPER(TRIM(E2142))="C"),"C",IF(OR(LEFT(UPPER(TRIM(E2142)),1)="D",UPPER(TRIM(E2142))="D"),"D","")))))))</f>
        <v/>
      </c>
      <c r="J2142" s="27" t="str">
        <f aca="false">IF(I2142="","",IF(AND(I2142="D",Settings!$B$6&lt;&gt;"Yes"),"",IFERROR(INDEX(Settings!$C$9:$C$12,MATCH(I2142,Settings!$A$9:$A$12,0)),"")))</f>
        <v/>
      </c>
      <c r="K2142" s="27" t="str">
        <f aca="false">IF(J2142="","",COUNTIF($I$2:I2142,I2142))</f>
        <v/>
      </c>
      <c r="L2142" s="27" t="str">
        <f aca="false">IF(J2142="","",CHOOSE(Q2142+1,"Tue","Wed","Thu","Fri"))</f>
        <v/>
      </c>
      <c r="M2142" s="27" t="str">
        <f aca="false">IF(J2142="","",IF(J2142=1,"Every week",R2142+1&amp;" of "&amp;J2142))</f>
        <v/>
      </c>
      <c r="N2142" s="28" t="str">
        <f aca="false">IF(J2142="","",Settings!$B$4+R2142*7+Q2142)</f>
        <v/>
      </c>
      <c r="O2142" s="28" t="str">
        <f aca="true">IF(J2142="","",N2142+MAX(0,ROUNDUP((TODAY()-N2142)/(J2142*7),0))*J2142*7)</f>
        <v/>
      </c>
      <c r="P2142" s="27" t="str">
        <f aca="false">IF(J2142="","",MOD(K2142-1,J2142*4))</f>
        <v/>
      </c>
      <c r="Q2142" s="27" t="str">
        <f aca="false">IF(J2142="","",MOD(P2142,4))</f>
        <v/>
      </c>
      <c r="R2142" s="27" t="str">
        <f aca="false">IF(J2142="","",INT(P2142/4))</f>
        <v/>
      </c>
      <c r="S2142" s="27" t="str">
        <f aca="false">IF(J2142="","",IF(AND('Daily Count Sheet'!$H$3=Q2142,MOD('Daily Count Sheet'!$I$3,J2142)=R2142),1,""))</f>
        <v/>
      </c>
      <c r="T2142" s="27" t="str">
        <f aca="false">IF(S2142=1,COUNTIF($S$2:S2142,1),"")</f>
        <v/>
      </c>
    </row>
    <row r="2143" customFormat="false" ht="15" hidden="false" customHeight="false" outlineLevel="0" collapsed="false">
      <c r="H2143" s="26"/>
      <c r="I2143" s="27" t="str">
        <f aca="false">IF(A2143="","",IF(H2143&lt;&gt;"",UPPER(TRIM(H2143)),IFERROR(CHOOSE(VALUE(E2143)+1,"A","B","C","D"),IF(OR(LEFT(UPPER(TRIM(E2143)),1)="F",UPPER(TRIM(E2143))="A"),"A",IF(OR(LEFT(UPPER(TRIM(E2143)),1)="M",UPPER(TRIM(E2143))="B"),"B",IF(OR(LEFT(UPPER(TRIM(E2143)),2)="SL",UPPER(TRIM(E2143))="C"),"C",IF(OR(LEFT(UPPER(TRIM(E2143)),1)="D",UPPER(TRIM(E2143))="D"),"D","")))))))</f>
        <v/>
      </c>
      <c r="J2143" s="27" t="str">
        <f aca="false">IF(I2143="","",IF(AND(I2143="D",Settings!$B$6&lt;&gt;"Yes"),"",IFERROR(INDEX(Settings!$C$9:$C$12,MATCH(I2143,Settings!$A$9:$A$12,0)),"")))</f>
        <v/>
      </c>
      <c r="K2143" s="27" t="str">
        <f aca="false">IF(J2143="","",COUNTIF($I$2:I2143,I2143))</f>
        <v/>
      </c>
      <c r="L2143" s="27" t="str">
        <f aca="false">IF(J2143="","",CHOOSE(Q2143+1,"Tue","Wed","Thu","Fri"))</f>
        <v/>
      </c>
      <c r="M2143" s="27" t="str">
        <f aca="false">IF(J2143="","",IF(J2143=1,"Every week",R2143+1&amp;" of "&amp;J2143))</f>
        <v/>
      </c>
      <c r="N2143" s="28" t="str">
        <f aca="false">IF(J2143="","",Settings!$B$4+R2143*7+Q2143)</f>
        <v/>
      </c>
      <c r="O2143" s="28" t="str">
        <f aca="true">IF(J2143="","",N2143+MAX(0,ROUNDUP((TODAY()-N2143)/(J2143*7),0))*J2143*7)</f>
        <v/>
      </c>
      <c r="P2143" s="27" t="str">
        <f aca="false">IF(J2143="","",MOD(K2143-1,J2143*4))</f>
        <v/>
      </c>
      <c r="Q2143" s="27" t="str">
        <f aca="false">IF(J2143="","",MOD(P2143,4))</f>
        <v/>
      </c>
      <c r="R2143" s="27" t="str">
        <f aca="false">IF(J2143="","",INT(P2143/4))</f>
        <v/>
      </c>
      <c r="S2143" s="27" t="str">
        <f aca="false">IF(J2143="","",IF(AND('Daily Count Sheet'!$H$3=Q2143,MOD('Daily Count Sheet'!$I$3,J2143)=R2143),1,""))</f>
        <v/>
      </c>
      <c r="T2143" s="27" t="str">
        <f aca="false">IF(S2143=1,COUNTIF($S$2:S2143,1),"")</f>
        <v/>
      </c>
    </row>
    <row r="2144" customFormat="false" ht="15" hidden="false" customHeight="false" outlineLevel="0" collapsed="false">
      <c r="H2144" s="26"/>
      <c r="I2144" s="27" t="str">
        <f aca="false">IF(A2144="","",IF(H2144&lt;&gt;"",UPPER(TRIM(H2144)),IFERROR(CHOOSE(VALUE(E2144)+1,"A","B","C","D"),IF(OR(LEFT(UPPER(TRIM(E2144)),1)="F",UPPER(TRIM(E2144))="A"),"A",IF(OR(LEFT(UPPER(TRIM(E2144)),1)="M",UPPER(TRIM(E2144))="B"),"B",IF(OR(LEFT(UPPER(TRIM(E2144)),2)="SL",UPPER(TRIM(E2144))="C"),"C",IF(OR(LEFT(UPPER(TRIM(E2144)),1)="D",UPPER(TRIM(E2144))="D"),"D","")))))))</f>
        <v/>
      </c>
      <c r="J2144" s="27" t="str">
        <f aca="false">IF(I2144="","",IF(AND(I2144="D",Settings!$B$6&lt;&gt;"Yes"),"",IFERROR(INDEX(Settings!$C$9:$C$12,MATCH(I2144,Settings!$A$9:$A$12,0)),"")))</f>
        <v/>
      </c>
      <c r="K2144" s="27" t="str">
        <f aca="false">IF(J2144="","",COUNTIF($I$2:I2144,I2144))</f>
        <v/>
      </c>
      <c r="L2144" s="27" t="str">
        <f aca="false">IF(J2144="","",CHOOSE(Q2144+1,"Tue","Wed","Thu","Fri"))</f>
        <v/>
      </c>
      <c r="M2144" s="27" t="str">
        <f aca="false">IF(J2144="","",IF(J2144=1,"Every week",R2144+1&amp;" of "&amp;J2144))</f>
        <v/>
      </c>
      <c r="N2144" s="28" t="str">
        <f aca="false">IF(J2144="","",Settings!$B$4+R2144*7+Q2144)</f>
        <v/>
      </c>
      <c r="O2144" s="28" t="str">
        <f aca="true">IF(J2144="","",N2144+MAX(0,ROUNDUP((TODAY()-N2144)/(J2144*7),0))*J2144*7)</f>
        <v/>
      </c>
      <c r="P2144" s="27" t="str">
        <f aca="false">IF(J2144="","",MOD(K2144-1,J2144*4))</f>
        <v/>
      </c>
      <c r="Q2144" s="27" t="str">
        <f aca="false">IF(J2144="","",MOD(P2144,4))</f>
        <v/>
      </c>
      <c r="R2144" s="27" t="str">
        <f aca="false">IF(J2144="","",INT(P2144/4))</f>
        <v/>
      </c>
      <c r="S2144" s="27" t="str">
        <f aca="false">IF(J2144="","",IF(AND('Daily Count Sheet'!$H$3=Q2144,MOD('Daily Count Sheet'!$I$3,J2144)=R2144),1,""))</f>
        <v/>
      </c>
      <c r="T2144" s="27" t="str">
        <f aca="false">IF(S2144=1,COUNTIF($S$2:S2144,1),"")</f>
        <v/>
      </c>
    </row>
    <row r="2145" customFormat="false" ht="15" hidden="false" customHeight="false" outlineLevel="0" collapsed="false">
      <c r="H2145" s="26"/>
      <c r="I2145" s="27" t="str">
        <f aca="false">IF(A2145="","",IF(H2145&lt;&gt;"",UPPER(TRIM(H2145)),IFERROR(CHOOSE(VALUE(E2145)+1,"A","B","C","D"),IF(OR(LEFT(UPPER(TRIM(E2145)),1)="F",UPPER(TRIM(E2145))="A"),"A",IF(OR(LEFT(UPPER(TRIM(E2145)),1)="M",UPPER(TRIM(E2145))="B"),"B",IF(OR(LEFT(UPPER(TRIM(E2145)),2)="SL",UPPER(TRIM(E2145))="C"),"C",IF(OR(LEFT(UPPER(TRIM(E2145)),1)="D",UPPER(TRIM(E2145))="D"),"D","")))))))</f>
        <v/>
      </c>
      <c r="J2145" s="27" t="str">
        <f aca="false">IF(I2145="","",IF(AND(I2145="D",Settings!$B$6&lt;&gt;"Yes"),"",IFERROR(INDEX(Settings!$C$9:$C$12,MATCH(I2145,Settings!$A$9:$A$12,0)),"")))</f>
        <v/>
      </c>
      <c r="K2145" s="27" t="str">
        <f aca="false">IF(J2145="","",COUNTIF($I$2:I2145,I2145))</f>
        <v/>
      </c>
      <c r="L2145" s="27" t="str">
        <f aca="false">IF(J2145="","",CHOOSE(Q2145+1,"Tue","Wed","Thu","Fri"))</f>
        <v/>
      </c>
      <c r="M2145" s="27" t="str">
        <f aca="false">IF(J2145="","",IF(J2145=1,"Every week",R2145+1&amp;" of "&amp;J2145))</f>
        <v/>
      </c>
      <c r="N2145" s="28" t="str">
        <f aca="false">IF(J2145="","",Settings!$B$4+R2145*7+Q2145)</f>
        <v/>
      </c>
      <c r="O2145" s="28" t="str">
        <f aca="true">IF(J2145="","",N2145+MAX(0,ROUNDUP((TODAY()-N2145)/(J2145*7),0))*J2145*7)</f>
        <v/>
      </c>
      <c r="P2145" s="27" t="str">
        <f aca="false">IF(J2145="","",MOD(K2145-1,J2145*4))</f>
        <v/>
      </c>
      <c r="Q2145" s="27" t="str">
        <f aca="false">IF(J2145="","",MOD(P2145,4))</f>
        <v/>
      </c>
      <c r="R2145" s="27" t="str">
        <f aca="false">IF(J2145="","",INT(P2145/4))</f>
        <v/>
      </c>
      <c r="S2145" s="27" t="str">
        <f aca="false">IF(J2145="","",IF(AND('Daily Count Sheet'!$H$3=Q2145,MOD('Daily Count Sheet'!$I$3,J2145)=R2145),1,""))</f>
        <v/>
      </c>
      <c r="T2145" s="27" t="str">
        <f aca="false">IF(S2145=1,COUNTIF($S$2:S2145,1),"")</f>
        <v/>
      </c>
    </row>
    <row r="2146" customFormat="false" ht="15" hidden="false" customHeight="false" outlineLevel="0" collapsed="false">
      <c r="H2146" s="26"/>
      <c r="I2146" s="27" t="str">
        <f aca="false">IF(A2146="","",IF(H2146&lt;&gt;"",UPPER(TRIM(H2146)),IFERROR(CHOOSE(VALUE(E2146)+1,"A","B","C","D"),IF(OR(LEFT(UPPER(TRIM(E2146)),1)="F",UPPER(TRIM(E2146))="A"),"A",IF(OR(LEFT(UPPER(TRIM(E2146)),1)="M",UPPER(TRIM(E2146))="B"),"B",IF(OR(LEFT(UPPER(TRIM(E2146)),2)="SL",UPPER(TRIM(E2146))="C"),"C",IF(OR(LEFT(UPPER(TRIM(E2146)),1)="D",UPPER(TRIM(E2146))="D"),"D","")))))))</f>
        <v/>
      </c>
      <c r="J2146" s="27" t="str">
        <f aca="false">IF(I2146="","",IF(AND(I2146="D",Settings!$B$6&lt;&gt;"Yes"),"",IFERROR(INDEX(Settings!$C$9:$C$12,MATCH(I2146,Settings!$A$9:$A$12,0)),"")))</f>
        <v/>
      </c>
      <c r="K2146" s="27" t="str">
        <f aca="false">IF(J2146="","",COUNTIF($I$2:I2146,I2146))</f>
        <v/>
      </c>
      <c r="L2146" s="27" t="str">
        <f aca="false">IF(J2146="","",CHOOSE(Q2146+1,"Tue","Wed","Thu","Fri"))</f>
        <v/>
      </c>
      <c r="M2146" s="27" t="str">
        <f aca="false">IF(J2146="","",IF(J2146=1,"Every week",R2146+1&amp;" of "&amp;J2146))</f>
        <v/>
      </c>
      <c r="N2146" s="28" t="str">
        <f aca="false">IF(J2146="","",Settings!$B$4+R2146*7+Q2146)</f>
        <v/>
      </c>
      <c r="O2146" s="28" t="str">
        <f aca="true">IF(J2146="","",N2146+MAX(0,ROUNDUP((TODAY()-N2146)/(J2146*7),0))*J2146*7)</f>
        <v/>
      </c>
      <c r="P2146" s="27" t="str">
        <f aca="false">IF(J2146="","",MOD(K2146-1,J2146*4))</f>
        <v/>
      </c>
      <c r="Q2146" s="27" t="str">
        <f aca="false">IF(J2146="","",MOD(P2146,4))</f>
        <v/>
      </c>
      <c r="R2146" s="27" t="str">
        <f aca="false">IF(J2146="","",INT(P2146/4))</f>
        <v/>
      </c>
      <c r="S2146" s="27" t="str">
        <f aca="false">IF(J2146="","",IF(AND('Daily Count Sheet'!$H$3=Q2146,MOD('Daily Count Sheet'!$I$3,J2146)=R2146),1,""))</f>
        <v/>
      </c>
      <c r="T2146" s="27" t="str">
        <f aca="false">IF(S2146=1,COUNTIF($S$2:S2146,1),"")</f>
        <v/>
      </c>
    </row>
    <row r="2147" customFormat="false" ht="15" hidden="false" customHeight="false" outlineLevel="0" collapsed="false">
      <c r="H2147" s="26"/>
      <c r="I2147" s="27" t="str">
        <f aca="false">IF(A2147="","",IF(H2147&lt;&gt;"",UPPER(TRIM(H2147)),IFERROR(CHOOSE(VALUE(E2147)+1,"A","B","C","D"),IF(OR(LEFT(UPPER(TRIM(E2147)),1)="F",UPPER(TRIM(E2147))="A"),"A",IF(OR(LEFT(UPPER(TRIM(E2147)),1)="M",UPPER(TRIM(E2147))="B"),"B",IF(OR(LEFT(UPPER(TRIM(E2147)),2)="SL",UPPER(TRIM(E2147))="C"),"C",IF(OR(LEFT(UPPER(TRIM(E2147)),1)="D",UPPER(TRIM(E2147))="D"),"D","")))))))</f>
        <v/>
      </c>
      <c r="J2147" s="27" t="str">
        <f aca="false">IF(I2147="","",IF(AND(I2147="D",Settings!$B$6&lt;&gt;"Yes"),"",IFERROR(INDEX(Settings!$C$9:$C$12,MATCH(I2147,Settings!$A$9:$A$12,0)),"")))</f>
        <v/>
      </c>
      <c r="K2147" s="27" t="str">
        <f aca="false">IF(J2147="","",COUNTIF($I$2:I2147,I2147))</f>
        <v/>
      </c>
      <c r="L2147" s="27" t="str">
        <f aca="false">IF(J2147="","",CHOOSE(Q2147+1,"Tue","Wed","Thu","Fri"))</f>
        <v/>
      </c>
      <c r="M2147" s="27" t="str">
        <f aca="false">IF(J2147="","",IF(J2147=1,"Every week",R2147+1&amp;" of "&amp;J2147))</f>
        <v/>
      </c>
      <c r="N2147" s="28" t="str">
        <f aca="false">IF(J2147="","",Settings!$B$4+R2147*7+Q2147)</f>
        <v/>
      </c>
      <c r="O2147" s="28" t="str">
        <f aca="true">IF(J2147="","",N2147+MAX(0,ROUNDUP((TODAY()-N2147)/(J2147*7),0))*J2147*7)</f>
        <v/>
      </c>
      <c r="P2147" s="27" t="str">
        <f aca="false">IF(J2147="","",MOD(K2147-1,J2147*4))</f>
        <v/>
      </c>
      <c r="Q2147" s="27" t="str">
        <f aca="false">IF(J2147="","",MOD(P2147,4))</f>
        <v/>
      </c>
      <c r="R2147" s="27" t="str">
        <f aca="false">IF(J2147="","",INT(P2147/4))</f>
        <v/>
      </c>
      <c r="S2147" s="27" t="str">
        <f aca="false">IF(J2147="","",IF(AND('Daily Count Sheet'!$H$3=Q2147,MOD('Daily Count Sheet'!$I$3,J2147)=R2147),1,""))</f>
        <v/>
      </c>
      <c r="T2147" s="27" t="str">
        <f aca="false">IF(S2147=1,COUNTIF($S$2:S2147,1),"")</f>
        <v/>
      </c>
    </row>
    <row r="2148" customFormat="false" ht="15" hidden="false" customHeight="false" outlineLevel="0" collapsed="false">
      <c r="H2148" s="26"/>
      <c r="I2148" s="27" t="str">
        <f aca="false">IF(A2148="","",IF(H2148&lt;&gt;"",UPPER(TRIM(H2148)),IFERROR(CHOOSE(VALUE(E2148)+1,"A","B","C","D"),IF(OR(LEFT(UPPER(TRIM(E2148)),1)="F",UPPER(TRIM(E2148))="A"),"A",IF(OR(LEFT(UPPER(TRIM(E2148)),1)="M",UPPER(TRIM(E2148))="B"),"B",IF(OR(LEFT(UPPER(TRIM(E2148)),2)="SL",UPPER(TRIM(E2148))="C"),"C",IF(OR(LEFT(UPPER(TRIM(E2148)),1)="D",UPPER(TRIM(E2148))="D"),"D","")))))))</f>
        <v/>
      </c>
      <c r="J2148" s="27" t="str">
        <f aca="false">IF(I2148="","",IF(AND(I2148="D",Settings!$B$6&lt;&gt;"Yes"),"",IFERROR(INDEX(Settings!$C$9:$C$12,MATCH(I2148,Settings!$A$9:$A$12,0)),"")))</f>
        <v/>
      </c>
      <c r="K2148" s="27" t="str">
        <f aca="false">IF(J2148="","",COUNTIF($I$2:I2148,I2148))</f>
        <v/>
      </c>
      <c r="L2148" s="27" t="str">
        <f aca="false">IF(J2148="","",CHOOSE(Q2148+1,"Tue","Wed","Thu","Fri"))</f>
        <v/>
      </c>
      <c r="M2148" s="27" t="str">
        <f aca="false">IF(J2148="","",IF(J2148=1,"Every week",R2148+1&amp;" of "&amp;J2148))</f>
        <v/>
      </c>
      <c r="N2148" s="28" t="str">
        <f aca="false">IF(J2148="","",Settings!$B$4+R2148*7+Q2148)</f>
        <v/>
      </c>
      <c r="O2148" s="28" t="str">
        <f aca="true">IF(J2148="","",N2148+MAX(0,ROUNDUP((TODAY()-N2148)/(J2148*7),0))*J2148*7)</f>
        <v/>
      </c>
      <c r="P2148" s="27" t="str">
        <f aca="false">IF(J2148="","",MOD(K2148-1,J2148*4))</f>
        <v/>
      </c>
      <c r="Q2148" s="27" t="str">
        <f aca="false">IF(J2148="","",MOD(P2148,4))</f>
        <v/>
      </c>
      <c r="R2148" s="27" t="str">
        <f aca="false">IF(J2148="","",INT(P2148/4))</f>
        <v/>
      </c>
      <c r="S2148" s="27" t="str">
        <f aca="false">IF(J2148="","",IF(AND('Daily Count Sheet'!$H$3=Q2148,MOD('Daily Count Sheet'!$I$3,J2148)=R2148),1,""))</f>
        <v/>
      </c>
      <c r="T2148" s="27" t="str">
        <f aca="false">IF(S2148=1,COUNTIF($S$2:S2148,1),"")</f>
        <v/>
      </c>
    </row>
    <row r="2149" customFormat="false" ht="15" hidden="false" customHeight="false" outlineLevel="0" collapsed="false">
      <c r="H2149" s="26"/>
      <c r="I2149" s="27" t="str">
        <f aca="false">IF(A2149="","",IF(H2149&lt;&gt;"",UPPER(TRIM(H2149)),IFERROR(CHOOSE(VALUE(E2149)+1,"A","B","C","D"),IF(OR(LEFT(UPPER(TRIM(E2149)),1)="F",UPPER(TRIM(E2149))="A"),"A",IF(OR(LEFT(UPPER(TRIM(E2149)),1)="M",UPPER(TRIM(E2149))="B"),"B",IF(OR(LEFT(UPPER(TRIM(E2149)),2)="SL",UPPER(TRIM(E2149))="C"),"C",IF(OR(LEFT(UPPER(TRIM(E2149)),1)="D",UPPER(TRIM(E2149))="D"),"D","")))))))</f>
        <v/>
      </c>
      <c r="J2149" s="27" t="str">
        <f aca="false">IF(I2149="","",IF(AND(I2149="D",Settings!$B$6&lt;&gt;"Yes"),"",IFERROR(INDEX(Settings!$C$9:$C$12,MATCH(I2149,Settings!$A$9:$A$12,0)),"")))</f>
        <v/>
      </c>
      <c r="K2149" s="27" t="str">
        <f aca="false">IF(J2149="","",COUNTIF($I$2:I2149,I2149))</f>
        <v/>
      </c>
      <c r="L2149" s="27" t="str">
        <f aca="false">IF(J2149="","",CHOOSE(Q2149+1,"Tue","Wed","Thu","Fri"))</f>
        <v/>
      </c>
      <c r="M2149" s="27" t="str">
        <f aca="false">IF(J2149="","",IF(J2149=1,"Every week",R2149+1&amp;" of "&amp;J2149))</f>
        <v/>
      </c>
      <c r="N2149" s="28" t="str">
        <f aca="false">IF(J2149="","",Settings!$B$4+R2149*7+Q2149)</f>
        <v/>
      </c>
      <c r="O2149" s="28" t="str">
        <f aca="true">IF(J2149="","",N2149+MAX(0,ROUNDUP((TODAY()-N2149)/(J2149*7),0))*J2149*7)</f>
        <v/>
      </c>
      <c r="P2149" s="27" t="str">
        <f aca="false">IF(J2149="","",MOD(K2149-1,J2149*4))</f>
        <v/>
      </c>
      <c r="Q2149" s="27" t="str">
        <f aca="false">IF(J2149="","",MOD(P2149,4))</f>
        <v/>
      </c>
      <c r="R2149" s="27" t="str">
        <f aca="false">IF(J2149="","",INT(P2149/4))</f>
        <v/>
      </c>
      <c r="S2149" s="27" t="str">
        <f aca="false">IF(J2149="","",IF(AND('Daily Count Sheet'!$H$3=Q2149,MOD('Daily Count Sheet'!$I$3,J2149)=R2149),1,""))</f>
        <v/>
      </c>
      <c r="T2149" s="27" t="str">
        <f aca="false">IF(S2149=1,COUNTIF($S$2:S2149,1),"")</f>
        <v/>
      </c>
    </row>
    <row r="2150" customFormat="false" ht="15" hidden="false" customHeight="false" outlineLevel="0" collapsed="false">
      <c r="H2150" s="26"/>
      <c r="I2150" s="27" t="str">
        <f aca="false">IF(A2150="","",IF(H2150&lt;&gt;"",UPPER(TRIM(H2150)),IFERROR(CHOOSE(VALUE(E2150)+1,"A","B","C","D"),IF(OR(LEFT(UPPER(TRIM(E2150)),1)="F",UPPER(TRIM(E2150))="A"),"A",IF(OR(LEFT(UPPER(TRIM(E2150)),1)="M",UPPER(TRIM(E2150))="B"),"B",IF(OR(LEFT(UPPER(TRIM(E2150)),2)="SL",UPPER(TRIM(E2150))="C"),"C",IF(OR(LEFT(UPPER(TRIM(E2150)),1)="D",UPPER(TRIM(E2150))="D"),"D","")))))))</f>
        <v/>
      </c>
      <c r="J2150" s="27" t="str">
        <f aca="false">IF(I2150="","",IF(AND(I2150="D",Settings!$B$6&lt;&gt;"Yes"),"",IFERROR(INDEX(Settings!$C$9:$C$12,MATCH(I2150,Settings!$A$9:$A$12,0)),"")))</f>
        <v/>
      </c>
      <c r="K2150" s="27" t="str">
        <f aca="false">IF(J2150="","",COUNTIF($I$2:I2150,I2150))</f>
        <v/>
      </c>
      <c r="L2150" s="27" t="str">
        <f aca="false">IF(J2150="","",CHOOSE(Q2150+1,"Tue","Wed","Thu","Fri"))</f>
        <v/>
      </c>
      <c r="M2150" s="27" t="str">
        <f aca="false">IF(J2150="","",IF(J2150=1,"Every week",R2150+1&amp;" of "&amp;J2150))</f>
        <v/>
      </c>
      <c r="N2150" s="28" t="str">
        <f aca="false">IF(J2150="","",Settings!$B$4+R2150*7+Q2150)</f>
        <v/>
      </c>
      <c r="O2150" s="28" t="str">
        <f aca="true">IF(J2150="","",N2150+MAX(0,ROUNDUP((TODAY()-N2150)/(J2150*7),0))*J2150*7)</f>
        <v/>
      </c>
      <c r="P2150" s="27" t="str">
        <f aca="false">IF(J2150="","",MOD(K2150-1,J2150*4))</f>
        <v/>
      </c>
      <c r="Q2150" s="27" t="str">
        <f aca="false">IF(J2150="","",MOD(P2150,4))</f>
        <v/>
      </c>
      <c r="R2150" s="27" t="str">
        <f aca="false">IF(J2150="","",INT(P2150/4))</f>
        <v/>
      </c>
      <c r="S2150" s="27" t="str">
        <f aca="false">IF(J2150="","",IF(AND('Daily Count Sheet'!$H$3=Q2150,MOD('Daily Count Sheet'!$I$3,J2150)=R2150),1,""))</f>
        <v/>
      </c>
      <c r="T2150" s="27" t="str">
        <f aca="false">IF(S2150=1,COUNTIF($S$2:S2150,1),"")</f>
        <v/>
      </c>
    </row>
    <row r="2151" customFormat="false" ht="15" hidden="false" customHeight="false" outlineLevel="0" collapsed="false">
      <c r="H2151" s="26"/>
      <c r="I2151" s="27" t="str">
        <f aca="false">IF(A2151="","",IF(H2151&lt;&gt;"",UPPER(TRIM(H2151)),IFERROR(CHOOSE(VALUE(E2151)+1,"A","B","C","D"),IF(OR(LEFT(UPPER(TRIM(E2151)),1)="F",UPPER(TRIM(E2151))="A"),"A",IF(OR(LEFT(UPPER(TRIM(E2151)),1)="M",UPPER(TRIM(E2151))="B"),"B",IF(OR(LEFT(UPPER(TRIM(E2151)),2)="SL",UPPER(TRIM(E2151))="C"),"C",IF(OR(LEFT(UPPER(TRIM(E2151)),1)="D",UPPER(TRIM(E2151))="D"),"D","")))))))</f>
        <v/>
      </c>
      <c r="J2151" s="27" t="str">
        <f aca="false">IF(I2151="","",IF(AND(I2151="D",Settings!$B$6&lt;&gt;"Yes"),"",IFERROR(INDEX(Settings!$C$9:$C$12,MATCH(I2151,Settings!$A$9:$A$12,0)),"")))</f>
        <v/>
      </c>
      <c r="K2151" s="27" t="str">
        <f aca="false">IF(J2151="","",COUNTIF($I$2:I2151,I2151))</f>
        <v/>
      </c>
      <c r="L2151" s="27" t="str">
        <f aca="false">IF(J2151="","",CHOOSE(Q2151+1,"Tue","Wed","Thu","Fri"))</f>
        <v/>
      </c>
      <c r="M2151" s="27" t="str">
        <f aca="false">IF(J2151="","",IF(J2151=1,"Every week",R2151+1&amp;" of "&amp;J2151))</f>
        <v/>
      </c>
      <c r="N2151" s="28" t="str">
        <f aca="false">IF(J2151="","",Settings!$B$4+R2151*7+Q2151)</f>
        <v/>
      </c>
      <c r="O2151" s="28" t="str">
        <f aca="true">IF(J2151="","",N2151+MAX(0,ROUNDUP((TODAY()-N2151)/(J2151*7),0))*J2151*7)</f>
        <v/>
      </c>
      <c r="P2151" s="27" t="str">
        <f aca="false">IF(J2151="","",MOD(K2151-1,J2151*4))</f>
        <v/>
      </c>
      <c r="Q2151" s="27" t="str">
        <f aca="false">IF(J2151="","",MOD(P2151,4))</f>
        <v/>
      </c>
      <c r="R2151" s="27" t="str">
        <f aca="false">IF(J2151="","",INT(P2151/4))</f>
        <v/>
      </c>
      <c r="S2151" s="27" t="str">
        <f aca="false">IF(J2151="","",IF(AND('Daily Count Sheet'!$H$3=Q2151,MOD('Daily Count Sheet'!$I$3,J2151)=R2151),1,""))</f>
        <v/>
      </c>
      <c r="T2151" s="27" t="str">
        <f aca="false">IF(S2151=1,COUNTIF($S$2:S2151,1),"")</f>
        <v/>
      </c>
    </row>
    <row r="2152" customFormat="false" ht="15" hidden="false" customHeight="false" outlineLevel="0" collapsed="false">
      <c r="H2152" s="26"/>
      <c r="I2152" s="27" t="str">
        <f aca="false">IF(A2152="","",IF(H2152&lt;&gt;"",UPPER(TRIM(H2152)),IFERROR(CHOOSE(VALUE(E2152)+1,"A","B","C","D"),IF(OR(LEFT(UPPER(TRIM(E2152)),1)="F",UPPER(TRIM(E2152))="A"),"A",IF(OR(LEFT(UPPER(TRIM(E2152)),1)="M",UPPER(TRIM(E2152))="B"),"B",IF(OR(LEFT(UPPER(TRIM(E2152)),2)="SL",UPPER(TRIM(E2152))="C"),"C",IF(OR(LEFT(UPPER(TRIM(E2152)),1)="D",UPPER(TRIM(E2152))="D"),"D","")))))))</f>
        <v/>
      </c>
      <c r="J2152" s="27" t="str">
        <f aca="false">IF(I2152="","",IF(AND(I2152="D",Settings!$B$6&lt;&gt;"Yes"),"",IFERROR(INDEX(Settings!$C$9:$C$12,MATCH(I2152,Settings!$A$9:$A$12,0)),"")))</f>
        <v/>
      </c>
      <c r="K2152" s="27" t="str">
        <f aca="false">IF(J2152="","",COUNTIF($I$2:I2152,I2152))</f>
        <v/>
      </c>
      <c r="L2152" s="27" t="str">
        <f aca="false">IF(J2152="","",CHOOSE(Q2152+1,"Tue","Wed","Thu","Fri"))</f>
        <v/>
      </c>
      <c r="M2152" s="27" t="str">
        <f aca="false">IF(J2152="","",IF(J2152=1,"Every week",R2152+1&amp;" of "&amp;J2152))</f>
        <v/>
      </c>
      <c r="N2152" s="28" t="str">
        <f aca="false">IF(J2152="","",Settings!$B$4+R2152*7+Q2152)</f>
        <v/>
      </c>
      <c r="O2152" s="28" t="str">
        <f aca="true">IF(J2152="","",N2152+MAX(0,ROUNDUP((TODAY()-N2152)/(J2152*7),0))*J2152*7)</f>
        <v/>
      </c>
      <c r="P2152" s="27" t="str">
        <f aca="false">IF(J2152="","",MOD(K2152-1,J2152*4))</f>
        <v/>
      </c>
      <c r="Q2152" s="27" t="str">
        <f aca="false">IF(J2152="","",MOD(P2152,4))</f>
        <v/>
      </c>
      <c r="R2152" s="27" t="str">
        <f aca="false">IF(J2152="","",INT(P2152/4))</f>
        <v/>
      </c>
      <c r="S2152" s="27" t="str">
        <f aca="false">IF(J2152="","",IF(AND('Daily Count Sheet'!$H$3=Q2152,MOD('Daily Count Sheet'!$I$3,J2152)=R2152),1,""))</f>
        <v/>
      </c>
      <c r="T2152" s="27" t="str">
        <f aca="false">IF(S2152=1,COUNTIF($S$2:S2152,1),"")</f>
        <v/>
      </c>
    </row>
    <row r="2153" customFormat="false" ht="15" hidden="false" customHeight="false" outlineLevel="0" collapsed="false">
      <c r="H2153" s="26"/>
      <c r="I2153" s="27" t="str">
        <f aca="false">IF(A2153="","",IF(H2153&lt;&gt;"",UPPER(TRIM(H2153)),IFERROR(CHOOSE(VALUE(E2153)+1,"A","B","C","D"),IF(OR(LEFT(UPPER(TRIM(E2153)),1)="F",UPPER(TRIM(E2153))="A"),"A",IF(OR(LEFT(UPPER(TRIM(E2153)),1)="M",UPPER(TRIM(E2153))="B"),"B",IF(OR(LEFT(UPPER(TRIM(E2153)),2)="SL",UPPER(TRIM(E2153))="C"),"C",IF(OR(LEFT(UPPER(TRIM(E2153)),1)="D",UPPER(TRIM(E2153))="D"),"D","")))))))</f>
        <v/>
      </c>
      <c r="J2153" s="27" t="str">
        <f aca="false">IF(I2153="","",IF(AND(I2153="D",Settings!$B$6&lt;&gt;"Yes"),"",IFERROR(INDEX(Settings!$C$9:$C$12,MATCH(I2153,Settings!$A$9:$A$12,0)),"")))</f>
        <v/>
      </c>
      <c r="K2153" s="27" t="str">
        <f aca="false">IF(J2153="","",COUNTIF($I$2:I2153,I2153))</f>
        <v/>
      </c>
      <c r="L2153" s="27" t="str">
        <f aca="false">IF(J2153="","",CHOOSE(Q2153+1,"Tue","Wed","Thu","Fri"))</f>
        <v/>
      </c>
      <c r="M2153" s="27" t="str">
        <f aca="false">IF(J2153="","",IF(J2153=1,"Every week",R2153+1&amp;" of "&amp;J2153))</f>
        <v/>
      </c>
      <c r="N2153" s="28" t="str">
        <f aca="false">IF(J2153="","",Settings!$B$4+R2153*7+Q2153)</f>
        <v/>
      </c>
      <c r="O2153" s="28" t="str">
        <f aca="true">IF(J2153="","",N2153+MAX(0,ROUNDUP((TODAY()-N2153)/(J2153*7),0))*J2153*7)</f>
        <v/>
      </c>
      <c r="P2153" s="27" t="str">
        <f aca="false">IF(J2153="","",MOD(K2153-1,J2153*4))</f>
        <v/>
      </c>
      <c r="Q2153" s="27" t="str">
        <f aca="false">IF(J2153="","",MOD(P2153,4))</f>
        <v/>
      </c>
      <c r="R2153" s="27" t="str">
        <f aca="false">IF(J2153="","",INT(P2153/4))</f>
        <v/>
      </c>
      <c r="S2153" s="27" t="str">
        <f aca="false">IF(J2153="","",IF(AND('Daily Count Sheet'!$H$3=Q2153,MOD('Daily Count Sheet'!$I$3,J2153)=R2153),1,""))</f>
        <v/>
      </c>
      <c r="T2153" s="27" t="str">
        <f aca="false">IF(S2153=1,COUNTIF($S$2:S2153,1),"")</f>
        <v/>
      </c>
    </row>
    <row r="2154" customFormat="false" ht="15" hidden="false" customHeight="false" outlineLevel="0" collapsed="false">
      <c r="H2154" s="26"/>
      <c r="I2154" s="27" t="str">
        <f aca="false">IF(A2154="","",IF(H2154&lt;&gt;"",UPPER(TRIM(H2154)),IFERROR(CHOOSE(VALUE(E2154)+1,"A","B","C","D"),IF(OR(LEFT(UPPER(TRIM(E2154)),1)="F",UPPER(TRIM(E2154))="A"),"A",IF(OR(LEFT(UPPER(TRIM(E2154)),1)="M",UPPER(TRIM(E2154))="B"),"B",IF(OR(LEFT(UPPER(TRIM(E2154)),2)="SL",UPPER(TRIM(E2154))="C"),"C",IF(OR(LEFT(UPPER(TRIM(E2154)),1)="D",UPPER(TRIM(E2154))="D"),"D","")))))))</f>
        <v/>
      </c>
      <c r="J2154" s="27" t="str">
        <f aca="false">IF(I2154="","",IF(AND(I2154="D",Settings!$B$6&lt;&gt;"Yes"),"",IFERROR(INDEX(Settings!$C$9:$C$12,MATCH(I2154,Settings!$A$9:$A$12,0)),"")))</f>
        <v/>
      </c>
      <c r="K2154" s="27" t="str">
        <f aca="false">IF(J2154="","",COUNTIF($I$2:I2154,I2154))</f>
        <v/>
      </c>
      <c r="L2154" s="27" t="str">
        <f aca="false">IF(J2154="","",CHOOSE(Q2154+1,"Tue","Wed","Thu","Fri"))</f>
        <v/>
      </c>
      <c r="M2154" s="27" t="str">
        <f aca="false">IF(J2154="","",IF(J2154=1,"Every week",R2154+1&amp;" of "&amp;J2154))</f>
        <v/>
      </c>
      <c r="N2154" s="28" t="str">
        <f aca="false">IF(J2154="","",Settings!$B$4+R2154*7+Q2154)</f>
        <v/>
      </c>
      <c r="O2154" s="28" t="str">
        <f aca="true">IF(J2154="","",N2154+MAX(0,ROUNDUP((TODAY()-N2154)/(J2154*7),0))*J2154*7)</f>
        <v/>
      </c>
      <c r="P2154" s="27" t="str">
        <f aca="false">IF(J2154="","",MOD(K2154-1,J2154*4))</f>
        <v/>
      </c>
      <c r="Q2154" s="27" t="str">
        <f aca="false">IF(J2154="","",MOD(P2154,4))</f>
        <v/>
      </c>
      <c r="R2154" s="27" t="str">
        <f aca="false">IF(J2154="","",INT(P2154/4))</f>
        <v/>
      </c>
      <c r="S2154" s="27" t="str">
        <f aca="false">IF(J2154="","",IF(AND('Daily Count Sheet'!$H$3=Q2154,MOD('Daily Count Sheet'!$I$3,J2154)=R2154),1,""))</f>
        <v/>
      </c>
      <c r="T2154" s="27" t="str">
        <f aca="false">IF(S2154=1,COUNTIF($S$2:S2154,1),"")</f>
        <v/>
      </c>
    </row>
    <row r="2155" customFormat="false" ht="15" hidden="false" customHeight="false" outlineLevel="0" collapsed="false">
      <c r="H2155" s="26"/>
      <c r="I2155" s="27" t="str">
        <f aca="false">IF(A2155="","",IF(H2155&lt;&gt;"",UPPER(TRIM(H2155)),IFERROR(CHOOSE(VALUE(E2155)+1,"A","B","C","D"),IF(OR(LEFT(UPPER(TRIM(E2155)),1)="F",UPPER(TRIM(E2155))="A"),"A",IF(OR(LEFT(UPPER(TRIM(E2155)),1)="M",UPPER(TRIM(E2155))="B"),"B",IF(OR(LEFT(UPPER(TRIM(E2155)),2)="SL",UPPER(TRIM(E2155))="C"),"C",IF(OR(LEFT(UPPER(TRIM(E2155)),1)="D",UPPER(TRIM(E2155))="D"),"D","")))))))</f>
        <v/>
      </c>
      <c r="J2155" s="27" t="str">
        <f aca="false">IF(I2155="","",IF(AND(I2155="D",Settings!$B$6&lt;&gt;"Yes"),"",IFERROR(INDEX(Settings!$C$9:$C$12,MATCH(I2155,Settings!$A$9:$A$12,0)),"")))</f>
        <v/>
      </c>
      <c r="K2155" s="27" t="str">
        <f aca="false">IF(J2155="","",COUNTIF($I$2:I2155,I2155))</f>
        <v/>
      </c>
      <c r="L2155" s="27" t="str">
        <f aca="false">IF(J2155="","",CHOOSE(Q2155+1,"Tue","Wed","Thu","Fri"))</f>
        <v/>
      </c>
      <c r="M2155" s="27" t="str">
        <f aca="false">IF(J2155="","",IF(J2155=1,"Every week",R2155+1&amp;" of "&amp;J2155))</f>
        <v/>
      </c>
      <c r="N2155" s="28" t="str">
        <f aca="false">IF(J2155="","",Settings!$B$4+R2155*7+Q2155)</f>
        <v/>
      </c>
      <c r="O2155" s="28" t="str">
        <f aca="true">IF(J2155="","",N2155+MAX(0,ROUNDUP((TODAY()-N2155)/(J2155*7),0))*J2155*7)</f>
        <v/>
      </c>
      <c r="P2155" s="27" t="str">
        <f aca="false">IF(J2155="","",MOD(K2155-1,J2155*4))</f>
        <v/>
      </c>
      <c r="Q2155" s="27" t="str">
        <f aca="false">IF(J2155="","",MOD(P2155,4))</f>
        <v/>
      </c>
      <c r="R2155" s="27" t="str">
        <f aca="false">IF(J2155="","",INT(P2155/4))</f>
        <v/>
      </c>
      <c r="S2155" s="27" t="str">
        <f aca="false">IF(J2155="","",IF(AND('Daily Count Sheet'!$H$3=Q2155,MOD('Daily Count Sheet'!$I$3,J2155)=R2155),1,""))</f>
        <v/>
      </c>
      <c r="T2155" s="27" t="str">
        <f aca="false">IF(S2155=1,COUNTIF($S$2:S2155,1),"")</f>
        <v/>
      </c>
    </row>
    <row r="2156" customFormat="false" ht="15" hidden="false" customHeight="false" outlineLevel="0" collapsed="false">
      <c r="H2156" s="26"/>
      <c r="I2156" s="27" t="str">
        <f aca="false">IF(A2156="","",IF(H2156&lt;&gt;"",UPPER(TRIM(H2156)),IFERROR(CHOOSE(VALUE(E2156)+1,"A","B","C","D"),IF(OR(LEFT(UPPER(TRIM(E2156)),1)="F",UPPER(TRIM(E2156))="A"),"A",IF(OR(LEFT(UPPER(TRIM(E2156)),1)="M",UPPER(TRIM(E2156))="B"),"B",IF(OR(LEFT(UPPER(TRIM(E2156)),2)="SL",UPPER(TRIM(E2156))="C"),"C",IF(OR(LEFT(UPPER(TRIM(E2156)),1)="D",UPPER(TRIM(E2156))="D"),"D","")))))))</f>
        <v/>
      </c>
      <c r="J2156" s="27" t="str">
        <f aca="false">IF(I2156="","",IF(AND(I2156="D",Settings!$B$6&lt;&gt;"Yes"),"",IFERROR(INDEX(Settings!$C$9:$C$12,MATCH(I2156,Settings!$A$9:$A$12,0)),"")))</f>
        <v/>
      </c>
      <c r="K2156" s="27" t="str">
        <f aca="false">IF(J2156="","",COUNTIF($I$2:I2156,I2156))</f>
        <v/>
      </c>
      <c r="L2156" s="27" t="str">
        <f aca="false">IF(J2156="","",CHOOSE(Q2156+1,"Tue","Wed","Thu","Fri"))</f>
        <v/>
      </c>
      <c r="M2156" s="27" t="str">
        <f aca="false">IF(J2156="","",IF(J2156=1,"Every week",R2156+1&amp;" of "&amp;J2156))</f>
        <v/>
      </c>
      <c r="N2156" s="28" t="str">
        <f aca="false">IF(J2156="","",Settings!$B$4+R2156*7+Q2156)</f>
        <v/>
      </c>
      <c r="O2156" s="28" t="str">
        <f aca="true">IF(J2156="","",N2156+MAX(0,ROUNDUP((TODAY()-N2156)/(J2156*7),0))*J2156*7)</f>
        <v/>
      </c>
      <c r="P2156" s="27" t="str">
        <f aca="false">IF(J2156="","",MOD(K2156-1,J2156*4))</f>
        <v/>
      </c>
      <c r="Q2156" s="27" t="str">
        <f aca="false">IF(J2156="","",MOD(P2156,4))</f>
        <v/>
      </c>
      <c r="R2156" s="27" t="str">
        <f aca="false">IF(J2156="","",INT(P2156/4))</f>
        <v/>
      </c>
      <c r="S2156" s="27" t="str">
        <f aca="false">IF(J2156="","",IF(AND('Daily Count Sheet'!$H$3=Q2156,MOD('Daily Count Sheet'!$I$3,J2156)=R2156),1,""))</f>
        <v/>
      </c>
      <c r="T2156" s="27" t="str">
        <f aca="false">IF(S2156=1,COUNTIF($S$2:S2156,1),"")</f>
        <v/>
      </c>
    </row>
    <row r="2157" customFormat="false" ht="15" hidden="false" customHeight="false" outlineLevel="0" collapsed="false">
      <c r="H2157" s="26"/>
      <c r="I2157" s="27" t="str">
        <f aca="false">IF(A2157="","",IF(H2157&lt;&gt;"",UPPER(TRIM(H2157)),IFERROR(CHOOSE(VALUE(E2157)+1,"A","B","C","D"),IF(OR(LEFT(UPPER(TRIM(E2157)),1)="F",UPPER(TRIM(E2157))="A"),"A",IF(OR(LEFT(UPPER(TRIM(E2157)),1)="M",UPPER(TRIM(E2157))="B"),"B",IF(OR(LEFT(UPPER(TRIM(E2157)),2)="SL",UPPER(TRIM(E2157))="C"),"C",IF(OR(LEFT(UPPER(TRIM(E2157)),1)="D",UPPER(TRIM(E2157))="D"),"D","")))))))</f>
        <v/>
      </c>
      <c r="J2157" s="27" t="str">
        <f aca="false">IF(I2157="","",IF(AND(I2157="D",Settings!$B$6&lt;&gt;"Yes"),"",IFERROR(INDEX(Settings!$C$9:$C$12,MATCH(I2157,Settings!$A$9:$A$12,0)),"")))</f>
        <v/>
      </c>
      <c r="K2157" s="27" t="str">
        <f aca="false">IF(J2157="","",COUNTIF($I$2:I2157,I2157))</f>
        <v/>
      </c>
      <c r="L2157" s="27" t="str">
        <f aca="false">IF(J2157="","",CHOOSE(Q2157+1,"Tue","Wed","Thu","Fri"))</f>
        <v/>
      </c>
      <c r="M2157" s="27" t="str">
        <f aca="false">IF(J2157="","",IF(J2157=1,"Every week",R2157+1&amp;" of "&amp;J2157))</f>
        <v/>
      </c>
      <c r="N2157" s="28" t="str">
        <f aca="false">IF(J2157="","",Settings!$B$4+R2157*7+Q2157)</f>
        <v/>
      </c>
      <c r="O2157" s="28" t="str">
        <f aca="true">IF(J2157="","",N2157+MAX(0,ROUNDUP((TODAY()-N2157)/(J2157*7),0))*J2157*7)</f>
        <v/>
      </c>
      <c r="P2157" s="27" t="str">
        <f aca="false">IF(J2157="","",MOD(K2157-1,J2157*4))</f>
        <v/>
      </c>
      <c r="Q2157" s="27" t="str">
        <f aca="false">IF(J2157="","",MOD(P2157,4))</f>
        <v/>
      </c>
      <c r="R2157" s="27" t="str">
        <f aca="false">IF(J2157="","",INT(P2157/4))</f>
        <v/>
      </c>
      <c r="S2157" s="27" t="str">
        <f aca="false">IF(J2157="","",IF(AND('Daily Count Sheet'!$H$3=Q2157,MOD('Daily Count Sheet'!$I$3,J2157)=R2157),1,""))</f>
        <v/>
      </c>
      <c r="T2157" s="27" t="str">
        <f aca="false">IF(S2157=1,COUNTIF($S$2:S2157,1),"")</f>
        <v/>
      </c>
    </row>
    <row r="2158" customFormat="false" ht="15" hidden="false" customHeight="false" outlineLevel="0" collapsed="false">
      <c r="H2158" s="26"/>
      <c r="I2158" s="27" t="str">
        <f aca="false">IF(A2158="","",IF(H2158&lt;&gt;"",UPPER(TRIM(H2158)),IFERROR(CHOOSE(VALUE(E2158)+1,"A","B","C","D"),IF(OR(LEFT(UPPER(TRIM(E2158)),1)="F",UPPER(TRIM(E2158))="A"),"A",IF(OR(LEFT(UPPER(TRIM(E2158)),1)="M",UPPER(TRIM(E2158))="B"),"B",IF(OR(LEFT(UPPER(TRIM(E2158)),2)="SL",UPPER(TRIM(E2158))="C"),"C",IF(OR(LEFT(UPPER(TRIM(E2158)),1)="D",UPPER(TRIM(E2158))="D"),"D","")))))))</f>
        <v/>
      </c>
      <c r="J2158" s="27" t="str">
        <f aca="false">IF(I2158="","",IF(AND(I2158="D",Settings!$B$6&lt;&gt;"Yes"),"",IFERROR(INDEX(Settings!$C$9:$C$12,MATCH(I2158,Settings!$A$9:$A$12,0)),"")))</f>
        <v/>
      </c>
      <c r="K2158" s="27" t="str">
        <f aca="false">IF(J2158="","",COUNTIF($I$2:I2158,I2158))</f>
        <v/>
      </c>
      <c r="L2158" s="27" t="str">
        <f aca="false">IF(J2158="","",CHOOSE(Q2158+1,"Tue","Wed","Thu","Fri"))</f>
        <v/>
      </c>
      <c r="M2158" s="27" t="str">
        <f aca="false">IF(J2158="","",IF(J2158=1,"Every week",R2158+1&amp;" of "&amp;J2158))</f>
        <v/>
      </c>
      <c r="N2158" s="28" t="str">
        <f aca="false">IF(J2158="","",Settings!$B$4+R2158*7+Q2158)</f>
        <v/>
      </c>
      <c r="O2158" s="28" t="str">
        <f aca="true">IF(J2158="","",N2158+MAX(0,ROUNDUP((TODAY()-N2158)/(J2158*7),0))*J2158*7)</f>
        <v/>
      </c>
      <c r="P2158" s="27" t="str">
        <f aca="false">IF(J2158="","",MOD(K2158-1,J2158*4))</f>
        <v/>
      </c>
      <c r="Q2158" s="27" t="str">
        <f aca="false">IF(J2158="","",MOD(P2158,4))</f>
        <v/>
      </c>
      <c r="R2158" s="27" t="str">
        <f aca="false">IF(J2158="","",INT(P2158/4))</f>
        <v/>
      </c>
      <c r="S2158" s="27" t="str">
        <f aca="false">IF(J2158="","",IF(AND('Daily Count Sheet'!$H$3=Q2158,MOD('Daily Count Sheet'!$I$3,J2158)=R2158),1,""))</f>
        <v/>
      </c>
      <c r="T2158" s="27" t="str">
        <f aca="false">IF(S2158=1,COUNTIF($S$2:S2158,1),"")</f>
        <v/>
      </c>
    </row>
    <row r="2159" customFormat="false" ht="15" hidden="false" customHeight="false" outlineLevel="0" collapsed="false">
      <c r="H2159" s="26"/>
      <c r="I2159" s="27" t="str">
        <f aca="false">IF(A2159="","",IF(H2159&lt;&gt;"",UPPER(TRIM(H2159)),IFERROR(CHOOSE(VALUE(E2159)+1,"A","B","C","D"),IF(OR(LEFT(UPPER(TRIM(E2159)),1)="F",UPPER(TRIM(E2159))="A"),"A",IF(OR(LEFT(UPPER(TRIM(E2159)),1)="M",UPPER(TRIM(E2159))="B"),"B",IF(OR(LEFT(UPPER(TRIM(E2159)),2)="SL",UPPER(TRIM(E2159))="C"),"C",IF(OR(LEFT(UPPER(TRIM(E2159)),1)="D",UPPER(TRIM(E2159))="D"),"D","")))))))</f>
        <v/>
      </c>
      <c r="J2159" s="27" t="str">
        <f aca="false">IF(I2159="","",IF(AND(I2159="D",Settings!$B$6&lt;&gt;"Yes"),"",IFERROR(INDEX(Settings!$C$9:$C$12,MATCH(I2159,Settings!$A$9:$A$12,0)),"")))</f>
        <v/>
      </c>
      <c r="K2159" s="27" t="str">
        <f aca="false">IF(J2159="","",COUNTIF($I$2:I2159,I2159))</f>
        <v/>
      </c>
      <c r="L2159" s="27" t="str">
        <f aca="false">IF(J2159="","",CHOOSE(Q2159+1,"Tue","Wed","Thu","Fri"))</f>
        <v/>
      </c>
      <c r="M2159" s="27" t="str">
        <f aca="false">IF(J2159="","",IF(J2159=1,"Every week",R2159+1&amp;" of "&amp;J2159))</f>
        <v/>
      </c>
      <c r="N2159" s="28" t="str">
        <f aca="false">IF(J2159="","",Settings!$B$4+R2159*7+Q2159)</f>
        <v/>
      </c>
      <c r="O2159" s="28" t="str">
        <f aca="true">IF(J2159="","",N2159+MAX(0,ROUNDUP((TODAY()-N2159)/(J2159*7),0))*J2159*7)</f>
        <v/>
      </c>
      <c r="P2159" s="27" t="str">
        <f aca="false">IF(J2159="","",MOD(K2159-1,J2159*4))</f>
        <v/>
      </c>
      <c r="Q2159" s="27" t="str">
        <f aca="false">IF(J2159="","",MOD(P2159,4))</f>
        <v/>
      </c>
      <c r="R2159" s="27" t="str">
        <f aca="false">IF(J2159="","",INT(P2159/4))</f>
        <v/>
      </c>
      <c r="S2159" s="27" t="str">
        <f aca="false">IF(J2159="","",IF(AND('Daily Count Sheet'!$H$3=Q2159,MOD('Daily Count Sheet'!$I$3,J2159)=R2159),1,""))</f>
        <v/>
      </c>
      <c r="T2159" s="27" t="str">
        <f aca="false">IF(S2159=1,COUNTIF($S$2:S2159,1),"")</f>
        <v/>
      </c>
    </row>
    <row r="2160" customFormat="false" ht="15" hidden="false" customHeight="false" outlineLevel="0" collapsed="false">
      <c r="H2160" s="26"/>
      <c r="I2160" s="27" t="str">
        <f aca="false">IF(A2160="","",IF(H2160&lt;&gt;"",UPPER(TRIM(H2160)),IFERROR(CHOOSE(VALUE(E2160)+1,"A","B","C","D"),IF(OR(LEFT(UPPER(TRIM(E2160)),1)="F",UPPER(TRIM(E2160))="A"),"A",IF(OR(LEFT(UPPER(TRIM(E2160)),1)="M",UPPER(TRIM(E2160))="B"),"B",IF(OR(LEFT(UPPER(TRIM(E2160)),2)="SL",UPPER(TRIM(E2160))="C"),"C",IF(OR(LEFT(UPPER(TRIM(E2160)),1)="D",UPPER(TRIM(E2160))="D"),"D","")))))))</f>
        <v/>
      </c>
      <c r="J2160" s="27" t="str">
        <f aca="false">IF(I2160="","",IF(AND(I2160="D",Settings!$B$6&lt;&gt;"Yes"),"",IFERROR(INDEX(Settings!$C$9:$C$12,MATCH(I2160,Settings!$A$9:$A$12,0)),"")))</f>
        <v/>
      </c>
      <c r="K2160" s="27" t="str">
        <f aca="false">IF(J2160="","",COUNTIF($I$2:I2160,I2160))</f>
        <v/>
      </c>
      <c r="L2160" s="27" t="str">
        <f aca="false">IF(J2160="","",CHOOSE(Q2160+1,"Tue","Wed","Thu","Fri"))</f>
        <v/>
      </c>
      <c r="M2160" s="27" t="str">
        <f aca="false">IF(J2160="","",IF(J2160=1,"Every week",R2160+1&amp;" of "&amp;J2160))</f>
        <v/>
      </c>
      <c r="N2160" s="28" t="str">
        <f aca="false">IF(J2160="","",Settings!$B$4+R2160*7+Q2160)</f>
        <v/>
      </c>
      <c r="O2160" s="28" t="str">
        <f aca="true">IF(J2160="","",N2160+MAX(0,ROUNDUP((TODAY()-N2160)/(J2160*7),0))*J2160*7)</f>
        <v/>
      </c>
      <c r="P2160" s="27" t="str">
        <f aca="false">IF(J2160="","",MOD(K2160-1,J2160*4))</f>
        <v/>
      </c>
      <c r="Q2160" s="27" t="str">
        <f aca="false">IF(J2160="","",MOD(P2160,4))</f>
        <v/>
      </c>
      <c r="R2160" s="27" t="str">
        <f aca="false">IF(J2160="","",INT(P2160/4))</f>
        <v/>
      </c>
      <c r="S2160" s="27" t="str">
        <f aca="false">IF(J2160="","",IF(AND('Daily Count Sheet'!$H$3=Q2160,MOD('Daily Count Sheet'!$I$3,J2160)=R2160),1,""))</f>
        <v/>
      </c>
      <c r="T2160" s="27" t="str">
        <f aca="false">IF(S2160=1,COUNTIF($S$2:S2160,1),"")</f>
        <v/>
      </c>
    </row>
    <row r="2161" customFormat="false" ht="15" hidden="false" customHeight="false" outlineLevel="0" collapsed="false">
      <c r="H2161" s="26"/>
      <c r="I2161" s="27" t="str">
        <f aca="false">IF(A2161="","",IF(H2161&lt;&gt;"",UPPER(TRIM(H2161)),IFERROR(CHOOSE(VALUE(E2161)+1,"A","B","C","D"),IF(OR(LEFT(UPPER(TRIM(E2161)),1)="F",UPPER(TRIM(E2161))="A"),"A",IF(OR(LEFT(UPPER(TRIM(E2161)),1)="M",UPPER(TRIM(E2161))="B"),"B",IF(OR(LEFT(UPPER(TRIM(E2161)),2)="SL",UPPER(TRIM(E2161))="C"),"C",IF(OR(LEFT(UPPER(TRIM(E2161)),1)="D",UPPER(TRIM(E2161))="D"),"D","")))))))</f>
        <v/>
      </c>
      <c r="J2161" s="27" t="str">
        <f aca="false">IF(I2161="","",IF(AND(I2161="D",Settings!$B$6&lt;&gt;"Yes"),"",IFERROR(INDEX(Settings!$C$9:$C$12,MATCH(I2161,Settings!$A$9:$A$12,0)),"")))</f>
        <v/>
      </c>
      <c r="K2161" s="27" t="str">
        <f aca="false">IF(J2161="","",COUNTIF($I$2:I2161,I2161))</f>
        <v/>
      </c>
      <c r="L2161" s="27" t="str">
        <f aca="false">IF(J2161="","",CHOOSE(Q2161+1,"Tue","Wed","Thu","Fri"))</f>
        <v/>
      </c>
      <c r="M2161" s="27" t="str">
        <f aca="false">IF(J2161="","",IF(J2161=1,"Every week",R2161+1&amp;" of "&amp;J2161))</f>
        <v/>
      </c>
      <c r="N2161" s="28" t="str">
        <f aca="false">IF(J2161="","",Settings!$B$4+R2161*7+Q2161)</f>
        <v/>
      </c>
      <c r="O2161" s="28" t="str">
        <f aca="true">IF(J2161="","",N2161+MAX(0,ROUNDUP((TODAY()-N2161)/(J2161*7),0))*J2161*7)</f>
        <v/>
      </c>
      <c r="P2161" s="27" t="str">
        <f aca="false">IF(J2161="","",MOD(K2161-1,J2161*4))</f>
        <v/>
      </c>
      <c r="Q2161" s="27" t="str">
        <f aca="false">IF(J2161="","",MOD(P2161,4))</f>
        <v/>
      </c>
      <c r="R2161" s="27" t="str">
        <f aca="false">IF(J2161="","",INT(P2161/4))</f>
        <v/>
      </c>
      <c r="S2161" s="27" t="str">
        <f aca="false">IF(J2161="","",IF(AND('Daily Count Sheet'!$H$3=Q2161,MOD('Daily Count Sheet'!$I$3,J2161)=R2161),1,""))</f>
        <v/>
      </c>
      <c r="T2161" s="27" t="str">
        <f aca="false">IF(S2161=1,COUNTIF($S$2:S2161,1),"")</f>
        <v/>
      </c>
    </row>
    <row r="2162" customFormat="false" ht="15" hidden="false" customHeight="false" outlineLevel="0" collapsed="false">
      <c r="H2162" s="26"/>
      <c r="I2162" s="27" t="str">
        <f aca="false">IF(A2162="","",IF(H2162&lt;&gt;"",UPPER(TRIM(H2162)),IFERROR(CHOOSE(VALUE(E2162)+1,"A","B","C","D"),IF(OR(LEFT(UPPER(TRIM(E2162)),1)="F",UPPER(TRIM(E2162))="A"),"A",IF(OR(LEFT(UPPER(TRIM(E2162)),1)="M",UPPER(TRIM(E2162))="B"),"B",IF(OR(LEFT(UPPER(TRIM(E2162)),2)="SL",UPPER(TRIM(E2162))="C"),"C",IF(OR(LEFT(UPPER(TRIM(E2162)),1)="D",UPPER(TRIM(E2162))="D"),"D","")))))))</f>
        <v/>
      </c>
      <c r="J2162" s="27" t="str">
        <f aca="false">IF(I2162="","",IF(AND(I2162="D",Settings!$B$6&lt;&gt;"Yes"),"",IFERROR(INDEX(Settings!$C$9:$C$12,MATCH(I2162,Settings!$A$9:$A$12,0)),"")))</f>
        <v/>
      </c>
      <c r="K2162" s="27" t="str">
        <f aca="false">IF(J2162="","",COUNTIF($I$2:I2162,I2162))</f>
        <v/>
      </c>
      <c r="L2162" s="27" t="str">
        <f aca="false">IF(J2162="","",CHOOSE(Q2162+1,"Tue","Wed","Thu","Fri"))</f>
        <v/>
      </c>
      <c r="M2162" s="27" t="str">
        <f aca="false">IF(J2162="","",IF(J2162=1,"Every week",R2162+1&amp;" of "&amp;J2162))</f>
        <v/>
      </c>
      <c r="N2162" s="28" t="str">
        <f aca="false">IF(J2162="","",Settings!$B$4+R2162*7+Q2162)</f>
        <v/>
      </c>
      <c r="O2162" s="28" t="str">
        <f aca="true">IF(J2162="","",N2162+MAX(0,ROUNDUP((TODAY()-N2162)/(J2162*7),0))*J2162*7)</f>
        <v/>
      </c>
      <c r="P2162" s="27" t="str">
        <f aca="false">IF(J2162="","",MOD(K2162-1,J2162*4))</f>
        <v/>
      </c>
      <c r="Q2162" s="27" t="str">
        <f aca="false">IF(J2162="","",MOD(P2162,4))</f>
        <v/>
      </c>
      <c r="R2162" s="27" t="str">
        <f aca="false">IF(J2162="","",INT(P2162/4))</f>
        <v/>
      </c>
      <c r="S2162" s="27" t="str">
        <f aca="false">IF(J2162="","",IF(AND('Daily Count Sheet'!$H$3=Q2162,MOD('Daily Count Sheet'!$I$3,J2162)=R2162),1,""))</f>
        <v/>
      </c>
      <c r="T2162" s="27" t="str">
        <f aca="false">IF(S2162=1,COUNTIF($S$2:S2162,1),"")</f>
        <v/>
      </c>
    </row>
    <row r="2163" customFormat="false" ht="15" hidden="false" customHeight="false" outlineLevel="0" collapsed="false">
      <c r="H2163" s="26"/>
      <c r="I2163" s="27" t="str">
        <f aca="false">IF(A2163="","",IF(H2163&lt;&gt;"",UPPER(TRIM(H2163)),IFERROR(CHOOSE(VALUE(E2163)+1,"A","B","C","D"),IF(OR(LEFT(UPPER(TRIM(E2163)),1)="F",UPPER(TRIM(E2163))="A"),"A",IF(OR(LEFT(UPPER(TRIM(E2163)),1)="M",UPPER(TRIM(E2163))="B"),"B",IF(OR(LEFT(UPPER(TRIM(E2163)),2)="SL",UPPER(TRIM(E2163))="C"),"C",IF(OR(LEFT(UPPER(TRIM(E2163)),1)="D",UPPER(TRIM(E2163))="D"),"D","")))))))</f>
        <v/>
      </c>
      <c r="J2163" s="27" t="str">
        <f aca="false">IF(I2163="","",IF(AND(I2163="D",Settings!$B$6&lt;&gt;"Yes"),"",IFERROR(INDEX(Settings!$C$9:$C$12,MATCH(I2163,Settings!$A$9:$A$12,0)),"")))</f>
        <v/>
      </c>
      <c r="K2163" s="27" t="str">
        <f aca="false">IF(J2163="","",COUNTIF($I$2:I2163,I2163))</f>
        <v/>
      </c>
      <c r="L2163" s="27" t="str">
        <f aca="false">IF(J2163="","",CHOOSE(Q2163+1,"Tue","Wed","Thu","Fri"))</f>
        <v/>
      </c>
      <c r="M2163" s="27" t="str">
        <f aca="false">IF(J2163="","",IF(J2163=1,"Every week",R2163+1&amp;" of "&amp;J2163))</f>
        <v/>
      </c>
      <c r="N2163" s="28" t="str">
        <f aca="false">IF(J2163="","",Settings!$B$4+R2163*7+Q2163)</f>
        <v/>
      </c>
      <c r="O2163" s="28" t="str">
        <f aca="true">IF(J2163="","",N2163+MAX(0,ROUNDUP((TODAY()-N2163)/(J2163*7),0))*J2163*7)</f>
        <v/>
      </c>
      <c r="P2163" s="27" t="str">
        <f aca="false">IF(J2163="","",MOD(K2163-1,J2163*4))</f>
        <v/>
      </c>
      <c r="Q2163" s="27" t="str">
        <f aca="false">IF(J2163="","",MOD(P2163,4))</f>
        <v/>
      </c>
      <c r="R2163" s="27" t="str">
        <f aca="false">IF(J2163="","",INT(P2163/4))</f>
        <v/>
      </c>
      <c r="S2163" s="27" t="str">
        <f aca="false">IF(J2163="","",IF(AND('Daily Count Sheet'!$H$3=Q2163,MOD('Daily Count Sheet'!$I$3,J2163)=R2163),1,""))</f>
        <v/>
      </c>
      <c r="T2163" s="27" t="str">
        <f aca="false">IF(S2163=1,COUNTIF($S$2:S2163,1),"")</f>
        <v/>
      </c>
    </row>
    <row r="2164" customFormat="false" ht="15" hidden="false" customHeight="false" outlineLevel="0" collapsed="false">
      <c r="H2164" s="26"/>
      <c r="I2164" s="27" t="str">
        <f aca="false">IF(A2164="","",IF(H2164&lt;&gt;"",UPPER(TRIM(H2164)),IFERROR(CHOOSE(VALUE(E2164)+1,"A","B","C","D"),IF(OR(LEFT(UPPER(TRIM(E2164)),1)="F",UPPER(TRIM(E2164))="A"),"A",IF(OR(LEFT(UPPER(TRIM(E2164)),1)="M",UPPER(TRIM(E2164))="B"),"B",IF(OR(LEFT(UPPER(TRIM(E2164)),2)="SL",UPPER(TRIM(E2164))="C"),"C",IF(OR(LEFT(UPPER(TRIM(E2164)),1)="D",UPPER(TRIM(E2164))="D"),"D","")))))))</f>
        <v/>
      </c>
      <c r="J2164" s="27" t="str">
        <f aca="false">IF(I2164="","",IF(AND(I2164="D",Settings!$B$6&lt;&gt;"Yes"),"",IFERROR(INDEX(Settings!$C$9:$C$12,MATCH(I2164,Settings!$A$9:$A$12,0)),"")))</f>
        <v/>
      </c>
      <c r="K2164" s="27" t="str">
        <f aca="false">IF(J2164="","",COUNTIF($I$2:I2164,I2164))</f>
        <v/>
      </c>
      <c r="L2164" s="27" t="str">
        <f aca="false">IF(J2164="","",CHOOSE(Q2164+1,"Tue","Wed","Thu","Fri"))</f>
        <v/>
      </c>
      <c r="M2164" s="27" t="str">
        <f aca="false">IF(J2164="","",IF(J2164=1,"Every week",R2164+1&amp;" of "&amp;J2164))</f>
        <v/>
      </c>
      <c r="N2164" s="28" t="str">
        <f aca="false">IF(J2164="","",Settings!$B$4+R2164*7+Q2164)</f>
        <v/>
      </c>
      <c r="O2164" s="28" t="str">
        <f aca="true">IF(J2164="","",N2164+MAX(0,ROUNDUP((TODAY()-N2164)/(J2164*7),0))*J2164*7)</f>
        <v/>
      </c>
      <c r="P2164" s="27" t="str">
        <f aca="false">IF(J2164="","",MOD(K2164-1,J2164*4))</f>
        <v/>
      </c>
      <c r="Q2164" s="27" t="str">
        <f aca="false">IF(J2164="","",MOD(P2164,4))</f>
        <v/>
      </c>
      <c r="R2164" s="27" t="str">
        <f aca="false">IF(J2164="","",INT(P2164/4))</f>
        <v/>
      </c>
      <c r="S2164" s="27" t="str">
        <f aca="false">IF(J2164="","",IF(AND('Daily Count Sheet'!$H$3=Q2164,MOD('Daily Count Sheet'!$I$3,J2164)=R2164),1,""))</f>
        <v/>
      </c>
      <c r="T2164" s="27" t="str">
        <f aca="false">IF(S2164=1,COUNTIF($S$2:S2164,1),"")</f>
        <v/>
      </c>
    </row>
    <row r="2165" customFormat="false" ht="15" hidden="false" customHeight="false" outlineLevel="0" collapsed="false">
      <c r="H2165" s="26"/>
      <c r="I2165" s="27" t="str">
        <f aca="false">IF(A2165="","",IF(H2165&lt;&gt;"",UPPER(TRIM(H2165)),IFERROR(CHOOSE(VALUE(E2165)+1,"A","B","C","D"),IF(OR(LEFT(UPPER(TRIM(E2165)),1)="F",UPPER(TRIM(E2165))="A"),"A",IF(OR(LEFT(UPPER(TRIM(E2165)),1)="M",UPPER(TRIM(E2165))="B"),"B",IF(OR(LEFT(UPPER(TRIM(E2165)),2)="SL",UPPER(TRIM(E2165))="C"),"C",IF(OR(LEFT(UPPER(TRIM(E2165)),1)="D",UPPER(TRIM(E2165))="D"),"D","")))))))</f>
        <v/>
      </c>
      <c r="J2165" s="27" t="str">
        <f aca="false">IF(I2165="","",IF(AND(I2165="D",Settings!$B$6&lt;&gt;"Yes"),"",IFERROR(INDEX(Settings!$C$9:$C$12,MATCH(I2165,Settings!$A$9:$A$12,0)),"")))</f>
        <v/>
      </c>
      <c r="K2165" s="27" t="str">
        <f aca="false">IF(J2165="","",COUNTIF($I$2:I2165,I2165))</f>
        <v/>
      </c>
      <c r="L2165" s="27" t="str">
        <f aca="false">IF(J2165="","",CHOOSE(Q2165+1,"Tue","Wed","Thu","Fri"))</f>
        <v/>
      </c>
      <c r="M2165" s="27" t="str">
        <f aca="false">IF(J2165="","",IF(J2165=1,"Every week",R2165+1&amp;" of "&amp;J2165))</f>
        <v/>
      </c>
      <c r="N2165" s="28" t="str">
        <f aca="false">IF(J2165="","",Settings!$B$4+R2165*7+Q2165)</f>
        <v/>
      </c>
      <c r="O2165" s="28" t="str">
        <f aca="true">IF(J2165="","",N2165+MAX(0,ROUNDUP((TODAY()-N2165)/(J2165*7),0))*J2165*7)</f>
        <v/>
      </c>
      <c r="P2165" s="27" t="str">
        <f aca="false">IF(J2165="","",MOD(K2165-1,J2165*4))</f>
        <v/>
      </c>
      <c r="Q2165" s="27" t="str">
        <f aca="false">IF(J2165="","",MOD(P2165,4))</f>
        <v/>
      </c>
      <c r="R2165" s="27" t="str">
        <f aca="false">IF(J2165="","",INT(P2165/4))</f>
        <v/>
      </c>
      <c r="S2165" s="27" t="str">
        <f aca="false">IF(J2165="","",IF(AND('Daily Count Sheet'!$H$3=Q2165,MOD('Daily Count Sheet'!$I$3,J2165)=R2165),1,""))</f>
        <v/>
      </c>
      <c r="T2165" s="27" t="str">
        <f aca="false">IF(S2165=1,COUNTIF($S$2:S2165,1),"")</f>
        <v/>
      </c>
    </row>
    <row r="2166" customFormat="false" ht="15" hidden="false" customHeight="false" outlineLevel="0" collapsed="false">
      <c r="H2166" s="26"/>
      <c r="I2166" s="27" t="str">
        <f aca="false">IF(A2166="","",IF(H2166&lt;&gt;"",UPPER(TRIM(H2166)),IFERROR(CHOOSE(VALUE(E2166)+1,"A","B","C","D"),IF(OR(LEFT(UPPER(TRIM(E2166)),1)="F",UPPER(TRIM(E2166))="A"),"A",IF(OR(LEFT(UPPER(TRIM(E2166)),1)="M",UPPER(TRIM(E2166))="B"),"B",IF(OR(LEFT(UPPER(TRIM(E2166)),2)="SL",UPPER(TRIM(E2166))="C"),"C",IF(OR(LEFT(UPPER(TRIM(E2166)),1)="D",UPPER(TRIM(E2166))="D"),"D","")))))))</f>
        <v/>
      </c>
      <c r="J2166" s="27" t="str">
        <f aca="false">IF(I2166="","",IF(AND(I2166="D",Settings!$B$6&lt;&gt;"Yes"),"",IFERROR(INDEX(Settings!$C$9:$C$12,MATCH(I2166,Settings!$A$9:$A$12,0)),"")))</f>
        <v/>
      </c>
      <c r="K2166" s="27" t="str">
        <f aca="false">IF(J2166="","",COUNTIF($I$2:I2166,I2166))</f>
        <v/>
      </c>
      <c r="L2166" s="27" t="str">
        <f aca="false">IF(J2166="","",CHOOSE(Q2166+1,"Tue","Wed","Thu","Fri"))</f>
        <v/>
      </c>
      <c r="M2166" s="27" t="str">
        <f aca="false">IF(J2166="","",IF(J2166=1,"Every week",R2166+1&amp;" of "&amp;J2166))</f>
        <v/>
      </c>
      <c r="N2166" s="28" t="str">
        <f aca="false">IF(J2166="","",Settings!$B$4+R2166*7+Q2166)</f>
        <v/>
      </c>
      <c r="O2166" s="28" t="str">
        <f aca="true">IF(J2166="","",N2166+MAX(0,ROUNDUP((TODAY()-N2166)/(J2166*7),0))*J2166*7)</f>
        <v/>
      </c>
      <c r="P2166" s="27" t="str">
        <f aca="false">IF(J2166="","",MOD(K2166-1,J2166*4))</f>
        <v/>
      </c>
      <c r="Q2166" s="27" t="str">
        <f aca="false">IF(J2166="","",MOD(P2166,4))</f>
        <v/>
      </c>
      <c r="R2166" s="27" t="str">
        <f aca="false">IF(J2166="","",INT(P2166/4))</f>
        <v/>
      </c>
      <c r="S2166" s="27" t="str">
        <f aca="false">IF(J2166="","",IF(AND('Daily Count Sheet'!$H$3=Q2166,MOD('Daily Count Sheet'!$I$3,J2166)=R2166),1,""))</f>
        <v/>
      </c>
      <c r="T2166" s="27" t="str">
        <f aca="false">IF(S2166=1,COUNTIF($S$2:S2166,1),"")</f>
        <v/>
      </c>
    </row>
    <row r="2167" customFormat="false" ht="15" hidden="false" customHeight="false" outlineLevel="0" collapsed="false">
      <c r="H2167" s="26"/>
      <c r="I2167" s="27" t="str">
        <f aca="false">IF(A2167="","",IF(H2167&lt;&gt;"",UPPER(TRIM(H2167)),IFERROR(CHOOSE(VALUE(E2167)+1,"A","B","C","D"),IF(OR(LEFT(UPPER(TRIM(E2167)),1)="F",UPPER(TRIM(E2167))="A"),"A",IF(OR(LEFT(UPPER(TRIM(E2167)),1)="M",UPPER(TRIM(E2167))="B"),"B",IF(OR(LEFT(UPPER(TRIM(E2167)),2)="SL",UPPER(TRIM(E2167))="C"),"C",IF(OR(LEFT(UPPER(TRIM(E2167)),1)="D",UPPER(TRIM(E2167))="D"),"D","")))))))</f>
        <v/>
      </c>
      <c r="J2167" s="27" t="str">
        <f aca="false">IF(I2167="","",IF(AND(I2167="D",Settings!$B$6&lt;&gt;"Yes"),"",IFERROR(INDEX(Settings!$C$9:$C$12,MATCH(I2167,Settings!$A$9:$A$12,0)),"")))</f>
        <v/>
      </c>
      <c r="K2167" s="27" t="str">
        <f aca="false">IF(J2167="","",COUNTIF($I$2:I2167,I2167))</f>
        <v/>
      </c>
      <c r="L2167" s="27" t="str">
        <f aca="false">IF(J2167="","",CHOOSE(Q2167+1,"Tue","Wed","Thu","Fri"))</f>
        <v/>
      </c>
      <c r="M2167" s="27" t="str">
        <f aca="false">IF(J2167="","",IF(J2167=1,"Every week",R2167+1&amp;" of "&amp;J2167))</f>
        <v/>
      </c>
      <c r="N2167" s="28" t="str">
        <f aca="false">IF(J2167="","",Settings!$B$4+R2167*7+Q2167)</f>
        <v/>
      </c>
      <c r="O2167" s="28" t="str">
        <f aca="true">IF(J2167="","",N2167+MAX(0,ROUNDUP((TODAY()-N2167)/(J2167*7),0))*J2167*7)</f>
        <v/>
      </c>
      <c r="P2167" s="27" t="str">
        <f aca="false">IF(J2167="","",MOD(K2167-1,J2167*4))</f>
        <v/>
      </c>
      <c r="Q2167" s="27" t="str">
        <f aca="false">IF(J2167="","",MOD(P2167,4))</f>
        <v/>
      </c>
      <c r="R2167" s="27" t="str">
        <f aca="false">IF(J2167="","",INT(P2167/4))</f>
        <v/>
      </c>
      <c r="S2167" s="27" t="str">
        <f aca="false">IF(J2167="","",IF(AND('Daily Count Sheet'!$H$3=Q2167,MOD('Daily Count Sheet'!$I$3,J2167)=R2167),1,""))</f>
        <v/>
      </c>
      <c r="T2167" s="27" t="str">
        <f aca="false">IF(S2167=1,COUNTIF($S$2:S2167,1),"")</f>
        <v/>
      </c>
    </row>
    <row r="2168" customFormat="false" ht="15" hidden="false" customHeight="false" outlineLevel="0" collapsed="false">
      <c r="H2168" s="26"/>
      <c r="I2168" s="27" t="str">
        <f aca="false">IF(A2168="","",IF(H2168&lt;&gt;"",UPPER(TRIM(H2168)),IFERROR(CHOOSE(VALUE(E2168)+1,"A","B","C","D"),IF(OR(LEFT(UPPER(TRIM(E2168)),1)="F",UPPER(TRIM(E2168))="A"),"A",IF(OR(LEFT(UPPER(TRIM(E2168)),1)="M",UPPER(TRIM(E2168))="B"),"B",IF(OR(LEFT(UPPER(TRIM(E2168)),2)="SL",UPPER(TRIM(E2168))="C"),"C",IF(OR(LEFT(UPPER(TRIM(E2168)),1)="D",UPPER(TRIM(E2168))="D"),"D","")))))))</f>
        <v/>
      </c>
      <c r="J2168" s="27" t="str">
        <f aca="false">IF(I2168="","",IF(AND(I2168="D",Settings!$B$6&lt;&gt;"Yes"),"",IFERROR(INDEX(Settings!$C$9:$C$12,MATCH(I2168,Settings!$A$9:$A$12,0)),"")))</f>
        <v/>
      </c>
      <c r="K2168" s="27" t="str">
        <f aca="false">IF(J2168="","",COUNTIF($I$2:I2168,I2168))</f>
        <v/>
      </c>
      <c r="L2168" s="27" t="str">
        <f aca="false">IF(J2168="","",CHOOSE(Q2168+1,"Tue","Wed","Thu","Fri"))</f>
        <v/>
      </c>
      <c r="M2168" s="27" t="str">
        <f aca="false">IF(J2168="","",IF(J2168=1,"Every week",R2168+1&amp;" of "&amp;J2168))</f>
        <v/>
      </c>
      <c r="N2168" s="28" t="str">
        <f aca="false">IF(J2168="","",Settings!$B$4+R2168*7+Q2168)</f>
        <v/>
      </c>
      <c r="O2168" s="28" t="str">
        <f aca="true">IF(J2168="","",N2168+MAX(0,ROUNDUP((TODAY()-N2168)/(J2168*7),0))*J2168*7)</f>
        <v/>
      </c>
      <c r="P2168" s="27" t="str">
        <f aca="false">IF(J2168="","",MOD(K2168-1,J2168*4))</f>
        <v/>
      </c>
      <c r="Q2168" s="27" t="str">
        <f aca="false">IF(J2168="","",MOD(P2168,4))</f>
        <v/>
      </c>
      <c r="R2168" s="27" t="str">
        <f aca="false">IF(J2168="","",INT(P2168/4))</f>
        <v/>
      </c>
      <c r="S2168" s="27" t="str">
        <f aca="false">IF(J2168="","",IF(AND('Daily Count Sheet'!$H$3=Q2168,MOD('Daily Count Sheet'!$I$3,J2168)=R2168),1,""))</f>
        <v/>
      </c>
      <c r="T2168" s="27" t="str">
        <f aca="false">IF(S2168=1,COUNTIF($S$2:S2168,1),"")</f>
        <v/>
      </c>
    </row>
    <row r="2169" customFormat="false" ht="15" hidden="false" customHeight="false" outlineLevel="0" collapsed="false">
      <c r="H2169" s="26"/>
      <c r="I2169" s="27" t="str">
        <f aca="false">IF(A2169="","",IF(H2169&lt;&gt;"",UPPER(TRIM(H2169)),IFERROR(CHOOSE(VALUE(E2169)+1,"A","B","C","D"),IF(OR(LEFT(UPPER(TRIM(E2169)),1)="F",UPPER(TRIM(E2169))="A"),"A",IF(OR(LEFT(UPPER(TRIM(E2169)),1)="M",UPPER(TRIM(E2169))="B"),"B",IF(OR(LEFT(UPPER(TRIM(E2169)),2)="SL",UPPER(TRIM(E2169))="C"),"C",IF(OR(LEFT(UPPER(TRIM(E2169)),1)="D",UPPER(TRIM(E2169))="D"),"D","")))))))</f>
        <v/>
      </c>
      <c r="J2169" s="27" t="str">
        <f aca="false">IF(I2169="","",IF(AND(I2169="D",Settings!$B$6&lt;&gt;"Yes"),"",IFERROR(INDEX(Settings!$C$9:$C$12,MATCH(I2169,Settings!$A$9:$A$12,0)),"")))</f>
        <v/>
      </c>
      <c r="K2169" s="27" t="str">
        <f aca="false">IF(J2169="","",COUNTIF($I$2:I2169,I2169))</f>
        <v/>
      </c>
      <c r="L2169" s="27" t="str">
        <f aca="false">IF(J2169="","",CHOOSE(Q2169+1,"Tue","Wed","Thu","Fri"))</f>
        <v/>
      </c>
      <c r="M2169" s="27" t="str">
        <f aca="false">IF(J2169="","",IF(J2169=1,"Every week",R2169+1&amp;" of "&amp;J2169))</f>
        <v/>
      </c>
      <c r="N2169" s="28" t="str">
        <f aca="false">IF(J2169="","",Settings!$B$4+R2169*7+Q2169)</f>
        <v/>
      </c>
      <c r="O2169" s="28" t="str">
        <f aca="true">IF(J2169="","",N2169+MAX(0,ROUNDUP((TODAY()-N2169)/(J2169*7),0))*J2169*7)</f>
        <v/>
      </c>
      <c r="P2169" s="27" t="str">
        <f aca="false">IF(J2169="","",MOD(K2169-1,J2169*4))</f>
        <v/>
      </c>
      <c r="Q2169" s="27" t="str">
        <f aca="false">IF(J2169="","",MOD(P2169,4))</f>
        <v/>
      </c>
      <c r="R2169" s="27" t="str">
        <f aca="false">IF(J2169="","",INT(P2169/4))</f>
        <v/>
      </c>
      <c r="S2169" s="27" t="str">
        <f aca="false">IF(J2169="","",IF(AND('Daily Count Sheet'!$H$3=Q2169,MOD('Daily Count Sheet'!$I$3,J2169)=R2169),1,""))</f>
        <v/>
      </c>
      <c r="T2169" s="27" t="str">
        <f aca="false">IF(S2169=1,COUNTIF($S$2:S2169,1),"")</f>
        <v/>
      </c>
    </row>
    <row r="2170" customFormat="false" ht="15" hidden="false" customHeight="false" outlineLevel="0" collapsed="false">
      <c r="H2170" s="26"/>
      <c r="I2170" s="27" t="str">
        <f aca="false">IF(A2170="","",IF(H2170&lt;&gt;"",UPPER(TRIM(H2170)),IFERROR(CHOOSE(VALUE(E2170)+1,"A","B","C","D"),IF(OR(LEFT(UPPER(TRIM(E2170)),1)="F",UPPER(TRIM(E2170))="A"),"A",IF(OR(LEFT(UPPER(TRIM(E2170)),1)="M",UPPER(TRIM(E2170))="B"),"B",IF(OR(LEFT(UPPER(TRIM(E2170)),2)="SL",UPPER(TRIM(E2170))="C"),"C",IF(OR(LEFT(UPPER(TRIM(E2170)),1)="D",UPPER(TRIM(E2170))="D"),"D","")))))))</f>
        <v/>
      </c>
      <c r="J2170" s="27" t="str">
        <f aca="false">IF(I2170="","",IF(AND(I2170="D",Settings!$B$6&lt;&gt;"Yes"),"",IFERROR(INDEX(Settings!$C$9:$C$12,MATCH(I2170,Settings!$A$9:$A$12,0)),"")))</f>
        <v/>
      </c>
      <c r="K2170" s="27" t="str">
        <f aca="false">IF(J2170="","",COUNTIF($I$2:I2170,I2170))</f>
        <v/>
      </c>
      <c r="L2170" s="27" t="str">
        <f aca="false">IF(J2170="","",CHOOSE(Q2170+1,"Tue","Wed","Thu","Fri"))</f>
        <v/>
      </c>
      <c r="M2170" s="27" t="str">
        <f aca="false">IF(J2170="","",IF(J2170=1,"Every week",R2170+1&amp;" of "&amp;J2170))</f>
        <v/>
      </c>
      <c r="N2170" s="28" t="str">
        <f aca="false">IF(J2170="","",Settings!$B$4+R2170*7+Q2170)</f>
        <v/>
      </c>
      <c r="O2170" s="28" t="str">
        <f aca="true">IF(J2170="","",N2170+MAX(0,ROUNDUP((TODAY()-N2170)/(J2170*7),0))*J2170*7)</f>
        <v/>
      </c>
      <c r="P2170" s="27" t="str">
        <f aca="false">IF(J2170="","",MOD(K2170-1,J2170*4))</f>
        <v/>
      </c>
      <c r="Q2170" s="27" t="str">
        <f aca="false">IF(J2170="","",MOD(P2170,4))</f>
        <v/>
      </c>
      <c r="R2170" s="27" t="str">
        <f aca="false">IF(J2170="","",INT(P2170/4))</f>
        <v/>
      </c>
      <c r="S2170" s="27" t="str">
        <f aca="false">IF(J2170="","",IF(AND('Daily Count Sheet'!$H$3=Q2170,MOD('Daily Count Sheet'!$I$3,J2170)=R2170),1,""))</f>
        <v/>
      </c>
      <c r="T2170" s="27" t="str">
        <f aca="false">IF(S2170=1,COUNTIF($S$2:S2170,1),"")</f>
        <v/>
      </c>
    </row>
    <row r="2171" customFormat="false" ht="15" hidden="false" customHeight="false" outlineLevel="0" collapsed="false">
      <c r="H2171" s="26"/>
      <c r="I2171" s="27" t="str">
        <f aca="false">IF(A2171="","",IF(H2171&lt;&gt;"",UPPER(TRIM(H2171)),IFERROR(CHOOSE(VALUE(E2171)+1,"A","B","C","D"),IF(OR(LEFT(UPPER(TRIM(E2171)),1)="F",UPPER(TRIM(E2171))="A"),"A",IF(OR(LEFT(UPPER(TRIM(E2171)),1)="M",UPPER(TRIM(E2171))="B"),"B",IF(OR(LEFT(UPPER(TRIM(E2171)),2)="SL",UPPER(TRIM(E2171))="C"),"C",IF(OR(LEFT(UPPER(TRIM(E2171)),1)="D",UPPER(TRIM(E2171))="D"),"D","")))))))</f>
        <v/>
      </c>
      <c r="J2171" s="27" t="str">
        <f aca="false">IF(I2171="","",IF(AND(I2171="D",Settings!$B$6&lt;&gt;"Yes"),"",IFERROR(INDEX(Settings!$C$9:$C$12,MATCH(I2171,Settings!$A$9:$A$12,0)),"")))</f>
        <v/>
      </c>
      <c r="K2171" s="27" t="str">
        <f aca="false">IF(J2171="","",COUNTIF($I$2:I2171,I2171))</f>
        <v/>
      </c>
      <c r="L2171" s="27" t="str">
        <f aca="false">IF(J2171="","",CHOOSE(Q2171+1,"Tue","Wed","Thu","Fri"))</f>
        <v/>
      </c>
      <c r="M2171" s="27" t="str">
        <f aca="false">IF(J2171="","",IF(J2171=1,"Every week",R2171+1&amp;" of "&amp;J2171))</f>
        <v/>
      </c>
      <c r="N2171" s="28" t="str">
        <f aca="false">IF(J2171="","",Settings!$B$4+R2171*7+Q2171)</f>
        <v/>
      </c>
      <c r="O2171" s="28" t="str">
        <f aca="true">IF(J2171="","",N2171+MAX(0,ROUNDUP((TODAY()-N2171)/(J2171*7),0))*J2171*7)</f>
        <v/>
      </c>
      <c r="P2171" s="27" t="str">
        <f aca="false">IF(J2171="","",MOD(K2171-1,J2171*4))</f>
        <v/>
      </c>
      <c r="Q2171" s="27" t="str">
        <f aca="false">IF(J2171="","",MOD(P2171,4))</f>
        <v/>
      </c>
      <c r="R2171" s="27" t="str">
        <f aca="false">IF(J2171="","",INT(P2171/4))</f>
        <v/>
      </c>
      <c r="S2171" s="27" t="str">
        <f aca="false">IF(J2171="","",IF(AND('Daily Count Sheet'!$H$3=Q2171,MOD('Daily Count Sheet'!$I$3,J2171)=R2171),1,""))</f>
        <v/>
      </c>
      <c r="T2171" s="27" t="str">
        <f aca="false">IF(S2171=1,COUNTIF($S$2:S2171,1),"")</f>
        <v/>
      </c>
    </row>
    <row r="2172" customFormat="false" ht="15" hidden="false" customHeight="false" outlineLevel="0" collapsed="false">
      <c r="H2172" s="26"/>
      <c r="I2172" s="27" t="str">
        <f aca="false">IF(A2172="","",IF(H2172&lt;&gt;"",UPPER(TRIM(H2172)),IFERROR(CHOOSE(VALUE(E2172)+1,"A","B","C","D"),IF(OR(LEFT(UPPER(TRIM(E2172)),1)="F",UPPER(TRIM(E2172))="A"),"A",IF(OR(LEFT(UPPER(TRIM(E2172)),1)="M",UPPER(TRIM(E2172))="B"),"B",IF(OR(LEFT(UPPER(TRIM(E2172)),2)="SL",UPPER(TRIM(E2172))="C"),"C",IF(OR(LEFT(UPPER(TRIM(E2172)),1)="D",UPPER(TRIM(E2172))="D"),"D","")))))))</f>
        <v/>
      </c>
      <c r="J2172" s="27" t="str">
        <f aca="false">IF(I2172="","",IF(AND(I2172="D",Settings!$B$6&lt;&gt;"Yes"),"",IFERROR(INDEX(Settings!$C$9:$C$12,MATCH(I2172,Settings!$A$9:$A$12,0)),"")))</f>
        <v/>
      </c>
      <c r="K2172" s="27" t="str">
        <f aca="false">IF(J2172="","",COUNTIF($I$2:I2172,I2172))</f>
        <v/>
      </c>
      <c r="L2172" s="27" t="str">
        <f aca="false">IF(J2172="","",CHOOSE(Q2172+1,"Tue","Wed","Thu","Fri"))</f>
        <v/>
      </c>
      <c r="M2172" s="27" t="str">
        <f aca="false">IF(J2172="","",IF(J2172=1,"Every week",R2172+1&amp;" of "&amp;J2172))</f>
        <v/>
      </c>
      <c r="N2172" s="28" t="str">
        <f aca="false">IF(J2172="","",Settings!$B$4+R2172*7+Q2172)</f>
        <v/>
      </c>
      <c r="O2172" s="28" t="str">
        <f aca="true">IF(J2172="","",N2172+MAX(0,ROUNDUP((TODAY()-N2172)/(J2172*7),0))*J2172*7)</f>
        <v/>
      </c>
      <c r="P2172" s="27" t="str">
        <f aca="false">IF(J2172="","",MOD(K2172-1,J2172*4))</f>
        <v/>
      </c>
      <c r="Q2172" s="27" t="str">
        <f aca="false">IF(J2172="","",MOD(P2172,4))</f>
        <v/>
      </c>
      <c r="R2172" s="27" t="str">
        <f aca="false">IF(J2172="","",INT(P2172/4))</f>
        <v/>
      </c>
      <c r="S2172" s="27" t="str">
        <f aca="false">IF(J2172="","",IF(AND('Daily Count Sheet'!$H$3=Q2172,MOD('Daily Count Sheet'!$I$3,J2172)=R2172),1,""))</f>
        <v/>
      </c>
      <c r="T2172" s="27" t="str">
        <f aca="false">IF(S2172=1,COUNTIF($S$2:S2172,1),"")</f>
        <v/>
      </c>
    </row>
    <row r="2173" customFormat="false" ht="15" hidden="false" customHeight="false" outlineLevel="0" collapsed="false">
      <c r="H2173" s="26"/>
      <c r="I2173" s="27" t="str">
        <f aca="false">IF(A2173="","",IF(H2173&lt;&gt;"",UPPER(TRIM(H2173)),IFERROR(CHOOSE(VALUE(E2173)+1,"A","B","C","D"),IF(OR(LEFT(UPPER(TRIM(E2173)),1)="F",UPPER(TRIM(E2173))="A"),"A",IF(OR(LEFT(UPPER(TRIM(E2173)),1)="M",UPPER(TRIM(E2173))="B"),"B",IF(OR(LEFT(UPPER(TRIM(E2173)),2)="SL",UPPER(TRIM(E2173))="C"),"C",IF(OR(LEFT(UPPER(TRIM(E2173)),1)="D",UPPER(TRIM(E2173))="D"),"D","")))))))</f>
        <v/>
      </c>
      <c r="J2173" s="27" t="str">
        <f aca="false">IF(I2173="","",IF(AND(I2173="D",Settings!$B$6&lt;&gt;"Yes"),"",IFERROR(INDEX(Settings!$C$9:$C$12,MATCH(I2173,Settings!$A$9:$A$12,0)),"")))</f>
        <v/>
      </c>
      <c r="K2173" s="27" t="str">
        <f aca="false">IF(J2173="","",COUNTIF($I$2:I2173,I2173))</f>
        <v/>
      </c>
      <c r="L2173" s="27" t="str">
        <f aca="false">IF(J2173="","",CHOOSE(Q2173+1,"Tue","Wed","Thu","Fri"))</f>
        <v/>
      </c>
      <c r="M2173" s="27" t="str">
        <f aca="false">IF(J2173="","",IF(J2173=1,"Every week",R2173+1&amp;" of "&amp;J2173))</f>
        <v/>
      </c>
      <c r="N2173" s="28" t="str">
        <f aca="false">IF(J2173="","",Settings!$B$4+R2173*7+Q2173)</f>
        <v/>
      </c>
      <c r="O2173" s="28" t="str">
        <f aca="true">IF(J2173="","",N2173+MAX(0,ROUNDUP((TODAY()-N2173)/(J2173*7),0))*J2173*7)</f>
        <v/>
      </c>
      <c r="P2173" s="27" t="str">
        <f aca="false">IF(J2173="","",MOD(K2173-1,J2173*4))</f>
        <v/>
      </c>
      <c r="Q2173" s="27" t="str">
        <f aca="false">IF(J2173="","",MOD(P2173,4))</f>
        <v/>
      </c>
      <c r="R2173" s="27" t="str">
        <f aca="false">IF(J2173="","",INT(P2173/4))</f>
        <v/>
      </c>
      <c r="S2173" s="27" t="str">
        <f aca="false">IF(J2173="","",IF(AND('Daily Count Sheet'!$H$3=Q2173,MOD('Daily Count Sheet'!$I$3,J2173)=R2173),1,""))</f>
        <v/>
      </c>
      <c r="T2173" s="27" t="str">
        <f aca="false">IF(S2173=1,COUNTIF($S$2:S2173,1),"")</f>
        <v/>
      </c>
    </row>
    <row r="2174" customFormat="false" ht="15" hidden="false" customHeight="false" outlineLevel="0" collapsed="false">
      <c r="H2174" s="26"/>
      <c r="I2174" s="27" t="str">
        <f aca="false">IF(A2174="","",IF(H2174&lt;&gt;"",UPPER(TRIM(H2174)),IFERROR(CHOOSE(VALUE(E2174)+1,"A","B","C","D"),IF(OR(LEFT(UPPER(TRIM(E2174)),1)="F",UPPER(TRIM(E2174))="A"),"A",IF(OR(LEFT(UPPER(TRIM(E2174)),1)="M",UPPER(TRIM(E2174))="B"),"B",IF(OR(LEFT(UPPER(TRIM(E2174)),2)="SL",UPPER(TRIM(E2174))="C"),"C",IF(OR(LEFT(UPPER(TRIM(E2174)),1)="D",UPPER(TRIM(E2174))="D"),"D","")))))))</f>
        <v/>
      </c>
      <c r="J2174" s="27" t="str">
        <f aca="false">IF(I2174="","",IF(AND(I2174="D",Settings!$B$6&lt;&gt;"Yes"),"",IFERROR(INDEX(Settings!$C$9:$C$12,MATCH(I2174,Settings!$A$9:$A$12,0)),"")))</f>
        <v/>
      </c>
      <c r="K2174" s="27" t="str">
        <f aca="false">IF(J2174="","",COUNTIF($I$2:I2174,I2174))</f>
        <v/>
      </c>
      <c r="L2174" s="27" t="str">
        <f aca="false">IF(J2174="","",CHOOSE(Q2174+1,"Tue","Wed","Thu","Fri"))</f>
        <v/>
      </c>
      <c r="M2174" s="27" t="str">
        <f aca="false">IF(J2174="","",IF(J2174=1,"Every week",R2174+1&amp;" of "&amp;J2174))</f>
        <v/>
      </c>
      <c r="N2174" s="28" t="str">
        <f aca="false">IF(J2174="","",Settings!$B$4+R2174*7+Q2174)</f>
        <v/>
      </c>
      <c r="O2174" s="28" t="str">
        <f aca="true">IF(J2174="","",N2174+MAX(0,ROUNDUP((TODAY()-N2174)/(J2174*7),0))*J2174*7)</f>
        <v/>
      </c>
      <c r="P2174" s="27" t="str">
        <f aca="false">IF(J2174="","",MOD(K2174-1,J2174*4))</f>
        <v/>
      </c>
      <c r="Q2174" s="27" t="str">
        <f aca="false">IF(J2174="","",MOD(P2174,4))</f>
        <v/>
      </c>
      <c r="R2174" s="27" t="str">
        <f aca="false">IF(J2174="","",INT(P2174/4))</f>
        <v/>
      </c>
      <c r="S2174" s="27" t="str">
        <f aca="false">IF(J2174="","",IF(AND('Daily Count Sheet'!$H$3=Q2174,MOD('Daily Count Sheet'!$I$3,J2174)=R2174),1,""))</f>
        <v/>
      </c>
      <c r="T2174" s="27" t="str">
        <f aca="false">IF(S2174=1,COUNTIF($S$2:S2174,1),"")</f>
        <v/>
      </c>
    </row>
    <row r="2175" customFormat="false" ht="15" hidden="false" customHeight="false" outlineLevel="0" collapsed="false">
      <c r="H2175" s="26"/>
      <c r="I2175" s="27" t="str">
        <f aca="false">IF(A2175="","",IF(H2175&lt;&gt;"",UPPER(TRIM(H2175)),IFERROR(CHOOSE(VALUE(E2175)+1,"A","B","C","D"),IF(OR(LEFT(UPPER(TRIM(E2175)),1)="F",UPPER(TRIM(E2175))="A"),"A",IF(OR(LEFT(UPPER(TRIM(E2175)),1)="M",UPPER(TRIM(E2175))="B"),"B",IF(OR(LEFT(UPPER(TRIM(E2175)),2)="SL",UPPER(TRIM(E2175))="C"),"C",IF(OR(LEFT(UPPER(TRIM(E2175)),1)="D",UPPER(TRIM(E2175))="D"),"D","")))))))</f>
        <v/>
      </c>
      <c r="J2175" s="27" t="str">
        <f aca="false">IF(I2175="","",IF(AND(I2175="D",Settings!$B$6&lt;&gt;"Yes"),"",IFERROR(INDEX(Settings!$C$9:$C$12,MATCH(I2175,Settings!$A$9:$A$12,0)),"")))</f>
        <v/>
      </c>
      <c r="K2175" s="27" t="str">
        <f aca="false">IF(J2175="","",COUNTIF($I$2:I2175,I2175))</f>
        <v/>
      </c>
      <c r="L2175" s="27" t="str">
        <f aca="false">IF(J2175="","",CHOOSE(Q2175+1,"Tue","Wed","Thu","Fri"))</f>
        <v/>
      </c>
      <c r="M2175" s="27" t="str">
        <f aca="false">IF(J2175="","",IF(J2175=1,"Every week",R2175+1&amp;" of "&amp;J2175))</f>
        <v/>
      </c>
      <c r="N2175" s="28" t="str">
        <f aca="false">IF(J2175="","",Settings!$B$4+R2175*7+Q2175)</f>
        <v/>
      </c>
      <c r="O2175" s="28" t="str">
        <f aca="true">IF(J2175="","",N2175+MAX(0,ROUNDUP((TODAY()-N2175)/(J2175*7),0))*J2175*7)</f>
        <v/>
      </c>
      <c r="P2175" s="27" t="str">
        <f aca="false">IF(J2175="","",MOD(K2175-1,J2175*4))</f>
        <v/>
      </c>
      <c r="Q2175" s="27" t="str">
        <f aca="false">IF(J2175="","",MOD(P2175,4))</f>
        <v/>
      </c>
      <c r="R2175" s="27" t="str">
        <f aca="false">IF(J2175="","",INT(P2175/4))</f>
        <v/>
      </c>
      <c r="S2175" s="27" t="str">
        <f aca="false">IF(J2175="","",IF(AND('Daily Count Sheet'!$H$3=Q2175,MOD('Daily Count Sheet'!$I$3,J2175)=R2175),1,""))</f>
        <v/>
      </c>
      <c r="T2175" s="27" t="str">
        <f aca="false">IF(S2175=1,COUNTIF($S$2:S2175,1),"")</f>
        <v/>
      </c>
    </row>
    <row r="2176" customFormat="false" ht="15" hidden="false" customHeight="false" outlineLevel="0" collapsed="false">
      <c r="H2176" s="26"/>
      <c r="I2176" s="27" t="str">
        <f aca="false">IF(A2176="","",IF(H2176&lt;&gt;"",UPPER(TRIM(H2176)),IFERROR(CHOOSE(VALUE(E2176)+1,"A","B","C","D"),IF(OR(LEFT(UPPER(TRIM(E2176)),1)="F",UPPER(TRIM(E2176))="A"),"A",IF(OR(LEFT(UPPER(TRIM(E2176)),1)="M",UPPER(TRIM(E2176))="B"),"B",IF(OR(LEFT(UPPER(TRIM(E2176)),2)="SL",UPPER(TRIM(E2176))="C"),"C",IF(OR(LEFT(UPPER(TRIM(E2176)),1)="D",UPPER(TRIM(E2176))="D"),"D","")))))))</f>
        <v/>
      </c>
      <c r="J2176" s="27" t="str">
        <f aca="false">IF(I2176="","",IF(AND(I2176="D",Settings!$B$6&lt;&gt;"Yes"),"",IFERROR(INDEX(Settings!$C$9:$C$12,MATCH(I2176,Settings!$A$9:$A$12,0)),"")))</f>
        <v/>
      </c>
      <c r="K2176" s="27" t="str">
        <f aca="false">IF(J2176="","",COUNTIF($I$2:I2176,I2176))</f>
        <v/>
      </c>
      <c r="L2176" s="27" t="str">
        <f aca="false">IF(J2176="","",CHOOSE(Q2176+1,"Tue","Wed","Thu","Fri"))</f>
        <v/>
      </c>
      <c r="M2176" s="27" t="str">
        <f aca="false">IF(J2176="","",IF(J2176=1,"Every week",R2176+1&amp;" of "&amp;J2176))</f>
        <v/>
      </c>
      <c r="N2176" s="28" t="str">
        <f aca="false">IF(J2176="","",Settings!$B$4+R2176*7+Q2176)</f>
        <v/>
      </c>
      <c r="O2176" s="28" t="str">
        <f aca="true">IF(J2176="","",N2176+MAX(0,ROUNDUP((TODAY()-N2176)/(J2176*7),0))*J2176*7)</f>
        <v/>
      </c>
      <c r="P2176" s="27" t="str">
        <f aca="false">IF(J2176="","",MOD(K2176-1,J2176*4))</f>
        <v/>
      </c>
      <c r="Q2176" s="27" t="str">
        <f aca="false">IF(J2176="","",MOD(P2176,4))</f>
        <v/>
      </c>
      <c r="R2176" s="27" t="str">
        <f aca="false">IF(J2176="","",INT(P2176/4))</f>
        <v/>
      </c>
      <c r="S2176" s="27" t="str">
        <f aca="false">IF(J2176="","",IF(AND('Daily Count Sheet'!$H$3=Q2176,MOD('Daily Count Sheet'!$I$3,J2176)=R2176),1,""))</f>
        <v/>
      </c>
      <c r="T2176" s="27" t="str">
        <f aca="false">IF(S2176=1,COUNTIF($S$2:S2176,1),"")</f>
        <v/>
      </c>
    </row>
    <row r="2177" customFormat="false" ht="15" hidden="false" customHeight="false" outlineLevel="0" collapsed="false">
      <c r="H2177" s="26"/>
      <c r="I2177" s="27" t="str">
        <f aca="false">IF(A2177="","",IF(H2177&lt;&gt;"",UPPER(TRIM(H2177)),IFERROR(CHOOSE(VALUE(E2177)+1,"A","B","C","D"),IF(OR(LEFT(UPPER(TRIM(E2177)),1)="F",UPPER(TRIM(E2177))="A"),"A",IF(OR(LEFT(UPPER(TRIM(E2177)),1)="M",UPPER(TRIM(E2177))="B"),"B",IF(OR(LEFT(UPPER(TRIM(E2177)),2)="SL",UPPER(TRIM(E2177))="C"),"C",IF(OR(LEFT(UPPER(TRIM(E2177)),1)="D",UPPER(TRIM(E2177))="D"),"D","")))))))</f>
        <v/>
      </c>
      <c r="J2177" s="27" t="str">
        <f aca="false">IF(I2177="","",IF(AND(I2177="D",Settings!$B$6&lt;&gt;"Yes"),"",IFERROR(INDEX(Settings!$C$9:$C$12,MATCH(I2177,Settings!$A$9:$A$12,0)),"")))</f>
        <v/>
      </c>
      <c r="K2177" s="27" t="str">
        <f aca="false">IF(J2177="","",COUNTIF($I$2:I2177,I2177))</f>
        <v/>
      </c>
      <c r="L2177" s="27" t="str">
        <f aca="false">IF(J2177="","",CHOOSE(Q2177+1,"Tue","Wed","Thu","Fri"))</f>
        <v/>
      </c>
      <c r="M2177" s="27" t="str">
        <f aca="false">IF(J2177="","",IF(J2177=1,"Every week",R2177+1&amp;" of "&amp;J2177))</f>
        <v/>
      </c>
      <c r="N2177" s="28" t="str">
        <f aca="false">IF(J2177="","",Settings!$B$4+R2177*7+Q2177)</f>
        <v/>
      </c>
      <c r="O2177" s="28" t="str">
        <f aca="true">IF(J2177="","",N2177+MAX(0,ROUNDUP((TODAY()-N2177)/(J2177*7),0))*J2177*7)</f>
        <v/>
      </c>
      <c r="P2177" s="27" t="str">
        <f aca="false">IF(J2177="","",MOD(K2177-1,J2177*4))</f>
        <v/>
      </c>
      <c r="Q2177" s="27" t="str">
        <f aca="false">IF(J2177="","",MOD(P2177,4))</f>
        <v/>
      </c>
      <c r="R2177" s="27" t="str">
        <f aca="false">IF(J2177="","",INT(P2177/4))</f>
        <v/>
      </c>
      <c r="S2177" s="27" t="str">
        <f aca="false">IF(J2177="","",IF(AND('Daily Count Sheet'!$H$3=Q2177,MOD('Daily Count Sheet'!$I$3,J2177)=R2177),1,""))</f>
        <v/>
      </c>
      <c r="T2177" s="27" t="str">
        <f aca="false">IF(S2177=1,COUNTIF($S$2:S2177,1),"")</f>
        <v/>
      </c>
    </row>
    <row r="2178" customFormat="false" ht="15" hidden="false" customHeight="false" outlineLevel="0" collapsed="false">
      <c r="H2178" s="26"/>
      <c r="I2178" s="27" t="str">
        <f aca="false">IF(A2178="","",IF(H2178&lt;&gt;"",UPPER(TRIM(H2178)),IFERROR(CHOOSE(VALUE(E2178)+1,"A","B","C","D"),IF(OR(LEFT(UPPER(TRIM(E2178)),1)="F",UPPER(TRIM(E2178))="A"),"A",IF(OR(LEFT(UPPER(TRIM(E2178)),1)="M",UPPER(TRIM(E2178))="B"),"B",IF(OR(LEFT(UPPER(TRIM(E2178)),2)="SL",UPPER(TRIM(E2178))="C"),"C",IF(OR(LEFT(UPPER(TRIM(E2178)),1)="D",UPPER(TRIM(E2178))="D"),"D","")))))))</f>
        <v/>
      </c>
      <c r="J2178" s="27" t="str">
        <f aca="false">IF(I2178="","",IF(AND(I2178="D",Settings!$B$6&lt;&gt;"Yes"),"",IFERROR(INDEX(Settings!$C$9:$C$12,MATCH(I2178,Settings!$A$9:$A$12,0)),"")))</f>
        <v/>
      </c>
      <c r="K2178" s="27" t="str">
        <f aca="false">IF(J2178="","",COUNTIF($I$2:I2178,I2178))</f>
        <v/>
      </c>
      <c r="L2178" s="27" t="str">
        <f aca="false">IF(J2178="","",CHOOSE(Q2178+1,"Tue","Wed","Thu","Fri"))</f>
        <v/>
      </c>
      <c r="M2178" s="27" t="str">
        <f aca="false">IF(J2178="","",IF(J2178=1,"Every week",R2178+1&amp;" of "&amp;J2178))</f>
        <v/>
      </c>
      <c r="N2178" s="28" t="str">
        <f aca="false">IF(J2178="","",Settings!$B$4+R2178*7+Q2178)</f>
        <v/>
      </c>
      <c r="O2178" s="28" t="str">
        <f aca="true">IF(J2178="","",N2178+MAX(0,ROUNDUP((TODAY()-N2178)/(J2178*7),0))*J2178*7)</f>
        <v/>
      </c>
      <c r="P2178" s="27" t="str">
        <f aca="false">IF(J2178="","",MOD(K2178-1,J2178*4))</f>
        <v/>
      </c>
      <c r="Q2178" s="27" t="str">
        <f aca="false">IF(J2178="","",MOD(P2178,4))</f>
        <v/>
      </c>
      <c r="R2178" s="27" t="str">
        <f aca="false">IF(J2178="","",INT(P2178/4))</f>
        <v/>
      </c>
      <c r="S2178" s="27" t="str">
        <f aca="false">IF(J2178="","",IF(AND('Daily Count Sheet'!$H$3=Q2178,MOD('Daily Count Sheet'!$I$3,J2178)=R2178),1,""))</f>
        <v/>
      </c>
      <c r="T2178" s="27" t="str">
        <f aca="false">IF(S2178=1,COUNTIF($S$2:S2178,1),"")</f>
        <v/>
      </c>
    </row>
    <row r="2179" customFormat="false" ht="15" hidden="false" customHeight="false" outlineLevel="0" collapsed="false">
      <c r="H2179" s="26"/>
      <c r="I2179" s="27" t="str">
        <f aca="false">IF(A2179="","",IF(H2179&lt;&gt;"",UPPER(TRIM(H2179)),IFERROR(CHOOSE(VALUE(E2179)+1,"A","B","C","D"),IF(OR(LEFT(UPPER(TRIM(E2179)),1)="F",UPPER(TRIM(E2179))="A"),"A",IF(OR(LEFT(UPPER(TRIM(E2179)),1)="M",UPPER(TRIM(E2179))="B"),"B",IF(OR(LEFT(UPPER(TRIM(E2179)),2)="SL",UPPER(TRIM(E2179))="C"),"C",IF(OR(LEFT(UPPER(TRIM(E2179)),1)="D",UPPER(TRIM(E2179))="D"),"D","")))))))</f>
        <v/>
      </c>
      <c r="J2179" s="27" t="str">
        <f aca="false">IF(I2179="","",IF(AND(I2179="D",Settings!$B$6&lt;&gt;"Yes"),"",IFERROR(INDEX(Settings!$C$9:$C$12,MATCH(I2179,Settings!$A$9:$A$12,0)),"")))</f>
        <v/>
      </c>
      <c r="K2179" s="27" t="str">
        <f aca="false">IF(J2179="","",COUNTIF($I$2:I2179,I2179))</f>
        <v/>
      </c>
      <c r="L2179" s="27" t="str">
        <f aca="false">IF(J2179="","",CHOOSE(Q2179+1,"Tue","Wed","Thu","Fri"))</f>
        <v/>
      </c>
      <c r="M2179" s="27" t="str">
        <f aca="false">IF(J2179="","",IF(J2179=1,"Every week",R2179+1&amp;" of "&amp;J2179))</f>
        <v/>
      </c>
      <c r="N2179" s="28" t="str">
        <f aca="false">IF(J2179="","",Settings!$B$4+R2179*7+Q2179)</f>
        <v/>
      </c>
      <c r="O2179" s="28" t="str">
        <f aca="true">IF(J2179="","",N2179+MAX(0,ROUNDUP((TODAY()-N2179)/(J2179*7),0))*J2179*7)</f>
        <v/>
      </c>
      <c r="P2179" s="27" t="str">
        <f aca="false">IF(J2179="","",MOD(K2179-1,J2179*4))</f>
        <v/>
      </c>
      <c r="Q2179" s="27" t="str">
        <f aca="false">IF(J2179="","",MOD(P2179,4))</f>
        <v/>
      </c>
      <c r="R2179" s="27" t="str">
        <f aca="false">IF(J2179="","",INT(P2179/4))</f>
        <v/>
      </c>
      <c r="S2179" s="27" t="str">
        <f aca="false">IF(J2179="","",IF(AND('Daily Count Sheet'!$H$3=Q2179,MOD('Daily Count Sheet'!$I$3,J2179)=R2179),1,""))</f>
        <v/>
      </c>
      <c r="T2179" s="27" t="str">
        <f aca="false">IF(S2179=1,COUNTIF($S$2:S2179,1),"")</f>
        <v/>
      </c>
    </row>
    <row r="2180" customFormat="false" ht="15" hidden="false" customHeight="false" outlineLevel="0" collapsed="false">
      <c r="H2180" s="26"/>
      <c r="I2180" s="27" t="str">
        <f aca="false">IF(A2180="","",IF(H2180&lt;&gt;"",UPPER(TRIM(H2180)),IFERROR(CHOOSE(VALUE(E2180)+1,"A","B","C","D"),IF(OR(LEFT(UPPER(TRIM(E2180)),1)="F",UPPER(TRIM(E2180))="A"),"A",IF(OR(LEFT(UPPER(TRIM(E2180)),1)="M",UPPER(TRIM(E2180))="B"),"B",IF(OR(LEFT(UPPER(TRIM(E2180)),2)="SL",UPPER(TRIM(E2180))="C"),"C",IF(OR(LEFT(UPPER(TRIM(E2180)),1)="D",UPPER(TRIM(E2180))="D"),"D","")))))))</f>
        <v/>
      </c>
      <c r="J2180" s="27" t="str">
        <f aca="false">IF(I2180="","",IF(AND(I2180="D",Settings!$B$6&lt;&gt;"Yes"),"",IFERROR(INDEX(Settings!$C$9:$C$12,MATCH(I2180,Settings!$A$9:$A$12,0)),"")))</f>
        <v/>
      </c>
      <c r="K2180" s="27" t="str">
        <f aca="false">IF(J2180="","",COUNTIF($I$2:I2180,I2180))</f>
        <v/>
      </c>
      <c r="L2180" s="27" t="str">
        <f aca="false">IF(J2180="","",CHOOSE(Q2180+1,"Tue","Wed","Thu","Fri"))</f>
        <v/>
      </c>
      <c r="M2180" s="27" t="str">
        <f aca="false">IF(J2180="","",IF(J2180=1,"Every week",R2180+1&amp;" of "&amp;J2180))</f>
        <v/>
      </c>
      <c r="N2180" s="28" t="str">
        <f aca="false">IF(J2180="","",Settings!$B$4+R2180*7+Q2180)</f>
        <v/>
      </c>
      <c r="O2180" s="28" t="str">
        <f aca="true">IF(J2180="","",N2180+MAX(0,ROUNDUP((TODAY()-N2180)/(J2180*7),0))*J2180*7)</f>
        <v/>
      </c>
      <c r="P2180" s="27" t="str">
        <f aca="false">IF(J2180="","",MOD(K2180-1,J2180*4))</f>
        <v/>
      </c>
      <c r="Q2180" s="27" t="str">
        <f aca="false">IF(J2180="","",MOD(P2180,4))</f>
        <v/>
      </c>
      <c r="R2180" s="27" t="str">
        <f aca="false">IF(J2180="","",INT(P2180/4))</f>
        <v/>
      </c>
      <c r="S2180" s="27" t="str">
        <f aca="false">IF(J2180="","",IF(AND('Daily Count Sheet'!$H$3=Q2180,MOD('Daily Count Sheet'!$I$3,J2180)=R2180),1,""))</f>
        <v/>
      </c>
      <c r="T2180" s="27" t="str">
        <f aca="false">IF(S2180=1,COUNTIF($S$2:S2180,1),"")</f>
        <v/>
      </c>
    </row>
    <row r="2181" customFormat="false" ht="15" hidden="false" customHeight="false" outlineLevel="0" collapsed="false">
      <c r="H2181" s="26"/>
      <c r="I2181" s="27" t="str">
        <f aca="false">IF(A2181="","",IF(H2181&lt;&gt;"",UPPER(TRIM(H2181)),IFERROR(CHOOSE(VALUE(E2181)+1,"A","B","C","D"),IF(OR(LEFT(UPPER(TRIM(E2181)),1)="F",UPPER(TRIM(E2181))="A"),"A",IF(OR(LEFT(UPPER(TRIM(E2181)),1)="M",UPPER(TRIM(E2181))="B"),"B",IF(OR(LEFT(UPPER(TRIM(E2181)),2)="SL",UPPER(TRIM(E2181))="C"),"C",IF(OR(LEFT(UPPER(TRIM(E2181)),1)="D",UPPER(TRIM(E2181))="D"),"D","")))))))</f>
        <v/>
      </c>
      <c r="J2181" s="27" t="str">
        <f aca="false">IF(I2181="","",IF(AND(I2181="D",Settings!$B$6&lt;&gt;"Yes"),"",IFERROR(INDEX(Settings!$C$9:$C$12,MATCH(I2181,Settings!$A$9:$A$12,0)),"")))</f>
        <v/>
      </c>
      <c r="K2181" s="27" t="str">
        <f aca="false">IF(J2181="","",COUNTIF($I$2:I2181,I2181))</f>
        <v/>
      </c>
      <c r="L2181" s="27" t="str">
        <f aca="false">IF(J2181="","",CHOOSE(Q2181+1,"Tue","Wed","Thu","Fri"))</f>
        <v/>
      </c>
      <c r="M2181" s="27" t="str">
        <f aca="false">IF(J2181="","",IF(J2181=1,"Every week",R2181+1&amp;" of "&amp;J2181))</f>
        <v/>
      </c>
      <c r="N2181" s="28" t="str">
        <f aca="false">IF(J2181="","",Settings!$B$4+R2181*7+Q2181)</f>
        <v/>
      </c>
      <c r="O2181" s="28" t="str">
        <f aca="true">IF(J2181="","",N2181+MAX(0,ROUNDUP((TODAY()-N2181)/(J2181*7),0))*J2181*7)</f>
        <v/>
      </c>
      <c r="P2181" s="27" t="str">
        <f aca="false">IF(J2181="","",MOD(K2181-1,J2181*4))</f>
        <v/>
      </c>
      <c r="Q2181" s="27" t="str">
        <f aca="false">IF(J2181="","",MOD(P2181,4))</f>
        <v/>
      </c>
      <c r="R2181" s="27" t="str">
        <f aca="false">IF(J2181="","",INT(P2181/4))</f>
        <v/>
      </c>
      <c r="S2181" s="27" t="str">
        <f aca="false">IF(J2181="","",IF(AND('Daily Count Sheet'!$H$3=Q2181,MOD('Daily Count Sheet'!$I$3,J2181)=R2181),1,""))</f>
        <v/>
      </c>
      <c r="T2181" s="27" t="str">
        <f aca="false">IF(S2181=1,COUNTIF($S$2:S2181,1),"")</f>
        <v/>
      </c>
    </row>
    <row r="2182" customFormat="false" ht="15" hidden="false" customHeight="false" outlineLevel="0" collapsed="false">
      <c r="H2182" s="26"/>
      <c r="I2182" s="27" t="str">
        <f aca="false">IF(A2182="","",IF(H2182&lt;&gt;"",UPPER(TRIM(H2182)),IFERROR(CHOOSE(VALUE(E2182)+1,"A","B","C","D"),IF(OR(LEFT(UPPER(TRIM(E2182)),1)="F",UPPER(TRIM(E2182))="A"),"A",IF(OR(LEFT(UPPER(TRIM(E2182)),1)="M",UPPER(TRIM(E2182))="B"),"B",IF(OR(LEFT(UPPER(TRIM(E2182)),2)="SL",UPPER(TRIM(E2182))="C"),"C",IF(OR(LEFT(UPPER(TRIM(E2182)),1)="D",UPPER(TRIM(E2182))="D"),"D","")))))))</f>
        <v/>
      </c>
      <c r="J2182" s="27" t="str">
        <f aca="false">IF(I2182="","",IF(AND(I2182="D",Settings!$B$6&lt;&gt;"Yes"),"",IFERROR(INDEX(Settings!$C$9:$C$12,MATCH(I2182,Settings!$A$9:$A$12,0)),"")))</f>
        <v/>
      </c>
      <c r="K2182" s="27" t="str">
        <f aca="false">IF(J2182="","",COUNTIF($I$2:I2182,I2182))</f>
        <v/>
      </c>
      <c r="L2182" s="27" t="str">
        <f aca="false">IF(J2182="","",CHOOSE(Q2182+1,"Tue","Wed","Thu","Fri"))</f>
        <v/>
      </c>
      <c r="M2182" s="27" t="str">
        <f aca="false">IF(J2182="","",IF(J2182=1,"Every week",R2182+1&amp;" of "&amp;J2182))</f>
        <v/>
      </c>
      <c r="N2182" s="28" t="str">
        <f aca="false">IF(J2182="","",Settings!$B$4+R2182*7+Q2182)</f>
        <v/>
      </c>
      <c r="O2182" s="28" t="str">
        <f aca="true">IF(J2182="","",N2182+MAX(0,ROUNDUP((TODAY()-N2182)/(J2182*7),0))*J2182*7)</f>
        <v/>
      </c>
      <c r="P2182" s="27" t="str">
        <f aca="false">IF(J2182="","",MOD(K2182-1,J2182*4))</f>
        <v/>
      </c>
      <c r="Q2182" s="27" t="str">
        <f aca="false">IF(J2182="","",MOD(P2182,4))</f>
        <v/>
      </c>
      <c r="R2182" s="27" t="str">
        <f aca="false">IF(J2182="","",INT(P2182/4))</f>
        <v/>
      </c>
      <c r="S2182" s="27" t="str">
        <f aca="false">IF(J2182="","",IF(AND('Daily Count Sheet'!$H$3=Q2182,MOD('Daily Count Sheet'!$I$3,J2182)=R2182),1,""))</f>
        <v/>
      </c>
      <c r="T2182" s="27" t="str">
        <f aca="false">IF(S2182=1,COUNTIF($S$2:S2182,1),"")</f>
        <v/>
      </c>
    </row>
    <row r="2183" customFormat="false" ht="15" hidden="false" customHeight="false" outlineLevel="0" collapsed="false">
      <c r="H2183" s="26"/>
      <c r="I2183" s="27" t="str">
        <f aca="false">IF(A2183="","",IF(H2183&lt;&gt;"",UPPER(TRIM(H2183)),IFERROR(CHOOSE(VALUE(E2183)+1,"A","B","C","D"),IF(OR(LEFT(UPPER(TRIM(E2183)),1)="F",UPPER(TRIM(E2183))="A"),"A",IF(OR(LEFT(UPPER(TRIM(E2183)),1)="M",UPPER(TRIM(E2183))="B"),"B",IF(OR(LEFT(UPPER(TRIM(E2183)),2)="SL",UPPER(TRIM(E2183))="C"),"C",IF(OR(LEFT(UPPER(TRIM(E2183)),1)="D",UPPER(TRIM(E2183))="D"),"D","")))))))</f>
        <v/>
      </c>
      <c r="J2183" s="27" t="str">
        <f aca="false">IF(I2183="","",IF(AND(I2183="D",Settings!$B$6&lt;&gt;"Yes"),"",IFERROR(INDEX(Settings!$C$9:$C$12,MATCH(I2183,Settings!$A$9:$A$12,0)),"")))</f>
        <v/>
      </c>
      <c r="K2183" s="27" t="str">
        <f aca="false">IF(J2183="","",COUNTIF($I$2:I2183,I2183))</f>
        <v/>
      </c>
      <c r="L2183" s="27" t="str">
        <f aca="false">IF(J2183="","",CHOOSE(Q2183+1,"Tue","Wed","Thu","Fri"))</f>
        <v/>
      </c>
      <c r="M2183" s="27" t="str">
        <f aca="false">IF(J2183="","",IF(J2183=1,"Every week",R2183+1&amp;" of "&amp;J2183))</f>
        <v/>
      </c>
      <c r="N2183" s="28" t="str">
        <f aca="false">IF(J2183="","",Settings!$B$4+R2183*7+Q2183)</f>
        <v/>
      </c>
      <c r="O2183" s="28" t="str">
        <f aca="true">IF(J2183="","",N2183+MAX(0,ROUNDUP((TODAY()-N2183)/(J2183*7),0))*J2183*7)</f>
        <v/>
      </c>
      <c r="P2183" s="27" t="str">
        <f aca="false">IF(J2183="","",MOD(K2183-1,J2183*4))</f>
        <v/>
      </c>
      <c r="Q2183" s="27" t="str">
        <f aca="false">IF(J2183="","",MOD(P2183,4))</f>
        <v/>
      </c>
      <c r="R2183" s="27" t="str">
        <f aca="false">IF(J2183="","",INT(P2183/4))</f>
        <v/>
      </c>
      <c r="S2183" s="27" t="str">
        <f aca="false">IF(J2183="","",IF(AND('Daily Count Sheet'!$H$3=Q2183,MOD('Daily Count Sheet'!$I$3,J2183)=R2183),1,""))</f>
        <v/>
      </c>
      <c r="T2183" s="27" t="str">
        <f aca="false">IF(S2183=1,COUNTIF($S$2:S2183,1),"")</f>
        <v/>
      </c>
    </row>
    <row r="2184" customFormat="false" ht="15" hidden="false" customHeight="false" outlineLevel="0" collapsed="false">
      <c r="H2184" s="26"/>
      <c r="I2184" s="27" t="str">
        <f aca="false">IF(A2184="","",IF(H2184&lt;&gt;"",UPPER(TRIM(H2184)),IFERROR(CHOOSE(VALUE(E2184)+1,"A","B","C","D"),IF(OR(LEFT(UPPER(TRIM(E2184)),1)="F",UPPER(TRIM(E2184))="A"),"A",IF(OR(LEFT(UPPER(TRIM(E2184)),1)="M",UPPER(TRIM(E2184))="B"),"B",IF(OR(LEFT(UPPER(TRIM(E2184)),2)="SL",UPPER(TRIM(E2184))="C"),"C",IF(OR(LEFT(UPPER(TRIM(E2184)),1)="D",UPPER(TRIM(E2184))="D"),"D","")))))))</f>
        <v/>
      </c>
      <c r="J2184" s="27" t="str">
        <f aca="false">IF(I2184="","",IF(AND(I2184="D",Settings!$B$6&lt;&gt;"Yes"),"",IFERROR(INDEX(Settings!$C$9:$C$12,MATCH(I2184,Settings!$A$9:$A$12,0)),"")))</f>
        <v/>
      </c>
      <c r="K2184" s="27" t="str">
        <f aca="false">IF(J2184="","",COUNTIF($I$2:I2184,I2184))</f>
        <v/>
      </c>
      <c r="L2184" s="27" t="str">
        <f aca="false">IF(J2184="","",CHOOSE(Q2184+1,"Tue","Wed","Thu","Fri"))</f>
        <v/>
      </c>
      <c r="M2184" s="27" t="str">
        <f aca="false">IF(J2184="","",IF(J2184=1,"Every week",R2184+1&amp;" of "&amp;J2184))</f>
        <v/>
      </c>
      <c r="N2184" s="28" t="str">
        <f aca="false">IF(J2184="","",Settings!$B$4+R2184*7+Q2184)</f>
        <v/>
      </c>
      <c r="O2184" s="28" t="str">
        <f aca="true">IF(J2184="","",N2184+MAX(0,ROUNDUP((TODAY()-N2184)/(J2184*7),0))*J2184*7)</f>
        <v/>
      </c>
      <c r="P2184" s="27" t="str">
        <f aca="false">IF(J2184="","",MOD(K2184-1,J2184*4))</f>
        <v/>
      </c>
      <c r="Q2184" s="27" t="str">
        <f aca="false">IF(J2184="","",MOD(P2184,4))</f>
        <v/>
      </c>
      <c r="R2184" s="27" t="str">
        <f aca="false">IF(J2184="","",INT(P2184/4))</f>
        <v/>
      </c>
      <c r="S2184" s="27" t="str">
        <f aca="false">IF(J2184="","",IF(AND('Daily Count Sheet'!$H$3=Q2184,MOD('Daily Count Sheet'!$I$3,J2184)=R2184),1,""))</f>
        <v/>
      </c>
      <c r="T2184" s="27" t="str">
        <f aca="false">IF(S2184=1,COUNTIF($S$2:S2184,1),"")</f>
        <v/>
      </c>
    </row>
    <row r="2185" customFormat="false" ht="15" hidden="false" customHeight="false" outlineLevel="0" collapsed="false">
      <c r="H2185" s="26"/>
      <c r="I2185" s="27" t="str">
        <f aca="false">IF(A2185="","",IF(H2185&lt;&gt;"",UPPER(TRIM(H2185)),IFERROR(CHOOSE(VALUE(E2185)+1,"A","B","C","D"),IF(OR(LEFT(UPPER(TRIM(E2185)),1)="F",UPPER(TRIM(E2185))="A"),"A",IF(OR(LEFT(UPPER(TRIM(E2185)),1)="M",UPPER(TRIM(E2185))="B"),"B",IF(OR(LEFT(UPPER(TRIM(E2185)),2)="SL",UPPER(TRIM(E2185))="C"),"C",IF(OR(LEFT(UPPER(TRIM(E2185)),1)="D",UPPER(TRIM(E2185))="D"),"D","")))))))</f>
        <v/>
      </c>
      <c r="J2185" s="27" t="str">
        <f aca="false">IF(I2185="","",IF(AND(I2185="D",Settings!$B$6&lt;&gt;"Yes"),"",IFERROR(INDEX(Settings!$C$9:$C$12,MATCH(I2185,Settings!$A$9:$A$12,0)),"")))</f>
        <v/>
      </c>
      <c r="K2185" s="27" t="str">
        <f aca="false">IF(J2185="","",COUNTIF($I$2:I2185,I2185))</f>
        <v/>
      </c>
      <c r="L2185" s="27" t="str">
        <f aca="false">IF(J2185="","",CHOOSE(Q2185+1,"Tue","Wed","Thu","Fri"))</f>
        <v/>
      </c>
      <c r="M2185" s="27" t="str">
        <f aca="false">IF(J2185="","",IF(J2185=1,"Every week",R2185+1&amp;" of "&amp;J2185))</f>
        <v/>
      </c>
      <c r="N2185" s="28" t="str">
        <f aca="false">IF(J2185="","",Settings!$B$4+R2185*7+Q2185)</f>
        <v/>
      </c>
      <c r="O2185" s="28" t="str">
        <f aca="true">IF(J2185="","",N2185+MAX(0,ROUNDUP((TODAY()-N2185)/(J2185*7),0))*J2185*7)</f>
        <v/>
      </c>
      <c r="P2185" s="27" t="str">
        <f aca="false">IF(J2185="","",MOD(K2185-1,J2185*4))</f>
        <v/>
      </c>
      <c r="Q2185" s="27" t="str">
        <f aca="false">IF(J2185="","",MOD(P2185,4))</f>
        <v/>
      </c>
      <c r="R2185" s="27" t="str">
        <f aca="false">IF(J2185="","",INT(P2185/4))</f>
        <v/>
      </c>
      <c r="S2185" s="27" t="str">
        <f aca="false">IF(J2185="","",IF(AND('Daily Count Sheet'!$H$3=Q2185,MOD('Daily Count Sheet'!$I$3,J2185)=R2185),1,""))</f>
        <v/>
      </c>
      <c r="T2185" s="27" t="str">
        <f aca="false">IF(S2185=1,COUNTIF($S$2:S2185,1),"")</f>
        <v/>
      </c>
    </row>
    <row r="2186" customFormat="false" ht="15" hidden="false" customHeight="false" outlineLevel="0" collapsed="false">
      <c r="H2186" s="26"/>
      <c r="I2186" s="27" t="str">
        <f aca="false">IF(A2186="","",IF(H2186&lt;&gt;"",UPPER(TRIM(H2186)),IFERROR(CHOOSE(VALUE(E2186)+1,"A","B","C","D"),IF(OR(LEFT(UPPER(TRIM(E2186)),1)="F",UPPER(TRIM(E2186))="A"),"A",IF(OR(LEFT(UPPER(TRIM(E2186)),1)="M",UPPER(TRIM(E2186))="B"),"B",IF(OR(LEFT(UPPER(TRIM(E2186)),2)="SL",UPPER(TRIM(E2186))="C"),"C",IF(OR(LEFT(UPPER(TRIM(E2186)),1)="D",UPPER(TRIM(E2186))="D"),"D","")))))))</f>
        <v/>
      </c>
      <c r="J2186" s="27" t="str">
        <f aca="false">IF(I2186="","",IF(AND(I2186="D",Settings!$B$6&lt;&gt;"Yes"),"",IFERROR(INDEX(Settings!$C$9:$C$12,MATCH(I2186,Settings!$A$9:$A$12,0)),"")))</f>
        <v/>
      </c>
      <c r="K2186" s="27" t="str">
        <f aca="false">IF(J2186="","",COUNTIF($I$2:I2186,I2186))</f>
        <v/>
      </c>
      <c r="L2186" s="27" t="str">
        <f aca="false">IF(J2186="","",CHOOSE(Q2186+1,"Tue","Wed","Thu","Fri"))</f>
        <v/>
      </c>
      <c r="M2186" s="27" t="str">
        <f aca="false">IF(J2186="","",IF(J2186=1,"Every week",R2186+1&amp;" of "&amp;J2186))</f>
        <v/>
      </c>
      <c r="N2186" s="28" t="str">
        <f aca="false">IF(J2186="","",Settings!$B$4+R2186*7+Q2186)</f>
        <v/>
      </c>
      <c r="O2186" s="28" t="str">
        <f aca="true">IF(J2186="","",N2186+MAX(0,ROUNDUP((TODAY()-N2186)/(J2186*7),0))*J2186*7)</f>
        <v/>
      </c>
      <c r="P2186" s="27" t="str">
        <f aca="false">IF(J2186="","",MOD(K2186-1,J2186*4))</f>
        <v/>
      </c>
      <c r="Q2186" s="27" t="str">
        <f aca="false">IF(J2186="","",MOD(P2186,4))</f>
        <v/>
      </c>
      <c r="R2186" s="27" t="str">
        <f aca="false">IF(J2186="","",INT(P2186/4))</f>
        <v/>
      </c>
      <c r="S2186" s="27" t="str">
        <f aca="false">IF(J2186="","",IF(AND('Daily Count Sheet'!$H$3=Q2186,MOD('Daily Count Sheet'!$I$3,J2186)=R2186),1,""))</f>
        <v/>
      </c>
      <c r="T2186" s="27" t="str">
        <f aca="false">IF(S2186=1,COUNTIF($S$2:S2186,1),"")</f>
        <v/>
      </c>
    </row>
    <row r="2187" customFormat="false" ht="15" hidden="false" customHeight="false" outlineLevel="0" collapsed="false">
      <c r="H2187" s="26"/>
      <c r="I2187" s="27" t="str">
        <f aca="false">IF(A2187="","",IF(H2187&lt;&gt;"",UPPER(TRIM(H2187)),IFERROR(CHOOSE(VALUE(E2187)+1,"A","B","C","D"),IF(OR(LEFT(UPPER(TRIM(E2187)),1)="F",UPPER(TRIM(E2187))="A"),"A",IF(OR(LEFT(UPPER(TRIM(E2187)),1)="M",UPPER(TRIM(E2187))="B"),"B",IF(OR(LEFT(UPPER(TRIM(E2187)),2)="SL",UPPER(TRIM(E2187))="C"),"C",IF(OR(LEFT(UPPER(TRIM(E2187)),1)="D",UPPER(TRIM(E2187))="D"),"D","")))))))</f>
        <v/>
      </c>
      <c r="J2187" s="27" t="str">
        <f aca="false">IF(I2187="","",IF(AND(I2187="D",Settings!$B$6&lt;&gt;"Yes"),"",IFERROR(INDEX(Settings!$C$9:$C$12,MATCH(I2187,Settings!$A$9:$A$12,0)),"")))</f>
        <v/>
      </c>
      <c r="K2187" s="27" t="str">
        <f aca="false">IF(J2187="","",COUNTIF($I$2:I2187,I2187))</f>
        <v/>
      </c>
      <c r="L2187" s="27" t="str">
        <f aca="false">IF(J2187="","",CHOOSE(Q2187+1,"Tue","Wed","Thu","Fri"))</f>
        <v/>
      </c>
      <c r="M2187" s="27" t="str">
        <f aca="false">IF(J2187="","",IF(J2187=1,"Every week",R2187+1&amp;" of "&amp;J2187))</f>
        <v/>
      </c>
      <c r="N2187" s="28" t="str">
        <f aca="false">IF(J2187="","",Settings!$B$4+R2187*7+Q2187)</f>
        <v/>
      </c>
      <c r="O2187" s="28" t="str">
        <f aca="true">IF(J2187="","",N2187+MAX(0,ROUNDUP((TODAY()-N2187)/(J2187*7),0))*J2187*7)</f>
        <v/>
      </c>
      <c r="P2187" s="27" t="str">
        <f aca="false">IF(J2187="","",MOD(K2187-1,J2187*4))</f>
        <v/>
      </c>
      <c r="Q2187" s="27" t="str">
        <f aca="false">IF(J2187="","",MOD(P2187,4))</f>
        <v/>
      </c>
      <c r="R2187" s="27" t="str">
        <f aca="false">IF(J2187="","",INT(P2187/4))</f>
        <v/>
      </c>
      <c r="S2187" s="27" t="str">
        <f aca="false">IF(J2187="","",IF(AND('Daily Count Sheet'!$H$3=Q2187,MOD('Daily Count Sheet'!$I$3,J2187)=R2187),1,""))</f>
        <v/>
      </c>
      <c r="T2187" s="27" t="str">
        <f aca="false">IF(S2187=1,COUNTIF($S$2:S2187,1),"")</f>
        <v/>
      </c>
    </row>
    <row r="2188" customFormat="false" ht="15" hidden="false" customHeight="false" outlineLevel="0" collapsed="false">
      <c r="H2188" s="26"/>
      <c r="I2188" s="27" t="str">
        <f aca="false">IF(A2188="","",IF(H2188&lt;&gt;"",UPPER(TRIM(H2188)),IFERROR(CHOOSE(VALUE(E2188)+1,"A","B","C","D"),IF(OR(LEFT(UPPER(TRIM(E2188)),1)="F",UPPER(TRIM(E2188))="A"),"A",IF(OR(LEFT(UPPER(TRIM(E2188)),1)="M",UPPER(TRIM(E2188))="B"),"B",IF(OR(LEFT(UPPER(TRIM(E2188)),2)="SL",UPPER(TRIM(E2188))="C"),"C",IF(OR(LEFT(UPPER(TRIM(E2188)),1)="D",UPPER(TRIM(E2188))="D"),"D","")))))))</f>
        <v/>
      </c>
      <c r="J2188" s="27" t="str">
        <f aca="false">IF(I2188="","",IF(AND(I2188="D",Settings!$B$6&lt;&gt;"Yes"),"",IFERROR(INDEX(Settings!$C$9:$C$12,MATCH(I2188,Settings!$A$9:$A$12,0)),"")))</f>
        <v/>
      </c>
      <c r="K2188" s="27" t="str">
        <f aca="false">IF(J2188="","",COUNTIF($I$2:I2188,I2188))</f>
        <v/>
      </c>
      <c r="L2188" s="27" t="str">
        <f aca="false">IF(J2188="","",CHOOSE(Q2188+1,"Tue","Wed","Thu","Fri"))</f>
        <v/>
      </c>
      <c r="M2188" s="27" t="str">
        <f aca="false">IF(J2188="","",IF(J2188=1,"Every week",R2188+1&amp;" of "&amp;J2188))</f>
        <v/>
      </c>
      <c r="N2188" s="28" t="str">
        <f aca="false">IF(J2188="","",Settings!$B$4+R2188*7+Q2188)</f>
        <v/>
      </c>
      <c r="O2188" s="28" t="str">
        <f aca="true">IF(J2188="","",N2188+MAX(0,ROUNDUP((TODAY()-N2188)/(J2188*7),0))*J2188*7)</f>
        <v/>
      </c>
      <c r="P2188" s="27" t="str">
        <f aca="false">IF(J2188="","",MOD(K2188-1,J2188*4))</f>
        <v/>
      </c>
      <c r="Q2188" s="27" t="str">
        <f aca="false">IF(J2188="","",MOD(P2188,4))</f>
        <v/>
      </c>
      <c r="R2188" s="27" t="str">
        <f aca="false">IF(J2188="","",INT(P2188/4))</f>
        <v/>
      </c>
      <c r="S2188" s="27" t="str">
        <f aca="false">IF(J2188="","",IF(AND('Daily Count Sheet'!$H$3=Q2188,MOD('Daily Count Sheet'!$I$3,J2188)=R2188),1,""))</f>
        <v/>
      </c>
      <c r="T2188" s="27" t="str">
        <f aca="false">IF(S2188=1,COUNTIF($S$2:S2188,1),"")</f>
        <v/>
      </c>
    </row>
    <row r="2189" customFormat="false" ht="15" hidden="false" customHeight="false" outlineLevel="0" collapsed="false">
      <c r="H2189" s="26"/>
      <c r="I2189" s="27" t="str">
        <f aca="false">IF(A2189="","",IF(H2189&lt;&gt;"",UPPER(TRIM(H2189)),IFERROR(CHOOSE(VALUE(E2189)+1,"A","B","C","D"),IF(OR(LEFT(UPPER(TRIM(E2189)),1)="F",UPPER(TRIM(E2189))="A"),"A",IF(OR(LEFT(UPPER(TRIM(E2189)),1)="M",UPPER(TRIM(E2189))="B"),"B",IF(OR(LEFT(UPPER(TRIM(E2189)),2)="SL",UPPER(TRIM(E2189))="C"),"C",IF(OR(LEFT(UPPER(TRIM(E2189)),1)="D",UPPER(TRIM(E2189))="D"),"D","")))))))</f>
        <v/>
      </c>
      <c r="J2189" s="27" t="str">
        <f aca="false">IF(I2189="","",IF(AND(I2189="D",Settings!$B$6&lt;&gt;"Yes"),"",IFERROR(INDEX(Settings!$C$9:$C$12,MATCH(I2189,Settings!$A$9:$A$12,0)),"")))</f>
        <v/>
      </c>
      <c r="K2189" s="27" t="str">
        <f aca="false">IF(J2189="","",COUNTIF($I$2:I2189,I2189))</f>
        <v/>
      </c>
      <c r="L2189" s="27" t="str">
        <f aca="false">IF(J2189="","",CHOOSE(Q2189+1,"Tue","Wed","Thu","Fri"))</f>
        <v/>
      </c>
      <c r="M2189" s="27" t="str">
        <f aca="false">IF(J2189="","",IF(J2189=1,"Every week",R2189+1&amp;" of "&amp;J2189))</f>
        <v/>
      </c>
      <c r="N2189" s="28" t="str">
        <f aca="false">IF(J2189="","",Settings!$B$4+R2189*7+Q2189)</f>
        <v/>
      </c>
      <c r="O2189" s="28" t="str">
        <f aca="true">IF(J2189="","",N2189+MAX(0,ROUNDUP((TODAY()-N2189)/(J2189*7),0))*J2189*7)</f>
        <v/>
      </c>
      <c r="P2189" s="27" t="str">
        <f aca="false">IF(J2189="","",MOD(K2189-1,J2189*4))</f>
        <v/>
      </c>
      <c r="Q2189" s="27" t="str">
        <f aca="false">IF(J2189="","",MOD(P2189,4))</f>
        <v/>
      </c>
      <c r="R2189" s="27" t="str">
        <f aca="false">IF(J2189="","",INT(P2189/4))</f>
        <v/>
      </c>
      <c r="S2189" s="27" t="str">
        <f aca="false">IF(J2189="","",IF(AND('Daily Count Sheet'!$H$3=Q2189,MOD('Daily Count Sheet'!$I$3,J2189)=R2189),1,""))</f>
        <v/>
      </c>
      <c r="T2189" s="27" t="str">
        <f aca="false">IF(S2189=1,COUNTIF($S$2:S2189,1),"")</f>
        <v/>
      </c>
    </row>
    <row r="2190" customFormat="false" ht="15" hidden="false" customHeight="false" outlineLevel="0" collapsed="false">
      <c r="H2190" s="26"/>
      <c r="I2190" s="27" t="str">
        <f aca="false">IF(A2190="","",IF(H2190&lt;&gt;"",UPPER(TRIM(H2190)),IFERROR(CHOOSE(VALUE(E2190)+1,"A","B","C","D"),IF(OR(LEFT(UPPER(TRIM(E2190)),1)="F",UPPER(TRIM(E2190))="A"),"A",IF(OR(LEFT(UPPER(TRIM(E2190)),1)="M",UPPER(TRIM(E2190))="B"),"B",IF(OR(LEFT(UPPER(TRIM(E2190)),2)="SL",UPPER(TRIM(E2190))="C"),"C",IF(OR(LEFT(UPPER(TRIM(E2190)),1)="D",UPPER(TRIM(E2190))="D"),"D","")))))))</f>
        <v/>
      </c>
      <c r="J2190" s="27" t="str">
        <f aca="false">IF(I2190="","",IF(AND(I2190="D",Settings!$B$6&lt;&gt;"Yes"),"",IFERROR(INDEX(Settings!$C$9:$C$12,MATCH(I2190,Settings!$A$9:$A$12,0)),"")))</f>
        <v/>
      </c>
      <c r="K2190" s="27" t="str">
        <f aca="false">IF(J2190="","",COUNTIF($I$2:I2190,I2190))</f>
        <v/>
      </c>
      <c r="L2190" s="27" t="str">
        <f aca="false">IF(J2190="","",CHOOSE(Q2190+1,"Tue","Wed","Thu","Fri"))</f>
        <v/>
      </c>
      <c r="M2190" s="27" t="str">
        <f aca="false">IF(J2190="","",IF(J2190=1,"Every week",R2190+1&amp;" of "&amp;J2190))</f>
        <v/>
      </c>
      <c r="N2190" s="28" t="str">
        <f aca="false">IF(J2190="","",Settings!$B$4+R2190*7+Q2190)</f>
        <v/>
      </c>
      <c r="O2190" s="28" t="str">
        <f aca="true">IF(J2190="","",N2190+MAX(0,ROUNDUP((TODAY()-N2190)/(J2190*7),0))*J2190*7)</f>
        <v/>
      </c>
      <c r="P2190" s="27" t="str">
        <f aca="false">IF(J2190="","",MOD(K2190-1,J2190*4))</f>
        <v/>
      </c>
      <c r="Q2190" s="27" t="str">
        <f aca="false">IF(J2190="","",MOD(P2190,4))</f>
        <v/>
      </c>
      <c r="R2190" s="27" t="str">
        <f aca="false">IF(J2190="","",INT(P2190/4))</f>
        <v/>
      </c>
      <c r="S2190" s="27" t="str">
        <f aca="false">IF(J2190="","",IF(AND('Daily Count Sheet'!$H$3=Q2190,MOD('Daily Count Sheet'!$I$3,J2190)=R2190),1,""))</f>
        <v/>
      </c>
      <c r="T2190" s="27" t="str">
        <f aca="false">IF(S2190=1,COUNTIF($S$2:S2190,1),"")</f>
        <v/>
      </c>
    </row>
    <row r="2191" customFormat="false" ht="15" hidden="false" customHeight="false" outlineLevel="0" collapsed="false">
      <c r="H2191" s="26"/>
      <c r="I2191" s="27" t="str">
        <f aca="false">IF(A2191="","",IF(H2191&lt;&gt;"",UPPER(TRIM(H2191)),IFERROR(CHOOSE(VALUE(E2191)+1,"A","B","C","D"),IF(OR(LEFT(UPPER(TRIM(E2191)),1)="F",UPPER(TRIM(E2191))="A"),"A",IF(OR(LEFT(UPPER(TRIM(E2191)),1)="M",UPPER(TRIM(E2191))="B"),"B",IF(OR(LEFT(UPPER(TRIM(E2191)),2)="SL",UPPER(TRIM(E2191))="C"),"C",IF(OR(LEFT(UPPER(TRIM(E2191)),1)="D",UPPER(TRIM(E2191))="D"),"D","")))))))</f>
        <v/>
      </c>
      <c r="J2191" s="27" t="str">
        <f aca="false">IF(I2191="","",IF(AND(I2191="D",Settings!$B$6&lt;&gt;"Yes"),"",IFERROR(INDEX(Settings!$C$9:$C$12,MATCH(I2191,Settings!$A$9:$A$12,0)),"")))</f>
        <v/>
      </c>
      <c r="K2191" s="27" t="str">
        <f aca="false">IF(J2191="","",COUNTIF($I$2:I2191,I2191))</f>
        <v/>
      </c>
      <c r="L2191" s="27" t="str">
        <f aca="false">IF(J2191="","",CHOOSE(Q2191+1,"Tue","Wed","Thu","Fri"))</f>
        <v/>
      </c>
      <c r="M2191" s="27" t="str">
        <f aca="false">IF(J2191="","",IF(J2191=1,"Every week",R2191+1&amp;" of "&amp;J2191))</f>
        <v/>
      </c>
      <c r="N2191" s="28" t="str">
        <f aca="false">IF(J2191="","",Settings!$B$4+R2191*7+Q2191)</f>
        <v/>
      </c>
      <c r="O2191" s="28" t="str">
        <f aca="true">IF(J2191="","",N2191+MAX(0,ROUNDUP((TODAY()-N2191)/(J2191*7),0))*J2191*7)</f>
        <v/>
      </c>
      <c r="P2191" s="27" t="str">
        <f aca="false">IF(J2191="","",MOD(K2191-1,J2191*4))</f>
        <v/>
      </c>
      <c r="Q2191" s="27" t="str">
        <f aca="false">IF(J2191="","",MOD(P2191,4))</f>
        <v/>
      </c>
      <c r="R2191" s="27" t="str">
        <f aca="false">IF(J2191="","",INT(P2191/4))</f>
        <v/>
      </c>
      <c r="S2191" s="27" t="str">
        <f aca="false">IF(J2191="","",IF(AND('Daily Count Sheet'!$H$3=Q2191,MOD('Daily Count Sheet'!$I$3,J2191)=R2191),1,""))</f>
        <v/>
      </c>
      <c r="T2191" s="27" t="str">
        <f aca="false">IF(S2191=1,COUNTIF($S$2:S2191,1),"")</f>
        <v/>
      </c>
    </row>
    <row r="2192" customFormat="false" ht="15" hidden="false" customHeight="false" outlineLevel="0" collapsed="false">
      <c r="H2192" s="26"/>
      <c r="I2192" s="27" t="str">
        <f aca="false">IF(A2192="","",IF(H2192&lt;&gt;"",UPPER(TRIM(H2192)),IFERROR(CHOOSE(VALUE(E2192)+1,"A","B","C","D"),IF(OR(LEFT(UPPER(TRIM(E2192)),1)="F",UPPER(TRIM(E2192))="A"),"A",IF(OR(LEFT(UPPER(TRIM(E2192)),1)="M",UPPER(TRIM(E2192))="B"),"B",IF(OR(LEFT(UPPER(TRIM(E2192)),2)="SL",UPPER(TRIM(E2192))="C"),"C",IF(OR(LEFT(UPPER(TRIM(E2192)),1)="D",UPPER(TRIM(E2192))="D"),"D","")))))))</f>
        <v/>
      </c>
      <c r="J2192" s="27" t="str">
        <f aca="false">IF(I2192="","",IF(AND(I2192="D",Settings!$B$6&lt;&gt;"Yes"),"",IFERROR(INDEX(Settings!$C$9:$C$12,MATCH(I2192,Settings!$A$9:$A$12,0)),"")))</f>
        <v/>
      </c>
      <c r="K2192" s="27" t="str">
        <f aca="false">IF(J2192="","",COUNTIF($I$2:I2192,I2192))</f>
        <v/>
      </c>
      <c r="L2192" s="27" t="str">
        <f aca="false">IF(J2192="","",CHOOSE(Q2192+1,"Tue","Wed","Thu","Fri"))</f>
        <v/>
      </c>
      <c r="M2192" s="27" t="str">
        <f aca="false">IF(J2192="","",IF(J2192=1,"Every week",R2192+1&amp;" of "&amp;J2192))</f>
        <v/>
      </c>
      <c r="N2192" s="28" t="str">
        <f aca="false">IF(J2192="","",Settings!$B$4+R2192*7+Q2192)</f>
        <v/>
      </c>
      <c r="O2192" s="28" t="str">
        <f aca="true">IF(J2192="","",N2192+MAX(0,ROUNDUP((TODAY()-N2192)/(J2192*7),0))*J2192*7)</f>
        <v/>
      </c>
      <c r="P2192" s="27" t="str">
        <f aca="false">IF(J2192="","",MOD(K2192-1,J2192*4))</f>
        <v/>
      </c>
      <c r="Q2192" s="27" t="str">
        <f aca="false">IF(J2192="","",MOD(P2192,4))</f>
        <v/>
      </c>
      <c r="R2192" s="27" t="str">
        <f aca="false">IF(J2192="","",INT(P2192/4))</f>
        <v/>
      </c>
      <c r="S2192" s="27" t="str">
        <f aca="false">IF(J2192="","",IF(AND('Daily Count Sheet'!$H$3=Q2192,MOD('Daily Count Sheet'!$I$3,J2192)=R2192),1,""))</f>
        <v/>
      </c>
      <c r="T2192" s="27" t="str">
        <f aca="false">IF(S2192=1,COUNTIF($S$2:S2192,1),"")</f>
        <v/>
      </c>
    </row>
    <row r="2193" customFormat="false" ht="15" hidden="false" customHeight="false" outlineLevel="0" collapsed="false">
      <c r="H2193" s="26"/>
      <c r="I2193" s="27" t="str">
        <f aca="false">IF(A2193="","",IF(H2193&lt;&gt;"",UPPER(TRIM(H2193)),IFERROR(CHOOSE(VALUE(E2193)+1,"A","B","C","D"),IF(OR(LEFT(UPPER(TRIM(E2193)),1)="F",UPPER(TRIM(E2193))="A"),"A",IF(OR(LEFT(UPPER(TRIM(E2193)),1)="M",UPPER(TRIM(E2193))="B"),"B",IF(OR(LEFT(UPPER(TRIM(E2193)),2)="SL",UPPER(TRIM(E2193))="C"),"C",IF(OR(LEFT(UPPER(TRIM(E2193)),1)="D",UPPER(TRIM(E2193))="D"),"D","")))))))</f>
        <v/>
      </c>
      <c r="J2193" s="27" t="str">
        <f aca="false">IF(I2193="","",IF(AND(I2193="D",Settings!$B$6&lt;&gt;"Yes"),"",IFERROR(INDEX(Settings!$C$9:$C$12,MATCH(I2193,Settings!$A$9:$A$12,0)),"")))</f>
        <v/>
      </c>
      <c r="K2193" s="27" t="str">
        <f aca="false">IF(J2193="","",COUNTIF($I$2:I2193,I2193))</f>
        <v/>
      </c>
      <c r="L2193" s="27" t="str">
        <f aca="false">IF(J2193="","",CHOOSE(Q2193+1,"Tue","Wed","Thu","Fri"))</f>
        <v/>
      </c>
      <c r="M2193" s="27" t="str">
        <f aca="false">IF(J2193="","",IF(J2193=1,"Every week",R2193+1&amp;" of "&amp;J2193))</f>
        <v/>
      </c>
      <c r="N2193" s="28" t="str">
        <f aca="false">IF(J2193="","",Settings!$B$4+R2193*7+Q2193)</f>
        <v/>
      </c>
      <c r="O2193" s="28" t="str">
        <f aca="true">IF(J2193="","",N2193+MAX(0,ROUNDUP((TODAY()-N2193)/(J2193*7),0))*J2193*7)</f>
        <v/>
      </c>
      <c r="P2193" s="27" t="str">
        <f aca="false">IF(J2193="","",MOD(K2193-1,J2193*4))</f>
        <v/>
      </c>
      <c r="Q2193" s="27" t="str">
        <f aca="false">IF(J2193="","",MOD(P2193,4))</f>
        <v/>
      </c>
      <c r="R2193" s="27" t="str">
        <f aca="false">IF(J2193="","",INT(P2193/4))</f>
        <v/>
      </c>
      <c r="S2193" s="27" t="str">
        <f aca="false">IF(J2193="","",IF(AND('Daily Count Sheet'!$H$3=Q2193,MOD('Daily Count Sheet'!$I$3,J2193)=R2193),1,""))</f>
        <v/>
      </c>
      <c r="T2193" s="27" t="str">
        <f aca="false">IF(S2193=1,COUNTIF($S$2:S2193,1),"")</f>
        <v/>
      </c>
    </row>
    <row r="2194" customFormat="false" ht="15" hidden="false" customHeight="false" outlineLevel="0" collapsed="false">
      <c r="H2194" s="26"/>
      <c r="I2194" s="27" t="str">
        <f aca="false">IF(A2194="","",IF(H2194&lt;&gt;"",UPPER(TRIM(H2194)),IFERROR(CHOOSE(VALUE(E2194)+1,"A","B","C","D"),IF(OR(LEFT(UPPER(TRIM(E2194)),1)="F",UPPER(TRIM(E2194))="A"),"A",IF(OR(LEFT(UPPER(TRIM(E2194)),1)="M",UPPER(TRIM(E2194))="B"),"B",IF(OR(LEFT(UPPER(TRIM(E2194)),2)="SL",UPPER(TRIM(E2194))="C"),"C",IF(OR(LEFT(UPPER(TRIM(E2194)),1)="D",UPPER(TRIM(E2194))="D"),"D","")))))))</f>
        <v/>
      </c>
      <c r="J2194" s="27" t="str">
        <f aca="false">IF(I2194="","",IF(AND(I2194="D",Settings!$B$6&lt;&gt;"Yes"),"",IFERROR(INDEX(Settings!$C$9:$C$12,MATCH(I2194,Settings!$A$9:$A$12,0)),"")))</f>
        <v/>
      </c>
      <c r="K2194" s="27" t="str">
        <f aca="false">IF(J2194="","",COUNTIF($I$2:I2194,I2194))</f>
        <v/>
      </c>
      <c r="L2194" s="27" t="str">
        <f aca="false">IF(J2194="","",CHOOSE(Q2194+1,"Tue","Wed","Thu","Fri"))</f>
        <v/>
      </c>
      <c r="M2194" s="27" t="str">
        <f aca="false">IF(J2194="","",IF(J2194=1,"Every week",R2194+1&amp;" of "&amp;J2194))</f>
        <v/>
      </c>
      <c r="N2194" s="28" t="str">
        <f aca="false">IF(J2194="","",Settings!$B$4+R2194*7+Q2194)</f>
        <v/>
      </c>
      <c r="O2194" s="28" t="str">
        <f aca="true">IF(J2194="","",N2194+MAX(0,ROUNDUP((TODAY()-N2194)/(J2194*7),0))*J2194*7)</f>
        <v/>
      </c>
      <c r="P2194" s="27" t="str">
        <f aca="false">IF(J2194="","",MOD(K2194-1,J2194*4))</f>
        <v/>
      </c>
      <c r="Q2194" s="27" t="str">
        <f aca="false">IF(J2194="","",MOD(P2194,4))</f>
        <v/>
      </c>
      <c r="R2194" s="27" t="str">
        <f aca="false">IF(J2194="","",INT(P2194/4))</f>
        <v/>
      </c>
      <c r="S2194" s="27" t="str">
        <f aca="false">IF(J2194="","",IF(AND('Daily Count Sheet'!$H$3=Q2194,MOD('Daily Count Sheet'!$I$3,J2194)=R2194),1,""))</f>
        <v/>
      </c>
      <c r="T2194" s="27" t="str">
        <f aca="false">IF(S2194=1,COUNTIF($S$2:S2194,1),"")</f>
        <v/>
      </c>
    </row>
    <row r="2195" customFormat="false" ht="15" hidden="false" customHeight="false" outlineLevel="0" collapsed="false">
      <c r="H2195" s="26"/>
      <c r="I2195" s="27" t="str">
        <f aca="false">IF(A2195="","",IF(H2195&lt;&gt;"",UPPER(TRIM(H2195)),IFERROR(CHOOSE(VALUE(E2195)+1,"A","B","C","D"),IF(OR(LEFT(UPPER(TRIM(E2195)),1)="F",UPPER(TRIM(E2195))="A"),"A",IF(OR(LEFT(UPPER(TRIM(E2195)),1)="M",UPPER(TRIM(E2195))="B"),"B",IF(OR(LEFT(UPPER(TRIM(E2195)),2)="SL",UPPER(TRIM(E2195))="C"),"C",IF(OR(LEFT(UPPER(TRIM(E2195)),1)="D",UPPER(TRIM(E2195))="D"),"D","")))))))</f>
        <v/>
      </c>
      <c r="J2195" s="27" t="str">
        <f aca="false">IF(I2195="","",IF(AND(I2195="D",Settings!$B$6&lt;&gt;"Yes"),"",IFERROR(INDEX(Settings!$C$9:$C$12,MATCH(I2195,Settings!$A$9:$A$12,0)),"")))</f>
        <v/>
      </c>
      <c r="K2195" s="27" t="str">
        <f aca="false">IF(J2195="","",COUNTIF($I$2:I2195,I2195))</f>
        <v/>
      </c>
      <c r="L2195" s="27" t="str">
        <f aca="false">IF(J2195="","",CHOOSE(Q2195+1,"Tue","Wed","Thu","Fri"))</f>
        <v/>
      </c>
      <c r="M2195" s="27" t="str">
        <f aca="false">IF(J2195="","",IF(J2195=1,"Every week",R2195+1&amp;" of "&amp;J2195))</f>
        <v/>
      </c>
      <c r="N2195" s="28" t="str">
        <f aca="false">IF(J2195="","",Settings!$B$4+R2195*7+Q2195)</f>
        <v/>
      </c>
      <c r="O2195" s="28" t="str">
        <f aca="true">IF(J2195="","",N2195+MAX(0,ROUNDUP((TODAY()-N2195)/(J2195*7),0))*J2195*7)</f>
        <v/>
      </c>
      <c r="P2195" s="27" t="str">
        <f aca="false">IF(J2195="","",MOD(K2195-1,J2195*4))</f>
        <v/>
      </c>
      <c r="Q2195" s="27" t="str">
        <f aca="false">IF(J2195="","",MOD(P2195,4))</f>
        <v/>
      </c>
      <c r="R2195" s="27" t="str">
        <f aca="false">IF(J2195="","",INT(P2195/4))</f>
        <v/>
      </c>
      <c r="S2195" s="27" t="str">
        <f aca="false">IF(J2195="","",IF(AND('Daily Count Sheet'!$H$3=Q2195,MOD('Daily Count Sheet'!$I$3,J2195)=R2195),1,""))</f>
        <v/>
      </c>
      <c r="T2195" s="27" t="str">
        <f aca="false">IF(S2195=1,COUNTIF($S$2:S2195,1),"")</f>
        <v/>
      </c>
    </row>
    <row r="2196" customFormat="false" ht="15" hidden="false" customHeight="false" outlineLevel="0" collapsed="false">
      <c r="H2196" s="26"/>
      <c r="I2196" s="27" t="str">
        <f aca="false">IF(A2196="","",IF(H2196&lt;&gt;"",UPPER(TRIM(H2196)),IFERROR(CHOOSE(VALUE(E2196)+1,"A","B","C","D"),IF(OR(LEFT(UPPER(TRIM(E2196)),1)="F",UPPER(TRIM(E2196))="A"),"A",IF(OR(LEFT(UPPER(TRIM(E2196)),1)="M",UPPER(TRIM(E2196))="B"),"B",IF(OR(LEFT(UPPER(TRIM(E2196)),2)="SL",UPPER(TRIM(E2196))="C"),"C",IF(OR(LEFT(UPPER(TRIM(E2196)),1)="D",UPPER(TRIM(E2196))="D"),"D","")))))))</f>
        <v/>
      </c>
      <c r="J2196" s="27" t="str">
        <f aca="false">IF(I2196="","",IF(AND(I2196="D",Settings!$B$6&lt;&gt;"Yes"),"",IFERROR(INDEX(Settings!$C$9:$C$12,MATCH(I2196,Settings!$A$9:$A$12,0)),"")))</f>
        <v/>
      </c>
      <c r="K2196" s="27" t="str">
        <f aca="false">IF(J2196="","",COUNTIF($I$2:I2196,I2196))</f>
        <v/>
      </c>
      <c r="L2196" s="27" t="str">
        <f aca="false">IF(J2196="","",CHOOSE(Q2196+1,"Tue","Wed","Thu","Fri"))</f>
        <v/>
      </c>
      <c r="M2196" s="27" t="str">
        <f aca="false">IF(J2196="","",IF(J2196=1,"Every week",R2196+1&amp;" of "&amp;J2196))</f>
        <v/>
      </c>
      <c r="N2196" s="28" t="str">
        <f aca="false">IF(J2196="","",Settings!$B$4+R2196*7+Q2196)</f>
        <v/>
      </c>
      <c r="O2196" s="28" t="str">
        <f aca="true">IF(J2196="","",N2196+MAX(0,ROUNDUP((TODAY()-N2196)/(J2196*7),0))*J2196*7)</f>
        <v/>
      </c>
      <c r="P2196" s="27" t="str">
        <f aca="false">IF(J2196="","",MOD(K2196-1,J2196*4))</f>
        <v/>
      </c>
      <c r="Q2196" s="27" t="str">
        <f aca="false">IF(J2196="","",MOD(P2196,4))</f>
        <v/>
      </c>
      <c r="R2196" s="27" t="str">
        <f aca="false">IF(J2196="","",INT(P2196/4))</f>
        <v/>
      </c>
      <c r="S2196" s="27" t="str">
        <f aca="false">IF(J2196="","",IF(AND('Daily Count Sheet'!$H$3=Q2196,MOD('Daily Count Sheet'!$I$3,J2196)=R2196),1,""))</f>
        <v/>
      </c>
      <c r="T2196" s="27" t="str">
        <f aca="false">IF(S2196=1,COUNTIF($S$2:S2196,1),"")</f>
        <v/>
      </c>
    </row>
    <row r="2197" customFormat="false" ht="15" hidden="false" customHeight="false" outlineLevel="0" collapsed="false">
      <c r="H2197" s="26"/>
      <c r="I2197" s="27" t="str">
        <f aca="false">IF(A2197="","",IF(H2197&lt;&gt;"",UPPER(TRIM(H2197)),IFERROR(CHOOSE(VALUE(E2197)+1,"A","B","C","D"),IF(OR(LEFT(UPPER(TRIM(E2197)),1)="F",UPPER(TRIM(E2197))="A"),"A",IF(OR(LEFT(UPPER(TRIM(E2197)),1)="M",UPPER(TRIM(E2197))="B"),"B",IF(OR(LEFT(UPPER(TRIM(E2197)),2)="SL",UPPER(TRIM(E2197))="C"),"C",IF(OR(LEFT(UPPER(TRIM(E2197)),1)="D",UPPER(TRIM(E2197))="D"),"D","")))))))</f>
        <v/>
      </c>
      <c r="J2197" s="27" t="str">
        <f aca="false">IF(I2197="","",IF(AND(I2197="D",Settings!$B$6&lt;&gt;"Yes"),"",IFERROR(INDEX(Settings!$C$9:$C$12,MATCH(I2197,Settings!$A$9:$A$12,0)),"")))</f>
        <v/>
      </c>
      <c r="K2197" s="27" t="str">
        <f aca="false">IF(J2197="","",COUNTIF($I$2:I2197,I2197))</f>
        <v/>
      </c>
      <c r="L2197" s="27" t="str">
        <f aca="false">IF(J2197="","",CHOOSE(Q2197+1,"Tue","Wed","Thu","Fri"))</f>
        <v/>
      </c>
      <c r="M2197" s="27" t="str">
        <f aca="false">IF(J2197="","",IF(J2197=1,"Every week",R2197+1&amp;" of "&amp;J2197))</f>
        <v/>
      </c>
      <c r="N2197" s="28" t="str">
        <f aca="false">IF(J2197="","",Settings!$B$4+R2197*7+Q2197)</f>
        <v/>
      </c>
      <c r="O2197" s="28" t="str">
        <f aca="true">IF(J2197="","",N2197+MAX(0,ROUNDUP((TODAY()-N2197)/(J2197*7),0))*J2197*7)</f>
        <v/>
      </c>
      <c r="P2197" s="27" t="str">
        <f aca="false">IF(J2197="","",MOD(K2197-1,J2197*4))</f>
        <v/>
      </c>
      <c r="Q2197" s="27" t="str">
        <f aca="false">IF(J2197="","",MOD(P2197,4))</f>
        <v/>
      </c>
      <c r="R2197" s="27" t="str">
        <f aca="false">IF(J2197="","",INT(P2197/4))</f>
        <v/>
      </c>
      <c r="S2197" s="27" t="str">
        <f aca="false">IF(J2197="","",IF(AND('Daily Count Sheet'!$H$3=Q2197,MOD('Daily Count Sheet'!$I$3,J2197)=R2197),1,""))</f>
        <v/>
      </c>
      <c r="T2197" s="27" t="str">
        <f aca="false">IF(S2197=1,COUNTIF($S$2:S2197,1),"")</f>
        <v/>
      </c>
    </row>
    <row r="2198" customFormat="false" ht="15" hidden="false" customHeight="false" outlineLevel="0" collapsed="false">
      <c r="H2198" s="26"/>
      <c r="I2198" s="27" t="str">
        <f aca="false">IF(A2198="","",IF(H2198&lt;&gt;"",UPPER(TRIM(H2198)),IFERROR(CHOOSE(VALUE(E2198)+1,"A","B","C","D"),IF(OR(LEFT(UPPER(TRIM(E2198)),1)="F",UPPER(TRIM(E2198))="A"),"A",IF(OR(LEFT(UPPER(TRIM(E2198)),1)="M",UPPER(TRIM(E2198))="B"),"B",IF(OR(LEFT(UPPER(TRIM(E2198)),2)="SL",UPPER(TRIM(E2198))="C"),"C",IF(OR(LEFT(UPPER(TRIM(E2198)),1)="D",UPPER(TRIM(E2198))="D"),"D","")))))))</f>
        <v/>
      </c>
      <c r="J2198" s="27" t="str">
        <f aca="false">IF(I2198="","",IF(AND(I2198="D",Settings!$B$6&lt;&gt;"Yes"),"",IFERROR(INDEX(Settings!$C$9:$C$12,MATCH(I2198,Settings!$A$9:$A$12,0)),"")))</f>
        <v/>
      </c>
      <c r="K2198" s="27" t="str">
        <f aca="false">IF(J2198="","",COUNTIF($I$2:I2198,I2198))</f>
        <v/>
      </c>
      <c r="L2198" s="27" t="str">
        <f aca="false">IF(J2198="","",CHOOSE(Q2198+1,"Tue","Wed","Thu","Fri"))</f>
        <v/>
      </c>
      <c r="M2198" s="27" t="str">
        <f aca="false">IF(J2198="","",IF(J2198=1,"Every week",R2198+1&amp;" of "&amp;J2198))</f>
        <v/>
      </c>
      <c r="N2198" s="28" t="str">
        <f aca="false">IF(J2198="","",Settings!$B$4+R2198*7+Q2198)</f>
        <v/>
      </c>
      <c r="O2198" s="28" t="str">
        <f aca="true">IF(J2198="","",N2198+MAX(0,ROUNDUP((TODAY()-N2198)/(J2198*7),0))*J2198*7)</f>
        <v/>
      </c>
      <c r="P2198" s="27" t="str">
        <f aca="false">IF(J2198="","",MOD(K2198-1,J2198*4))</f>
        <v/>
      </c>
      <c r="Q2198" s="27" t="str">
        <f aca="false">IF(J2198="","",MOD(P2198,4))</f>
        <v/>
      </c>
      <c r="R2198" s="27" t="str">
        <f aca="false">IF(J2198="","",INT(P2198/4))</f>
        <v/>
      </c>
      <c r="S2198" s="27" t="str">
        <f aca="false">IF(J2198="","",IF(AND('Daily Count Sheet'!$H$3=Q2198,MOD('Daily Count Sheet'!$I$3,J2198)=R2198),1,""))</f>
        <v/>
      </c>
      <c r="T2198" s="27" t="str">
        <f aca="false">IF(S2198=1,COUNTIF($S$2:S2198,1),"")</f>
        <v/>
      </c>
    </row>
    <row r="2199" customFormat="false" ht="15" hidden="false" customHeight="false" outlineLevel="0" collapsed="false">
      <c r="H2199" s="26"/>
      <c r="I2199" s="27" t="str">
        <f aca="false">IF(A2199="","",IF(H2199&lt;&gt;"",UPPER(TRIM(H2199)),IFERROR(CHOOSE(VALUE(E2199)+1,"A","B","C","D"),IF(OR(LEFT(UPPER(TRIM(E2199)),1)="F",UPPER(TRIM(E2199))="A"),"A",IF(OR(LEFT(UPPER(TRIM(E2199)),1)="M",UPPER(TRIM(E2199))="B"),"B",IF(OR(LEFT(UPPER(TRIM(E2199)),2)="SL",UPPER(TRIM(E2199))="C"),"C",IF(OR(LEFT(UPPER(TRIM(E2199)),1)="D",UPPER(TRIM(E2199))="D"),"D","")))))))</f>
        <v/>
      </c>
      <c r="J2199" s="27" t="str">
        <f aca="false">IF(I2199="","",IF(AND(I2199="D",Settings!$B$6&lt;&gt;"Yes"),"",IFERROR(INDEX(Settings!$C$9:$C$12,MATCH(I2199,Settings!$A$9:$A$12,0)),"")))</f>
        <v/>
      </c>
      <c r="K2199" s="27" t="str">
        <f aca="false">IF(J2199="","",COUNTIF($I$2:I2199,I2199))</f>
        <v/>
      </c>
      <c r="L2199" s="27" t="str">
        <f aca="false">IF(J2199="","",CHOOSE(Q2199+1,"Tue","Wed","Thu","Fri"))</f>
        <v/>
      </c>
      <c r="M2199" s="27" t="str">
        <f aca="false">IF(J2199="","",IF(J2199=1,"Every week",R2199+1&amp;" of "&amp;J2199))</f>
        <v/>
      </c>
      <c r="N2199" s="28" t="str">
        <f aca="false">IF(J2199="","",Settings!$B$4+R2199*7+Q2199)</f>
        <v/>
      </c>
      <c r="O2199" s="28" t="str">
        <f aca="true">IF(J2199="","",N2199+MAX(0,ROUNDUP((TODAY()-N2199)/(J2199*7),0))*J2199*7)</f>
        <v/>
      </c>
      <c r="P2199" s="27" t="str">
        <f aca="false">IF(J2199="","",MOD(K2199-1,J2199*4))</f>
        <v/>
      </c>
      <c r="Q2199" s="27" t="str">
        <f aca="false">IF(J2199="","",MOD(P2199,4))</f>
        <v/>
      </c>
      <c r="R2199" s="27" t="str">
        <f aca="false">IF(J2199="","",INT(P2199/4))</f>
        <v/>
      </c>
      <c r="S2199" s="27" t="str">
        <f aca="false">IF(J2199="","",IF(AND('Daily Count Sheet'!$H$3=Q2199,MOD('Daily Count Sheet'!$I$3,J2199)=R2199),1,""))</f>
        <v/>
      </c>
      <c r="T2199" s="27" t="str">
        <f aca="false">IF(S2199=1,COUNTIF($S$2:S2199,1),"")</f>
        <v/>
      </c>
    </row>
    <row r="2200" customFormat="false" ht="15" hidden="false" customHeight="false" outlineLevel="0" collapsed="false">
      <c r="H2200" s="26"/>
      <c r="I2200" s="27" t="str">
        <f aca="false">IF(A2200="","",IF(H2200&lt;&gt;"",UPPER(TRIM(H2200)),IFERROR(CHOOSE(VALUE(E2200)+1,"A","B","C","D"),IF(OR(LEFT(UPPER(TRIM(E2200)),1)="F",UPPER(TRIM(E2200))="A"),"A",IF(OR(LEFT(UPPER(TRIM(E2200)),1)="M",UPPER(TRIM(E2200))="B"),"B",IF(OR(LEFT(UPPER(TRIM(E2200)),2)="SL",UPPER(TRIM(E2200))="C"),"C",IF(OR(LEFT(UPPER(TRIM(E2200)),1)="D",UPPER(TRIM(E2200))="D"),"D","")))))))</f>
        <v/>
      </c>
      <c r="J2200" s="27" t="str">
        <f aca="false">IF(I2200="","",IF(AND(I2200="D",Settings!$B$6&lt;&gt;"Yes"),"",IFERROR(INDEX(Settings!$C$9:$C$12,MATCH(I2200,Settings!$A$9:$A$12,0)),"")))</f>
        <v/>
      </c>
      <c r="K2200" s="27" t="str">
        <f aca="false">IF(J2200="","",COUNTIF($I$2:I2200,I2200))</f>
        <v/>
      </c>
      <c r="L2200" s="27" t="str">
        <f aca="false">IF(J2200="","",CHOOSE(Q2200+1,"Tue","Wed","Thu","Fri"))</f>
        <v/>
      </c>
      <c r="M2200" s="27" t="str">
        <f aca="false">IF(J2200="","",IF(J2200=1,"Every week",R2200+1&amp;" of "&amp;J2200))</f>
        <v/>
      </c>
      <c r="N2200" s="28" t="str">
        <f aca="false">IF(J2200="","",Settings!$B$4+R2200*7+Q2200)</f>
        <v/>
      </c>
      <c r="O2200" s="28" t="str">
        <f aca="true">IF(J2200="","",N2200+MAX(0,ROUNDUP((TODAY()-N2200)/(J2200*7),0))*J2200*7)</f>
        <v/>
      </c>
      <c r="P2200" s="27" t="str">
        <f aca="false">IF(J2200="","",MOD(K2200-1,J2200*4))</f>
        <v/>
      </c>
      <c r="Q2200" s="27" t="str">
        <f aca="false">IF(J2200="","",MOD(P2200,4))</f>
        <v/>
      </c>
      <c r="R2200" s="27" t="str">
        <f aca="false">IF(J2200="","",INT(P2200/4))</f>
        <v/>
      </c>
      <c r="S2200" s="27" t="str">
        <f aca="false">IF(J2200="","",IF(AND('Daily Count Sheet'!$H$3=Q2200,MOD('Daily Count Sheet'!$I$3,J2200)=R2200),1,""))</f>
        <v/>
      </c>
      <c r="T2200" s="27" t="str">
        <f aca="false">IF(S2200=1,COUNTIF($S$2:S2200,1),"")</f>
        <v/>
      </c>
    </row>
    <row r="2201" customFormat="false" ht="15" hidden="false" customHeight="false" outlineLevel="0" collapsed="false">
      <c r="H2201" s="26"/>
      <c r="I2201" s="27" t="str">
        <f aca="false">IF(A2201="","",IF(H2201&lt;&gt;"",UPPER(TRIM(H2201)),IFERROR(CHOOSE(VALUE(E2201)+1,"A","B","C","D"),IF(OR(LEFT(UPPER(TRIM(E2201)),1)="F",UPPER(TRIM(E2201))="A"),"A",IF(OR(LEFT(UPPER(TRIM(E2201)),1)="M",UPPER(TRIM(E2201))="B"),"B",IF(OR(LEFT(UPPER(TRIM(E2201)),2)="SL",UPPER(TRIM(E2201))="C"),"C",IF(OR(LEFT(UPPER(TRIM(E2201)),1)="D",UPPER(TRIM(E2201))="D"),"D","")))))))</f>
        <v/>
      </c>
      <c r="J2201" s="27" t="str">
        <f aca="false">IF(I2201="","",IF(AND(I2201="D",Settings!$B$6&lt;&gt;"Yes"),"",IFERROR(INDEX(Settings!$C$9:$C$12,MATCH(I2201,Settings!$A$9:$A$12,0)),"")))</f>
        <v/>
      </c>
      <c r="K2201" s="27" t="str">
        <f aca="false">IF(J2201="","",COUNTIF($I$2:I2201,I2201))</f>
        <v/>
      </c>
      <c r="L2201" s="27" t="str">
        <f aca="false">IF(J2201="","",CHOOSE(Q2201+1,"Tue","Wed","Thu","Fri"))</f>
        <v/>
      </c>
      <c r="M2201" s="27" t="str">
        <f aca="false">IF(J2201="","",IF(J2201=1,"Every week",R2201+1&amp;" of "&amp;J2201))</f>
        <v/>
      </c>
      <c r="N2201" s="28" t="str">
        <f aca="false">IF(J2201="","",Settings!$B$4+R2201*7+Q2201)</f>
        <v/>
      </c>
      <c r="O2201" s="28" t="str">
        <f aca="true">IF(J2201="","",N2201+MAX(0,ROUNDUP((TODAY()-N2201)/(J2201*7),0))*J2201*7)</f>
        <v/>
      </c>
      <c r="P2201" s="27" t="str">
        <f aca="false">IF(J2201="","",MOD(K2201-1,J2201*4))</f>
        <v/>
      </c>
      <c r="Q2201" s="27" t="str">
        <f aca="false">IF(J2201="","",MOD(P2201,4))</f>
        <v/>
      </c>
      <c r="R2201" s="27" t="str">
        <f aca="false">IF(J2201="","",INT(P2201/4))</f>
        <v/>
      </c>
      <c r="S2201" s="27" t="str">
        <f aca="false">IF(J2201="","",IF(AND('Daily Count Sheet'!$H$3=Q2201,MOD('Daily Count Sheet'!$I$3,J2201)=R2201),1,""))</f>
        <v/>
      </c>
      <c r="T2201" s="27" t="str">
        <f aca="false">IF(S2201=1,COUNTIF($S$2:S2201,1),"")</f>
        <v/>
      </c>
    </row>
    <row r="2202" customFormat="false" ht="15" hidden="false" customHeight="false" outlineLevel="0" collapsed="false">
      <c r="H2202" s="26"/>
      <c r="I2202" s="27" t="str">
        <f aca="false">IF(A2202="","",IF(H2202&lt;&gt;"",UPPER(TRIM(H2202)),IFERROR(CHOOSE(VALUE(E2202)+1,"A","B","C","D"),IF(OR(LEFT(UPPER(TRIM(E2202)),1)="F",UPPER(TRIM(E2202))="A"),"A",IF(OR(LEFT(UPPER(TRIM(E2202)),1)="M",UPPER(TRIM(E2202))="B"),"B",IF(OR(LEFT(UPPER(TRIM(E2202)),2)="SL",UPPER(TRIM(E2202))="C"),"C",IF(OR(LEFT(UPPER(TRIM(E2202)),1)="D",UPPER(TRIM(E2202))="D"),"D","")))))))</f>
        <v/>
      </c>
      <c r="J2202" s="27" t="str">
        <f aca="false">IF(I2202="","",IF(AND(I2202="D",Settings!$B$6&lt;&gt;"Yes"),"",IFERROR(INDEX(Settings!$C$9:$C$12,MATCH(I2202,Settings!$A$9:$A$12,0)),"")))</f>
        <v/>
      </c>
      <c r="K2202" s="27" t="str">
        <f aca="false">IF(J2202="","",COUNTIF($I$2:I2202,I2202))</f>
        <v/>
      </c>
      <c r="L2202" s="27" t="str">
        <f aca="false">IF(J2202="","",CHOOSE(Q2202+1,"Tue","Wed","Thu","Fri"))</f>
        <v/>
      </c>
      <c r="M2202" s="27" t="str">
        <f aca="false">IF(J2202="","",IF(J2202=1,"Every week",R2202+1&amp;" of "&amp;J2202))</f>
        <v/>
      </c>
      <c r="N2202" s="28" t="str">
        <f aca="false">IF(J2202="","",Settings!$B$4+R2202*7+Q2202)</f>
        <v/>
      </c>
      <c r="O2202" s="28" t="str">
        <f aca="true">IF(J2202="","",N2202+MAX(0,ROUNDUP((TODAY()-N2202)/(J2202*7),0))*J2202*7)</f>
        <v/>
      </c>
      <c r="P2202" s="27" t="str">
        <f aca="false">IF(J2202="","",MOD(K2202-1,J2202*4))</f>
        <v/>
      </c>
      <c r="Q2202" s="27" t="str">
        <f aca="false">IF(J2202="","",MOD(P2202,4))</f>
        <v/>
      </c>
      <c r="R2202" s="27" t="str">
        <f aca="false">IF(J2202="","",INT(P2202/4))</f>
        <v/>
      </c>
      <c r="S2202" s="27" t="str">
        <f aca="false">IF(J2202="","",IF(AND('Daily Count Sheet'!$H$3=Q2202,MOD('Daily Count Sheet'!$I$3,J2202)=R2202),1,""))</f>
        <v/>
      </c>
      <c r="T2202" s="27" t="str">
        <f aca="false">IF(S2202=1,COUNTIF($S$2:S2202,1),"")</f>
        <v/>
      </c>
    </row>
    <row r="2203" customFormat="false" ht="15" hidden="false" customHeight="false" outlineLevel="0" collapsed="false">
      <c r="H2203" s="26"/>
      <c r="I2203" s="27" t="str">
        <f aca="false">IF(A2203="","",IF(H2203&lt;&gt;"",UPPER(TRIM(H2203)),IFERROR(CHOOSE(VALUE(E2203)+1,"A","B","C","D"),IF(OR(LEFT(UPPER(TRIM(E2203)),1)="F",UPPER(TRIM(E2203))="A"),"A",IF(OR(LEFT(UPPER(TRIM(E2203)),1)="M",UPPER(TRIM(E2203))="B"),"B",IF(OR(LEFT(UPPER(TRIM(E2203)),2)="SL",UPPER(TRIM(E2203))="C"),"C",IF(OR(LEFT(UPPER(TRIM(E2203)),1)="D",UPPER(TRIM(E2203))="D"),"D","")))))))</f>
        <v/>
      </c>
      <c r="J2203" s="27" t="str">
        <f aca="false">IF(I2203="","",IF(AND(I2203="D",Settings!$B$6&lt;&gt;"Yes"),"",IFERROR(INDEX(Settings!$C$9:$C$12,MATCH(I2203,Settings!$A$9:$A$12,0)),"")))</f>
        <v/>
      </c>
      <c r="K2203" s="27" t="str">
        <f aca="false">IF(J2203="","",COUNTIF($I$2:I2203,I2203))</f>
        <v/>
      </c>
      <c r="L2203" s="27" t="str">
        <f aca="false">IF(J2203="","",CHOOSE(Q2203+1,"Tue","Wed","Thu","Fri"))</f>
        <v/>
      </c>
      <c r="M2203" s="27" t="str">
        <f aca="false">IF(J2203="","",IF(J2203=1,"Every week",R2203+1&amp;" of "&amp;J2203))</f>
        <v/>
      </c>
      <c r="N2203" s="28" t="str">
        <f aca="false">IF(J2203="","",Settings!$B$4+R2203*7+Q2203)</f>
        <v/>
      </c>
      <c r="O2203" s="28" t="str">
        <f aca="true">IF(J2203="","",N2203+MAX(0,ROUNDUP((TODAY()-N2203)/(J2203*7),0))*J2203*7)</f>
        <v/>
      </c>
      <c r="P2203" s="27" t="str">
        <f aca="false">IF(J2203="","",MOD(K2203-1,J2203*4))</f>
        <v/>
      </c>
      <c r="Q2203" s="27" t="str">
        <f aca="false">IF(J2203="","",MOD(P2203,4))</f>
        <v/>
      </c>
      <c r="R2203" s="27" t="str">
        <f aca="false">IF(J2203="","",INT(P2203/4))</f>
        <v/>
      </c>
      <c r="S2203" s="27" t="str">
        <f aca="false">IF(J2203="","",IF(AND('Daily Count Sheet'!$H$3=Q2203,MOD('Daily Count Sheet'!$I$3,J2203)=R2203),1,""))</f>
        <v/>
      </c>
      <c r="T2203" s="27" t="str">
        <f aca="false">IF(S2203=1,COUNTIF($S$2:S2203,1),"")</f>
        <v/>
      </c>
    </row>
    <row r="2204" customFormat="false" ht="15" hidden="false" customHeight="false" outlineLevel="0" collapsed="false">
      <c r="H2204" s="26"/>
      <c r="I2204" s="27" t="str">
        <f aca="false">IF(A2204="","",IF(H2204&lt;&gt;"",UPPER(TRIM(H2204)),IFERROR(CHOOSE(VALUE(E2204)+1,"A","B","C","D"),IF(OR(LEFT(UPPER(TRIM(E2204)),1)="F",UPPER(TRIM(E2204))="A"),"A",IF(OR(LEFT(UPPER(TRIM(E2204)),1)="M",UPPER(TRIM(E2204))="B"),"B",IF(OR(LEFT(UPPER(TRIM(E2204)),2)="SL",UPPER(TRIM(E2204))="C"),"C",IF(OR(LEFT(UPPER(TRIM(E2204)),1)="D",UPPER(TRIM(E2204))="D"),"D","")))))))</f>
        <v/>
      </c>
      <c r="J2204" s="27" t="str">
        <f aca="false">IF(I2204="","",IF(AND(I2204="D",Settings!$B$6&lt;&gt;"Yes"),"",IFERROR(INDEX(Settings!$C$9:$C$12,MATCH(I2204,Settings!$A$9:$A$12,0)),"")))</f>
        <v/>
      </c>
      <c r="K2204" s="27" t="str">
        <f aca="false">IF(J2204="","",COUNTIF($I$2:I2204,I2204))</f>
        <v/>
      </c>
      <c r="L2204" s="27" t="str">
        <f aca="false">IF(J2204="","",CHOOSE(Q2204+1,"Tue","Wed","Thu","Fri"))</f>
        <v/>
      </c>
      <c r="M2204" s="27" t="str">
        <f aca="false">IF(J2204="","",IF(J2204=1,"Every week",R2204+1&amp;" of "&amp;J2204))</f>
        <v/>
      </c>
      <c r="N2204" s="28" t="str">
        <f aca="false">IF(J2204="","",Settings!$B$4+R2204*7+Q2204)</f>
        <v/>
      </c>
      <c r="O2204" s="28" t="str">
        <f aca="true">IF(J2204="","",N2204+MAX(0,ROUNDUP((TODAY()-N2204)/(J2204*7),0))*J2204*7)</f>
        <v/>
      </c>
      <c r="P2204" s="27" t="str">
        <f aca="false">IF(J2204="","",MOD(K2204-1,J2204*4))</f>
        <v/>
      </c>
      <c r="Q2204" s="27" t="str">
        <f aca="false">IF(J2204="","",MOD(P2204,4))</f>
        <v/>
      </c>
      <c r="R2204" s="27" t="str">
        <f aca="false">IF(J2204="","",INT(P2204/4))</f>
        <v/>
      </c>
      <c r="S2204" s="27" t="str">
        <f aca="false">IF(J2204="","",IF(AND('Daily Count Sheet'!$H$3=Q2204,MOD('Daily Count Sheet'!$I$3,J2204)=R2204),1,""))</f>
        <v/>
      </c>
      <c r="T2204" s="27" t="str">
        <f aca="false">IF(S2204=1,COUNTIF($S$2:S2204,1),"")</f>
        <v/>
      </c>
    </row>
    <row r="2205" customFormat="false" ht="15" hidden="false" customHeight="false" outlineLevel="0" collapsed="false">
      <c r="H2205" s="26"/>
      <c r="I2205" s="27" t="str">
        <f aca="false">IF(A2205="","",IF(H2205&lt;&gt;"",UPPER(TRIM(H2205)),IFERROR(CHOOSE(VALUE(E2205)+1,"A","B","C","D"),IF(OR(LEFT(UPPER(TRIM(E2205)),1)="F",UPPER(TRIM(E2205))="A"),"A",IF(OR(LEFT(UPPER(TRIM(E2205)),1)="M",UPPER(TRIM(E2205))="B"),"B",IF(OR(LEFT(UPPER(TRIM(E2205)),2)="SL",UPPER(TRIM(E2205))="C"),"C",IF(OR(LEFT(UPPER(TRIM(E2205)),1)="D",UPPER(TRIM(E2205))="D"),"D","")))))))</f>
        <v/>
      </c>
      <c r="J2205" s="27" t="str">
        <f aca="false">IF(I2205="","",IF(AND(I2205="D",Settings!$B$6&lt;&gt;"Yes"),"",IFERROR(INDEX(Settings!$C$9:$C$12,MATCH(I2205,Settings!$A$9:$A$12,0)),"")))</f>
        <v/>
      </c>
      <c r="K2205" s="27" t="str">
        <f aca="false">IF(J2205="","",COUNTIF($I$2:I2205,I2205))</f>
        <v/>
      </c>
      <c r="L2205" s="27" t="str">
        <f aca="false">IF(J2205="","",CHOOSE(Q2205+1,"Tue","Wed","Thu","Fri"))</f>
        <v/>
      </c>
      <c r="M2205" s="27" t="str">
        <f aca="false">IF(J2205="","",IF(J2205=1,"Every week",R2205+1&amp;" of "&amp;J2205))</f>
        <v/>
      </c>
      <c r="N2205" s="28" t="str">
        <f aca="false">IF(J2205="","",Settings!$B$4+R2205*7+Q2205)</f>
        <v/>
      </c>
      <c r="O2205" s="28" t="str">
        <f aca="true">IF(J2205="","",N2205+MAX(0,ROUNDUP((TODAY()-N2205)/(J2205*7),0))*J2205*7)</f>
        <v/>
      </c>
      <c r="P2205" s="27" t="str">
        <f aca="false">IF(J2205="","",MOD(K2205-1,J2205*4))</f>
        <v/>
      </c>
      <c r="Q2205" s="27" t="str">
        <f aca="false">IF(J2205="","",MOD(P2205,4))</f>
        <v/>
      </c>
      <c r="R2205" s="27" t="str">
        <f aca="false">IF(J2205="","",INT(P2205/4))</f>
        <v/>
      </c>
      <c r="S2205" s="27" t="str">
        <f aca="false">IF(J2205="","",IF(AND('Daily Count Sheet'!$H$3=Q2205,MOD('Daily Count Sheet'!$I$3,J2205)=R2205),1,""))</f>
        <v/>
      </c>
      <c r="T2205" s="27" t="str">
        <f aca="false">IF(S2205=1,COUNTIF($S$2:S2205,1),"")</f>
        <v/>
      </c>
    </row>
    <row r="2206" customFormat="false" ht="15" hidden="false" customHeight="false" outlineLevel="0" collapsed="false">
      <c r="H2206" s="26"/>
      <c r="I2206" s="27" t="str">
        <f aca="false">IF(A2206="","",IF(H2206&lt;&gt;"",UPPER(TRIM(H2206)),IFERROR(CHOOSE(VALUE(E2206)+1,"A","B","C","D"),IF(OR(LEFT(UPPER(TRIM(E2206)),1)="F",UPPER(TRIM(E2206))="A"),"A",IF(OR(LEFT(UPPER(TRIM(E2206)),1)="M",UPPER(TRIM(E2206))="B"),"B",IF(OR(LEFT(UPPER(TRIM(E2206)),2)="SL",UPPER(TRIM(E2206))="C"),"C",IF(OR(LEFT(UPPER(TRIM(E2206)),1)="D",UPPER(TRIM(E2206))="D"),"D","")))))))</f>
        <v/>
      </c>
      <c r="J2206" s="27" t="str">
        <f aca="false">IF(I2206="","",IF(AND(I2206="D",Settings!$B$6&lt;&gt;"Yes"),"",IFERROR(INDEX(Settings!$C$9:$C$12,MATCH(I2206,Settings!$A$9:$A$12,0)),"")))</f>
        <v/>
      </c>
      <c r="K2206" s="27" t="str">
        <f aca="false">IF(J2206="","",COUNTIF($I$2:I2206,I2206))</f>
        <v/>
      </c>
      <c r="L2206" s="27" t="str">
        <f aca="false">IF(J2206="","",CHOOSE(Q2206+1,"Tue","Wed","Thu","Fri"))</f>
        <v/>
      </c>
      <c r="M2206" s="27" t="str">
        <f aca="false">IF(J2206="","",IF(J2206=1,"Every week",R2206+1&amp;" of "&amp;J2206))</f>
        <v/>
      </c>
      <c r="N2206" s="28" t="str">
        <f aca="false">IF(J2206="","",Settings!$B$4+R2206*7+Q2206)</f>
        <v/>
      </c>
      <c r="O2206" s="28" t="str">
        <f aca="true">IF(J2206="","",N2206+MAX(0,ROUNDUP((TODAY()-N2206)/(J2206*7),0))*J2206*7)</f>
        <v/>
      </c>
      <c r="P2206" s="27" t="str">
        <f aca="false">IF(J2206="","",MOD(K2206-1,J2206*4))</f>
        <v/>
      </c>
      <c r="Q2206" s="27" t="str">
        <f aca="false">IF(J2206="","",MOD(P2206,4))</f>
        <v/>
      </c>
      <c r="R2206" s="27" t="str">
        <f aca="false">IF(J2206="","",INT(P2206/4))</f>
        <v/>
      </c>
      <c r="S2206" s="27" t="str">
        <f aca="false">IF(J2206="","",IF(AND('Daily Count Sheet'!$H$3=Q2206,MOD('Daily Count Sheet'!$I$3,J2206)=R2206),1,""))</f>
        <v/>
      </c>
      <c r="T2206" s="27" t="str">
        <f aca="false">IF(S2206=1,COUNTIF($S$2:S2206,1),"")</f>
        <v/>
      </c>
    </row>
    <row r="2207" customFormat="false" ht="15" hidden="false" customHeight="false" outlineLevel="0" collapsed="false">
      <c r="H2207" s="26"/>
      <c r="I2207" s="27" t="str">
        <f aca="false">IF(A2207="","",IF(H2207&lt;&gt;"",UPPER(TRIM(H2207)),IFERROR(CHOOSE(VALUE(E2207)+1,"A","B","C","D"),IF(OR(LEFT(UPPER(TRIM(E2207)),1)="F",UPPER(TRIM(E2207))="A"),"A",IF(OR(LEFT(UPPER(TRIM(E2207)),1)="M",UPPER(TRIM(E2207))="B"),"B",IF(OR(LEFT(UPPER(TRIM(E2207)),2)="SL",UPPER(TRIM(E2207))="C"),"C",IF(OR(LEFT(UPPER(TRIM(E2207)),1)="D",UPPER(TRIM(E2207))="D"),"D","")))))))</f>
        <v/>
      </c>
      <c r="J2207" s="27" t="str">
        <f aca="false">IF(I2207="","",IF(AND(I2207="D",Settings!$B$6&lt;&gt;"Yes"),"",IFERROR(INDEX(Settings!$C$9:$C$12,MATCH(I2207,Settings!$A$9:$A$12,0)),"")))</f>
        <v/>
      </c>
      <c r="K2207" s="27" t="str">
        <f aca="false">IF(J2207="","",COUNTIF($I$2:I2207,I2207))</f>
        <v/>
      </c>
      <c r="L2207" s="27" t="str">
        <f aca="false">IF(J2207="","",CHOOSE(Q2207+1,"Tue","Wed","Thu","Fri"))</f>
        <v/>
      </c>
      <c r="M2207" s="27" t="str">
        <f aca="false">IF(J2207="","",IF(J2207=1,"Every week",R2207+1&amp;" of "&amp;J2207))</f>
        <v/>
      </c>
      <c r="N2207" s="28" t="str">
        <f aca="false">IF(J2207="","",Settings!$B$4+R2207*7+Q2207)</f>
        <v/>
      </c>
      <c r="O2207" s="28" t="str">
        <f aca="true">IF(J2207="","",N2207+MAX(0,ROUNDUP((TODAY()-N2207)/(J2207*7),0))*J2207*7)</f>
        <v/>
      </c>
      <c r="P2207" s="27" t="str">
        <f aca="false">IF(J2207="","",MOD(K2207-1,J2207*4))</f>
        <v/>
      </c>
      <c r="Q2207" s="27" t="str">
        <f aca="false">IF(J2207="","",MOD(P2207,4))</f>
        <v/>
      </c>
      <c r="R2207" s="27" t="str">
        <f aca="false">IF(J2207="","",INT(P2207/4))</f>
        <v/>
      </c>
      <c r="S2207" s="27" t="str">
        <f aca="false">IF(J2207="","",IF(AND('Daily Count Sheet'!$H$3=Q2207,MOD('Daily Count Sheet'!$I$3,J2207)=R2207),1,""))</f>
        <v/>
      </c>
      <c r="T2207" s="27" t="str">
        <f aca="false">IF(S2207=1,COUNTIF($S$2:S2207,1),"")</f>
        <v/>
      </c>
    </row>
    <row r="2208" customFormat="false" ht="15" hidden="false" customHeight="false" outlineLevel="0" collapsed="false">
      <c r="H2208" s="26"/>
      <c r="I2208" s="27" t="str">
        <f aca="false">IF(A2208="","",IF(H2208&lt;&gt;"",UPPER(TRIM(H2208)),IFERROR(CHOOSE(VALUE(E2208)+1,"A","B","C","D"),IF(OR(LEFT(UPPER(TRIM(E2208)),1)="F",UPPER(TRIM(E2208))="A"),"A",IF(OR(LEFT(UPPER(TRIM(E2208)),1)="M",UPPER(TRIM(E2208))="B"),"B",IF(OR(LEFT(UPPER(TRIM(E2208)),2)="SL",UPPER(TRIM(E2208))="C"),"C",IF(OR(LEFT(UPPER(TRIM(E2208)),1)="D",UPPER(TRIM(E2208))="D"),"D","")))))))</f>
        <v/>
      </c>
      <c r="J2208" s="27" t="str">
        <f aca="false">IF(I2208="","",IF(AND(I2208="D",Settings!$B$6&lt;&gt;"Yes"),"",IFERROR(INDEX(Settings!$C$9:$C$12,MATCH(I2208,Settings!$A$9:$A$12,0)),"")))</f>
        <v/>
      </c>
      <c r="K2208" s="27" t="str">
        <f aca="false">IF(J2208="","",COUNTIF($I$2:I2208,I2208))</f>
        <v/>
      </c>
      <c r="L2208" s="27" t="str">
        <f aca="false">IF(J2208="","",CHOOSE(Q2208+1,"Tue","Wed","Thu","Fri"))</f>
        <v/>
      </c>
      <c r="M2208" s="27" t="str">
        <f aca="false">IF(J2208="","",IF(J2208=1,"Every week",R2208+1&amp;" of "&amp;J2208))</f>
        <v/>
      </c>
      <c r="N2208" s="28" t="str">
        <f aca="false">IF(J2208="","",Settings!$B$4+R2208*7+Q2208)</f>
        <v/>
      </c>
      <c r="O2208" s="28" t="str">
        <f aca="true">IF(J2208="","",N2208+MAX(0,ROUNDUP((TODAY()-N2208)/(J2208*7),0))*J2208*7)</f>
        <v/>
      </c>
      <c r="P2208" s="27" t="str">
        <f aca="false">IF(J2208="","",MOD(K2208-1,J2208*4))</f>
        <v/>
      </c>
      <c r="Q2208" s="27" t="str">
        <f aca="false">IF(J2208="","",MOD(P2208,4))</f>
        <v/>
      </c>
      <c r="R2208" s="27" t="str">
        <f aca="false">IF(J2208="","",INT(P2208/4))</f>
        <v/>
      </c>
      <c r="S2208" s="27" t="str">
        <f aca="false">IF(J2208="","",IF(AND('Daily Count Sheet'!$H$3=Q2208,MOD('Daily Count Sheet'!$I$3,J2208)=R2208),1,""))</f>
        <v/>
      </c>
      <c r="T2208" s="27" t="str">
        <f aca="false">IF(S2208=1,COUNTIF($S$2:S2208,1),"")</f>
        <v/>
      </c>
    </row>
    <row r="2209" customFormat="false" ht="15" hidden="false" customHeight="false" outlineLevel="0" collapsed="false">
      <c r="H2209" s="26"/>
      <c r="I2209" s="27" t="str">
        <f aca="false">IF(A2209="","",IF(H2209&lt;&gt;"",UPPER(TRIM(H2209)),IFERROR(CHOOSE(VALUE(E2209)+1,"A","B","C","D"),IF(OR(LEFT(UPPER(TRIM(E2209)),1)="F",UPPER(TRIM(E2209))="A"),"A",IF(OR(LEFT(UPPER(TRIM(E2209)),1)="M",UPPER(TRIM(E2209))="B"),"B",IF(OR(LEFT(UPPER(TRIM(E2209)),2)="SL",UPPER(TRIM(E2209))="C"),"C",IF(OR(LEFT(UPPER(TRIM(E2209)),1)="D",UPPER(TRIM(E2209))="D"),"D","")))))))</f>
        <v/>
      </c>
      <c r="J2209" s="27" t="str">
        <f aca="false">IF(I2209="","",IF(AND(I2209="D",Settings!$B$6&lt;&gt;"Yes"),"",IFERROR(INDEX(Settings!$C$9:$C$12,MATCH(I2209,Settings!$A$9:$A$12,0)),"")))</f>
        <v/>
      </c>
      <c r="K2209" s="27" t="str">
        <f aca="false">IF(J2209="","",COUNTIF($I$2:I2209,I2209))</f>
        <v/>
      </c>
      <c r="L2209" s="27" t="str">
        <f aca="false">IF(J2209="","",CHOOSE(Q2209+1,"Tue","Wed","Thu","Fri"))</f>
        <v/>
      </c>
      <c r="M2209" s="27" t="str">
        <f aca="false">IF(J2209="","",IF(J2209=1,"Every week",R2209+1&amp;" of "&amp;J2209))</f>
        <v/>
      </c>
      <c r="N2209" s="28" t="str">
        <f aca="false">IF(J2209="","",Settings!$B$4+R2209*7+Q2209)</f>
        <v/>
      </c>
      <c r="O2209" s="28" t="str">
        <f aca="true">IF(J2209="","",N2209+MAX(0,ROUNDUP((TODAY()-N2209)/(J2209*7),0))*J2209*7)</f>
        <v/>
      </c>
      <c r="P2209" s="27" t="str">
        <f aca="false">IF(J2209="","",MOD(K2209-1,J2209*4))</f>
        <v/>
      </c>
      <c r="Q2209" s="27" t="str">
        <f aca="false">IF(J2209="","",MOD(P2209,4))</f>
        <v/>
      </c>
      <c r="R2209" s="27" t="str">
        <f aca="false">IF(J2209="","",INT(P2209/4))</f>
        <v/>
      </c>
      <c r="S2209" s="27" t="str">
        <f aca="false">IF(J2209="","",IF(AND('Daily Count Sheet'!$H$3=Q2209,MOD('Daily Count Sheet'!$I$3,J2209)=R2209),1,""))</f>
        <v/>
      </c>
      <c r="T2209" s="27" t="str">
        <f aca="false">IF(S2209=1,COUNTIF($S$2:S2209,1),"")</f>
        <v/>
      </c>
    </row>
    <row r="2210" customFormat="false" ht="15" hidden="false" customHeight="false" outlineLevel="0" collapsed="false">
      <c r="H2210" s="26"/>
      <c r="I2210" s="27" t="str">
        <f aca="false">IF(A2210="","",IF(H2210&lt;&gt;"",UPPER(TRIM(H2210)),IFERROR(CHOOSE(VALUE(E2210)+1,"A","B","C","D"),IF(OR(LEFT(UPPER(TRIM(E2210)),1)="F",UPPER(TRIM(E2210))="A"),"A",IF(OR(LEFT(UPPER(TRIM(E2210)),1)="M",UPPER(TRIM(E2210))="B"),"B",IF(OR(LEFT(UPPER(TRIM(E2210)),2)="SL",UPPER(TRIM(E2210))="C"),"C",IF(OR(LEFT(UPPER(TRIM(E2210)),1)="D",UPPER(TRIM(E2210))="D"),"D","")))))))</f>
        <v/>
      </c>
      <c r="J2210" s="27" t="str">
        <f aca="false">IF(I2210="","",IF(AND(I2210="D",Settings!$B$6&lt;&gt;"Yes"),"",IFERROR(INDEX(Settings!$C$9:$C$12,MATCH(I2210,Settings!$A$9:$A$12,0)),"")))</f>
        <v/>
      </c>
      <c r="K2210" s="27" t="str">
        <f aca="false">IF(J2210="","",COUNTIF($I$2:I2210,I2210))</f>
        <v/>
      </c>
      <c r="L2210" s="27" t="str">
        <f aca="false">IF(J2210="","",CHOOSE(Q2210+1,"Tue","Wed","Thu","Fri"))</f>
        <v/>
      </c>
      <c r="M2210" s="27" t="str">
        <f aca="false">IF(J2210="","",IF(J2210=1,"Every week",R2210+1&amp;" of "&amp;J2210))</f>
        <v/>
      </c>
      <c r="N2210" s="28" t="str">
        <f aca="false">IF(J2210="","",Settings!$B$4+R2210*7+Q2210)</f>
        <v/>
      </c>
      <c r="O2210" s="28" t="str">
        <f aca="true">IF(J2210="","",N2210+MAX(0,ROUNDUP((TODAY()-N2210)/(J2210*7),0))*J2210*7)</f>
        <v/>
      </c>
      <c r="P2210" s="27" t="str">
        <f aca="false">IF(J2210="","",MOD(K2210-1,J2210*4))</f>
        <v/>
      </c>
      <c r="Q2210" s="27" t="str">
        <f aca="false">IF(J2210="","",MOD(P2210,4))</f>
        <v/>
      </c>
      <c r="R2210" s="27" t="str">
        <f aca="false">IF(J2210="","",INT(P2210/4))</f>
        <v/>
      </c>
      <c r="S2210" s="27" t="str">
        <f aca="false">IF(J2210="","",IF(AND('Daily Count Sheet'!$H$3=Q2210,MOD('Daily Count Sheet'!$I$3,J2210)=R2210),1,""))</f>
        <v/>
      </c>
      <c r="T2210" s="27" t="str">
        <f aca="false">IF(S2210=1,COUNTIF($S$2:S2210,1),"")</f>
        <v/>
      </c>
    </row>
    <row r="2211" customFormat="false" ht="15" hidden="false" customHeight="false" outlineLevel="0" collapsed="false">
      <c r="H2211" s="26"/>
      <c r="I2211" s="27" t="str">
        <f aca="false">IF(A2211="","",IF(H2211&lt;&gt;"",UPPER(TRIM(H2211)),IFERROR(CHOOSE(VALUE(E2211)+1,"A","B","C","D"),IF(OR(LEFT(UPPER(TRIM(E2211)),1)="F",UPPER(TRIM(E2211))="A"),"A",IF(OR(LEFT(UPPER(TRIM(E2211)),1)="M",UPPER(TRIM(E2211))="B"),"B",IF(OR(LEFT(UPPER(TRIM(E2211)),2)="SL",UPPER(TRIM(E2211))="C"),"C",IF(OR(LEFT(UPPER(TRIM(E2211)),1)="D",UPPER(TRIM(E2211))="D"),"D","")))))))</f>
        <v/>
      </c>
      <c r="J2211" s="27" t="str">
        <f aca="false">IF(I2211="","",IF(AND(I2211="D",Settings!$B$6&lt;&gt;"Yes"),"",IFERROR(INDEX(Settings!$C$9:$C$12,MATCH(I2211,Settings!$A$9:$A$12,0)),"")))</f>
        <v/>
      </c>
      <c r="K2211" s="27" t="str">
        <f aca="false">IF(J2211="","",COUNTIF($I$2:I2211,I2211))</f>
        <v/>
      </c>
      <c r="L2211" s="27" t="str">
        <f aca="false">IF(J2211="","",CHOOSE(Q2211+1,"Tue","Wed","Thu","Fri"))</f>
        <v/>
      </c>
      <c r="M2211" s="27" t="str">
        <f aca="false">IF(J2211="","",IF(J2211=1,"Every week",R2211+1&amp;" of "&amp;J2211))</f>
        <v/>
      </c>
      <c r="N2211" s="28" t="str">
        <f aca="false">IF(J2211="","",Settings!$B$4+R2211*7+Q2211)</f>
        <v/>
      </c>
      <c r="O2211" s="28" t="str">
        <f aca="true">IF(J2211="","",N2211+MAX(0,ROUNDUP((TODAY()-N2211)/(J2211*7),0))*J2211*7)</f>
        <v/>
      </c>
      <c r="P2211" s="27" t="str">
        <f aca="false">IF(J2211="","",MOD(K2211-1,J2211*4))</f>
        <v/>
      </c>
      <c r="Q2211" s="27" t="str">
        <f aca="false">IF(J2211="","",MOD(P2211,4))</f>
        <v/>
      </c>
      <c r="R2211" s="27" t="str">
        <f aca="false">IF(J2211="","",INT(P2211/4))</f>
        <v/>
      </c>
      <c r="S2211" s="27" t="str">
        <f aca="false">IF(J2211="","",IF(AND('Daily Count Sheet'!$H$3=Q2211,MOD('Daily Count Sheet'!$I$3,J2211)=R2211),1,""))</f>
        <v/>
      </c>
      <c r="T2211" s="27" t="str">
        <f aca="false">IF(S2211=1,COUNTIF($S$2:S2211,1),"")</f>
        <v/>
      </c>
    </row>
    <row r="2212" customFormat="false" ht="15" hidden="false" customHeight="false" outlineLevel="0" collapsed="false">
      <c r="H2212" s="26"/>
      <c r="I2212" s="27" t="str">
        <f aca="false">IF(A2212="","",IF(H2212&lt;&gt;"",UPPER(TRIM(H2212)),IFERROR(CHOOSE(VALUE(E2212)+1,"A","B","C","D"),IF(OR(LEFT(UPPER(TRIM(E2212)),1)="F",UPPER(TRIM(E2212))="A"),"A",IF(OR(LEFT(UPPER(TRIM(E2212)),1)="M",UPPER(TRIM(E2212))="B"),"B",IF(OR(LEFT(UPPER(TRIM(E2212)),2)="SL",UPPER(TRIM(E2212))="C"),"C",IF(OR(LEFT(UPPER(TRIM(E2212)),1)="D",UPPER(TRIM(E2212))="D"),"D","")))))))</f>
        <v/>
      </c>
      <c r="J2212" s="27" t="str">
        <f aca="false">IF(I2212="","",IF(AND(I2212="D",Settings!$B$6&lt;&gt;"Yes"),"",IFERROR(INDEX(Settings!$C$9:$C$12,MATCH(I2212,Settings!$A$9:$A$12,0)),"")))</f>
        <v/>
      </c>
      <c r="K2212" s="27" t="str">
        <f aca="false">IF(J2212="","",COUNTIF($I$2:I2212,I2212))</f>
        <v/>
      </c>
      <c r="L2212" s="27" t="str">
        <f aca="false">IF(J2212="","",CHOOSE(Q2212+1,"Tue","Wed","Thu","Fri"))</f>
        <v/>
      </c>
      <c r="M2212" s="27" t="str">
        <f aca="false">IF(J2212="","",IF(J2212=1,"Every week",R2212+1&amp;" of "&amp;J2212))</f>
        <v/>
      </c>
      <c r="N2212" s="28" t="str">
        <f aca="false">IF(J2212="","",Settings!$B$4+R2212*7+Q2212)</f>
        <v/>
      </c>
      <c r="O2212" s="28" t="str">
        <f aca="true">IF(J2212="","",N2212+MAX(0,ROUNDUP((TODAY()-N2212)/(J2212*7),0))*J2212*7)</f>
        <v/>
      </c>
      <c r="P2212" s="27" t="str">
        <f aca="false">IF(J2212="","",MOD(K2212-1,J2212*4))</f>
        <v/>
      </c>
      <c r="Q2212" s="27" t="str">
        <f aca="false">IF(J2212="","",MOD(P2212,4))</f>
        <v/>
      </c>
      <c r="R2212" s="27" t="str">
        <f aca="false">IF(J2212="","",INT(P2212/4))</f>
        <v/>
      </c>
      <c r="S2212" s="27" t="str">
        <f aca="false">IF(J2212="","",IF(AND('Daily Count Sheet'!$H$3=Q2212,MOD('Daily Count Sheet'!$I$3,J2212)=R2212),1,""))</f>
        <v/>
      </c>
      <c r="T2212" s="27" t="str">
        <f aca="false">IF(S2212=1,COUNTIF($S$2:S2212,1),"")</f>
        <v/>
      </c>
    </row>
    <row r="2213" customFormat="false" ht="15" hidden="false" customHeight="false" outlineLevel="0" collapsed="false">
      <c r="H2213" s="26"/>
      <c r="I2213" s="27" t="str">
        <f aca="false">IF(A2213="","",IF(H2213&lt;&gt;"",UPPER(TRIM(H2213)),IFERROR(CHOOSE(VALUE(E2213)+1,"A","B","C","D"),IF(OR(LEFT(UPPER(TRIM(E2213)),1)="F",UPPER(TRIM(E2213))="A"),"A",IF(OR(LEFT(UPPER(TRIM(E2213)),1)="M",UPPER(TRIM(E2213))="B"),"B",IF(OR(LEFT(UPPER(TRIM(E2213)),2)="SL",UPPER(TRIM(E2213))="C"),"C",IF(OR(LEFT(UPPER(TRIM(E2213)),1)="D",UPPER(TRIM(E2213))="D"),"D","")))))))</f>
        <v/>
      </c>
      <c r="J2213" s="27" t="str">
        <f aca="false">IF(I2213="","",IF(AND(I2213="D",Settings!$B$6&lt;&gt;"Yes"),"",IFERROR(INDEX(Settings!$C$9:$C$12,MATCH(I2213,Settings!$A$9:$A$12,0)),"")))</f>
        <v/>
      </c>
      <c r="K2213" s="27" t="str">
        <f aca="false">IF(J2213="","",COUNTIF($I$2:I2213,I2213))</f>
        <v/>
      </c>
      <c r="L2213" s="27" t="str">
        <f aca="false">IF(J2213="","",CHOOSE(Q2213+1,"Tue","Wed","Thu","Fri"))</f>
        <v/>
      </c>
      <c r="M2213" s="27" t="str">
        <f aca="false">IF(J2213="","",IF(J2213=1,"Every week",R2213+1&amp;" of "&amp;J2213))</f>
        <v/>
      </c>
      <c r="N2213" s="28" t="str">
        <f aca="false">IF(J2213="","",Settings!$B$4+R2213*7+Q2213)</f>
        <v/>
      </c>
      <c r="O2213" s="28" t="str">
        <f aca="true">IF(J2213="","",N2213+MAX(0,ROUNDUP((TODAY()-N2213)/(J2213*7),0))*J2213*7)</f>
        <v/>
      </c>
      <c r="P2213" s="27" t="str">
        <f aca="false">IF(J2213="","",MOD(K2213-1,J2213*4))</f>
        <v/>
      </c>
      <c r="Q2213" s="27" t="str">
        <f aca="false">IF(J2213="","",MOD(P2213,4))</f>
        <v/>
      </c>
      <c r="R2213" s="27" t="str">
        <f aca="false">IF(J2213="","",INT(P2213/4))</f>
        <v/>
      </c>
      <c r="S2213" s="27" t="str">
        <f aca="false">IF(J2213="","",IF(AND('Daily Count Sheet'!$H$3=Q2213,MOD('Daily Count Sheet'!$I$3,J2213)=R2213),1,""))</f>
        <v/>
      </c>
      <c r="T2213" s="27" t="str">
        <f aca="false">IF(S2213=1,COUNTIF($S$2:S2213,1),"")</f>
        <v/>
      </c>
    </row>
    <row r="2214" customFormat="false" ht="15" hidden="false" customHeight="false" outlineLevel="0" collapsed="false">
      <c r="H2214" s="26"/>
      <c r="I2214" s="27" t="str">
        <f aca="false">IF(A2214="","",IF(H2214&lt;&gt;"",UPPER(TRIM(H2214)),IFERROR(CHOOSE(VALUE(E2214)+1,"A","B","C","D"),IF(OR(LEFT(UPPER(TRIM(E2214)),1)="F",UPPER(TRIM(E2214))="A"),"A",IF(OR(LEFT(UPPER(TRIM(E2214)),1)="M",UPPER(TRIM(E2214))="B"),"B",IF(OR(LEFT(UPPER(TRIM(E2214)),2)="SL",UPPER(TRIM(E2214))="C"),"C",IF(OR(LEFT(UPPER(TRIM(E2214)),1)="D",UPPER(TRIM(E2214))="D"),"D","")))))))</f>
        <v/>
      </c>
      <c r="J2214" s="27" t="str">
        <f aca="false">IF(I2214="","",IF(AND(I2214="D",Settings!$B$6&lt;&gt;"Yes"),"",IFERROR(INDEX(Settings!$C$9:$C$12,MATCH(I2214,Settings!$A$9:$A$12,0)),"")))</f>
        <v/>
      </c>
      <c r="K2214" s="27" t="str">
        <f aca="false">IF(J2214="","",COUNTIF($I$2:I2214,I2214))</f>
        <v/>
      </c>
      <c r="L2214" s="27" t="str">
        <f aca="false">IF(J2214="","",CHOOSE(Q2214+1,"Tue","Wed","Thu","Fri"))</f>
        <v/>
      </c>
      <c r="M2214" s="27" t="str">
        <f aca="false">IF(J2214="","",IF(J2214=1,"Every week",R2214+1&amp;" of "&amp;J2214))</f>
        <v/>
      </c>
      <c r="N2214" s="28" t="str">
        <f aca="false">IF(J2214="","",Settings!$B$4+R2214*7+Q2214)</f>
        <v/>
      </c>
      <c r="O2214" s="28" t="str">
        <f aca="true">IF(J2214="","",N2214+MAX(0,ROUNDUP((TODAY()-N2214)/(J2214*7),0))*J2214*7)</f>
        <v/>
      </c>
      <c r="P2214" s="27" t="str">
        <f aca="false">IF(J2214="","",MOD(K2214-1,J2214*4))</f>
        <v/>
      </c>
      <c r="Q2214" s="27" t="str">
        <f aca="false">IF(J2214="","",MOD(P2214,4))</f>
        <v/>
      </c>
      <c r="R2214" s="27" t="str">
        <f aca="false">IF(J2214="","",INT(P2214/4))</f>
        <v/>
      </c>
      <c r="S2214" s="27" t="str">
        <f aca="false">IF(J2214="","",IF(AND('Daily Count Sheet'!$H$3=Q2214,MOD('Daily Count Sheet'!$I$3,J2214)=R2214),1,""))</f>
        <v/>
      </c>
      <c r="T2214" s="27" t="str">
        <f aca="false">IF(S2214=1,COUNTIF($S$2:S2214,1),"")</f>
        <v/>
      </c>
    </row>
    <row r="2215" customFormat="false" ht="15" hidden="false" customHeight="false" outlineLevel="0" collapsed="false">
      <c r="H2215" s="26"/>
      <c r="I2215" s="27" t="str">
        <f aca="false">IF(A2215="","",IF(H2215&lt;&gt;"",UPPER(TRIM(H2215)),IFERROR(CHOOSE(VALUE(E2215)+1,"A","B","C","D"),IF(OR(LEFT(UPPER(TRIM(E2215)),1)="F",UPPER(TRIM(E2215))="A"),"A",IF(OR(LEFT(UPPER(TRIM(E2215)),1)="M",UPPER(TRIM(E2215))="B"),"B",IF(OR(LEFT(UPPER(TRIM(E2215)),2)="SL",UPPER(TRIM(E2215))="C"),"C",IF(OR(LEFT(UPPER(TRIM(E2215)),1)="D",UPPER(TRIM(E2215))="D"),"D","")))))))</f>
        <v/>
      </c>
      <c r="J2215" s="27" t="str">
        <f aca="false">IF(I2215="","",IF(AND(I2215="D",Settings!$B$6&lt;&gt;"Yes"),"",IFERROR(INDEX(Settings!$C$9:$C$12,MATCH(I2215,Settings!$A$9:$A$12,0)),"")))</f>
        <v/>
      </c>
      <c r="K2215" s="27" t="str">
        <f aca="false">IF(J2215="","",COUNTIF($I$2:I2215,I2215))</f>
        <v/>
      </c>
      <c r="L2215" s="27" t="str">
        <f aca="false">IF(J2215="","",CHOOSE(Q2215+1,"Tue","Wed","Thu","Fri"))</f>
        <v/>
      </c>
      <c r="M2215" s="27" t="str">
        <f aca="false">IF(J2215="","",IF(J2215=1,"Every week",R2215+1&amp;" of "&amp;J2215))</f>
        <v/>
      </c>
      <c r="N2215" s="28" t="str">
        <f aca="false">IF(J2215="","",Settings!$B$4+R2215*7+Q2215)</f>
        <v/>
      </c>
      <c r="O2215" s="28" t="str">
        <f aca="true">IF(J2215="","",N2215+MAX(0,ROUNDUP((TODAY()-N2215)/(J2215*7),0))*J2215*7)</f>
        <v/>
      </c>
      <c r="P2215" s="27" t="str">
        <f aca="false">IF(J2215="","",MOD(K2215-1,J2215*4))</f>
        <v/>
      </c>
      <c r="Q2215" s="27" t="str">
        <f aca="false">IF(J2215="","",MOD(P2215,4))</f>
        <v/>
      </c>
      <c r="R2215" s="27" t="str">
        <f aca="false">IF(J2215="","",INT(P2215/4))</f>
        <v/>
      </c>
      <c r="S2215" s="27" t="str">
        <f aca="false">IF(J2215="","",IF(AND('Daily Count Sheet'!$H$3=Q2215,MOD('Daily Count Sheet'!$I$3,J2215)=R2215),1,""))</f>
        <v/>
      </c>
      <c r="T2215" s="27" t="str">
        <f aca="false">IF(S2215=1,COUNTIF($S$2:S2215,1),"")</f>
        <v/>
      </c>
    </row>
    <row r="2216" customFormat="false" ht="15" hidden="false" customHeight="false" outlineLevel="0" collapsed="false">
      <c r="H2216" s="26"/>
      <c r="I2216" s="27" t="str">
        <f aca="false">IF(A2216="","",IF(H2216&lt;&gt;"",UPPER(TRIM(H2216)),IFERROR(CHOOSE(VALUE(E2216)+1,"A","B","C","D"),IF(OR(LEFT(UPPER(TRIM(E2216)),1)="F",UPPER(TRIM(E2216))="A"),"A",IF(OR(LEFT(UPPER(TRIM(E2216)),1)="M",UPPER(TRIM(E2216))="B"),"B",IF(OR(LEFT(UPPER(TRIM(E2216)),2)="SL",UPPER(TRIM(E2216))="C"),"C",IF(OR(LEFT(UPPER(TRIM(E2216)),1)="D",UPPER(TRIM(E2216))="D"),"D","")))))))</f>
        <v/>
      </c>
      <c r="J2216" s="27" t="str">
        <f aca="false">IF(I2216="","",IF(AND(I2216="D",Settings!$B$6&lt;&gt;"Yes"),"",IFERROR(INDEX(Settings!$C$9:$C$12,MATCH(I2216,Settings!$A$9:$A$12,0)),"")))</f>
        <v/>
      </c>
      <c r="K2216" s="27" t="str">
        <f aca="false">IF(J2216="","",COUNTIF($I$2:I2216,I2216))</f>
        <v/>
      </c>
      <c r="L2216" s="27" t="str">
        <f aca="false">IF(J2216="","",CHOOSE(Q2216+1,"Tue","Wed","Thu","Fri"))</f>
        <v/>
      </c>
      <c r="M2216" s="27" t="str">
        <f aca="false">IF(J2216="","",IF(J2216=1,"Every week",R2216+1&amp;" of "&amp;J2216))</f>
        <v/>
      </c>
      <c r="N2216" s="28" t="str">
        <f aca="false">IF(J2216="","",Settings!$B$4+R2216*7+Q2216)</f>
        <v/>
      </c>
      <c r="O2216" s="28" t="str">
        <f aca="true">IF(J2216="","",N2216+MAX(0,ROUNDUP((TODAY()-N2216)/(J2216*7),0))*J2216*7)</f>
        <v/>
      </c>
      <c r="P2216" s="27" t="str">
        <f aca="false">IF(J2216="","",MOD(K2216-1,J2216*4))</f>
        <v/>
      </c>
      <c r="Q2216" s="27" t="str">
        <f aca="false">IF(J2216="","",MOD(P2216,4))</f>
        <v/>
      </c>
      <c r="R2216" s="27" t="str">
        <f aca="false">IF(J2216="","",INT(P2216/4))</f>
        <v/>
      </c>
      <c r="S2216" s="27" t="str">
        <f aca="false">IF(J2216="","",IF(AND('Daily Count Sheet'!$H$3=Q2216,MOD('Daily Count Sheet'!$I$3,J2216)=R2216),1,""))</f>
        <v/>
      </c>
      <c r="T2216" s="27" t="str">
        <f aca="false">IF(S2216=1,COUNTIF($S$2:S2216,1),"")</f>
        <v/>
      </c>
    </row>
    <row r="2217" customFormat="false" ht="15" hidden="false" customHeight="false" outlineLevel="0" collapsed="false">
      <c r="H2217" s="26"/>
      <c r="I2217" s="27" t="str">
        <f aca="false">IF(A2217="","",IF(H2217&lt;&gt;"",UPPER(TRIM(H2217)),IFERROR(CHOOSE(VALUE(E2217)+1,"A","B","C","D"),IF(OR(LEFT(UPPER(TRIM(E2217)),1)="F",UPPER(TRIM(E2217))="A"),"A",IF(OR(LEFT(UPPER(TRIM(E2217)),1)="M",UPPER(TRIM(E2217))="B"),"B",IF(OR(LEFT(UPPER(TRIM(E2217)),2)="SL",UPPER(TRIM(E2217))="C"),"C",IF(OR(LEFT(UPPER(TRIM(E2217)),1)="D",UPPER(TRIM(E2217))="D"),"D","")))))))</f>
        <v/>
      </c>
      <c r="J2217" s="27" t="str">
        <f aca="false">IF(I2217="","",IF(AND(I2217="D",Settings!$B$6&lt;&gt;"Yes"),"",IFERROR(INDEX(Settings!$C$9:$C$12,MATCH(I2217,Settings!$A$9:$A$12,0)),"")))</f>
        <v/>
      </c>
      <c r="K2217" s="27" t="str">
        <f aca="false">IF(J2217="","",COUNTIF($I$2:I2217,I2217))</f>
        <v/>
      </c>
      <c r="L2217" s="27" t="str">
        <f aca="false">IF(J2217="","",CHOOSE(Q2217+1,"Tue","Wed","Thu","Fri"))</f>
        <v/>
      </c>
      <c r="M2217" s="27" t="str">
        <f aca="false">IF(J2217="","",IF(J2217=1,"Every week",R2217+1&amp;" of "&amp;J2217))</f>
        <v/>
      </c>
      <c r="N2217" s="28" t="str">
        <f aca="false">IF(J2217="","",Settings!$B$4+R2217*7+Q2217)</f>
        <v/>
      </c>
      <c r="O2217" s="28" t="str">
        <f aca="true">IF(J2217="","",N2217+MAX(0,ROUNDUP((TODAY()-N2217)/(J2217*7),0))*J2217*7)</f>
        <v/>
      </c>
      <c r="P2217" s="27" t="str">
        <f aca="false">IF(J2217="","",MOD(K2217-1,J2217*4))</f>
        <v/>
      </c>
      <c r="Q2217" s="27" t="str">
        <f aca="false">IF(J2217="","",MOD(P2217,4))</f>
        <v/>
      </c>
      <c r="R2217" s="27" t="str">
        <f aca="false">IF(J2217="","",INT(P2217/4))</f>
        <v/>
      </c>
      <c r="S2217" s="27" t="str">
        <f aca="false">IF(J2217="","",IF(AND('Daily Count Sheet'!$H$3=Q2217,MOD('Daily Count Sheet'!$I$3,J2217)=R2217),1,""))</f>
        <v/>
      </c>
      <c r="T2217" s="27" t="str">
        <f aca="false">IF(S2217=1,COUNTIF($S$2:S2217,1),"")</f>
        <v/>
      </c>
    </row>
    <row r="2218" customFormat="false" ht="15" hidden="false" customHeight="false" outlineLevel="0" collapsed="false">
      <c r="H2218" s="26"/>
      <c r="I2218" s="27" t="str">
        <f aca="false">IF(A2218="","",IF(H2218&lt;&gt;"",UPPER(TRIM(H2218)),IFERROR(CHOOSE(VALUE(E2218)+1,"A","B","C","D"),IF(OR(LEFT(UPPER(TRIM(E2218)),1)="F",UPPER(TRIM(E2218))="A"),"A",IF(OR(LEFT(UPPER(TRIM(E2218)),1)="M",UPPER(TRIM(E2218))="B"),"B",IF(OR(LEFT(UPPER(TRIM(E2218)),2)="SL",UPPER(TRIM(E2218))="C"),"C",IF(OR(LEFT(UPPER(TRIM(E2218)),1)="D",UPPER(TRIM(E2218))="D"),"D","")))))))</f>
        <v/>
      </c>
      <c r="J2218" s="27" t="str">
        <f aca="false">IF(I2218="","",IF(AND(I2218="D",Settings!$B$6&lt;&gt;"Yes"),"",IFERROR(INDEX(Settings!$C$9:$C$12,MATCH(I2218,Settings!$A$9:$A$12,0)),"")))</f>
        <v/>
      </c>
      <c r="K2218" s="27" t="str">
        <f aca="false">IF(J2218="","",COUNTIF($I$2:I2218,I2218))</f>
        <v/>
      </c>
      <c r="L2218" s="27" t="str">
        <f aca="false">IF(J2218="","",CHOOSE(Q2218+1,"Tue","Wed","Thu","Fri"))</f>
        <v/>
      </c>
      <c r="M2218" s="27" t="str">
        <f aca="false">IF(J2218="","",IF(J2218=1,"Every week",R2218+1&amp;" of "&amp;J2218))</f>
        <v/>
      </c>
      <c r="N2218" s="28" t="str">
        <f aca="false">IF(J2218="","",Settings!$B$4+R2218*7+Q2218)</f>
        <v/>
      </c>
      <c r="O2218" s="28" t="str">
        <f aca="true">IF(J2218="","",N2218+MAX(0,ROUNDUP((TODAY()-N2218)/(J2218*7),0))*J2218*7)</f>
        <v/>
      </c>
      <c r="P2218" s="27" t="str">
        <f aca="false">IF(J2218="","",MOD(K2218-1,J2218*4))</f>
        <v/>
      </c>
      <c r="Q2218" s="27" t="str">
        <f aca="false">IF(J2218="","",MOD(P2218,4))</f>
        <v/>
      </c>
      <c r="R2218" s="27" t="str">
        <f aca="false">IF(J2218="","",INT(P2218/4))</f>
        <v/>
      </c>
      <c r="S2218" s="27" t="str">
        <f aca="false">IF(J2218="","",IF(AND('Daily Count Sheet'!$H$3=Q2218,MOD('Daily Count Sheet'!$I$3,J2218)=R2218),1,""))</f>
        <v/>
      </c>
      <c r="T2218" s="27" t="str">
        <f aca="false">IF(S2218=1,COUNTIF($S$2:S2218,1),"")</f>
        <v/>
      </c>
    </row>
    <row r="2219" customFormat="false" ht="15" hidden="false" customHeight="false" outlineLevel="0" collapsed="false">
      <c r="H2219" s="26"/>
      <c r="I2219" s="27" t="str">
        <f aca="false">IF(A2219="","",IF(H2219&lt;&gt;"",UPPER(TRIM(H2219)),IFERROR(CHOOSE(VALUE(E2219)+1,"A","B","C","D"),IF(OR(LEFT(UPPER(TRIM(E2219)),1)="F",UPPER(TRIM(E2219))="A"),"A",IF(OR(LEFT(UPPER(TRIM(E2219)),1)="M",UPPER(TRIM(E2219))="B"),"B",IF(OR(LEFT(UPPER(TRIM(E2219)),2)="SL",UPPER(TRIM(E2219))="C"),"C",IF(OR(LEFT(UPPER(TRIM(E2219)),1)="D",UPPER(TRIM(E2219))="D"),"D","")))))))</f>
        <v/>
      </c>
      <c r="J2219" s="27" t="str">
        <f aca="false">IF(I2219="","",IF(AND(I2219="D",Settings!$B$6&lt;&gt;"Yes"),"",IFERROR(INDEX(Settings!$C$9:$C$12,MATCH(I2219,Settings!$A$9:$A$12,0)),"")))</f>
        <v/>
      </c>
      <c r="K2219" s="27" t="str">
        <f aca="false">IF(J2219="","",COUNTIF($I$2:I2219,I2219))</f>
        <v/>
      </c>
      <c r="L2219" s="27" t="str">
        <f aca="false">IF(J2219="","",CHOOSE(Q2219+1,"Tue","Wed","Thu","Fri"))</f>
        <v/>
      </c>
      <c r="M2219" s="27" t="str">
        <f aca="false">IF(J2219="","",IF(J2219=1,"Every week",R2219+1&amp;" of "&amp;J2219))</f>
        <v/>
      </c>
      <c r="N2219" s="28" t="str">
        <f aca="false">IF(J2219="","",Settings!$B$4+R2219*7+Q2219)</f>
        <v/>
      </c>
      <c r="O2219" s="28" t="str">
        <f aca="true">IF(J2219="","",N2219+MAX(0,ROUNDUP((TODAY()-N2219)/(J2219*7),0))*J2219*7)</f>
        <v/>
      </c>
      <c r="P2219" s="27" t="str">
        <f aca="false">IF(J2219="","",MOD(K2219-1,J2219*4))</f>
        <v/>
      </c>
      <c r="Q2219" s="27" t="str">
        <f aca="false">IF(J2219="","",MOD(P2219,4))</f>
        <v/>
      </c>
      <c r="R2219" s="27" t="str">
        <f aca="false">IF(J2219="","",INT(P2219/4))</f>
        <v/>
      </c>
      <c r="S2219" s="27" t="str">
        <f aca="false">IF(J2219="","",IF(AND('Daily Count Sheet'!$H$3=Q2219,MOD('Daily Count Sheet'!$I$3,J2219)=R2219),1,""))</f>
        <v/>
      </c>
      <c r="T2219" s="27" t="str">
        <f aca="false">IF(S2219=1,COUNTIF($S$2:S2219,1),"")</f>
        <v/>
      </c>
    </row>
    <row r="2220" customFormat="false" ht="15" hidden="false" customHeight="false" outlineLevel="0" collapsed="false">
      <c r="H2220" s="26"/>
      <c r="I2220" s="27" t="str">
        <f aca="false">IF(A2220="","",IF(H2220&lt;&gt;"",UPPER(TRIM(H2220)),IFERROR(CHOOSE(VALUE(E2220)+1,"A","B","C","D"),IF(OR(LEFT(UPPER(TRIM(E2220)),1)="F",UPPER(TRIM(E2220))="A"),"A",IF(OR(LEFT(UPPER(TRIM(E2220)),1)="M",UPPER(TRIM(E2220))="B"),"B",IF(OR(LEFT(UPPER(TRIM(E2220)),2)="SL",UPPER(TRIM(E2220))="C"),"C",IF(OR(LEFT(UPPER(TRIM(E2220)),1)="D",UPPER(TRIM(E2220))="D"),"D","")))))))</f>
        <v/>
      </c>
      <c r="J2220" s="27" t="str">
        <f aca="false">IF(I2220="","",IF(AND(I2220="D",Settings!$B$6&lt;&gt;"Yes"),"",IFERROR(INDEX(Settings!$C$9:$C$12,MATCH(I2220,Settings!$A$9:$A$12,0)),"")))</f>
        <v/>
      </c>
      <c r="K2220" s="27" t="str">
        <f aca="false">IF(J2220="","",COUNTIF($I$2:I2220,I2220))</f>
        <v/>
      </c>
      <c r="L2220" s="27" t="str">
        <f aca="false">IF(J2220="","",CHOOSE(Q2220+1,"Tue","Wed","Thu","Fri"))</f>
        <v/>
      </c>
      <c r="M2220" s="27" t="str">
        <f aca="false">IF(J2220="","",IF(J2220=1,"Every week",R2220+1&amp;" of "&amp;J2220))</f>
        <v/>
      </c>
      <c r="N2220" s="28" t="str">
        <f aca="false">IF(J2220="","",Settings!$B$4+R2220*7+Q2220)</f>
        <v/>
      </c>
      <c r="O2220" s="28" t="str">
        <f aca="true">IF(J2220="","",N2220+MAX(0,ROUNDUP((TODAY()-N2220)/(J2220*7),0))*J2220*7)</f>
        <v/>
      </c>
      <c r="P2220" s="27" t="str">
        <f aca="false">IF(J2220="","",MOD(K2220-1,J2220*4))</f>
        <v/>
      </c>
      <c r="Q2220" s="27" t="str">
        <f aca="false">IF(J2220="","",MOD(P2220,4))</f>
        <v/>
      </c>
      <c r="R2220" s="27" t="str">
        <f aca="false">IF(J2220="","",INT(P2220/4))</f>
        <v/>
      </c>
      <c r="S2220" s="27" t="str">
        <f aca="false">IF(J2220="","",IF(AND('Daily Count Sheet'!$H$3=Q2220,MOD('Daily Count Sheet'!$I$3,J2220)=R2220),1,""))</f>
        <v/>
      </c>
      <c r="T2220" s="27" t="str">
        <f aca="false">IF(S2220=1,COUNTIF($S$2:S2220,1),"")</f>
        <v/>
      </c>
    </row>
    <row r="2221" customFormat="false" ht="15" hidden="false" customHeight="false" outlineLevel="0" collapsed="false">
      <c r="H2221" s="26"/>
      <c r="I2221" s="27" t="str">
        <f aca="false">IF(A2221="","",IF(H2221&lt;&gt;"",UPPER(TRIM(H2221)),IFERROR(CHOOSE(VALUE(E2221)+1,"A","B","C","D"),IF(OR(LEFT(UPPER(TRIM(E2221)),1)="F",UPPER(TRIM(E2221))="A"),"A",IF(OR(LEFT(UPPER(TRIM(E2221)),1)="M",UPPER(TRIM(E2221))="B"),"B",IF(OR(LEFT(UPPER(TRIM(E2221)),2)="SL",UPPER(TRIM(E2221))="C"),"C",IF(OR(LEFT(UPPER(TRIM(E2221)),1)="D",UPPER(TRIM(E2221))="D"),"D","")))))))</f>
        <v/>
      </c>
      <c r="J2221" s="27" t="str">
        <f aca="false">IF(I2221="","",IF(AND(I2221="D",Settings!$B$6&lt;&gt;"Yes"),"",IFERROR(INDEX(Settings!$C$9:$C$12,MATCH(I2221,Settings!$A$9:$A$12,0)),"")))</f>
        <v/>
      </c>
      <c r="K2221" s="27" t="str">
        <f aca="false">IF(J2221="","",COUNTIF($I$2:I2221,I2221))</f>
        <v/>
      </c>
      <c r="L2221" s="27" t="str">
        <f aca="false">IF(J2221="","",CHOOSE(Q2221+1,"Tue","Wed","Thu","Fri"))</f>
        <v/>
      </c>
      <c r="M2221" s="27" t="str">
        <f aca="false">IF(J2221="","",IF(J2221=1,"Every week",R2221+1&amp;" of "&amp;J2221))</f>
        <v/>
      </c>
      <c r="N2221" s="28" t="str">
        <f aca="false">IF(J2221="","",Settings!$B$4+R2221*7+Q2221)</f>
        <v/>
      </c>
      <c r="O2221" s="28" t="str">
        <f aca="true">IF(J2221="","",N2221+MAX(0,ROUNDUP((TODAY()-N2221)/(J2221*7),0))*J2221*7)</f>
        <v/>
      </c>
      <c r="P2221" s="27" t="str">
        <f aca="false">IF(J2221="","",MOD(K2221-1,J2221*4))</f>
        <v/>
      </c>
      <c r="Q2221" s="27" t="str">
        <f aca="false">IF(J2221="","",MOD(P2221,4))</f>
        <v/>
      </c>
      <c r="R2221" s="27" t="str">
        <f aca="false">IF(J2221="","",INT(P2221/4))</f>
        <v/>
      </c>
      <c r="S2221" s="27" t="str">
        <f aca="false">IF(J2221="","",IF(AND('Daily Count Sheet'!$H$3=Q2221,MOD('Daily Count Sheet'!$I$3,J2221)=R2221),1,""))</f>
        <v/>
      </c>
      <c r="T2221" s="27" t="str">
        <f aca="false">IF(S2221=1,COUNTIF($S$2:S2221,1),"")</f>
        <v/>
      </c>
    </row>
    <row r="2222" customFormat="false" ht="15" hidden="false" customHeight="false" outlineLevel="0" collapsed="false">
      <c r="H2222" s="26"/>
      <c r="I2222" s="27" t="str">
        <f aca="false">IF(A2222="","",IF(H2222&lt;&gt;"",UPPER(TRIM(H2222)),IFERROR(CHOOSE(VALUE(E2222)+1,"A","B","C","D"),IF(OR(LEFT(UPPER(TRIM(E2222)),1)="F",UPPER(TRIM(E2222))="A"),"A",IF(OR(LEFT(UPPER(TRIM(E2222)),1)="M",UPPER(TRIM(E2222))="B"),"B",IF(OR(LEFT(UPPER(TRIM(E2222)),2)="SL",UPPER(TRIM(E2222))="C"),"C",IF(OR(LEFT(UPPER(TRIM(E2222)),1)="D",UPPER(TRIM(E2222))="D"),"D","")))))))</f>
        <v/>
      </c>
      <c r="J2222" s="27" t="str">
        <f aca="false">IF(I2222="","",IF(AND(I2222="D",Settings!$B$6&lt;&gt;"Yes"),"",IFERROR(INDEX(Settings!$C$9:$C$12,MATCH(I2222,Settings!$A$9:$A$12,0)),"")))</f>
        <v/>
      </c>
      <c r="K2222" s="27" t="str">
        <f aca="false">IF(J2222="","",COUNTIF($I$2:I2222,I2222))</f>
        <v/>
      </c>
      <c r="L2222" s="27" t="str">
        <f aca="false">IF(J2222="","",CHOOSE(Q2222+1,"Tue","Wed","Thu","Fri"))</f>
        <v/>
      </c>
      <c r="M2222" s="27" t="str">
        <f aca="false">IF(J2222="","",IF(J2222=1,"Every week",R2222+1&amp;" of "&amp;J2222))</f>
        <v/>
      </c>
      <c r="N2222" s="28" t="str">
        <f aca="false">IF(J2222="","",Settings!$B$4+R2222*7+Q2222)</f>
        <v/>
      </c>
      <c r="O2222" s="28" t="str">
        <f aca="true">IF(J2222="","",N2222+MAX(0,ROUNDUP((TODAY()-N2222)/(J2222*7),0))*J2222*7)</f>
        <v/>
      </c>
      <c r="P2222" s="27" t="str">
        <f aca="false">IF(J2222="","",MOD(K2222-1,J2222*4))</f>
        <v/>
      </c>
      <c r="Q2222" s="27" t="str">
        <f aca="false">IF(J2222="","",MOD(P2222,4))</f>
        <v/>
      </c>
      <c r="R2222" s="27" t="str">
        <f aca="false">IF(J2222="","",INT(P2222/4))</f>
        <v/>
      </c>
      <c r="S2222" s="27" t="str">
        <f aca="false">IF(J2222="","",IF(AND('Daily Count Sheet'!$H$3=Q2222,MOD('Daily Count Sheet'!$I$3,J2222)=R2222),1,""))</f>
        <v/>
      </c>
      <c r="T2222" s="27" t="str">
        <f aca="false">IF(S2222=1,COUNTIF($S$2:S2222,1),"")</f>
        <v/>
      </c>
    </row>
    <row r="2223" customFormat="false" ht="15" hidden="false" customHeight="false" outlineLevel="0" collapsed="false">
      <c r="H2223" s="26"/>
      <c r="I2223" s="27" t="str">
        <f aca="false">IF(A2223="","",IF(H2223&lt;&gt;"",UPPER(TRIM(H2223)),IFERROR(CHOOSE(VALUE(E2223)+1,"A","B","C","D"),IF(OR(LEFT(UPPER(TRIM(E2223)),1)="F",UPPER(TRIM(E2223))="A"),"A",IF(OR(LEFT(UPPER(TRIM(E2223)),1)="M",UPPER(TRIM(E2223))="B"),"B",IF(OR(LEFT(UPPER(TRIM(E2223)),2)="SL",UPPER(TRIM(E2223))="C"),"C",IF(OR(LEFT(UPPER(TRIM(E2223)),1)="D",UPPER(TRIM(E2223))="D"),"D","")))))))</f>
        <v/>
      </c>
      <c r="J2223" s="27" t="str">
        <f aca="false">IF(I2223="","",IF(AND(I2223="D",Settings!$B$6&lt;&gt;"Yes"),"",IFERROR(INDEX(Settings!$C$9:$C$12,MATCH(I2223,Settings!$A$9:$A$12,0)),"")))</f>
        <v/>
      </c>
      <c r="K2223" s="27" t="str">
        <f aca="false">IF(J2223="","",COUNTIF($I$2:I2223,I2223))</f>
        <v/>
      </c>
      <c r="L2223" s="27" t="str">
        <f aca="false">IF(J2223="","",CHOOSE(Q2223+1,"Tue","Wed","Thu","Fri"))</f>
        <v/>
      </c>
      <c r="M2223" s="27" t="str">
        <f aca="false">IF(J2223="","",IF(J2223=1,"Every week",R2223+1&amp;" of "&amp;J2223))</f>
        <v/>
      </c>
      <c r="N2223" s="28" t="str">
        <f aca="false">IF(J2223="","",Settings!$B$4+R2223*7+Q2223)</f>
        <v/>
      </c>
      <c r="O2223" s="28" t="str">
        <f aca="true">IF(J2223="","",N2223+MAX(0,ROUNDUP((TODAY()-N2223)/(J2223*7),0))*J2223*7)</f>
        <v/>
      </c>
      <c r="P2223" s="27" t="str">
        <f aca="false">IF(J2223="","",MOD(K2223-1,J2223*4))</f>
        <v/>
      </c>
      <c r="Q2223" s="27" t="str">
        <f aca="false">IF(J2223="","",MOD(P2223,4))</f>
        <v/>
      </c>
      <c r="R2223" s="27" t="str">
        <f aca="false">IF(J2223="","",INT(P2223/4))</f>
        <v/>
      </c>
      <c r="S2223" s="27" t="str">
        <f aca="false">IF(J2223="","",IF(AND('Daily Count Sheet'!$H$3=Q2223,MOD('Daily Count Sheet'!$I$3,J2223)=R2223),1,""))</f>
        <v/>
      </c>
      <c r="T2223" s="27" t="str">
        <f aca="false">IF(S2223=1,COUNTIF($S$2:S2223,1),"")</f>
        <v/>
      </c>
    </row>
    <row r="2224" customFormat="false" ht="15" hidden="false" customHeight="false" outlineLevel="0" collapsed="false">
      <c r="H2224" s="26"/>
      <c r="I2224" s="27" t="str">
        <f aca="false">IF(A2224="","",IF(H2224&lt;&gt;"",UPPER(TRIM(H2224)),IFERROR(CHOOSE(VALUE(E2224)+1,"A","B","C","D"),IF(OR(LEFT(UPPER(TRIM(E2224)),1)="F",UPPER(TRIM(E2224))="A"),"A",IF(OR(LEFT(UPPER(TRIM(E2224)),1)="M",UPPER(TRIM(E2224))="B"),"B",IF(OR(LEFT(UPPER(TRIM(E2224)),2)="SL",UPPER(TRIM(E2224))="C"),"C",IF(OR(LEFT(UPPER(TRIM(E2224)),1)="D",UPPER(TRIM(E2224))="D"),"D","")))))))</f>
        <v/>
      </c>
      <c r="J2224" s="27" t="str">
        <f aca="false">IF(I2224="","",IF(AND(I2224="D",Settings!$B$6&lt;&gt;"Yes"),"",IFERROR(INDEX(Settings!$C$9:$C$12,MATCH(I2224,Settings!$A$9:$A$12,0)),"")))</f>
        <v/>
      </c>
      <c r="K2224" s="27" t="str">
        <f aca="false">IF(J2224="","",COUNTIF($I$2:I2224,I2224))</f>
        <v/>
      </c>
      <c r="L2224" s="27" t="str">
        <f aca="false">IF(J2224="","",CHOOSE(Q2224+1,"Tue","Wed","Thu","Fri"))</f>
        <v/>
      </c>
      <c r="M2224" s="27" t="str">
        <f aca="false">IF(J2224="","",IF(J2224=1,"Every week",R2224+1&amp;" of "&amp;J2224))</f>
        <v/>
      </c>
      <c r="N2224" s="28" t="str">
        <f aca="false">IF(J2224="","",Settings!$B$4+R2224*7+Q2224)</f>
        <v/>
      </c>
      <c r="O2224" s="28" t="str">
        <f aca="true">IF(J2224="","",N2224+MAX(0,ROUNDUP((TODAY()-N2224)/(J2224*7),0))*J2224*7)</f>
        <v/>
      </c>
      <c r="P2224" s="27" t="str">
        <f aca="false">IF(J2224="","",MOD(K2224-1,J2224*4))</f>
        <v/>
      </c>
      <c r="Q2224" s="27" t="str">
        <f aca="false">IF(J2224="","",MOD(P2224,4))</f>
        <v/>
      </c>
      <c r="R2224" s="27" t="str">
        <f aca="false">IF(J2224="","",INT(P2224/4))</f>
        <v/>
      </c>
      <c r="S2224" s="27" t="str">
        <f aca="false">IF(J2224="","",IF(AND('Daily Count Sheet'!$H$3=Q2224,MOD('Daily Count Sheet'!$I$3,J2224)=R2224),1,""))</f>
        <v/>
      </c>
      <c r="T2224" s="27" t="str">
        <f aca="false">IF(S2224=1,COUNTIF($S$2:S2224,1),"")</f>
        <v/>
      </c>
    </row>
    <row r="2225" customFormat="false" ht="15" hidden="false" customHeight="false" outlineLevel="0" collapsed="false">
      <c r="H2225" s="26"/>
      <c r="I2225" s="27" t="str">
        <f aca="false">IF(A2225="","",IF(H2225&lt;&gt;"",UPPER(TRIM(H2225)),IFERROR(CHOOSE(VALUE(E2225)+1,"A","B","C","D"),IF(OR(LEFT(UPPER(TRIM(E2225)),1)="F",UPPER(TRIM(E2225))="A"),"A",IF(OR(LEFT(UPPER(TRIM(E2225)),1)="M",UPPER(TRIM(E2225))="B"),"B",IF(OR(LEFT(UPPER(TRIM(E2225)),2)="SL",UPPER(TRIM(E2225))="C"),"C",IF(OR(LEFT(UPPER(TRIM(E2225)),1)="D",UPPER(TRIM(E2225))="D"),"D","")))))))</f>
        <v/>
      </c>
      <c r="J2225" s="27" t="str">
        <f aca="false">IF(I2225="","",IF(AND(I2225="D",Settings!$B$6&lt;&gt;"Yes"),"",IFERROR(INDEX(Settings!$C$9:$C$12,MATCH(I2225,Settings!$A$9:$A$12,0)),"")))</f>
        <v/>
      </c>
      <c r="K2225" s="27" t="str">
        <f aca="false">IF(J2225="","",COUNTIF($I$2:I2225,I2225))</f>
        <v/>
      </c>
      <c r="L2225" s="27" t="str">
        <f aca="false">IF(J2225="","",CHOOSE(Q2225+1,"Tue","Wed","Thu","Fri"))</f>
        <v/>
      </c>
      <c r="M2225" s="27" t="str">
        <f aca="false">IF(J2225="","",IF(J2225=1,"Every week",R2225+1&amp;" of "&amp;J2225))</f>
        <v/>
      </c>
      <c r="N2225" s="28" t="str">
        <f aca="false">IF(J2225="","",Settings!$B$4+R2225*7+Q2225)</f>
        <v/>
      </c>
      <c r="O2225" s="28" t="str">
        <f aca="true">IF(J2225="","",N2225+MAX(0,ROUNDUP((TODAY()-N2225)/(J2225*7),0))*J2225*7)</f>
        <v/>
      </c>
      <c r="P2225" s="27" t="str">
        <f aca="false">IF(J2225="","",MOD(K2225-1,J2225*4))</f>
        <v/>
      </c>
      <c r="Q2225" s="27" t="str">
        <f aca="false">IF(J2225="","",MOD(P2225,4))</f>
        <v/>
      </c>
      <c r="R2225" s="27" t="str">
        <f aca="false">IF(J2225="","",INT(P2225/4))</f>
        <v/>
      </c>
      <c r="S2225" s="27" t="str">
        <f aca="false">IF(J2225="","",IF(AND('Daily Count Sheet'!$H$3=Q2225,MOD('Daily Count Sheet'!$I$3,J2225)=R2225),1,""))</f>
        <v/>
      </c>
      <c r="T2225" s="27" t="str">
        <f aca="false">IF(S2225=1,COUNTIF($S$2:S2225,1),"")</f>
        <v/>
      </c>
    </row>
    <row r="2226" customFormat="false" ht="15" hidden="false" customHeight="false" outlineLevel="0" collapsed="false">
      <c r="H2226" s="26"/>
      <c r="I2226" s="27" t="str">
        <f aca="false">IF(A2226="","",IF(H2226&lt;&gt;"",UPPER(TRIM(H2226)),IFERROR(CHOOSE(VALUE(E2226)+1,"A","B","C","D"),IF(OR(LEFT(UPPER(TRIM(E2226)),1)="F",UPPER(TRIM(E2226))="A"),"A",IF(OR(LEFT(UPPER(TRIM(E2226)),1)="M",UPPER(TRIM(E2226))="B"),"B",IF(OR(LEFT(UPPER(TRIM(E2226)),2)="SL",UPPER(TRIM(E2226))="C"),"C",IF(OR(LEFT(UPPER(TRIM(E2226)),1)="D",UPPER(TRIM(E2226))="D"),"D","")))))))</f>
        <v/>
      </c>
      <c r="J2226" s="27" t="str">
        <f aca="false">IF(I2226="","",IF(AND(I2226="D",Settings!$B$6&lt;&gt;"Yes"),"",IFERROR(INDEX(Settings!$C$9:$C$12,MATCH(I2226,Settings!$A$9:$A$12,0)),"")))</f>
        <v/>
      </c>
      <c r="K2226" s="27" t="str">
        <f aca="false">IF(J2226="","",COUNTIF($I$2:I2226,I2226))</f>
        <v/>
      </c>
      <c r="L2226" s="27" t="str">
        <f aca="false">IF(J2226="","",CHOOSE(Q2226+1,"Tue","Wed","Thu","Fri"))</f>
        <v/>
      </c>
      <c r="M2226" s="27" t="str">
        <f aca="false">IF(J2226="","",IF(J2226=1,"Every week",R2226+1&amp;" of "&amp;J2226))</f>
        <v/>
      </c>
      <c r="N2226" s="28" t="str">
        <f aca="false">IF(J2226="","",Settings!$B$4+R2226*7+Q2226)</f>
        <v/>
      </c>
      <c r="O2226" s="28" t="str">
        <f aca="true">IF(J2226="","",N2226+MAX(0,ROUNDUP((TODAY()-N2226)/(J2226*7),0))*J2226*7)</f>
        <v/>
      </c>
      <c r="P2226" s="27" t="str">
        <f aca="false">IF(J2226="","",MOD(K2226-1,J2226*4))</f>
        <v/>
      </c>
      <c r="Q2226" s="27" t="str">
        <f aca="false">IF(J2226="","",MOD(P2226,4))</f>
        <v/>
      </c>
      <c r="R2226" s="27" t="str">
        <f aca="false">IF(J2226="","",INT(P2226/4))</f>
        <v/>
      </c>
      <c r="S2226" s="27" t="str">
        <f aca="false">IF(J2226="","",IF(AND('Daily Count Sheet'!$H$3=Q2226,MOD('Daily Count Sheet'!$I$3,J2226)=R2226),1,""))</f>
        <v/>
      </c>
      <c r="T2226" s="27" t="str">
        <f aca="false">IF(S2226=1,COUNTIF($S$2:S2226,1),"")</f>
        <v/>
      </c>
    </row>
    <row r="2227" customFormat="false" ht="15" hidden="false" customHeight="false" outlineLevel="0" collapsed="false">
      <c r="H2227" s="26"/>
      <c r="I2227" s="27" t="str">
        <f aca="false">IF(A2227="","",IF(H2227&lt;&gt;"",UPPER(TRIM(H2227)),IFERROR(CHOOSE(VALUE(E2227)+1,"A","B","C","D"),IF(OR(LEFT(UPPER(TRIM(E2227)),1)="F",UPPER(TRIM(E2227))="A"),"A",IF(OR(LEFT(UPPER(TRIM(E2227)),1)="M",UPPER(TRIM(E2227))="B"),"B",IF(OR(LEFT(UPPER(TRIM(E2227)),2)="SL",UPPER(TRIM(E2227))="C"),"C",IF(OR(LEFT(UPPER(TRIM(E2227)),1)="D",UPPER(TRIM(E2227))="D"),"D","")))))))</f>
        <v/>
      </c>
      <c r="J2227" s="27" t="str">
        <f aca="false">IF(I2227="","",IF(AND(I2227="D",Settings!$B$6&lt;&gt;"Yes"),"",IFERROR(INDEX(Settings!$C$9:$C$12,MATCH(I2227,Settings!$A$9:$A$12,0)),"")))</f>
        <v/>
      </c>
      <c r="K2227" s="27" t="str">
        <f aca="false">IF(J2227="","",COUNTIF($I$2:I2227,I2227))</f>
        <v/>
      </c>
      <c r="L2227" s="27" t="str">
        <f aca="false">IF(J2227="","",CHOOSE(Q2227+1,"Tue","Wed","Thu","Fri"))</f>
        <v/>
      </c>
      <c r="M2227" s="27" t="str">
        <f aca="false">IF(J2227="","",IF(J2227=1,"Every week",R2227+1&amp;" of "&amp;J2227))</f>
        <v/>
      </c>
      <c r="N2227" s="28" t="str">
        <f aca="false">IF(J2227="","",Settings!$B$4+R2227*7+Q2227)</f>
        <v/>
      </c>
      <c r="O2227" s="28" t="str">
        <f aca="true">IF(J2227="","",N2227+MAX(0,ROUNDUP((TODAY()-N2227)/(J2227*7),0))*J2227*7)</f>
        <v/>
      </c>
      <c r="P2227" s="27" t="str">
        <f aca="false">IF(J2227="","",MOD(K2227-1,J2227*4))</f>
        <v/>
      </c>
      <c r="Q2227" s="27" t="str">
        <f aca="false">IF(J2227="","",MOD(P2227,4))</f>
        <v/>
      </c>
      <c r="R2227" s="27" t="str">
        <f aca="false">IF(J2227="","",INT(P2227/4))</f>
        <v/>
      </c>
      <c r="S2227" s="27" t="str">
        <f aca="false">IF(J2227="","",IF(AND('Daily Count Sheet'!$H$3=Q2227,MOD('Daily Count Sheet'!$I$3,J2227)=R2227),1,""))</f>
        <v/>
      </c>
      <c r="T2227" s="27" t="str">
        <f aca="false">IF(S2227=1,COUNTIF($S$2:S2227,1),"")</f>
        <v/>
      </c>
    </row>
    <row r="2228" customFormat="false" ht="15" hidden="false" customHeight="false" outlineLevel="0" collapsed="false">
      <c r="H2228" s="26"/>
      <c r="I2228" s="27" t="str">
        <f aca="false">IF(A2228="","",IF(H2228&lt;&gt;"",UPPER(TRIM(H2228)),IFERROR(CHOOSE(VALUE(E2228)+1,"A","B","C","D"),IF(OR(LEFT(UPPER(TRIM(E2228)),1)="F",UPPER(TRIM(E2228))="A"),"A",IF(OR(LEFT(UPPER(TRIM(E2228)),1)="M",UPPER(TRIM(E2228))="B"),"B",IF(OR(LEFT(UPPER(TRIM(E2228)),2)="SL",UPPER(TRIM(E2228))="C"),"C",IF(OR(LEFT(UPPER(TRIM(E2228)),1)="D",UPPER(TRIM(E2228))="D"),"D","")))))))</f>
        <v/>
      </c>
      <c r="J2228" s="27" t="str">
        <f aca="false">IF(I2228="","",IF(AND(I2228="D",Settings!$B$6&lt;&gt;"Yes"),"",IFERROR(INDEX(Settings!$C$9:$C$12,MATCH(I2228,Settings!$A$9:$A$12,0)),"")))</f>
        <v/>
      </c>
      <c r="K2228" s="27" t="str">
        <f aca="false">IF(J2228="","",COUNTIF($I$2:I2228,I2228))</f>
        <v/>
      </c>
      <c r="L2228" s="27" t="str">
        <f aca="false">IF(J2228="","",CHOOSE(Q2228+1,"Tue","Wed","Thu","Fri"))</f>
        <v/>
      </c>
      <c r="M2228" s="27" t="str">
        <f aca="false">IF(J2228="","",IF(J2228=1,"Every week",R2228+1&amp;" of "&amp;J2228))</f>
        <v/>
      </c>
      <c r="N2228" s="28" t="str">
        <f aca="false">IF(J2228="","",Settings!$B$4+R2228*7+Q2228)</f>
        <v/>
      </c>
      <c r="O2228" s="28" t="str">
        <f aca="true">IF(J2228="","",N2228+MAX(0,ROUNDUP((TODAY()-N2228)/(J2228*7),0))*J2228*7)</f>
        <v/>
      </c>
      <c r="P2228" s="27" t="str">
        <f aca="false">IF(J2228="","",MOD(K2228-1,J2228*4))</f>
        <v/>
      </c>
      <c r="Q2228" s="27" t="str">
        <f aca="false">IF(J2228="","",MOD(P2228,4))</f>
        <v/>
      </c>
      <c r="R2228" s="27" t="str">
        <f aca="false">IF(J2228="","",INT(P2228/4))</f>
        <v/>
      </c>
      <c r="S2228" s="27" t="str">
        <f aca="false">IF(J2228="","",IF(AND('Daily Count Sheet'!$H$3=Q2228,MOD('Daily Count Sheet'!$I$3,J2228)=R2228),1,""))</f>
        <v/>
      </c>
      <c r="T2228" s="27" t="str">
        <f aca="false">IF(S2228=1,COUNTIF($S$2:S2228,1),"")</f>
        <v/>
      </c>
    </row>
    <row r="2229" customFormat="false" ht="15" hidden="false" customHeight="false" outlineLevel="0" collapsed="false">
      <c r="H2229" s="26"/>
      <c r="I2229" s="27" t="str">
        <f aca="false">IF(A2229="","",IF(H2229&lt;&gt;"",UPPER(TRIM(H2229)),IFERROR(CHOOSE(VALUE(E2229)+1,"A","B","C","D"),IF(OR(LEFT(UPPER(TRIM(E2229)),1)="F",UPPER(TRIM(E2229))="A"),"A",IF(OR(LEFT(UPPER(TRIM(E2229)),1)="M",UPPER(TRIM(E2229))="B"),"B",IF(OR(LEFT(UPPER(TRIM(E2229)),2)="SL",UPPER(TRIM(E2229))="C"),"C",IF(OR(LEFT(UPPER(TRIM(E2229)),1)="D",UPPER(TRIM(E2229))="D"),"D","")))))))</f>
        <v/>
      </c>
      <c r="J2229" s="27" t="str">
        <f aca="false">IF(I2229="","",IF(AND(I2229="D",Settings!$B$6&lt;&gt;"Yes"),"",IFERROR(INDEX(Settings!$C$9:$C$12,MATCH(I2229,Settings!$A$9:$A$12,0)),"")))</f>
        <v/>
      </c>
      <c r="K2229" s="27" t="str">
        <f aca="false">IF(J2229="","",COUNTIF($I$2:I2229,I2229))</f>
        <v/>
      </c>
      <c r="L2229" s="27" t="str">
        <f aca="false">IF(J2229="","",CHOOSE(Q2229+1,"Tue","Wed","Thu","Fri"))</f>
        <v/>
      </c>
      <c r="M2229" s="27" t="str">
        <f aca="false">IF(J2229="","",IF(J2229=1,"Every week",R2229+1&amp;" of "&amp;J2229))</f>
        <v/>
      </c>
      <c r="N2229" s="28" t="str">
        <f aca="false">IF(J2229="","",Settings!$B$4+R2229*7+Q2229)</f>
        <v/>
      </c>
      <c r="O2229" s="28" t="str">
        <f aca="true">IF(J2229="","",N2229+MAX(0,ROUNDUP((TODAY()-N2229)/(J2229*7),0))*J2229*7)</f>
        <v/>
      </c>
      <c r="P2229" s="27" t="str">
        <f aca="false">IF(J2229="","",MOD(K2229-1,J2229*4))</f>
        <v/>
      </c>
      <c r="Q2229" s="27" t="str">
        <f aca="false">IF(J2229="","",MOD(P2229,4))</f>
        <v/>
      </c>
      <c r="R2229" s="27" t="str">
        <f aca="false">IF(J2229="","",INT(P2229/4))</f>
        <v/>
      </c>
      <c r="S2229" s="27" t="str">
        <f aca="false">IF(J2229="","",IF(AND('Daily Count Sheet'!$H$3=Q2229,MOD('Daily Count Sheet'!$I$3,J2229)=R2229),1,""))</f>
        <v/>
      </c>
      <c r="T2229" s="27" t="str">
        <f aca="false">IF(S2229=1,COUNTIF($S$2:S2229,1),"")</f>
        <v/>
      </c>
    </row>
    <row r="2230" customFormat="false" ht="15" hidden="false" customHeight="false" outlineLevel="0" collapsed="false">
      <c r="H2230" s="26"/>
      <c r="I2230" s="27" t="str">
        <f aca="false">IF(A2230="","",IF(H2230&lt;&gt;"",UPPER(TRIM(H2230)),IFERROR(CHOOSE(VALUE(E2230)+1,"A","B","C","D"),IF(OR(LEFT(UPPER(TRIM(E2230)),1)="F",UPPER(TRIM(E2230))="A"),"A",IF(OR(LEFT(UPPER(TRIM(E2230)),1)="M",UPPER(TRIM(E2230))="B"),"B",IF(OR(LEFT(UPPER(TRIM(E2230)),2)="SL",UPPER(TRIM(E2230))="C"),"C",IF(OR(LEFT(UPPER(TRIM(E2230)),1)="D",UPPER(TRIM(E2230))="D"),"D","")))))))</f>
        <v/>
      </c>
      <c r="J2230" s="27" t="str">
        <f aca="false">IF(I2230="","",IF(AND(I2230="D",Settings!$B$6&lt;&gt;"Yes"),"",IFERROR(INDEX(Settings!$C$9:$C$12,MATCH(I2230,Settings!$A$9:$A$12,0)),"")))</f>
        <v/>
      </c>
      <c r="K2230" s="27" t="str">
        <f aca="false">IF(J2230="","",COUNTIF($I$2:I2230,I2230))</f>
        <v/>
      </c>
      <c r="L2230" s="27" t="str">
        <f aca="false">IF(J2230="","",CHOOSE(Q2230+1,"Tue","Wed","Thu","Fri"))</f>
        <v/>
      </c>
      <c r="M2230" s="27" t="str">
        <f aca="false">IF(J2230="","",IF(J2230=1,"Every week",R2230+1&amp;" of "&amp;J2230))</f>
        <v/>
      </c>
      <c r="N2230" s="28" t="str">
        <f aca="false">IF(J2230="","",Settings!$B$4+R2230*7+Q2230)</f>
        <v/>
      </c>
      <c r="O2230" s="28" t="str">
        <f aca="true">IF(J2230="","",N2230+MAX(0,ROUNDUP((TODAY()-N2230)/(J2230*7),0))*J2230*7)</f>
        <v/>
      </c>
      <c r="P2230" s="27" t="str">
        <f aca="false">IF(J2230="","",MOD(K2230-1,J2230*4))</f>
        <v/>
      </c>
      <c r="Q2230" s="27" t="str">
        <f aca="false">IF(J2230="","",MOD(P2230,4))</f>
        <v/>
      </c>
      <c r="R2230" s="27" t="str">
        <f aca="false">IF(J2230="","",INT(P2230/4))</f>
        <v/>
      </c>
      <c r="S2230" s="27" t="str">
        <f aca="false">IF(J2230="","",IF(AND('Daily Count Sheet'!$H$3=Q2230,MOD('Daily Count Sheet'!$I$3,J2230)=R2230),1,""))</f>
        <v/>
      </c>
      <c r="T2230" s="27" t="str">
        <f aca="false">IF(S2230=1,COUNTIF($S$2:S2230,1),"")</f>
        <v/>
      </c>
    </row>
    <row r="2231" customFormat="false" ht="15" hidden="false" customHeight="false" outlineLevel="0" collapsed="false">
      <c r="H2231" s="26"/>
      <c r="I2231" s="27" t="str">
        <f aca="false">IF(A2231="","",IF(H2231&lt;&gt;"",UPPER(TRIM(H2231)),IFERROR(CHOOSE(VALUE(E2231)+1,"A","B","C","D"),IF(OR(LEFT(UPPER(TRIM(E2231)),1)="F",UPPER(TRIM(E2231))="A"),"A",IF(OR(LEFT(UPPER(TRIM(E2231)),1)="M",UPPER(TRIM(E2231))="B"),"B",IF(OR(LEFT(UPPER(TRIM(E2231)),2)="SL",UPPER(TRIM(E2231))="C"),"C",IF(OR(LEFT(UPPER(TRIM(E2231)),1)="D",UPPER(TRIM(E2231))="D"),"D","")))))))</f>
        <v/>
      </c>
      <c r="J2231" s="27" t="str">
        <f aca="false">IF(I2231="","",IF(AND(I2231="D",Settings!$B$6&lt;&gt;"Yes"),"",IFERROR(INDEX(Settings!$C$9:$C$12,MATCH(I2231,Settings!$A$9:$A$12,0)),"")))</f>
        <v/>
      </c>
      <c r="K2231" s="27" t="str">
        <f aca="false">IF(J2231="","",COUNTIF($I$2:I2231,I2231))</f>
        <v/>
      </c>
      <c r="L2231" s="27" t="str">
        <f aca="false">IF(J2231="","",CHOOSE(Q2231+1,"Tue","Wed","Thu","Fri"))</f>
        <v/>
      </c>
      <c r="M2231" s="27" t="str">
        <f aca="false">IF(J2231="","",IF(J2231=1,"Every week",R2231+1&amp;" of "&amp;J2231))</f>
        <v/>
      </c>
      <c r="N2231" s="28" t="str">
        <f aca="false">IF(J2231="","",Settings!$B$4+R2231*7+Q2231)</f>
        <v/>
      </c>
      <c r="O2231" s="28" t="str">
        <f aca="true">IF(J2231="","",N2231+MAX(0,ROUNDUP((TODAY()-N2231)/(J2231*7),0))*J2231*7)</f>
        <v/>
      </c>
      <c r="P2231" s="27" t="str">
        <f aca="false">IF(J2231="","",MOD(K2231-1,J2231*4))</f>
        <v/>
      </c>
      <c r="Q2231" s="27" t="str">
        <f aca="false">IF(J2231="","",MOD(P2231,4))</f>
        <v/>
      </c>
      <c r="R2231" s="27" t="str">
        <f aca="false">IF(J2231="","",INT(P2231/4))</f>
        <v/>
      </c>
      <c r="S2231" s="27" t="str">
        <f aca="false">IF(J2231="","",IF(AND('Daily Count Sheet'!$H$3=Q2231,MOD('Daily Count Sheet'!$I$3,J2231)=R2231),1,""))</f>
        <v/>
      </c>
      <c r="T2231" s="27" t="str">
        <f aca="false">IF(S2231=1,COUNTIF($S$2:S2231,1),"")</f>
        <v/>
      </c>
    </row>
    <row r="2232" customFormat="false" ht="15" hidden="false" customHeight="false" outlineLevel="0" collapsed="false">
      <c r="H2232" s="26"/>
      <c r="I2232" s="27" t="str">
        <f aca="false">IF(A2232="","",IF(H2232&lt;&gt;"",UPPER(TRIM(H2232)),IFERROR(CHOOSE(VALUE(E2232)+1,"A","B","C","D"),IF(OR(LEFT(UPPER(TRIM(E2232)),1)="F",UPPER(TRIM(E2232))="A"),"A",IF(OR(LEFT(UPPER(TRIM(E2232)),1)="M",UPPER(TRIM(E2232))="B"),"B",IF(OR(LEFT(UPPER(TRIM(E2232)),2)="SL",UPPER(TRIM(E2232))="C"),"C",IF(OR(LEFT(UPPER(TRIM(E2232)),1)="D",UPPER(TRIM(E2232))="D"),"D","")))))))</f>
        <v/>
      </c>
      <c r="J2232" s="27" t="str">
        <f aca="false">IF(I2232="","",IF(AND(I2232="D",Settings!$B$6&lt;&gt;"Yes"),"",IFERROR(INDEX(Settings!$C$9:$C$12,MATCH(I2232,Settings!$A$9:$A$12,0)),"")))</f>
        <v/>
      </c>
      <c r="K2232" s="27" t="str">
        <f aca="false">IF(J2232="","",COUNTIF($I$2:I2232,I2232))</f>
        <v/>
      </c>
      <c r="L2232" s="27" t="str">
        <f aca="false">IF(J2232="","",CHOOSE(Q2232+1,"Tue","Wed","Thu","Fri"))</f>
        <v/>
      </c>
      <c r="M2232" s="27" t="str">
        <f aca="false">IF(J2232="","",IF(J2232=1,"Every week",R2232+1&amp;" of "&amp;J2232))</f>
        <v/>
      </c>
      <c r="N2232" s="28" t="str">
        <f aca="false">IF(J2232="","",Settings!$B$4+R2232*7+Q2232)</f>
        <v/>
      </c>
      <c r="O2232" s="28" t="str">
        <f aca="true">IF(J2232="","",N2232+MAX(0,ROUNDUP((TODAY()-N2232)/(J2232*7),0))*J2232*7)</f>
        <v/>
      </c>
      <c r="P2232" s="27" t="str">
        <f aca="false">IF(J2232="","",MOD(K2232-1,J2232*4))</f>
        <v/>
      </c>
      <c r="Q2232" s="27" t="str">
        <f aca="false">IF(J2232="","",MOD(P2232,4))</f>
        <v/>
      </c>
      <c r="R2232" s="27" t="str">
        <f aca="false">IF(J2232="","",INT(P2232/4))</f>
        <v/>
      </c>
      <c r="S2232" s="27" t="str">
        <f aca="false">IF(J2232="","",IF(AND('Daily Count Sheet'!$H$3=Q2232,MOD('Daily Count Sheet'!$I$3,J2232)=R2232),1,""))</f>
        <v/>
      </c>
      <c r="T2232" s="27" t="str">
        <f aca="false">IF(S2232=1,COUNTIF($S$2:S2232,1),"")</f>
        <v/>
      </c>
    </row>
    <row r="2233" customFormat="false" ht="15" hidden="false" customHeight="false" outlineLevel="0" collapsed="false">
      <c r="H2233" s="26"/>
      <c r="I2233" s="27" t="str">
        <f aca="false">IF(A2233="","",IF(H2233&lt;&gt;"",UPPER(TRIM(H2233)),IFERROR(CHOOSE(VALUE(E2233)+1,"A","B","C","D"),IF(OR(LEFT(UPPER(TRIM(E2233)),1)="F",UPPER(TRIM(E2233))="A"),"A",IF(OR(LEFT(UPPER(TRIM(E2233)),1)="M",UPPER(TRIM(E2233))="B"),"B",IF(OR(LEFT(UPPER(TRIM(E2233)),2)="SL",UPPER(TRIM(E2233))="C"),"C",IF(OR(LEFT(UPPER(TRIM(E2233)),1)="D",UPPER(TRIM(E2233))="D"),"D","")))))))</f>
        <v/>
      </c>
      <c r="J2233" s="27" t="str">
        <f aca="false">IF(I2233="","",IF(AND(I2233="D",Settings!$B$6&lt;&gt;"Yes"),"",IFERROR(INDEX(Settings!$C$9:$C$12,MATCH(I2233,Settings!$A$9:$A$12,0)),"")))</f>
        <v/>
      </c>
      <c r="K2233" s="27" t="str">
        <f aca="false">IF(J2233="","",COUNTIF($I$2:I2233,I2233))</f>
        <v/>
      </c>
      <c r="L2233" s="27" t="str">
        <f aca="false">IF(J2233="","",CHOOSE(Q2233+1,"Tue","Wed","Thu","Fri"))</f>
        <v/>
      </c>
      <c r="M2233" s="27" t="str">
        <f aca="false">IF(J2233="","",IF(J2233=1,"Every week",R2233+1&amp;" of "&amp;J2233))</f>
        <v/>
      </c>
      <c r="N2233" s="28" t="str">
        <f aca="false">IF(J2233="","",Settings!$B$4+R2233*7+Q2233)</f>
        <v/>
      </c>
      <c r="O2233" s="28" t="str">
        <f aca="true">IF(J2233="","",N2233+MAX(0,ROUNDUP((TODAY()-N2233)/(J2233*7),0))*J2233*7)</f>
        <v/>
      </c>
      <c r="P2233" s="27" t="str">
        <f aca="false">IF(J2233="","",MOD(K2233-1,J2233*4))</f>
        <v/>
      </c>
      <c r="Q2233" s="27" t="str">
        <f aca="false">IF(J2233="","",MOD(P2233,4))</f>
        <v/>
      </c>
      <c r="R2233" s="27" t="str">
        <f aca="false">IF(J2233="","",INT(P2233/4))</f>
        <v/>
      </c>
      <c r="S2233" s="27" t="str">
        <f aca="false">IF(J2233="","",IF(AND('Daily Count Sheet'!$H$3=Q2233,MOD('Daily Count Sheet'!$I$3,J2233)=R2233),1,""))</f>
        <v/>
      </c>
      <c r="T2233" s="27" t="str">
        <f aca="false">IF(S2233=1,COUNTIF($S$2:S2233,1),"")</f>
        <v/>
      </c>
    </row>
    <row r="2234" customFormat="false" ht="15" hidden="false" customHeight="false" outlineLevel="0" collapsed="false">
      <c r="H2234" s="26"/>
      <c r="I2234" s="27" t="str">
        <f aca="false">IF(A2234="","",IF(H2234&lt;&gt;"",UPPER(TRIM(H2234)),IFERROR(CHOOSE(VALUE(E2234)+1,"A","B","C","D"),IF(OR(LEFT(UPPER(TRIM(E2234)),1)="F",UPPER(TRIM(E2234))="A"),"A",IF(OR(LEFT(UPPER(TRIM(E2234)),1)="M",UPPER(TRIM(E2234))="B"),"B",IF(OR(LEFT(UPPER(TRIM(E2234)),2)="SL",UPPER(TRIM(E2234))="C"),"C",IF(OR(LEFT(UPPER(TRIM(E2234)),1)="D",UPPER(TRIM(E2234))="D"),"D","")))))))</f>
        <v/>
      </c>
      <c r="J2234" s="27" t="str">
        <f aca="false">IF(I2234="","",IF(AND(I2234="D",Settings!$B$6&lt;&gt;"Yes"),"",IFERROR(INDEX(Settings!$C$9:$C$12,MATCH(I2234,Settings!$A$9:$A$12,0)),"")))</f>
        <v/>
      </c>
      <c r="K2234" s="27" t="str">
        <f aca="false">IF(J2234="","",COUNTIF($I$2:I2234,I2234))</f>
        <v/>
      </c>
      <c r="L2234" s="27" t="str">
        <f aca="false">IF(J2234="","",CHOOSE(Q2234+1,"Tue","Wed","Thu","Fri"))</f>
        <v/>
      </c>
      <c r="M2234" s="27" t="str">
        <f aca="false">IF(J2234="","",IF(J2234=1,"Every week",R2234+1&amp;" of "&amp;J2234))</f>
        <v/>
      </c>
      <c r="N2234" s="28" t="str">
        <f aca="false">IF(J2234="","",Settings!$B$4+R2234*7+Q2234)</f>
        <v/>
      </c>
      <c r="O2234" s="28" t="str">
        <f aca="true">IF(J2234="","",N2234+MAX(0,ROUNDUP((TODAY()-N2234)/(J2234*7),0))*J2234*7)</f>
        <v/>
      </c>
      <c r="P2234" s="27" t="str">
        <f aca="false">IF(J2234="","",MOD(K2234-1,J2234*4))</f>
        <v/>
      </c>
      <c r="Q2234" s="27" t="str">
        <f aca="false">IF(J2234="","",MOD(P2234,4))</f>
        <v/>
      </c>
      <c r="R2234" s="27" t="str">
        <f aca="false">IF(J2234="","",INT(P2234/4))</f>
        <v/>
      </c>
      <c r="S2234" s="27" t="str">
        <f aca="false">IF(J2234="","",IF(AND('Daily Count Sheet'!$H$3=Q2234,MOD('Daily Count Sheet'!$I$3,J2234)=R2234),1,""))</f>
        <v/>
      </c>
      <c r="T2234" s="27" t="str">
        <f aca="false">IF(S2234=1,COUNTIF($S$2:S2234,1),"")</f>
        <v/>
      </c>
    </row>
    <row r="2235" customFormat="false" ht="15" hidden="false" customHeight="false" outlineLevel="0" collapsed="false">
      <c r="H2235" s="26"/>
      <c r="I2235" s="27" t="str">
        <f aca="false">IF(A2235="","",IF(H2235&lt;&gt;"",UPPER(TRIM(H2235)),IFERROR(CHOOSE(VALUE(E2235)+1,"A","B","C","D"),IF(OR(LEFT(UPPER(TRIM(E2235)),1)="F",UPPER(TRIM(E2235))="A"),"A",IF(OR(LEFT(UPPER(TRIM(E2235)),1)="M",UPPER(TRIM(E2235))="B"),"B",IF(OR(LEFT(UPPER(TRIM(E2235)),2)="SL",UPPER(TRIM(E2235))="C"),"C",IF(OR(LEFT(UPPER(TRIM(E2235)),1)="D",UPPER(TRIM(E2235))="D"),"D","")))))))</f>
        <v/>
      </c>
      <c r="J2235" s="27" t="str">
        <f aca="false">IF(I2235="","",IF(AND(I2235="D",Settings!$B$6&lt;&gt;"Yes"),"",IFERROR(INDEX(Settings!$C$9:$C$12,MATCH(I2235,Settings!$A$9:$A$12,0)),"")))</f>
        <v/>
      </c>
      <c r="K2235" s="27" t="str">
        <f aca="false">IF(J2235="","",COUNTIF($I$2:I2235,I2235))</f>
        <v/>
      </c>
      <c r="L2235" s="27" t="str">
        <f aca="false">IF(J2235="","",CHOOSE(Q2235+1,"Tue","Wed","Thu","Fri"))</f>
        <v/>
      </c>
      <c r="M2235" s="27" t="str">
        <f aca="false">IF(J2235="","",IF(J2235=1,"Every week",R2235+1&amp;" of "&amp;J2235))</f>
        <v/>
      </c>
      <c r="N2235" s="28" t="str">
        <f aca="false">IF(J2235="","",Settings!$B$4+R2235*7+Q2235)</f>
        <v/>
      </c>
      <c r="O2235" s="28" t="str">
        <f aca="true">IF(J2235="","",N2235+MAX(0,ROUNDUP((TODAY()-N2235)/(J2235*7),0))*J2235*7)</f>
        <v/>
      </c>
      <c r="P2235" s="27" t="str">
        <f aca="false">IF(J2235="","",MOD(K2235-1,J2235*4))</f>
        <v/>
      </c>
      <c r="Q2235" s="27" t="str">
        <f aca="false">IF(J2235="","",MOD(P2235,4))</f>
        <v/>
      </c>
      <c r="R2235" s="27" t="str">
        <f aca="false">IF(J2235="","",INT(P2235/4))</f>
        <v/>
      </c>
      <c r="S2235" s="27" t="str">
        <f aca="false">IF(J2235="","",IF(AND('Daily Count Sheet'!$H$3=Q2235,MOD('Daily Count Sheet'!$I$3,J2235)=R2235),1,""))</f>
        <v/>
      </c>
      <c r="T2235" s="27" t="str">
        <f aca="false">IF(S2235=1,COUNTIF($S$2:S2235,1),"")</f>
        <v/>
      </c>
    </row>
    <row r="2236" customFormat="false" ht="15" hidden="false" customHeight="false" outlineLevel="0" collapsed="false">
      <c r="H2236" s="26"/>
      <c r="I2236" s="27" t="str">
        <f aca="false">IF(A2236="","",IF(H2236&lt;&gt;"",UPPER(TRIM(H2236)),IFERROR(CHOOSE(VALUE(E2236)+1,"A","B","C","D"),IF(OR(LEFT(UPPER(TRIM(E2236)),1)="F",UPPER(TRIM(E2236))="A"),"A",IF(OR(LEFT(UPPER(TRIM(E2236)),1)="M",UPPER(TRIM(E2236))="B"),"B",IF(OR(LEFT(UPPER(TRIM(E2236)),2)="SL",UPPER(TRIM(E2236))="C"),"C",IF(OR(LEFT(UPPER(TRIM(E2236)),1)="D",UPPER(TRIM(E2236))="D"),"D","")))))))</f>
        <v/>
      </c>
      <c r="J2236" s="27" t="str">
        <f aca="false">IF(I2236="","",IF(AND(I2236="D",Settings!$B$6&lt;&gt;"Yes"),"",IFERROR(INDEX(Settings!$C$9:$C$12,MATCH(I2236,Settings!$A$9:$A$12,0)),"")))</f>
        <v/>
      </c>
      <c r="K2236" s="27" t="str">
        <f aca="false">IF(J2236="","",COUNTIF($I$2:I2236,I2236))</f>
        <v/>
      </c>
      <c r="L2236" s="27" t="str">
        <f aca="false">IF(J2236="","",CHOOSE(Q2236+1,"Tue","Wed","Thu","Fri"))</f>
        <v/>
      </c>
      <c r="M2236" s="27" t="str">
        <f aca="false">IF(J2236="","",IF(J2236=1,"Every week",R2236+1&amp;" of "&amp;J2236))</f>
        <v/>
      </c>
      <c r="N2236" s="28" t="str">
        <f aca="false">IF(J2236="","",Settings!$B$4+R2236*7+Q2236)</f>
        <v/>
      </c>
      <c r="O2236" s="28" t="str">
        <f aca="true">IF(J2236="","",N2236+MAX(0,ROUNDUP((TODAY()-N2236)/(J2236*7),0))*J2236*7)</f>
        <v/>
      </c>
      <c r="P2236" s="27" t="str">
        <f aca="false">IF(J2236="","",MOD(K2236-1,J2236*4))</f>
        <v/>
      </c>
      <c r="Q2236" s="27" t="str">
        <f aca="false">IF(J2236="","",MOD(P2236,4))</f>
        <v/>
      </c>
      <c r="R2236" s="27" t="str">
        <f aca="false">IF(J2236="","",INT(P2236/4))</f>
        <v/>
      </c>
      <c r="S2236" s="27" t="str">
        <f aca="false">IF(J2236="","",IF(AND('Daily Count Sheet'!$H$3=Q2236,MOD('Daily Count Sheet'!$I$3,J2236)=R2236),1,""))</f>
        <v/>
      </c>
      <c r="T2236" s="27" t="str">
        <f aca="false">IF(S2236=1,COUNTIF($S$2:S2236,1),"")</f>
        <v/>
      </c>
    </row>
    <row r="2237" customFormat="false" ht="15" hidden="false" customHeight="false" outlineLevel="0" collapsed="false">
      <c r="H2237" s="26"/>
      <c r="I2237" s="27" t="str">
        <f aca="false">IF(A2237="","",IF(H2237&lt;&gt;"",UPPER(TRIM(H2237)),IFERROR(CHOOSE(VALUE(E2237)+1,"A","B","C","D"),IF(OR(LEFT(UPPER(TRIM(E2237)),1)="F",UPPER(TRIM(E2237))="A"),"A",IF(OR(LEFT(UPPER(TRIM(E2237)),1)="M",UPPER(TRIM(E2237))="B"),"B",IF(OR(LEFT(UPPER(TRIM(E2237)),2)="SL",UPPER(TRIM(E2237))="C"),"C",IF(OR(LEFT(UPPER(TRIM(E2237)),1)="D",UPPER(TRIM(E2237))="D"),"D","")))))))</f>
        <v/>
      </c>
      <c r="J2237" s="27" t="str">
        <f aca="false">IF(I2237="","",IF(AND(I2237="D",Settings!$B$6&lt;&gt;"Yes"),"",IFERROR(INDEX(Settings!$C$9:$C$12,MATCH(I2237,Settings!$A$9:$A$12,0)),"")))</f>
        <v/>
      </c>
      <c r="K2237" s="27" t="str">
        <f aca="false">IF(J2237="","",COUNTIF($I$2:I2237,I2237))</f>
        <v/>
      </c>
      <c r="L2237" s="27" t="str">
        <f aca="false">IF(J2237="","",CHOOSE(Q2237+1,"Tue","Wed","Thu","Fri"))</f>
        <v/>
      </c>
      <c r="M2237" s="27" t="str">
        <f aca="false">IF(J2237="","",IF(J2237=1,"Every week",R2237+1&amp;" of "&amp;J2237))</f>
        <v/>
      </c>
      <c r="N2237" s="28" t="str">
        <f aca="false">IF(J2237="","",Settings!$B$4+R2237*7+Q2237)</f>
        <v/>
      </c>
      <c r="O2237" s="28" t="str">
        <f aca="true">IF(J2237="","",N2237+MAX(0,ROUNDUP((TODAY()-N2237)/(J2237*7),0))*J2237*7)</f>
        <v/>
      </c>
      <c r="P2237" s="27" t="str">
        <f aca="false">IF(J2237="","",MOD(K2237-1,J2237*4))</f>
        <v/>
      </c>
      <c r="Q2237" s="27" t="str">
        <f aca="false">IF(J2237="","",MOD(P2237,4))</f>
        <v/>
      </c>
      <c r="R2237" s="27" t="str">
        <f aca="false">IF(J2237="","",INT(P2237/4))</f>
        <v/>
      </c>
      <c r="S2237" s="27" t="str">
        <f aca="false">IF(J2237="","",IF(AND('Daily Count Sheet'!$H$3=Q2237,MOD('Daily Count Sheet'!$I$3,J2237)=R2237),1,""))</f>
        <v/>
      </c>
      <c r="T2237" s="27" t="str">
        <f aca="false">IF(S2237=1,COUNTIF($S$2:S2237,1),"")</f>
        <v/>
      </c>
    </row>
    <row r="2238" customFormat="false" ht="15" hidden="false" customHeight="false" outlineLevel="0" collapsed="false">
      <c r="H2238" s="26"/>
      <c r="I2238" s="27" t="str">
        <f aca="false">IF(A2238="","",IF(H2238&lt;&gt;"",UPPER(TRIM(H2238)),IFERROR(CHOOSE(VALUE(E2238)+1,"A","B","C","D"),IF(OR(LEFT(UPPER(TRIM(E2238)),1)="F",UPPER(TRIM(E2238))="A"),"A",IF(OR(LEFT(UPPER(TRIM(E2238)),1)="M",UPPER(TRIM(E2238))="B"),"B",IF(OR(LEFT(UPPER(TRIM(E2238)),2)="SL",UPPER(TRIM(E2238))="C"),"C",IF(OR(LEFT(UPPER(TRIM(E2238)),1)="D",UPPER(TRIM(E2238))="D"),"D","")))))))</f>
        <v/>
      </c>
      <c r="J2238" s="27" t="str">
        <f aca="false">IF(I2238="","",IF(AND(I2238="D",Settings!$B$6&lt;&gt;"Yes"),"",IFERROR(INDEX(Settings!$C$9:$C$12,MATCH(I2238,Settings!$A$9:$A$12,0)),"")))</f>
        <v/>
      </c>
      <c r="K2238" s="27" t="str">
        <f aca="false">IF(J2238="","",COUNTIF($I$2:I2238,I2238))</f>
        <v/>
      </c>
      <c r="L2238" s="27" t="str">
        <f aca="false">IF(J2238="","",CHOOSE(Q2238+1,"Tue","Wed","Thu","Fri"))</f>
        <v/>
      </c>
      <c r="M2238" s="27" t="str">
        <f aca="false">IF(J2238="","",IF(J2238=1,"Every week",R2238+1&amp;" of "&amp;J2238))</f>
        <v/>
      </c>
      <c r="N2238" s="28" t="str">
        <f aca="false">IF(J2238="","",Settings!$B$4+R2238*7+Q2238)</f>
        <v/>
      </c>
      <c r="O2238" s="28" t="str">
        <f aca="true">IF(J2238="","",N2238+MAX(0,ROUNDUP((TODAY()-N2238)/(J2238*7),0))*J2238*7)</f>
        <v/>
      </c>
      <c r="P2238" s="27" t="str">
        <f aca="false">IF(J2238="","",MOD(K2238-1,J2238*4))</f>
        <v/>
      </c>
      <c r="Q2238" s="27" t="str">
        <f aca="false">IF(J2238="","",MOD(P2238,4))</f>
        <v/>
      </c>
      <c r="R2238" s="27" t="str">
        <f aca="false">IF(J2238="","",INT(P2238/4))</f>
        <v/>
      </c>
      <c r="S2238" s="27" t="str">
        <f aca="false">IF(J2238="","",IF(AND('Daily Count Sheet'!$H$3=Q2238,MOD('Daily Count Sheet'!$I$3,J2238)=R2238),1,""))</f>
        <v/>
      </c>
      <c r="T2238" s="27" t="str">
        <f aca="false">IF(S2238=1,COUNTIF($S$2:S2238,1),"")</f>
        <v/>
      </c>
    </row>
    <row r="2239" customFormat="false" ht="15" hidden="false" customHeight="false" outlineLevel="0" collapsed="false">
      <c r="H2239" s="26"/>
      <c r="I2239" s="27" t="str">
        <f aca="false">IF(A2239="","",IF(H2239&lt;&gt;"",UPPER(TRIM(H2239)),IFERROR(CHOOSE(VALUE(E2239)+1,"A","B","C","D"),IF(OR(LEFT(UPPER(TRIM(E2239)),1)="F",UPPER(TRIM(E2239))="A"),"A",IF(OR(LEFT(UPPER(TRIM(E2239)),1)="M",UPPER(TRIM(E2239))="B"),"B",IF(OR(LEFT(UPPER(TRIM(E2239)),2)="SL",UPPER(TRIM(E2239))="C"),"C",IF(OR(LEFT(UPPER(TRIM(E2239)),1)="D",UPPER(TRIM(E2239))="D"),"D","")))))))</f>
        <v/>
      </c>
      <c r="J2239" s="27" t="str">
        <f aca="false">IF(I2239="","",IF(AND(I2239="D",Settings!$B$6&lt;&gt;"Yes"),"",IFERROR(INDEX(Settings!$C$9:$C$12,MATCH(I2239,Settings!$A$9:$A$12,0)),"")))</f>
        <v/>
      </c>
      <c r="K2239" s="27" t="str">
        <f aca="false">IF(J2239="","",COUNTIF($I$2:I2239,I2239))</f>
        <v/>
      </c>
      <c r="L2239" s="27" t="str">
        <f aca="false">IF(J2239="","",CHOOSE(Q2239+1,"Tue","Wed","Thu","Fri"))</f>
        <v/>
      </c>
      <c r="M2239" s="27" t="str">
        <f aca="false">IF(J2239="","",IF(J2239=1,"Every week",R2239+1&amp;" of "&amp;J2239))</f>
        <v/>
      </c>
      <c r="N2239" s="28" t="str">
        <f aca="false">IF(J2239="","",Settings!$B$4+R2239*7+Q2239)</f>
        <v/>
      </c>
      <c r="O2239" s="28" t="str">
        <f aca="true">IF(J2239="","",N2239+MAX(0,ROUNDUP((TODAY()-N2239)/(J2239*7),0))*J2239*7)</f>
        <v/>
      </c>
      <c r="P2239" s="27" t="str">
        <f aca="false">IF(J2239="","",MOD(K2239-1,J2239*4))</f>
        <v/>
      </c>
      <c r="Q2239" s="27" t="str">
        <f aca="false">IF(J2239="","",MOD(P2239,4))</f>
        <v/>
      </c>
      <c r="R2239" s="27" t="str">
        <f aca="false">IF(J2239="","",INT(P2239/4))</f>
        <v/>
      </c>
      <c r="S2239" s="27" t="str">
        <f aca="false">IF(J2239="","",IF(AND('Daily Count Sheet'!$H$3=Q2239,MOD('Daily Count Sheet'!$I$3,J2239)=R2239),1,""))</f>
        <v/>
      </c>
      <c r="T2239" s="27" t="str">
        <f aca="false">IF(S2239=1,COUNTIF($S$2:S2239,1),"")</f>
        <v/>
      </c>
    </row>
    <row r="2240" customFormat="false" ht="15" hidden="false" customHeight="false" outlineLevel="0" collapsed="false">
      <c r="H2240" s="26"/>
      <c r="I2240" s="27" t="str">
        <f aca="false">IF(A2240="","",IF(H2240&lt;&gt;"",UPPER(TRIM(H2240)),IFERROR(CHOOSE(VALUE(E2240)+1,"A","B","C","D"),IF(OR(LEFT(UPPER(TRIM(E2240)),1)="F",UPPER(TRIM(E2240))="A"),"A",IF(OR(LEFT(UPPER(TRIM(E2240)),1)="M",UPPER(TRIM(E2240))="B"),"B",IF(OR(LEFT(UPPER(TRIM(E2240)),2)="SL",UPPER(TRIM(E2240))="C"),"C",IF(OR(LEFT(UPPER(TRIM(E2240)),1)="D",UPPER(TRIM(E2240))="D"),"D","")))))))</f>
        <v/>
      </c>
      <c r="J2240" s="27" t="str">
        <f aca="false">IF(I2240="","",IF(AND(I2240="D",Settings!$B$6&lt;&gt;"Yes"),"",IFERROR(INDEX(Settings!$C$9:$C$12,MATCH(I2240,Settings!$A$9:$A$12,0)),"")))</f>
        <v/>
      </c>
      <c r="K2240" s="27" t="str">
        <f aca="false">IF(J2240="","",COUNTIF($I$2:I2240,I2240))</f>
        <v/>
      </c>
      <c r="L2240" s="27" t="str">
        <f aca="false">IF(J2240="","",CHOOSE(Q2240+1,"Tue","Wed","Thu","Fri"))</f>
        <v/>
      </c>
      <c r="M2240" s="27" t="str">
        <f aca="false">IF(J2240="","",IF(J2240=1,"Every week",R2240+1&amp;" of "&amp;J2240))</f>
        <v/>
      </c>
      <c r="N2240" s="28" t="str">
        <f aca="false">IF(J2240="","",Settings!$B$4+R2240*7+Q2240)</f>
        <v/>
      </c>
      <c r="O2240" s="28" t="str">
        <f aca="true">IF(J2240="","",N2240+MAX(0,ROUNDUP((TODAY()-N2240)/(J2240*7),0))*J2240*7)</f>
        <v/>
      </c>
      <c r="P2240" s="27" t="str">
        <f aca="false">IF(J2240="","",MOD(K2240-1,J2240*4))</f>
        <v/>
      </c>
      <c r="Q2240" s="27" t="str">
        <f aca="false">IF(J2240="","",MOD(P2240,4))</f>
        <v/>
      </c>
      <c r="R2240" s="27" t="str">
        <f aca="false">IF(J2240="","",INT(P2240/4))</f>
        <v/>
      </c>
      <c r="S2240" s="27" t="str">
        <f aca="false">IF(J2240="","",IF(AND('Daily Count Sheet'!$H$3=Q2240,MOD('Daily Count Sheet'!$I$3,J2240)=R2240),1,""))</f>
        <v/>
      </c>
      <c r="T2240" s="27" t="str">
        <f aca="false">IF(S2240=1,COUNTIF($S$2:S2240,1),"")</f>
        <v/>
      </c>
    </row>
    <row r="2241" customFormat="false" ht="15" hidden="false" customHeight="false" outlineLevel="0" collapsed="false">
      <c r="H2241" s="26"/>
      <c r="I2241" s="27" t="str">
        <f aca="false">IF(A2241="","",IF(H2241&lt;&gt;"",UPPER(TRIM(H2241)),IFERROR(CHOOSE(VALUE(E2241)+1,"A","B","C","D"),IF(OR(LEFT(UPPER(TRIM(E2241)),1)="F",UPPER(TRIM(E2241))="A"),"A",IF(OR(LEFT(UPPER(TRIM(E2241)),1)="M",UPPER(TRIM(E2241))="B"),"B",IF(OR(LEFT(UPPER(TRIM(E2241)),2)="SL",UPPER(TRIM(E2241))="C"),"C",IF(OR(LEFT(UPPER(TRIM(E2241)),1)="D",UPPER(TRIM(E2241))="D"),"D","")))))))</f>
        <v/>
      </c>
      <c r="J2241" s="27" t="str">
        <f aca="false">IF(I2241="","",IF(AND(I2241="D",Settings!$B$6&lt;&gt;"Yes"),"",IFERROR(INDEX(Settings!$C$9:$C$12,MATCH(I2241,Settings!$A$9:$A$12,0)),"")))</f>
        <v/>
      </c>
      <c r="K2241" s="27" t="str">
        <f aca="false">IF(J2241="","",COUNTIF($I$2:I2241,I2241))</f>
        <v/>
      </c>
      <c r="L2241" s="27" t="str">
        <f aca="false">IF(J2241="","",CHOOSE(Q2241+1,"Tue","Wed","Thu","Fri"))</f>
        <v/>
      </c>
      <c r="M2241" s="27" t="str">
        <f aca="false">IF(J2241="","",IF(J2241=1,"Every week",R2241+1&amp;" of "&amp;J2241))</f>
        <v/>
      </c>
      <c r="N2241" s="28" t="str">
        <f aca="false">IF(J2241="","",Settings!$B$4+R2241*7+Q2241)</f>
        <v/>
      </c>
      <c r="O2241" s="28" t="str">
        <f aca="true">IF(J2241="","",N2241+MAX(0,ROUNDUP((TODAY()-N2241)/(J2241*7),0))*J2241*7)</f>
        <v/>
      </c>
      <c r="P2241" s="27" t="str">
        <f aca="false">IF(J2241="","",MOD(K2241-1,J2241*4))</f>
        <v/>
      </c>
      <c r="Q2241" s="27" t="str">
        <f aca="false">IF(J2241="","",MOD(P2241,4))</f>
        <v/>
      </c>
      <c r="R2241" s="27" t="str">
        <f aca="false">IF(J2241="","",INT(P2241/4))</f>
        <v/>
      </c>
      <c r="S2241" s="27" t="str">
        <f aca="false">IF(J2241="","",IF(AND('Daily Count Sheet'!$H$3=Q2241,MOD('Daily Count Sheet'!$I$3,J2241)=R2241),1,""))</f>
        <v/>
      </c>
      <c r="T2241" s="27" t="str">
        <f aca="false">IF(S2241=1,COUNTIF($S$2:S2241,1),"")</f>
        <v/>
      </c>
    </row>
    <row r="2242" customFormat="false" ht="15" hidden="false" customHeight="false" outlineLevel="0" collapsed="false">
      <c r="H2242" s="26"/>
      <c r="I2242" s="27" t="str">
        <f aca="false">IF(A2242="","",IF(H2242&lt;&gt;"",UPPER(TRIM(H2242)),IFERROR(CHOOSE(VALUE(E2242)+1,"A","B","C","D"),IF(OR(LEFT(UPPER(TRIM(E2242)),1)="F",UPPER(TRIM(E2242))="A"),"A",IF(OR(LEFT(UPPER(TRIM(E2242)),1)="M",UPPER(TRIM(E2242))="B"),"B",IF(OR(LEFT(UPPER(TRIM(E2242)),2)="SL",UPPER(TRIM(E2242))="C"),"C",IF(OR(LEFT(UPPER(TRIM(E2242)),1)="D",UPPER(TRIM(E2242))="D"),"D","")))))))</f>
        <v/>
      </c>
      <c r="J2242" s="27" t="str">
        <f aca="false">IF(I2242="","",IF(AND(I2242="D",Settings!$B$6&lt;&gt;"Yes"),"",IFERROR(INDEX(Settings!$C$9:$C$12,MATCH(I2242,Settings!$A$9:$A$12,0)),"")))</f>
        <v/>
      </c>
      <c r="K2242" s="27" t="str">
        <f aca="false">IF(J2242="","",COUNTIF($I$2:I2242,I2242))</f>
        <v/>
      </c>
      <c r="L2242" s="27" t="str">
        <f aca="false">IF(J2242="","",CHOOSE(Q2242+1,"Tue","Wed","Thu","Fri"))</f>
        <v/>
      </c>
      <c r="M2242" s="27" t="str">
        <f aca="false">IF(J2242="","",IF(J2242=1,"Every week",R2242+1&amp;" of "&amp;J2242))</f>
        <v/>
      </c>
      <c r="N2242" s="28" t="str">
        <f aca="false">IF(J2242="","",Settings!$B$4+R2242*7+Q2242)</f>
        <v/>
      </c>
      <c r="O2242" s="28" t="str">
        <f aca="true">IF(J2242="","",N2242+MAX(0,ROUNDUP((TODAY()-N2242)/(J2242*7),0))*J2242*7)</f>
        <v/>
      </c>
      <c r="P2242" s="27" t="str">
        <f aca="false">IF(J2242="","",MOD(K2242-1,J2242*4))</f>
        <v/>
      </c>
      <c r="Q2242" s="27" t="str">
        <f aca="false">IF(J2242="","",MOD(P2242,4))</f>
        <v/>
      </c>
      <c r="R2242" s="27" t="str">
        <f aca="false">IF(J2242="","",INT(P2242/4))</f>
        <v/>
      </c>
      <c r="S2242" s="27" t="str">
        <f aca="false">IF(J2242="","",IF(AND('Daily Count Sheet'!$H$3=Q2242,MOD('Daily Count Sheet'!$I$3,J2242)=R2242),1,""))</f>
        <v/>
      </c>
      <c r="T2242" s="27" t="str">
        <f aca="false">IF(S2242=1,COUNTIF($S$2:S2242,1),"")</f>
        <v/>
      </c>
    </row>
    <row r="2243" customFormat="false" ht="15" hidden="false" customHeight="false" outlineLevel="0" collapsed="false">
      <c r="H2243" s="26"/>
      <c r="I2243" s="27" t="str">
        <f aca="false">IF(A2243="","",IF(H2243&lt;&gt;"",UPPER(TRIM(H2243)),IFERROR(CHOOSE(VALUE(E2243)+1,"A","B","C","D"),IF(OR(LEFT(UPPER(TRIM(E2243)),1)="F",UPPER(TRIM(E2243))="A"),"A",IF(OR(LEFT(UPPER(TRIM(E2243)),1)="M",UPPER(TRIM(E2243))="B"),"B",IF(OR(LEFT(UPPER(TRIM(E2243)),2)="SL",UPPER(TRIM(E2243))="C"),"C",IF(OR(LEFT(UPPER(TRIM(E2243)),1)="D",UPPER(TRIM(E2243))="D"),"D","")))))))</f>
        <v/>
      </c>
      <c r="J2243" s="27" t="str">
        <f aca="false">IF(I2243="","",IF(AND(I2243="D",Settings!$B$6&lt;&gt;"Yes"),"",IFERROR(INDEX(Settings!$C$9:$C$12,MATCH(I2243,Settings!$A$9:$A$12,0)),"")))</f>
        <v/>
      </c>
      <c r="K2243" s="27" t="str">
        <f aca="false">IF(J2243="","",COUNTIF($I$2:I2243,I2243))</f>
        <v/>
      </c>
      <c r="L2243" s="27" t="str">
        <f aca="false">IF(J2243="","",CHOOSE(Q2243+1,"Tue","Wed","Thu","Fri"))</f>
        <v/>
      </c>
      <c r="M2243" s="27" t="str">
        <f aca="false">IF(J2243="","",IF(J2243=1,"Every week",R2243+1&amp;" of "&amp;J2243))</f>
        <v/>
      </c>
      <c r="N2243" s="28" t="str">
        <f aca="false">IF(J2243="","",Settings!$B$4+R2243*7+Q2243)</f>
        <v/>
      </c>
      <c r="O2243" s="28" t="str">
        <f aca="true">IF(J2243="","",N2243+MAX(0,ROUNDUP((TODAY()-N2243)/(J2243*7),0))*J2243*7)</f>
        <v/>
      </c>
      <c r="P2243" s="27" t="str">
        <f aca="false">IF(J2243="","",MOD(K2243-1,J2243*4))</f>
        <v/>
      </c>
      <c r="Q2243" s="27" t="str">
        <f aca="false">IF(J2243="","",MOD(P2243,4))</f>
        <v/>
      </c>
      <c r="R2243" s="27" t="str">
        <f aca="false">IF(J2243="","",INT(P2243/4))</f>
        <v/>
      </c>
      <c r="S2243" s="27" t="str">
        <f aca="false">IF(J2243="","",IF(AND('Daily Count Sheet'!$H$3=Q2243,MOD('Daily Count Sheet'!$I$3,J2243)=R2243),1,""))</f>
        <v/>
      </c>
      <c r="T2243" s="27" t="str">
        <f aca="false">IF(S2243=1,COUNTIF($S$2:S2243,1),"")</f>
        <v/>
      </c>
    </row>
    <row r="2244" customFormat="false" ht="15" hidden="false" customHeight="false" outlineLevel="0" collapsed="false">
      <c r="H2244" s="26"/>
      <c r="I2244" s="27" t="str">
        <f aca="false">IF(A2244="","",IF(H2244&lt;&gt;"",UPPER(TRIM(H2244)),IFERROR(CHOOSE(VALUE(E2244)+1,"A","B","C","D"),IF(OR(LEFT(UPPER(TRIM(E2244)),1)="F",UPPER(TRIM(E2244))="A"),"A",IF(OR(LEFT(UPPER(TRIM(E2244)),1)="M",UPPER(TRIM(E2244))="B"),"B",IF(OR(LEFT(UPPER(TRIM(E2244)),2)="SL",UPPER(TRIM(E2244))="C"),"C",IF(OR(LEFT(UPPER(TRIM(E2244)),1)="D",UPPER(TRIM(E2244))="D"),"D","")))))))</f>
        <v/>
      </c>
      <c r="J2244" s="27" t="str">
        <f aca="false">IF(I2244="","",IF(AND(I2244="D",Settings!$B$6&lt;&gt;"Yes"),"",IFERROR(INDEX(Settings!$C$9:$C$12,MATCH(I2244,Settings!$A$9:$A$12,0)),"")))</f>
        <v/>
      </c>
      <c r="K2244" s="27" t="str">
        <f aca="false">IF(J2244="","",COUNTIF($I$2:I2244,I2244))</f>
        <v/>
      </c>
      <c r="L2244" s="27" t="str">
        <f aca="false">IF(J2244="","",CHOOSE(Q2244+1,"Tue","Wed","Thu","Fri"))</f>
        <v/>
      </c>
      <c r="M2244" s="27" t="str">
        <f aca="false">IF(J2244="","",IF(J2244=1,"Every week",R2244+1&amp;" of "&amp;J2244))</f>
        <v/>
      </c>
      <c r="N2244" s="28" t="str">
        <f aca="false">IF(J2244="","",Settings!$B$4+R2244*7+Q2244)</f>
        <v/>
      </c>
      <c r="O2244" s="28" t="str">
        <f aca="true">IF(J2244="","",N2244+MAX(0,ROUNDUP((TODAY()-N2244)/(J2244*7),0))*J2244*7)</f>
        <v/>
      </c>
      <c r="P2244" s="27" t="str">
        <f aca="false">IF(J2244="","",MOD(K2244-1,J2244*4))</f>
        <v/>
      </c>
      <c r="Q2244" s="27" t="str">
        <f aca="false">IF(J2244="","",MOD(P2244,4))</f>
        <v/>
      </c>
      <c r="R2244" s="27" t="str">
        <f aca="false">IF(J2244="","",INT(P2244/4))</f>
        <v/>
      </c>
      <c r="S2244" s="27" t="str">
        <f aca="false">IF(J2244="","",IF(AND('Daily Count Sheet'!$H$3=Q2244,MOD('Daily Count Sheet'!$I$3,J2244)=R2244),1,""))</f>
        <v/>
      </c>
      <c r="T2244" s="27" t="str">
        <f aca="false">IF(S2244=1,COUNTIF($S$2:S2244,1),"")</f>
        <v/>
      </c>
    </row>
    <row r="2245" customFormat="false" ht="15" hidden="false" customHeight="false" outlineLevel="0" collapsed="false">
      <c r="H2245" s="26"/>
      <c r="I2245" s="27" t="str">
        <f aca="false">IF(A2245="","",IF(H2245&lt;&gt;"",UPPER(TRIM(H2245)),IFERROR(CHOOSE(VALUE(E2245)+1,"A","B","C","D"),IF(OR(LEFT(UPPER(TRIM(E2245)),1)="F",UPPER(TRIM(E2245))="A"),"A",IF(OR(LEFT(UPPER(TRIM(E2245)),1)="M",UPPER(TRIM(E2245))="B"),"B",IF(OR(LEFT(UPPER(TRIM(E2245)),2)="SL",UPPER(TRIM(E2245))="C"),"C",IF(OR(LEFT(UPPER(TRIM(E2245)),1)="D",UPPER(TRIM(E2245))="D"),"D","")))))))</f>
        <v/>
      </c>
      <c r="J2245" s="27" t="str">
        <f aca="false">IF(I2245="","",IF(AND(I2245="D",Settings!$B$6&lt;&gt;"Yes"),"",IFERROR(INDEX(Settings!$C$9:$C$12,MATCH(I2245,Settings!$A$9:$A$12,0)),"")))</f>
        <v/>
      </c>
      <c r="K2245" s="27" t="str">
        <f aca="false">IF(J2245="","",COUNTIF($I$2:I2245,I2245))</f>
        <v/>
      </c>
      <c r="L2245" s="27" t="str">
        <f aca="false">IF(J2245="","",CHOOSE(Q2245+1,"Tue","Wed","Thu","Fri"))</f>
        <v/>
      </c>
      <c r="M2245" s="27" t="str">
        <f aca="false">IF(J2245="","",IF(J2245=1,"Every week",R2245+1&amp;" of "&amp;J2245))</f>
        <v/>
      </c>
      <c r="N2245" s="28" t="str">
        <f aca="false">IF(J2245="","",Settings!$B$4+R2245*7+Q2245)</f>
        <v/>
      </c>
      <c r="O2245" s="28" t="str">
        <f aca="true">IF(J2245="","",N2245+MAX(0,ROUNDUP((TODAY()-N2245)/(J2245*7),0))*J2245*7)</f>
        <v/>
      </c>
      <c r="P2245" s="27" t="str">
        <f aca="false">IF(J2245="","",MOD(K2245-1,J2245*4))</f>
        <v/>
      </c>
      <c r="Q2245" s="27" t="str">
        <f aca="false">IF(J2245="","",MOD(P2245,4))</f>
        <v/>
      </c>
      <c r="R2245" s="27" t="str">
        <f aca="false">IF(J2245="","",INT(P2245/4))</f>
        <v/>
      </c>
      <c r="S2245" s="27" t="str">
        <f aca="false">IF(J2245="","",IF(AND('Daily Count Sheet'!$H$3=Q2245,MOD('Daily Count Sheet'!$I$3,J2245)=R2245),1,""))</f>
        <v/>
      </c>
      <c r="T2245" s="27" t="str">
        <f aca="false">IF(S2245=1,COUNTIF($S$2:S2245,1),"")</f>
        <v/>
      </c>
    </row>
    <row r="2246" customFormat="false" ht="15" hidden="false" customHeight="false" outlineLevel="0" collapsed="false">
      <c r="H2246" s="26"/>
      <c r="I2246" s="27" t="str">
        <f aca="false">IF(A2246="","",IF(H2246&lt;&gt;"",UPPER(TRIM(H2246)),IFERROR(CHOOSE(VALUE(E2246)+1,"A","B","C","D"),IF(OR(LEFT(UPPER(TRIM(E2246)),1)="F",UPPER(TRIM(E2246))="A"),"A",IF(OR(LEFT(UPPER(TRIM(E2246)),1)="M",UPPER(TRIM(E2246))="B"),"B",IF(OR(LEFT(UPPER(TRIM(E2246)),2)="SL",UPPER(TRIM(E2246))="C"),"C",IF(OR(LEFT(UPPER(TRIM(E2246)),1)="D",UPPER(TRIM(E2246))="D"),"D","")))))))</f>
        <v/>
      </c>
      <c r="J2246" s="27" t="str">
        <f aca="false">IF(I2246="","",IF(AND(I2246="D",Settings!$B$6&lt;&gt;"Yes"),"",IFERROR(INDEX(Settings!$C$9:$C$12,MATCH(I2246,Settings!$A$9:$A$12,0)),"")))</f>
        <v/>
      </c>
      <c r="K2246" s="27" t="str">
        <f aca="false">IF(J2246="","",COUNTIF($I$2:I2246,I2246))</f>
        <v/>
      </c>
      <c r="L2246" s="27" t="str">
        <f aca="false">IF(J2246="","",CHOOSE(Q2246+1,"Tue","Wed","Thu","Fri"))</f>
        <v/>
      </c>
      <c r="M2246" s="27" t="str">
        <f aca="false">IF(J2246="","",IF(J2246=1,"Every week",R2246+1&amp;" of "&amp;J2246))</f>
        <v/>
      </c>
      <c r="N2246" s="28" t="str">
        <f aca="false">IF(J2246="","",Settings!$B$4+R2246*7+Q2246)</f>
        <v/>
      </c>
      <c r="O2246" s="28" t="str">
        <f aca="true">IF(J2246="","",N2246+MAX(0,ROUNDUP((TODAY()-N2246)/(J2246*7),0))*J2246*7)</f>
        <v/>
      </c>
      <c r="P2246" s="27" t="str">
        <f aca="false">IF(J2246="","",MOD(K2246-1,J2246*4))</f>
        <v/>
      </c>
      <c r="Q2246" s="27" t="str">
        <f aca="false">IF(J2246="","",MOD(P2246,4))</f>
        <v/>
      </c>
      <c r="R2246" s="27" t="str">
        <f aca="false">IF(J2246="","",INT(P2246/4))</f>
        <v/>
      </c>
      <c r="S2246" s="27" t="str">
        <f aca="false">IF(J2246="","",IF(AND('Daily Count Sheet'!$H$3=Q2246,MOD('Daily Count Sheet'!$I$3,J2246)=R2246),1,""))</f>
        <v/>
      </c>
      <c r="T2246" s="27" t="str">
        <f aca="false">IF(S2246=1,COUNTIF($S$2:S2246,1),"")</f>
        <v/>
      </c>
    </row>
    <row r="2247" customFormat="false" ht="15" hidden="false" customHeight="false" outlineLevel="0" collapsed="false">
      <c r="H2247" s="26"/>
      <c r="I2247" s="27" t="str">
        <f aca="false">IF(A2247="","",IF(H2247&lt;&gt;"",UPPER(TRIM(H2247)),IFERROR(CHOOSE(VALUE(E2247)+1,"A","B","C","D"),IF(OR(LEFT(UPPER(TRIM(E2247)),1)="F",UPPER(TRIM(E2247))="A"),"A",IF(OR(LEFT(UPPER(TRIM(E2247)),1)="M",UPPER(TRIM(E2247))="B"),"B",IF(OR(LEFT(UPPER(TRIM(E2247)),2)="SL",UPPER(TRIM(E2247))="C"),"C",IF(OR(LEFT(UPPER(TRIM(E2247)),1)="D",UPPER(TRIM(E2247))="D"),"D","")))))))</f>
        <v/>
      </c>
      <c r="J2247" s="27" t="str">
        <f aca="false">IF(I2247="","",IF(AND(I2247="D",Settings!$B$6&lt;&gt;"Yes"),"",IFERROR(INDEX(Settings!$C$9:$C$12,MATCH(I2247,Settings!$A$9:$A$12,0)),"")))</f>
        <v/>
      </c>
      <c r="K2247" s="27" t="str">
        <f aca="false">IF(J2247="","",COUNTIF($I$2:I2247,I2247))</f>
        <v/>
      </c>
      <c r="L2247" s="27" t="str">
        <f aca="false">IF(J2247="","",CHOOSE(Q2247+1,"Tue","Wed","Thu","Fri"))</f>
        <v/>
      </c>
      <c r="M2247" s="27" t="str">
        <f aca="false">IF(J2247="","",IF(J2247=1,"Every week",R2247+1&amp;" of "&amp;J2247))</f>
        <v/>
      </c>
      <c r="N2247" s="28" t="str">
        <f aca="false">IF(J2247="","",Settings!$B$4+R2247*7+Q2247)</f>
        <v/>
      </c>
      <c r="O2247" s="28" t="str">
        <f aca="true">IF(J2247="","",N2247+MAX(0,ROUNDUP((TODAY()-N2247)/(J2247*7),0))*J2247*7)</f>
        <v/>
      </c>
      <c r="P2247" s="27" t="str">
        <f aca="false">IF(J2247="","",MOD(K2247-1,J2247*4))</f>
        <v/>
      </c>
      <c r="Q2247" s="27" t="str">
        <f aca="false">IF(J2247="","",MOD(P2247,4))</f>
        <v/>
      </c>
      <c r="R2247" s="27" t="str">
        <f aca="false">IF(J2247="","",INT(P2247/4))</f>
        <v/>
      </c>
      <c r="S2247" s="27" t="str">
        <f aca="false">IF(J2247="","",IF(AND('Daily Count Sheet'!$H$3=Q2247,MOD('Daily Count Sheet'!$I$3,J2247)=R2247),1,""))</f>
        <v/>
      </c>
      <c r="T2247" s="27" t="str">
        <f aca="false">IF(S2247=1,COUNTIF($S$2:S2247,1),"")</f>
        <v/>
      </c>
    </row>
    <row r="2248" customFormat="false" ht="15" hidden="false" customHeight="false" outlineLevel="0" collapsed="false">
      <c r="H2248" s="26"/>
      <c r="I2248" s="27" t="str">
        <f aca="false">IF(A2248="","",IF(H2248&lt;&gt;"",UPPER(TRIM(H2248)),IFERROR(CHOOSE(VALUE(E2248)+1,"A","B","C","D"),IF(OR(LEFT(UPPER(TRIM(E2248)),1)="F",UPPER(TRIM(E2248))="A"),"A",IF(OR(LEFT(UPPER(TRIM(E2248)),1)="M",UPPER(TRIM(E2248))="B"),"B",IF(OR(LEFT(UPPER(TRIM(E2248)),2)="SL",UPPER(TRIM(E2248))="C"),"C",IF(OR(LEFT(UPPER(TRIM(E2248)),1)="D",UPPER(TRIM(E2248))="D"),"D","")))))))</f>
        <v/>
      </c>
      <c r="J2248" s="27" t="str">
        <f aca="false">IF(I2248="","",IF(AND(I2248="D",Settings!$B$6&lt;&gt;"Yes"),"",IFERROR(INDEX(Settings!$C$9:$C$12,MATCH(I2248,Settings!$A$9:$A$12,0)),"")))</f>
        <v/>
      </c>
      <c r="K2248" s="27" t="str">
        <f aca="false">IF(J2248="","",COUNTIF($I$2:I2248,I2248))</f>
        <v/>
      </c>
      <c r="L2248" s="27" t="str">
        <f aca="false">IF(J2248="","",CHOOSE(Q2248+1,"Tue","Wed","Thu","Fri"))</f>
        <v/>
      </c>
      <c r="M2248" s="27" t="str">
        <f aca="false">IF(J2248="","",IF(J2248=1,"Every week",R2248+1&amp;" of "&amp;J2248))</f>
        <v/>
      </c>
      <c r="N2248" s="28" t="str">
        <f aca="false">IF(J2248="","",Settings!$B$4+R2248*7+Q2248)</f>
        <v/>
      </c>
      <c r="O2248" s="28" t="str">
        <f aca="true">IF(J2248="","",N2248+MAX(0,ROUNDUP((TODAY()-N2248)/(J2248*7),0))*J2248*7)</f>
        <v/>
      </c>
      <c r="P2248" s="27" t="str">
        <f aca="false">IF(J2248="","",MOD(K2248-1,J2248*4))</f>
        <v/>
      </c>
      <c r="Q2248" s="27" t="str">
        <f aca="false">IF(J2248="","",MOD(P2248,4))</f>
        <v/>
      </c>
      <c r="R2248" s="27" t="str">
        <f aca="false">IF(J2248="","",INT(P2248/4))</f>
        <v/>
      </c>
      <c r="S2248" s="27" t="str">
        <f aca="false">IF(J2248="","",IF(AND('Daily Count Sheet'!$H$3=Q2248,MOD('Daily Count Sheet'!$I$3,J2248)=R2248),1,""))</f>
        <v/>
      </c>
      <c r="T2248" s="27" t="str">
        <f aca="false">IF(S2248=1,COUNTIF($S$2:S2248,1),"")</f>
        <v/>
      </c>
    </row>
    <row r="2249" customFormat="false" ht="15" hidden="false" customHeight="false" outlineLevel="0" collapsed="false">
      <c r="H2249" s="26"/>
      <c r="I2249" s="27" t="str">
        <f aca="false">IF(A2249="","",IF(H2249&lt;&gt;"",UPPER(TRIM(H2249)),IFERROR(CHOOSE(VALUE(E2249)+1,"A","B","C","D"),IF(OR(LEFT(UPPER(TRIM(E2249)),1)="F",UPPER(TRIM(E2249))="A"),"A",IF(OR(LEFT(UPPER(TRIM(E2249)),1)="M",UPPER(TRIM(E2249))="B"),"B",IF(OR(LEFT(UPPER(TRIM(E2249)),2)="SL",UPPER(TRIM(E2249))="C"),"C",IF(OR(LEFT(UPPER(TRIM(E2249)),1)="D",UPPER(TRIM(E2249))="D"),"D","")))))))</f>
        <v/>
      </c>
      <c r="J2249" s="27" t="str">
        <f aca="false">IF(I2249="","",IF(AND(I2249="D",Settings!$B$6&lt;&gt;"Yes"),"",IFERROR(INDEX(Settings!$C$9:$C$12,MATCH(I2249,Settings!$A$9:$A$12,0)),"")))</f>
        <v/>
      </c>
      <c r="K2249" s="27" t="str">
        <f aca="false">IF(J2249="","",COUNTIF($I$2:I2249,I2249))</f>
        <v/>
      </c>
      <c r="L2249" s="27" t="str">
        <f aca="false">IF(J2249="","",CHOOSE(Q2249+1,"Tue","Wed","Thu","Fri"))</f>
        <v/>
      </c>
      <c r="M2249" s="27" t="str">
        <f aca="false">IF(J2249="","",IF(J2249=1,"Every week",R2249+1&amp;" of "&amp;J2249))</f>
        <v/>
      </c>
      <c r="N2249" s="28" t="str">
        <f aca="false">IF(J2249="","",Settings!$B$4+R2249*7+Q2249)</f>
        <v/>
      </c>
      <c r="O2249" s="28" t="str">
        <f aca="true">IF(J2249="","",N2249+MAX(0,ROUNDUP((TODAY()-N2249)/(J2249*7),0))*J2249*7)</f>
        <v/>
      </c>
      <c r="P2249" s="27" t="str">
        <f aca="false">IF(J2249="","",MOD(K2249-1,J2249*4))</f>
        <v/>
      </c>
      <c r="Q2249" s="27" t="str">
        <f aca="false">IF(J2249="","",MOD(P2249,4))</f>
        <v/>
      </c>
      <c r="R2249" s="27" t="str">
        <f aca="false">IF(J2249="","",INT(P2249/4))</f>
        <v/>
      </c>
      <c r="S2249" s="27" t="str">
        <f aca="false">IF(J2249="","",IF(AND('Daily Count Sheet'!$H$3=Q2249,MOD('Daily Count Sheet'!$I$3,J2249)=R2249),1,""))</f>
        <v/>
      </c>
      <c r="T2249" s="27" t="str">
        <f aca="false">IF(S2249=1,COUNTIF($S$2:S2249,1),"")</f>
        <v/>
      </c>
    </row>
    <row r="2250" customFormat="false" ht="15" hidden="false" customHeight="false" outlineLevel="0" collapsed="false">
      <c r="H2250" s="26"/>
      <c r="I2250" s="27" t="str">
        <f aca="false">IF(A2250="","",IF(H2250&lt;&gt;"",UPPER(TRIM(H2250)),IFERROR(CHOOSE(VALUE(E2250)+1,"A","B","C","D"),IF(OR(LEFT(UPPER(TRIM(E2250)),1)="F",UPPER(TRIM(E2250))="A"),"A",IF(OR(LEFT(UPPER(TRIM(E2250)),1)="M",UPPER(TRIM(E2250))="B"),"B",IF(OR(LEFT(UPPER(TRIM(E2250)),2)="SL",UPPER(TRIM(E2250))="C"),"C",IF(OR(LEFT(UPPER(TRIM(E2250)),1)="D",UPPER(TRIM(E2250))="D"),"D","")))))))</f>
        <v/>
      </c>
      <c r="J2250" s="27" t="str">
        <f aca="false">IF(I2250="","",IF(AND(I2250="D",Settings!$B$6&lt;&gt;"Yes"),"",IFERROR(INDEX(Settings!$C$9:$C$12,MATCH(I2250,Settings!$A$9:$A$12,0)),"")))</f>
        <v/>
      </c>
      <c r="K2250" s="27" t="str">
        <f aca="false">IF(J2250="","",COUNTIF($I$2:I2250,I2250))</f>
        <v/>
      </c>
      <c r="L2250" s="27" t="str">
        <f aca="false">IF(J2250="","",CHOOSE(Q2250+1,"Tue","Wed","Thu","Fri"))</f>
        <v/>
      </c>
      <c r="M2250" s="27" t="str">
        <f aca="false">IF(J2250="","",IF(J2250=1,"Every week",R2250+1&amp;" of "&amp;J2250))</f>
        <v/>
      </c>
      <c r="N2250" s="28" t="str">
        <f aca="false">IF(J2250="","",Settings!$B$4+R2250*7+Q2250)</f>
        <v/>
      </c>
      <c r="O2250" s="28" t="str">
        <f aca="true">IF(J2250="","",N2250+MAX(0,ROUNDUP((TODAY()-N2250)/(J2250*7),0))*J2250*7)</f>
        <v/>
      </c>
      <c r="P2250" s="27" t="str">
        <f aca="false">IF(J2250="","",MOD(K2250-1,J2250*4))</f>
        <v/>
      </c>
      <c r="Q2250" s="27" t="str">
        <f aca="false">IF(J2250="","",MOD(P2250,4))</f>
        <v/>
      </c>
      <c r="R2250" s="27" t="str">
        <f aca="false">IF(J2250="","",INT(P2250/4))</f>
        <v/>
      </c>
      <c r="S2250" s="27" t="str">
        <f aca="false">IF(J2250="","",IF(AND('Daily Count Sheet'!$H$3=Q2250,MOD('Daily Count Sheet'!$I$3,J2250)=R2250),1,""))</f>
        <v/>
      </c>
      <c r="T2250" s="27" t="str">
        <f aca="false">IF(S2250=1,COUNTIF($S$2:S2250,1),"")</f>
        <v/>
      </c>
    </row>
    <row r="2251" customFormat="false" ht="15" hidden="false" customHeight="false" outlineLevel="0" collapsed="false">
      <c r="H2251" s="26"/>
      <c r="I2251" s="27" t="str">
        <f aca="false">IF(A2251="","",IF(H2251&lt;&gt;"",UPPER(TRIM(H2251)),IFERROR(CHOOSE(VALUE(E2251)+1,"A","B","C","D"),IF(OR(LEFT(UPPER(TRIM(E2251)),1)="F",UPPER(TRIM(E2251))="A"),"A",IF(OR(LEFT(UPPER(TRIM(E2251)),1)="M",UPPER(TRIM(E2251))="B"),"B",IF(OR(LEFT(UPPER(TRIM(E2251)),2)="SL",UPPER(TRIM(E2251))="C"),"C",IF(OR(LEFT(UPPER(TRIM(E2251)),1)="D",UPPER(TRIM(E2251))="D"),"D","")))))))</f>
        <v/>
      </c>
      <c r="J2251" s="27" t="str">
        <f aca="false">IF(I2251="","",IF(AND(I2251="D",Settings!$B$6&lt;&gt;"Yes"),"",IFERROR(INDEX(Settings!$C$9:$C$12,MATCH(I2251,Settings!$A$9:$A$12,0)),"")))</f>
        <v/>
      </c>
      <c r="K2251" s="27" t="str">
        <f aca="false">IF(J2251="","",COUNTIF($I$2:I2251,I2251))</f>
        <v/>
      </c>
      <c r="L2251" s="27" t="str">
        <f aca="false">IF(J2251="","",CHOOSE(Q2251+1,"Tue","Wed","Thu","Fri"))</f>
        <v/>
      </c>
      <c r="M2251" s="27" t="str">
        <f aca="false">IF(J2251="","",IF(J2251=1,"Every week",R2251+1&amp;" of "&amp;J2251))</f>
        <v/>
      </c>
      <c r="N2251" s="28" t="str">
        <f aca="false">IF(J2251="","",Settings!$B$4+R2251*7+Q2251)</f>
        <v/>
      </c>
      <c r="O2251" s="28" t="str">
        <f aca="true">IF(J2251="","",N2251+MAX(0,ROUNDUP((TODAY()-N2251)/(J2251*7),0))*J2251*7)</f>
        <v/>
      </c>
      <c r="P2251" s="27" t="str">
        <f aca="false">IF(J2251="","",MOD(K2251-1,J2251*4))</f>
        <v/>
      </c>
      <c r="Q2251" s="27" t="str">
        <f aca="false">IF(J2251="","",MOD(P2251,4))</f>
        <v/>
      </c>
      <c r="R2251" s="27" t="str">
        <f aca="false">IF(J2251="","",INT(P2251/4))</f>
        <v/>
      </c>
      <c r="S2251" s="27" t="str">
        <f aca="false">IF(J2251="","",IF(AND('Daily Count Sheet'!$H$3=Q2251,MOD('Daily Count Sheet'!$I$3,J2251)=R2251),1,""))</f>
        <v/>
      </c>
      <c r="T2251" s="27" t="str">
        <f aca="false">IF(S2251=1,COUNTIF($S$2:S2251,1),"")</f>
        <v/>
      </c>
    </row>
    <row r="2252" customFormat="false" ht="15" hidden="false" customHeight="false" outlineLevel="0" collapsed="false">
      <c r="H2252" s="26"/>
      <c r="I2252" s="27" t="str">
        <f aca="false">IF(A2252="","",IF(H2252&lt;&gt;"",UPPER(TRIM(H2252)),IFERROR(CHOOSE(VALUE(E2252)+1,"A","B","C","D"),IF(OR(LEFT(UPPER(TRIM(E2252)),1)="F",UPPER(TRIM(E2252))="A"),"A",IF(OR(LEFT(UPPER(TRIM(E2252)),1)="M",UPPER(TRIM(E2252))="B"),"B",IF(OR(LEFT(UPPER(TRIM(E2252)),2)="SL",UPPER(TRIM(E2252))="C"),"C",IF(OR(LEFT(UPPER(TRIM(E2252)),1)="D",UPPER(TRIM(E2252))="D"),"D","")))))))</f>
        <v/>
      </c>
      <c r="J2252" s="27" t="str">
        <f aca="false">IF(I2252="","",IF(AND(I2252="D",Settings!$B$6&lt;&gt;"Yes"),"",IFERROR(INDEX(Settings!$C$9:$C$12,MATCH(I2252,Settings!$A$9:$A$12,0)),"")))</f>
        <v/>
      </c>
      <c r="K2252" s="27" t="str">
        <f aca="false">IF(J2252="","",COUNTIF($I$2:I2252,I2252))</f>
        <v/>
      </c>
      <c r="L2252" s="27" t="str">
        <f aca="false">IF(J2252="","",CHOOSE(Q2252+1,"Tue","Wed","Thu","Fri"))</f>
        <v/>
      </c>
      <c r="M2252" s="27" t="str">
        <f aca="false">IF(J2252="","",IF(J2252=1,"Every week",R2252+1&amp;" of "&amp;J2252))</f>
        <v/>
      </c>
      <c r="N2252" s="28" t="str">
        <f aca="false">IF(J2252="","",Settings!$B$4+R2252*7+Q2252)</f>
        <v/>
      </c>
      <c r="O2252" s="28" t="str">
        <f aca="true">IF(J2252="","",N2252+MAX(0,ROUNDUP((TODAY()-N2252)/(J2252*7),0))*J2252*7)</f>
        <v/>
      </c>
      <c r="P2252" s="27" t="str">
        <f aca="false">IF(J2252="","",MOD(K2252-1,J2252*4))</f>
        <v/>
      </c>
      <c r="Q2252" s="27" t="str">
        <f aca="false">IF(J2252="","",MOD(P2252,4))</f>
        <v/>
      </c>
      <c r="R2252" s="27" t="str">
        <f aca="false">IF(J2252="","",INT(P2252/4))</f>
        <v/>
      </c>
      <c r="S2252" s="27" t="str">
        <f aca="false">IF(J2252="","",IF(AND('Daily Count Sheet'!$H$3=Q2252,MOD('Daily Count Sheet'!$I$3,J2252)=R2252),1,""))</f>
        <v/>
      </c>
      <c r="T2252" s="27" t="str">
        <f aca="false">IF(S2252=1,COUNTIF($S$2:S2252,1),"")</f>
        <v/>
      </c>
    </row>
    <row r="2253" customFormat="false" ht="15" hidden="false" customHeight="false" outlineLevel="0" collapsed="false">
      <c r="H2253" s="26"/>
      <c r="I2253" s="27" t="str">
        <f aca="false">IF(A2253="","",IF(H2253&lt;&gt;"",UPPER(TRIM(H2253)),IFERROR(CHOOSE(VALUE(E2253)+1,"A","B","C","D"),IF(OR(LEFT(UPPER(TRIM(E2253)),1)="F",UPPER(TRIM(E2253))="A"),"A",IF(OR(LEFT(UPPER(TRIM(E2253)),1)="M",UPPER(TRIM(E2253))="B"),"B",IF(OR(LEFT(UPPER(TRIM(E2253)),2)="SL",UPPER(TRIM(E2253))="C"),"C",IF(OR(LEFT(UPPER(TRIM(E2253)),1)="D",UPPER(TRIM(E2253))="D"),"D","")))))))</f>
        <v/>
      </c>
      <c r="J2253" s="27" t="str">
        <f aca="false">IF(I2253="","",IF(AND(I2253="D",Settings!$B$6&lt;&gt;"Yes"),"",IFERROR(INDEX(Settings!$C$9:$C$12,MATCH(I2253,Settings!$A$9:$A$12,0)),"")))</f>
        <v/>
      </c>
      <c r="K2253" s="27" t="str">
        <f aca="false">IF(J2253="","",COUNTIF($I$2:I2253,I2253))</f>
        <v/>
      </c>
      <c r="L2253" s="27" t="str">
        <f aca="false">IF(J2253="","",CHOOSE(Q2253+1,"Tue","Wed","Thu","Fri"))</f>
        <v/>
      </c>
      <c r="M2253" s="27" t="str">
        <f aca="false">IF(J2253="","",IF(J2253=1,"Every week",R2253+1&amp;" of "&amp;J2253))</f>
        <v/>
      </c>
      <c r="N2253" s="28" t="str">
        <f aca="false">IF(J2253="","",Settings!$B$4+R2253*7+Q2253)</f>
        <v/>
      </c>
      <c r="O2253" s="28" t="str">
        <f aca="true">IF(J2253="","",N2253+MAX(0,ROUNDUP((TODAY()-N2253)/(J2253*7),0))*J2253*7)</f>
        <v/>
      </c>
      <c r="P2253" s="27" t="str">
        <f aca="false">IF(J2253="","",MOD(K2253-1,J2253*4))</f>
        <v/>
      </c>
      <c r="Q2253" s="27" t="str">
        <f aca="false">IF(J2253="","",MOD(P2253,4))</f>
        <v/>
      </c>
      <c r="R2253" s="27" t="str">
        <f aca="false">IF(J2253="","",INT(P2253/4))</f>
        <v/>
      </c>
      <c r="S2253" s="27" t="str">
        <f aca="false">IF(J2253="","",IF(AND('Daily Count Sheet'!$H$3=Q2253,MOD('Daily Count Sheet'!$I$3,J2253)=R2253),1,""))</f>
        <v/>
      </c>
      <c r="T2253" s="27" t="str">
        <f aca="false">IF(S2253=1,COUNTIF($S$2:S2253,1),"")</f>
        <v/>
      </c>
    </row>
    <row r="2254" customFormat="false" ht="15" hidden="false" customHeight="false" outlineLevel="0" collapsed="false">
      <c r="H2254" s="26"/>
      <c r="I2254" s="27" t="str">
        <f aca="false">IF(A2254="","",IF(H2254&lt;&gt;"",UPPER(TRIM(H2254)),IFERROR(CHOOSE(VALUE(E2254)+1,"A","B","C","D"),IF(OR(LEFT(UPPER(TRIM(E2254)),1)="F",UPPER(TRIM(E2254))="A"),"A",IF(OR(LEFT(UPPER(TRIM(E2254)),1)="M",UPPER(TRIM(E2254))="B"),"B",IF(OR(LEFT(UPPER(TRIM(E2254)),2)="SL",UPPER(TRIM(E2254))="C"),"C",IF(OR(LEFT(UPPER(TRIM(E2254)),1)="D",UPPER(TRIM(E2254))="D"),"D","")))))))</f>
        <v/>
      </c>
      <c r="J2254" s="27" t="str">
        <f aca="false">IF(I2254="","",IF(AND(I2254="D",Settings!$B$6&lt;&gt;"Yes"),"",IFERROR(INDEX(Settings!$C$9:$C$12,MATCH(I2254,Settings!$A$9:$A$12,0)),"")))</f>
        <v/>
      </c>
      <c r="K2254" s="27" t="str">
        <f aca="false">IF(J2254="","",COUNTIF($I$2:I2254,I2254))</f>
        <v/>
      </c>
      <c r="L2254" s="27" t="str">
        <f aca="false">IF(J2254="","",CHOOSE(Q2254+1,"Tue","Wed","Thu","Fri"))</f>
        <v/>
      </c>
      <c r="M2254" s="27" t="str">
        <f aca="false">IF(J2254="","",IF(J2254=1,"Every week",R2254+1&amp;" of "&amp;J2254))</f>
        <v/>
      </c>
      <c r="N2254" s="28" t="str">
        <f aca="false">IF(J2254="","",Settings!$B$4+R2254*7+Q2254)</f>
        <v/>
      </c>
      <c r="O2254" s="28" t="str">
        <f aca="true">IF(J2254="","",N2254+MAX(0,ROUNDUP((TODAY()-N2254)/(J2254*7),0))*J2254*7)</f>
        <v/>
      </c>
      <c r="P2254" s="27" t="str">
        <f aca="false">IF(J2254="","",MOD(K2254-1,J2254*4))</f>
        <v/>
      </c>
      <c r="Q2254" s="27" t="str">
        <f aca="false">IF(J2254="","",MOD(P2254,4))</f>
        <v/>
      </c>
      <c r="R2254" s="27" t="str">
        <f aca="false">IF(J2254="","",INT(P2254/4))</f>
        <v/>
      </c>
      <c r="S2254" s="27" t="str">
        <f aca="false">IF(J2254="","",IF(AND('Daily Count Sheet'!$H$3=Q2254,MOD('Daily Count Sheet'!$I$3,J2254)=R2254),1,""))</f>
        <v/>
      </c>
      <c r="T2254" s="27" t="str">
        <f aca="false">IF(S2254=1,COUNTIF($S$2:S2254,1),"")</f>
        <v/>
      </c>
    </row>
    <row r="2255" customFormat="false" ht="15" hidden="false" customHeight="false" outlineLevel="0" collapsed="false">
      <c r="H2255" s="26"/>
      <c r="I2255" s="27" t="str">
        <f aca="false">IF(A2255="","",IF(H2255&lt;&gt;"",UPPER(TRIM(H2255)),IFERROR(CHOOSE(VALUE(E2255)+1,"A","B","C","D"),IF(OR(LEFT(UPPER(TRIM(E2255)),1)="F",UPPER(TRIM(E2255))="A"),"A",IF(OR(LEFT(UPPER(TRIM(E2255)),1)="M",UPPER(TRIM(E2255))="B"),"B",IF(OR(LEFT(UPPER(TRIM(E2255)),2)="SL",UPPER(TRIM(E2255))="C"),"C",IF(OR(LEFT(UPPER(TRIM(E2255)),1)="D",UPPER(TRIM(E2255))="D"),"D","")))))))</f>
        <v/>
      </c>
      <c r="J2255" s="27" t="str">
        <f aca="false">IF(I2255="","",IF(AND(I2255="D",Settings!$B$6&lt;&gt;"Yes"),"",IFERROR(INDEX(Settings!$C$9:$C$12,MATCH(I2255,Settings!$A$9:$A$12,0)),"")))</f>
        <v/>
      </c>
      <c r="K2255" s="27" t="str">
        <f aca="false">IF(J2255="","",COUNTIF($I$2:I2255,I2255))</f>
        <v/>
      </c>
      <c r="L2255" s="27" t="str">
        <f aca="false">IF(J2255="","",CHOOSE(Q2255+1,"Tue","Wed","Thu","Fri"))</f>
        <v/>
      </c>
      <c r="M2255" s="27" t="str">
        <f aca="false">IF(J2255="","",IF(J2255=1,"Every week",R2255+1&amp;" of "&amp;J2255))</f>
        <v/>
      </c>
      <c r="N2255" s="28" t="str">
        <f aca="false">IF(J2255="","",Settings!$B$4+R2255*7+Q2255)</f>
        <v/>
      </c>
      <c r="O2255" s="28" t="str">
        <f aca="true">IF(J2255="","",N2255+MAX(0,ROUNDUP((TODAY()-N2255)/(J2255*7),0))*J2255*7)</f>
        <v/>
      </c>
      <c r="P2255" s="27" t="str">
        <f aca="false">IF(J2255="","",MOD(K2255-1,J2255*4))</f>
        <v/>
      </c>
      <c r="Q2255" s="27" t="str">
        <f aca="false">IF(J2255="","",MOD(P2255,4))</f>
        <v/>
      </c>
      <c r="R2255" s="27" t="str">
        <f aca="false">IF(J2255="","",INT(P2255/4))</f>
        <v/>
      </c>
      <c r="S2255" s="27" t="str">
        <f aca="false">IF(J2255="","",IF(AND('Daily Count Sheet'!$H$3=Q2255,MOD('Daily Count Sheet'!$I$3,J2255)=R2255),1,""))</f>
        <v/>
      </c>
      <c r="T2255" s="27" t="str">
        <f aca="false">IF(S2255=1,COUNTIF($S$2:S2255,1),"")</f>
        <v/>
      </c>
    </row>
    <row r="2256" customFormat="false" ht="15" hidden="false" customHeight="false" outlineLevel="0" collapsed="false">
      <c r="H2256" s="26"/>
      <c r="I2256" s="27" t="str">
        <f aca="false">IF(A2256="","",IF(H2256&lt;&gt;"",UPPER(TRIM(H2256)),IFERROR(CHOOSE(VALUE(E2256)+1,"A","B","C","D"),IF(OR(LEFT(UPPER(TRIM(E2256)),1)="F",UPPER(TRIM(E2256))="A"),"A",IF(OR(LEFT(UPPER(TRIM(E2256)),1)="M",UPPER(TRIM(E2256))="B"),"B",IF(OR(LEFT(UPPER(TRIM(E2256)),2)="SL",UPPER(TRIM(E2256))="C"),"C",IF(OR(LEFT(UPPER(TRIM(E2256)),1)="D",UPPER(TRIM(E2256))="D"),"D","")))))))</f>
        <v/>
      </c>
      <c r="J2256" s="27" t="str">
        <f aca="false">IF(I2256="","",IF(AND(I2256="D",Settings!$B$6&lt;&gt;"Yes"),"",IFERROR(INDEX(Settings!$C$9:$C$12,MATCH(I2256,Settings!$A$9:$A$12,0)),"")))</f>
        <v/>
      </c>
      <c r="K2256" s="27" t="str">
        <f aca="false">IF(J2256="","",COUNTIF($I$2:I2256,I2256))</f>
        <v/>
      </c>
      <c r="L2256" s="27" t="str">
        <f aca="false">IF(J2256="","",CHOOSE(Q2256+1,"Tue","Wed","Thu","Fri"))</f>
        <v/>
      </c>
      <c r="M2256" s="27" t="str">
        <f aca="false">IF(J2256="","",IF(J2256=1,"Every week",R2256+1&amp;" of "&amp;J2256))</f>
        <v/>
      </c>
      <c r="N2256" s="28" t="str">
        <f aca="false">IF(J2256="","",Settings!$B$4+R2256*7+Q2256)</f>
        <v/>
      </c>
      <c r="O2256" s="28" t="str">
        <f aca="true">IF(J2256="","",N2256+MAX(0,ROUNDUP((TODAY()-N2256)/(J2256*7),0))*J2256*7)</f>
        <v/>
      </c>
      <c r="P2256" s="27" t="str">
        <f aca="false">IF(J2256="","",MOD(K2256-1,J2256*4))</f>
        <v/>
      </c>
      <c r="Q2256" s="27" t="str">
        <f aca="false">IF(J2256="","",MOD(P2256,4))</f>
        <v/>
      </c>
      <c r="R2256" s="27" t="str">
        <f aca="false">IF(J2256="","",INT(P2256/4))</f>
        <v/>
      </c>
      <c r="S2256" s="27" t="str">
        <f aca="false">IF(J2256="","",IF(AND('Daily Count Sheet'!$H$3=Q2256,MOD('Daily Count Sheet'!$I$3,J2256)=R2256),1,""))</f>
        <v/>
      </c>
      <c r="T2256" s="27" t="str">
        <f aca="false">IF(S2256=1,COUNTIF($S$2:S2256,1),"")</f>
        <v/>
      </c>
    </row>
    <row r="2257" customFormat="false" ht="15" hidden="false" customHeight="false" outlineLevel="0" collapsed="false">
      <c r="H2257" s="26"/>
      <c r="I2257" s="27" t="str">
        <f aca="false">IF(A2257="","",IF(H2257&lt;&gt;"",UPPER(TRIM(H2257)),IFERROR(CHOOSE(VALUE(E2257)+1,"A","B","C","D"),IF(OR(LEFT(UPPER(TRIM(E2257)),1)="F",UPPER(TRIM(E2257))="A"),"A",IF(OR(LEFT(UPPER(TRIM(E2257)),1)="M",UPPER(TRIM(E2257))="B"),"B",IF(OR(LEFT(UPPER(TRIM(E2257)),2)="SL",UPPER(TRIM(E2257))="C"),"C",IF(OR(LEFT(UPPER(TRIM(E2257)),1)="D",UPPER(TRIM(E2257))="D"),"D","")))))))</f>
        <v/>
      </c>
      <c r="J2257" s="27" t="str">
        <f aca="false">IF(I2257="","",IF(AND(I2257="D",Settings!$B$6&lt;&gt;"Yes"),"",IFERROR(INDEX(Settings!$C$9:$C$12,MATCH(I2257,Settings!$A$9:$A$12,0)),"")))</f>
        <v/>
      </c>
      <c r="K2257" s="27" t="str">
        <f aca="false">IF(J2257="","",COUNTIF($I$2:I2257,I2257))</f>
        <v/>
      </c>
      <c r="L2257" s="27" t="str">
        <f aca="false">IF(J2257="","",CHOOSE(Q2257+1,"Tue","Wed","Thu","Fri"))</f>
        <v/>
      </c>
      <c r="M2257" s="27" t="str">
        <f aca="false">IF(J2257="","",IF(J2257=1,"Every week",R2257+1&amp;" of "&amp;J2257))</f>
        <v/>
      </c>
      <c r="N2257" s="28" t="str">
        <f aca="false">IF(J2257="","",Settings!$B$4+R2257*7+Q2257)</f>
        <v/>
      </c>
      <c r="O2257" s="28" t="str">
        <f aca="true">IF(J2257="","",N2257+MAX(0,ROUNDUP((TODAY()-N2257)/(J2257*7),0))*J2257*7)</f>
        <v/>
      </c>
      <c r="P2257" s="27" t="str">
        <f aca="false">IF(J2257="","",MOD(K2257-1,J2257*4))</f>
        <v/>
      </c>
      <c r="Q2257" s="27" t="str">
        <f aca="false">IF(J2257="","",MOD(P2257,4))</f>
        <v/>
      </c>
      <c r="R2257" s="27" t="str">
        <f aca="false">IF(J2257="","",INT(P2257/4))</f>
        <v/>
      </c>
      <c r="S2257" s="27" t="str">
        <f aca="false">IF(J2257="","",IF(AND('Daily Count Sheet'!$H$3=Q2257,MOD('Daily Count Sheet'!$I$3,J2257)=R2257),1,""))</f>
        <v/>
      </c>
      <c r="T2257" s="27" t="str">
        <f aca="false">IF(S2257=1,COUNTIF($S$2:S2257,1),"")</f>
        <v/>
      </c>
    </row>
    <row r="2258" customFormat="false" ht="15" hidden="false" customHeight="false" outlineLevel="0" collapsed="false">
      <c r="H2258" s="26"/>
      <c r="I2258" s="27" t="str">
        <f aca="false">IF(A2258="","",IF(H2258&lt;&gt;"",UPPER(TRIM(H2258)),IFERROR(CHOOSE(VALUE(E2258)+1,"A","B","C","D"),IF(OR(LEFT(UPPER(TRIM(E2258)),1)="F",UPPER(TRIM(E2258))="A"),"A",IF(OR(LEFT(UPPER(TRIM(E2258)),1)="M",UPPER(TRIM(E2258))="B"),"B",IF(OR(LEFT(UPPER(TRIM(E2258)),2)="SL",UPPER(TRIM(E2258))="C"),"C",IF(OR(LEFT(UPPER(TRIM(E2258)),1)="D",UPPER(TRIM(E2258))="D"),"D","")))))))</f>
        <v/>
      </c>
      <c r="J2258" s="27" t="str">
        <f aca="false">IF(I2258="","",IF(AND(I2258="D",Settings!$B$6&lt;&gt;"Yes"),"",IFERROR(INDEX(Settings!$C$9:$C$12,MATCH(I2258,Settings!$A$9:$A$12,0)),"")))</f>
        <v/>
      </c>
      <c r="K2258" s="27" t="str">
        <f aca="false">IF(J2258="","",COUNTIF($I$2:I2258,I2258))</f>
        <v/>
      </c>
      <c r="L2258" s="27" t="str">
        <f aca="false">IF(J2258="","",CHOOSE(Q2258+1,"Tue","Wed","Thu","Fri"))</f>
        <v/>
      </c>
      <c r="M2258" s="27" t="str">
        <f aca="false">IF(J2258="","",IF(J2258=1,"Every week",R2258+1&amp;" of "&amp;J2258))</f>
        <v/>
      </c>
      <c r="N2258" s="28" t="str">
        <f aca="false">IF(J2258="","",Settings!$B$4+R2258*7+Q2258)</f>
        <v/>
      </c>
      <c r="O2258" s="28" t="str">
        <f aca="true">IF(J2258="","",N2258+MAX(0,ROUNDUP((TODAY()-N2258)/(J2258*7),0))*J2258*7)</f>
        <v/>
      </c>
      <c r="P2258" s="27" t="str">
        <f aca="false">IF(J2258="","",MOD(K2258-1,J2258*4))</f>
        <v/>
      </c>
      <c r="Q2258" s="27" t="str">
        <f aca="false">IF(J2258="","",MOD(P2258,4))</f>
        <v/>
      </c>
      <c r="R2258" s="27" t="str">
        <f aca="false">IF(J2258="","",INT(P2258/4))</f>
        <v/>
      </c>
      <c r="S2258" s="27" t="str">
        <f aca="false">IF(J2258="","",IF(AND('Daily Count Sheet'!$H$3=Q2258,MOD('Daily Count Sheet'!$I$3,J2258)=R2258),1,""))</f>
        <v/>
      </c>
      <c r="T2258" s="27" t="str">
        <f aca="false">IF(S2258=1,COUNTIF($S$2:S2258,1),"")</f>
        <v/>
      </c>
    </row>
    <row r="2259" customFormat="false" ht="15" hidden="false" customHeight="false" outlineLevel="0" collapsed="false">
      <c r="H2259" s="26"/>
      <c r="I2259" s="27" t="str">
        <f aca="false">IF(A2259="","",IF(H2259&lt;&gt;"",UPPER(TRIM(H2259)),IFERROR(CHOOSE(VALUE(E2259)+1,"A","B","C","D"),IF(OR(LEFT(UPPER(TRIM(E2259)),1)="F",UPPER(TRIM(E2259))="A"),"A",IF(OR(LEFT(UPPER(TRIM(E2259)),1)="M",UPPER(TRIM(E2259))="B"),"B",IF(OR(LEFT(UPPER(TRIM(E2259)),2)="SL",UPPER(TRIM(E2259))="C"),"C",IF(OR(LEFT(UPPER(TRIM(E2259)),1)="D",UPPER(TRIM(E2259))="D"),"D","")))))))</f>
        <v/>
      </c>
      <c r="J2259" s="27" t="str">
        <f aca="false">IF(I2259="","",IF(AND(I2259="D",Settings!$B$6&lt;&gt;"Yes"),"",IFERROR(INDEX(Settings!$C$9:$C$12,MATCH(I2259,Settings!$A$9:$A$12,0)),"")))</f>
        <v/>
      </c>
      <c r="K2259" s="27" t="str">
        <f aca="false">IF(J2259="","",COUNTIF($I$2:I2259,I2259))</f>
        <v/>
      </c>
      <c r="L2259" s="27" t="str">
        <f aca="false">IF(J2259="","",CHOOSE(Q2259+1,"Tue","Wed","Thu","Fri"))</f>
        <v/>
      </c>
      <c r="M2259" s="27" t="str">
        <f aca="false">IF(J2259="","",IF(J2259=1,"Every week",R2259+1&amp;" of "&amp;J2259))</f>
        <v/>
      </c>
      <c r="N2259" s="28" t="str">
        <f aca="false">IF(J2259="","",Settings!$B$4+R2259*7+Q2259)</f>
        <v/>
      </c>
      <c r="O2259" s="28" t="str">
        <f aca="true">IF(J2259="","",N2259+MAX(0,ROUNDUP((TODAY()-N2259)/(J2259*7),0))*J2259*7)</f>
        <v/>
      </c>
      <c r="P2259" s="27" t="str">
        <f aca="false">IF(J2259="","",MOD(K2259-1,J2259*4))</f>
        <v/>
      </c>
      <c r="Q2259" s="27" t="str">
        <f aca="false">IF(J2259="","",MOD(P2259,4))</f>
        <v/>
      </c>
      <c r="R2259" s="27" t="str">
        <f aca="false">IF(J2259="","",INT(P2259/4))</f>
        <v/>
      </c>
      <c r="S2259" s="27" t="str">
        <f aca="false">IF(J2259="","",IF(AND('Daily Count Sheet'!$H$3=Q2259,MOD('Daily Count Sheet'!$I$3,J2259)=R2259),1,""))</f>
        <v/>
      </c>
      <c r="T2259" s="27" t="str">
        <f aca="false">IF(S2259=1,COUNTIF($S$2:S2259,1),"")</f>
        <v/>
      </c>
    </row>
    <row r="2260" customFormat="false" ht="15" hidden="false" customHeight="false" outlineLevel="0" collapsed="false">
      <c r="H2260" s="26"/>
      <c r="I2260" s="27" t="str">
        <f aca="false">IF(A2260="","",IF(H2260&lt;&gt;"",UPPER(TRIM(H2260)),IFERROR(CHOOSE(VALUE(E2260)+1,"A","B","C","D"),IF(OR(LEFT(UPPER(TRIM(E2260)),1)="F",UPPER(TRIM(E2260))="A"),"A",IF(OR(LEFT(UPPER(TRIM(E2260)),1)="M",UPPER(TRIM(E2260))="B"),"B",IF(OR(LEFT(UPPER(TRIM(E2260)),2)="SL",UPPER(TRIM(E2260))="C"),"C",IF(OR(LEFT(UPPER(TRIM(E2260)),1)="D",UPPER(TRIM(E2260))="D"),"D","")))))))</f>
        <v/>
      </c>
      <c r="J2260" s="27" t="str">
        <f aca="false">IF(I2260="","",IF(AND(I2260="D",Settings!$B$6&lt;&gt;"Yes"),"",IFERROR(INDEX(Settings!$C$9:$C$12,MATCH(I2260,Settings!$A$9:$A$12,0)),"")))</f>
        <v/>
      </c>
      <c r="K2260" s="27" t="str">
        <f aca="false">IF(J2260="","",COUNTIF($I$2:I2260,I2260))</f>
        <v/>
      </c>
      <c r="L2260" s="27" t="str">
        <f aca="false">IF(J2260="","",CHOOSE(Q2260+1,"Tue","Wed","Thu","Fri"))</f>
        <v/>
      </c>
      <c r="M2260" s="27" t="str">
        <f aca="false">IF(J2260="","",IF(J2260=1,"Every week",R2260+1&amp;" of "&amp;J2260))</f>
        <v/>
      </c>
      <c r="N2260" s="28" t="str">
        <f aca="false">IF(J2260="","",Settings!$B$4+R2260*7+Q2260)</f>
        <v/>
      </c>
      <c r="O2260" s="28" t="str">
        <f aca="true">IF(J2260="","",N2260+MAX(0,ROUNDUP((TODAY()-N2260)/(J2260*7),0))*J2260*7)</f>
        <v/>
      </c>
      <c r="P2260" s="27" t="str">
        <f aca="false">IF(J2260="","",MOD(K2260-1,J2260*4))</f>
        <v/>
      </c>
      <c r="Q2260" s="27" t="str">
        <f aca="false">IF(J2260="","",MOD(P2260,4))</f>
        <v/>
      </c>
      <c r="R2260" s="27" t="str">
        <f aca="false">IF(J2260="","",INT(P2260/4))</f>
        <v/>
      </c>
      <c r="S2260" s="27" t="str">
        <f aca="false">IF(J2260="","",IF(AND('Daily Count Sheet'!$H$3=Q2260,MOD('Daily Count Sheet'!$I$3,J2260)=R2260),1,""))</f>
        <v/>
      </c>
      <c r="T2260" s="27" t="str">
        <f aca="false">IF(S2260=1,COUNTIF($S$2:S2260,1),"")</f>
        <v/>
      </c>
    </row>
    <row r="2261" customFormat="false" ht="15" hidden="false" customHeight="false" outlineLevel="0" collapsed="false">
      <c r="H2261" s="26"/>
      <c r="I2261" s="27" t="str">
        <f aca="false">IF(A2261="","",IF(H2261&lt;&gt;"",UPPER(TRIM(H2261)),IFERROR(CHOOSE(VALUE(E2261)+1,"A","B","C","D"),IF(OR(LEFT(UPPER(TRIM(E2261)),1)="F",UPPER(TRIM(E2261))="A"),"A",IF(OR(LEFT(UPPER(TRIM(E2261)),1)="M",UPPER(TRIM(E2261))="B"),"B",IF(OR(LEFT(UPPER(TRIM(E2261)),2)="SL",UPPER(TRIM(E2261))="C"),"C",IF(OR(LEFT(UPPER(TRIM(E2261)),1)="D",UPPER(TRIM(E2261))="D"),"D","")))))))</f>
        <v/>
      </c>
      <c r="J2261" s="27" t="str">
        <f aca="false">IF(I2261="","",IF(AND(I2261="D",Settings!$B$6&lt;&gt;"Yes"),"",IFERROR(INDEX(Settings!$C$9:$C$12,MATCH(I2261,Settings!$A$9:$A$12,0)),"")))</f>
        <v/>
      </c>
      <c r="K2261" s="27" t="str">
        <f aca="false">IF(J2261="","",COUNTIF($I$2:I2261,I2261))</f>
        <v/>
      </c>
      <c r="L2261" s="27" t="str">
        <f aca="false">IF(J2261="","",CHOOSE(Q2261+1,"Tue","Wed","Thu","Fri"))</f>
        <v/>
      </c>
      <c r="M2261" s="27" t="str">
        <f aca="false">IF(J2261="","",IF(J2261=1,"Every week",R2261+1&amp;" of "&amp;J2261))</f>
        <v/>
      </c>
      <c r="N2261" s="28" t="str">
        <f aca="false">IF(J2261="","",Settings!$B$4+R2261*7+Q2261)</f>
        <v/>
      </c>
      <c r="O2261" s="28" t="str">
        <f aca="true">IF(J2261="","",N2261+MAX(0,ROUNDUP((TODAY()-N2261)/(J2261*7),0))*J2261*7)</f>
        <v/>
      </c>
      <c r="P2261" s="27" t="str">
        <f aca="false">IF(J2261="","",MOD(K2261-1,J2261*4))</f>
        <v/>
      </c>
      <c r="Q2261" s="27" t="str">
        <f aca="false">IF(J2261="","",MOD(P2261,4))</f>
        <v/>
      </c>
      <c r="R2261" s="27" t="str">
        <f aca="false">IF(J2261="","",INT(P2261/4))</f>
        <v/>
      </c>
      <c r="S2261" s="27" t="str">
        <f aca="false">IF(J2261="","",IF(AND('Daily Count Sheet'!$H$3=Q2261,MOD('Daily Count Sheet'!$I$3,J2261)=R2261),1,""))</f>
        <v/>
      </c>
      <c r="T2261" s="27" t="str">
        <f aca="false">IF(S2261=1,COUNTIF($S$2:S2261,1),"")</f>
        <v/>
      </c>
    </row>
    <row r="2262" customFormat="false" ht="15" hidden="false" customHeight="false" outlineLevel="0" collapsed="false">
      <c r="H2262" s="26"/>
      <c r="I2262" s="27" t="str">
        <f aca="false">IF(A2262="","",IF(H2262&lt;&gt;"",UPPER(TRIM(H2262)),IFERROR(CHOOSE(VALUE(E2262)+1,"A","B","C","D"),IF(OR(LEFT(UPPER(TRIM(E2262)),1)="F",UPPER(TRIM(E2262))="A"),"A",IF(OR(LEFT(UPPER(TRIM(E2262)),1)="M",UPPER(TRIM(E2262))="B"),"B",IF(OR(LEFT(UPPER(TRIM(E2262)),2)="SL",UPPER(TRIM(E2262))="C"),"C",IF(OR(LEFT(UPPER(TRIM(E2262)),1)="D",UPPER(TRIM(E2262))="D"),"D","")))))))</f>
        <v/>
      </c>
      <c r="J2262" s="27" t="str">
        <f aca="false">IF(I2262="","",IF(AND(I2262="D",Settings!$B$6&lt;&gt;"Yes"),"",IFERROR(INDEX(Settings!$C$9:$C$12,MATCH(I2262,Settings!$A$9:$A$12,0)),"")))</f>
        <v/>
      </c>
      <c r="K2262" s="27" t="str">
        <f aca="false">IF(J2262="","",COUNTIF($I$2:I2262,I2262))</f>
        <v/>
      </c>
      <c r="L2262" s="27" t="str">
        <f aca="false">IF(J2262="","",CHOOSE(Q2262+1,"Tue","Wed","Thu","Fri"))</f>
        <v/>
      </c>
      <c r="M2262" s="27" t="str">
        <f aca="false">IF(J2262="","",IF(J2262=1,"Every week",R2262+1&amp;" of "&amp;J2262))</f>
        <v/>
      </c>
      <c r="N2262" s="28" t="str">
        <f aca="false">IF(J2262="","",Settings!$B$4+R2262*7+Q2262)</f>
        <v/>
      </c>
      <c r="O2262" s="28" t="str">
        <f aca="true">IF(J2262="","",N2262+MAX(0,ROUNDUP((TODAY()-N2262)/(J2262*7),0))*J2262*7)</f>
        <v/>
      </c>
      <c r="P2262" s="27" t="str">
        <f aca="false">IF(J2262="","",MOD(K2262-1,J2262*4))</f>
        <v/>
      </c>
      <c r="Q2262" s="27" t="str">
        <f aca="false">IF(J2262="","",MOD(P2262,4))</f>
        <v/>
      </c>
      <c r="R2262" s="27" t="str">
        <f aca="false">IF(J2262="","",INT(P2262/4))</f>
        <v/>
      </c>
      <c r="S2262" s="27" t="str">
        <f aca="false">IF(J2262="","",IF(AND('Daily Count Sheet'!$H$3=Q2262,MOD('Daily Count Sheet'!$I$3,J2262)=R2262),1,""))</f>
        <v/>
      </c>
      <c r="T2262" s="27" t="str">
        <f aca="false">IF(S2262=1,COUNTIF($S$2:S2262,1),"")</f>
        <v/>
      </c>
    </row>
    <row r="2263" customFormat="false" ht="15" hidden="false" customHeight="false" outlineLevel="0" collapsed="false">
      <c r="H2263" s="26"/>
      <c r="I2263" s="27" t="str">
        <f aca="false">IF(A2263="","",IF(H2263&lt;&gt;"",UPPER(TRIM(H2263)),IFERROR(CHOOSE(VALUE(E2263)+1,"A","B","C","D"),IF(OR(LEFT(UPPER(TRIM(E2263)),1)="F",UPPER(TRIM(E2263))="A"),"A",IF(OR(LEFT(UPPER(TRIM(E2263)),1)="M",UPPER(TRIM(E2263))="B"),"B",IF(OR(LEFT(UPPER(TRIM(E2263)),2)="SL",UPPER(TRIM(E2263))="C"),"C",IF(OR(LEFT(UPPER(TRIM(E2263)),1)="D",UPPER(TRIM(E2263))="D"),"D","")))))))</f>
        <v/>
      </c>
      <c r="J2263" s="27" t="str">
        <f aca="false">IF(I2263="","",IF(AND(I2263="D",Settings!$B$6&lt;&gt;"Yes"),"",IFERROR(INDEX(Settings!$C$9:$C$12,MATCH(I2263,Settings!$A$9:$A$12,0)),"")))</f>
        <v/>
      </c>
      <c r="K2263" s="27" t="str">
        <f aca="false">IF(J2263="","",COUNTIF($I$2:I2263,I2263))</f>
        <v/>
      </c>
      <c r="L2263" s="27" t="str">
        <f aca="false">IF(J2263="","",CHOOSE(Q2263+1,"Tue","Wed","Thu","Fri"))</f>
        <v/>
      </c>
      <c r="M2263" s="27" t="str">
        <f aca="false">IF(J2263="","",IF(J2263=1,"Every week",R2263+1&amp;" of "&amp;J2263))</f>
        <v/>
      </c>
      <c r="N2263" s="28" t="str">
        <f aca="false">IF(J2263="","",Settings!$B$4+R2263*7+Q2263)</f>
        <v/>
      </c>
      <c r="O2263" s="28" t="str">
        <f aca="true">IF(J2263="","",N2263+MAX(0,ROUNDUP((TODAY()-N2263)/(J2263*7),0))*J2263*7)</f>
        <v/>
      </c>
      <c r="P2263" s="27" t="str">
        <f aca="false">IF(J2263="","",MOD(K2263-1,J2263*4))</f>
        <v/>
      </c>
      <c r="Q2263" s="27" t="str">
        <f aca="false">IF(J2263="","",MOD(P2263,4))</f>
        <v/>
      </c>
      <c r="R2263" s="27" t="str">
        <f aca="false">IF(J2263="","",INT(P2263/4))</f>
        <v/>
      </c>
      <c r="S2263" s="27" t="str">
        <f aca="false">IF(J2263="","",IF(AND('Daily Count Sheet'!$H$3=Q2263,MOD('Daily Count Sheet'!$I$3,J2263)=R2263),1,""))</f>
        <v/>
      </c>
      <c r="T2263" s="27" t="str">
        <f aca="false">IF(S2263=1,COUNTIF($S$2:S2263,1),"")</f>
        <v/>
      </c>
    </row>
    <row r="2264" customFormat="false" ht="15" hidden="false" customHeight="false" outlineLevel="0" collapsed="false">
      <c r="H2264" s="26"/>
      <c r="I2264" s="27" t="str">
        <f aca="false">IF(A2264="","",IF(H2264&lt;&gt;"",UPPER(TRIM(H2264)),IFERROR(CHOOSE(VALUE(E2264)+1,"A","B","C","D"),IF(OR(LEFT(UPPER(TRIM(E2264)),1)="F",UPPER(TRIM(E2264))="A"),"A",IF(OR(LEFT(UPPER(TRIM(E2264)),1)="M",UPPER(TRIM(E2264))="B"),"B",IF(OR(LEFT(UPPER(TRIM(E2264)),2)="SL",UPPER(TRIM(E2264))="C"),"C",IF(OR(LEFT(UPPER(TRIM(E2264)),1)="D",UPPER(TRIM(E2264))="D"),"D","")))))))</f>
        <v/>
      </c>
      <c r="J2264" s="27" t="str">
        <f aca="false">IF(I2264="","",IF(AND(I2264="D",Settings!$B$6&lt;&gt;"Yes"),"",IFERROR(INDEX(Settings!$C$9:$C$12,MATCH(I2264,Settings!$A$9:$A$12,0)),"")))</f>
        <v/>
      </c>
      <c r="K2264" s="27" t="str">
        <f aca="false">IF(J2264="","",COUNTIF($I$2:I2264,I2264))</f>
        <v/>
      </c>
      <c r="L2264" s="27" t="str">
        <f aca="false">IF(J2264="","",CHOOSE(Q2264+1,"Tue","Wed","Thu","Fri"))</f>
        <v/>
      </c>
      <c r="M2264" s="27" t="str">
        <f aca="false">IF(J2264="","",IF(J2264=1,"Every week",R2264+1&amp;" of "&amp;J2264))</f>
        <v/>
      </c>
      <c r="N2264" s="28" t="str">
        <f aca="false">IF(J2264="","",Settings!$B$4+R2264*7+Q2264)</f>
        <v/>
      </c>
      <c r="O2264" s="28" t="str">
        <f aca="true">IF(J2264="","",N2264+MAX(0,ROUNDUP((TODAY()-N2264)/(J2264*7),0))*J2264*7)</f>
        <v/>
      </c>
      <c r="P2264" s="27" t="str">
        <f aca="false">IF(J2264="","",MOD(K2264-1,J2264*4))</f>
        <v/>
      </c>
      <c r="Q2264" s="27" t="str">
        <f aca="false">IF(J2264="","",MOD(P2264,4))</f>
        <v/>
      </c>
      <c r="R2264" s="27" t="str">
        <f aca="false">IF(J2264="","",INT(P2264/4))</f>
        <v/>
      </c>
      <c r="S2264" s="27" t="str">
        <f aca="false">IF(J2264="","",IF(AND('Daily Count Sheet'!$H$3=Q2264,MOD('Daily Count Sheet'!$I$3,J2264)=R2264),1,""))</f>
        <v/>
      </c>
      <c r="T2264" s="27" t="str">
        <f aca="false">IF(S2264=1,COUNTIF($S$2:S2264,1),"")</f>
        <v/>
      </c>
    </row>
    <row r="2265" customFormat="false" ht="15" hidden="false" customHeight="false" outlineLevel="0" collapsed="false">
      <c r="H2265" s="26"/>
      <c r="I2265" s="27" t="str">
        <f aca="false">IF(A2265="","",IF(H2265&lt;&gt;"",UPPER(TRIM(H2265)),IFERROR(CHOOSE(VALUE(E2265)+1,"A","B","C","D"),IF(OR(LEFT(UPPER(TRIM(E2265)),1)="F",UPPER(TRIM(E2265))="A"),"A",IF(OR(LEFT(UPPER(TRIM(E2265)),1)="M",UPPER(TRIM(E2265))="B"),"B",IF(OR(LEFT(UPPER(TRIM(E2265)),2)="SL",UPPER(TRIM(E2265))="C"),"C",IF(OR(LEFT(UPPER(TRIM(E2265)),1)="D",UPPER(TRIM(E2265))="D"),"D","")))))))</f>
        <v/>
      </c>
      <c r="J2265" s="27" t="str">
        <f aca="false">IF(I2265="","",IF(AND(I2265="D",Settings!$B$6&lt;&gt;"Yes"),"",IFERROR(INDEX(Settings!$C$9:$C$12,MATCH(I2265,Settings!$A$9:$A$12,0)),"")))</f>
        <v/>
      </c>
      <c r="K2265" s="27" t="str">
        <f aca="false">IF(J2265="","",COUNTIF($I$2:I2265,I2265))</f>
        <v/>
      </c>
      <c r="L2265" s="27" t="str">
        <f aca="false">IF(J2265="","",CHOOSE(Q2265+1,"Tue","Wed","Thu","Fri"))</f>
        <v/>
      </c>
      <c r="M2265" s="27" t="str">
        <f aca="false">IF(J2265="","",IF(J2265=1,"Every week",R2265+1&amp;" of "&amp;J2265))</f>
        <v/>
      </c>
      <c r="N2265" s="28" t="str">
        <f aca="false">IF(J2265="","",Settings!$B$4+R2265*7+Q2265)</f>
        <v/>
      </c>
      <c r="O2265" s="28" t="str">
        <f aca="true">IF(J2265="","",N2265+MAX(0,ROUNDUP((TODAY()-N2265)/(J2265*7),0))*J2265*7)</f>
        <v/>
      </c>
      <c r="P2265" s="27" t="str">
        <f aca="false">IF(J2265="","",MOD(K2265-1,J2265*4))</f>
        <v/>
      </c>
      <c r="Q2265" s="27" t="str">
        <f aca="false">IF(J2265="","",MOD(P2265,4))</f>
        <v/>
      </c>
      <c r="R2265" s="27" t="str">
        <f aca="false">IF(J2265="","",INT(P2265/4))</f>
        <v/>
      </c>
      <c r="S2265" s="27" t="str">
        <f aca="false">IF(J2265="","",IF(AND('Daily Count Sheet'!$H$3=Q2265,MOD('Daily Count Sheet'!$I$3,J2265)=R2265),1,""))</f>
        <v/>
      </c>
      <c r="T2265" s="27" t="str">
        <f aca="false">IF(S2265=1,COUNTIF($S$2:S2265,1),"")</f>
        <v/>
      </c>
    </row>
    <row r="2266" customFormat="false" ht="15" hidden="false" customHeight="false" outlineLevel="0" collapsed="false">
      <c r="H2266" s="26"/>
      <c r="I2266" s="27" t="str">
        <f aca="false">IF(A2266="","",IF(H2266&lt;&gt;"",UPPER(TRIM(H2266)),IFERROR(CHOOSE(VALUE(E2266)+1,"A","B","C","D"),IF(OR(LEFT(UPPER(TRIM(E2266)),1)="F",UPPER(TRIM(E2266))="A"),"A",IF(OR(LEFT(UPPER(TRIM(E2266)),1)="M",UPPER(TRIM(E2266))="B"),"B",IF(OR(LEFT(UPPER(TRIM(E2266)),2)="SL",UPPER(TRIM(E2266))="C"),"C",IF(OR(LEFT(UPPER(TRIM(E2266)),1)="D",UPPER(TRIM(E2266))="D"),"D","")))))))</f>
        <v/>
      </c>
      <c r="J2266" s="27" t="str">
        <f aca="false">IF(I2266="","",IF(AND(I2266="D",Settings!$B$6&lt;&gt;"Yes"),"",IFERROR(INDEX(Settings!$C$9:$C$12,MATCH(I2266,Settings!$A$9:$A$12,0)),"")))</f>
        <v/>
      </c>
      <c r="K2266" s="27" t="str">
        <f aca="false">IF(J2266="","",COUNTIF($I$2:I2266,I2266))</f>
        <v/>
      </c>
      <c r="L2266" s="27" t="str">
        <f aca="false">IF(J2266="","",CHOOSE(Q2266+1,"Tue","Wed","Thu","Fri"))</f>
        <v/>
      </c>
      <c r="M2266" s="27" t="str">
        <f aca="false">IF(J2266="","",IF(J2266=1,"Every week",R2266+1&amp;" of "&amp;J2266))</f>
        <v/>
      </c>
      <c r="N2266" s="28" t="str">
        <f aca="false">IF(J2266="","",Settings!$B$4+R2266*7+Q2266)</f>
        <v/>
      </c>
      <c r="O2266" s="28" t="str">
        <f aca="true">IF(J2266="","",N2266+MAX(0,ROUNDUP((TODAY()-N2266)/(J2266*7),0))*J2266*7)</f>
        <v/>
      </c>
      <c r="P2266" s="27" t="str">
        <f aca="false">IF(J2266="","",MOD(K2266-1,J2266*4))</f>
        <v/>
      </c>
      <c r="Q2266" s="27" t="str">
        <f aca="false">IF(J2266="","",MOD(P2266,4))</f>
        <v/>
      </c>
      <c r="R2266" s="27" t="str">
        <f aca="false">IF(J2266="","",INT(P2266/4))</f>
        <v/>
      </c>
      <c r="S2266" s="27" t="str">
        <f aca="false">IF(J2266="","",IF(AND('Daily Count Sheet'!$H$3=Q2266,MOD('Daily Count Sheet'!$I$3,J2266)=R2266),1,""))</f>
        <v/>
      </c>
      <c r="T2266" s="27" t="str">
        <f aca="false">IF(S2266=1,COUNTIF($S$2:S2266,1),"")</f>
        <v/>
      </c>
    </row>
    <row r="2267" customFormat="false" ht="15" hidden="false" customHeight="false" outlineLevel="0" collapsed="false">
      <c r="H2267" s="26"/>
      <c r="I2267" s="27" t="str">
        <f aca="false">IF(A2267="","",IF(H2267&lt;&gt;"",UPPER(TRIM(H2267)),IFERROR(CHOOSE(VALUE(E2267)+1,"A","B","C","D"),IF(OR(LEFT(UPPER(TRIM(E2267)),1)="F",UPPER(TRIM(E2267))="A"),"A",IF(OR(LEFT(UPPER(TRIM(E2267)),1)="M",UPPER(TRIM(E2267))="B"),"B",IF(OR(LEFT(UPPER(TRIM(E2267)),2)="SL",UPPER(TRIM(E2267))="C"),"C",IF(OR(LEFT(UPPER(TRIM(E2267)),1)="D",UPPER(TRIM(E2267))="D"),"D","")))))))</f>
        <v/>
      </c>
      <c r="J2267" s="27" t="str">
        <f aca="false">IF(I2267="","",IF(AND(I2267="D",Settings!$B$6&lt;&gt;"Yes"),"",IFERROR(INDEX(Settings!$C$9:$C$12,MATCH(I2267,Settings!$A$9:$A$12,0)),"")))</f>
        <v/>
      </c>
      <c r="K2267" s="27" t="str">
        <f aca="false">IF(J2267="","",COUNTIF($I$2:I2267,I2267))</f>
        <v/>
      </c>
      <c r="L2267" s="27" t="str">
        <f aca="false">IF(J2267="","",CHOOSE(Q2267+1,"Tue","Wed","Thu","Fri"))</f>
        <v/>
      </c>
      <c r="M2267" s="27" t="str">
        <f aca="false">IF(J2267="","",IF(J2267=1,"Every week",R2267+1&amp;" of "&amp;J2267))</f>
        <v/>
      </c>
      <c r="N2267" s="28" t="str">
        <f aca="false">IF(J2267="","",Settings!$B$4+R2267*7+Q2267)</f>
        <v/>
      </c>
      <c r="O2267" s="28" t="str">
        <f aca="true">IF(J2267="","",N2267+MAX(0,ROUNDUP((TODAY()-N2267)/(J2267*7),0))*J2267*7)</f>
        <v/>
      </c>
      <c r="P2267" s="27" t="str">
        <f aca="false">IF(J2267="","",MOD(K2267-1,J2267*4))</f>
        <v/>
      </c>
      <c r="Q2267" s="27" t="str">
        <f aca="false">IF(J2267="","",MOD(P2267,4))</f>
        <v/>
      </c>
      <c r="R2267" s="27" t="str">
        <f aca="false">IF(J2267="","",INT(P2267/4))</f>
        <v/>
      </c>
      <c r="S2267" s="27" t="str">
        <f aca="false">IF(J2267="","",IF(AND('Daily Count Sheet'!$H$3=Q2267,MOD('Daily Count Sheet'!$I$3,J2267)=R2267),1,""))</f>
        <v/>
      </c>
      <c r="T2267" s="27" t="str">
        <f aca="false">IF(S2267=1,COUNTIF($S$2:S2267,1),"")</f>
        <v/>
      </c>
    </row>
    <row r="2268" customFormat="false" ht="15" hidden="false" customHeight="false" outlineLevel="0" collapsed="false">
      <c r="H2268" s="26"/>
      <c r="I2268" s="27" t="str">
        <f aca="false">IF(A2268="","",IF(H2268&lt;&gt;"",UPPER(TRIM(H2268)),IFERROR(CHOOSE(VALUE(E2268)+1,"A","B","C","D"),IF(OR(LEFT(UPPER(TRIM(E2268)),1)="F",UPPER(TRIM(E2268))="A"),"A",IF(OR(LEFT(UPPER(TRIM(E2268)),1)="M",UPPER(TRIM(E2268))="B"),"B",IF(OR(LEFT(UPPER(TRIM(E2268)),2)="SL",UPPER(TRIM(E2268))="C"),"C",IF(OR(LEFT(UPPER(TRIM(E2268)),1)="D",UPPER(TRIM(E2268))="D"),"D","")))))))</f>
        <v/>
      </c>
      <c r="J2268" s="27" t="str">
        <f aca="false">IF(I2268="","",IF(AND(I2268="D",Settings!$B$6&lt;&gt;"Yes"),"",IFERROR(INDEX(Settings!$C$9:$C$12,MATCH(I2268,Settings!$A$9:$A$12,0)),"")))</f>
        <v/>
      </c>
      <c r="K2268" s="27" t="str">
        <f aca="false">IF(J2268="","",COUNTIF($I$2:I2268,I2268))</f>
        <v/>
      </c>
      <c r="L2268" s="27" t="str">
        <f aca="false">IF(J2268="","",CHOOSE(Q2268+1,"Tue","Wed","Thu","Fri"))</f>
        <v/>
      </c>
      <c r="M2268" s="27" t="str">
        <f aca="false">IF(J2268="","",IF(J2268=1,"Every week",R2268+1&amp;" of "&amp;J2268))</f>
        <v/>
      </c>
      <c r="N2268" s="28" t="str">
        <f aca="false">IF(J2268="","",Settings!$B$4+R2268*7+Q2268)</f>
        <v/>
      </c>
      <c r="O2268" s="28" t="str">
        <f aca="true">IF(J2268="","",N2268+MAX(0,ROUNDUP((TODAY()-N2268)/(J2268*7),0))*J2268*7)</f>
        <v/>
      </c>
      <c r="P2268" s="27" t="str">
        <f aca="false">IF(J2268="","",MOD(K2268-1,J2268*4))</f>
        <v/>
      </c>
      <c r="Q2268" s="27" t="str">
        <f aca="false">IF(J2268="","",MOD(P2268,4))</f>
        <v/>
      </c>
      <c r="R2268" s="27" t="str">
        <f aca="false">IF(J2268="","",INT(P2268/4))</f>
        <v/>
      </c>
      <c r="S2268" s="27" t="str">
        <f aca="false">IF(J2268="","",IF(AND('Daily Count Sheet'!$H$3=Q2268,MOD('Daily Count Sheet'!$I$3,J2268)=R2268),1,""))</f>
        <v/>
      </c>
      <c r="T2268" s="27" t="str">
        <f aca="false">IF(S2268=1,COUNTIF($S$2:S2268,1),"")</f>
        <v/>
      </c>
    </row>
    <row r="2269" customFormat="false" ht="15" hidden="false" customHeight="false" outlineLevel="0" collapsed="false">
      <c r="H2269" s="26"/>
      <c r="I2269" s="27" t="str">
        <f aca="false">IF(A2269="","",IF(H2269&lt;&gt;"",UPPER(TRIM(H2269)),IFERROR(CHOOSE(VALUE(E2269)+1,"A","B","C","D"),IF(OR(LEFT(UPPER(TRIM(E2269)),1)="F",UPPER(TRIM(E2269))="A"),"A",IF(OR(LEFT(UPPER(TRIM(E2269)),1)="M",UPPER(TRIM(E2269))="B"),"B",IF(OR(LEFT(UPPER(TRIM(E2269)),2)="SL",UPPER(TRIM(E2269))="C"),"C",IF(OR(LEFT(UPPER(TRIM(E2269)),1)="D",UPPER(TRIM(E2269))="D"),"D","")))))))</f>
        <v/>
      </c>
      <c r="J2269" s="27" t="str">
        <f aca="false">IF(I2269="","",IF(AND(I2269="D",Settings!$B$6&lt;&gt;"Yes"),"",IFERROR(INDEX(Settings!$C$9:$C$12,MATCH(I2269,Settings!$A$9:$A$12,0)),"")))</f>
        <v/>
      </c>
      <c r="K2269" s="27" t="str">
        <f aca="false">IF(J2269="","",COUNTIF($I$2:I2269,I2269))</f>
        <v/>
      </c>
      <c r="L2269" s="27" t="str">
        <f aca="false">IF(J2269="","",CHOOSE(Q2269+1,"Tue","Wed","Thu","Fri"))</f>
        <v/>
      </c>
      <c r="M2269" s="27" t="str">
        <f aca="false">IF(J2269="","",IF(J2269=1,"Every week",R2269+1&amp;" of "&amp;J2269))</f>
        <v/>
      </c>
      <c r="N2269" s="28" t="str">
        <f aca="false">IF(J2269="","",Settings!$B$4+R2269*7+Q2269)</f>
        <v/>
      </c>
      <c r="O2269" s="28" t="str">
        <f aca="true">IF(J2269="","",N2269+MAX(0,ROUNDUP((TODAY()-N2269)/(J2269*7),0))*J2269*7)</f>
        <v/>
      </c>
      <c r="P2269" s="27" t="str">
        <f aca="false">IF(J2269="","",MOD(K2269-1,J2269*4))</f>
        <v/>
      </c>
      <c r="Q2269" s="27" t="str">
        <f aca="false">IF(J2269="","",MOD(P2269,4))</f>
        <v/>
      </c>
      <c r="R2269" s="27" t="str">
        <f aca="false">IF(J2269="","",INT(P2269/4))</f>
        <v/>
      </c>
      <c r="S2269" s="27" t="str">
        <f aca="false">IF(J2269="","",IF(AND('Daily Count Sheet'!$H$3=Q2269,MOD('Daily Count Sheet'!$I$3,J2269)=R2269),1,""))</f>
        <v/>
      </c>
      <c r="T2269" s="27" t="str">
        <f aca="false">IF(S2269=1,COUNTIF($S$2:S2269,1),"")</f>
        <v/>
      </c>
    </row>
    <row r="2270" customFormat="false" ht="15" hidden="false" customHeight="false" outlineLevel="0" collapsed="false">
      <c r="H2270" s="26"/>
      <c r="I2270" s="27" t="str">
        <f aca="false">IF(A2270="","",IF(H2270&lt;&gt;"",UPPER(TRIM(H2270)),IFERROR(CHOOSE(VALUE(E2270)+1,"A","B","C","D"),IF(OR(LEFT(UPPER(TRIM(E2270)),1)="F",UPPER(TRIM(E2270))="A"),"A",IF(OR(LEFT(UPPER(TRIM(E2270)),1)="M",UPPER(TRIM(E2270))="B"),"B",IF(OR(LEFT(UPPER(TRIM(E2270)),2)="SL",UPPER(TRIM(E2270))="C"),"C",IF(OR(LEFT(UPPER(TRIM(E2270)),1)="D",UPPER(TRIM(E2270))="D"),"D","")))))))</f>
        <v/>
      </c>
      <c r="J2270" s="27" t="str">
        <f aca="false">IF(I2270="","",IF(AND(I2270="D",Settings!$B$6&lt;&gt;"Yes"),"",IFERROR(INDEX(Settings!$C$9:$C$12,MATCH(I2270,Settings!$A$9:$A$12,0)),"")))</f>
        <v/>
      </c>
      <c r="K2270" s="27" t="str">
        <f aca="false">IF(J2270="","",COUNTIF($I$2:I2270,I2270))</f>
        <v/>
      </c>
      <c r="L2270" s="27" t="str">
        <f aca="false">IF(J2270="","",CHOOSE(Q2270+1,"Tue","Wed","Thu","Fri"))</f>
        <v/>
      </c>
      <c r="M2270" s="27" t="str">
        <f aca="false">IF(J2270="","",IF(J2270=1,"Every week",R2270+1&amp;" of "&amp;J2270))</f>
        <v/>
      </c>
      <c r="N2270" s="28" t="str">
        <f aca="false">IF(J2270="","",Settings!$B$4+R2270*7+Q2270)</f>
        <v/>
      </c>
      <c r="O2270" s="28" t="str">
        <f aca="true">IF(J2270="","",N2270+MAX(0,ROUNDUP((TODAY()-N2270)/(J2270*7),0))*J2270*7)</f>
        <v/>
      </c>
      <c r="P2270" s="27" t="str">
        <f aca="false">IF(J2270="","",MOD(K2270-1,J2270*4))</f>
        <v/>
      </c>
      <c r="Q2270" s="27" t="str">
        <f aca="false">IF(J2270="","",MOD(P2270,4))</f>
        <v/>
      </c>
      <c r="R2270" s="27" t="str">
        <f aca="false">IF(J2270="","",INT(P2270/4))</f>
        <v/>
      </c>
      <c r="S2270" s="27" t="str">
        <f aca="false">IF(J2270="","",IF(AND('Daily Count Sheet'!$H$3=Q2270,MOD('Daily Count Sheet'!$I$3,J2270)=R2270),1,""))</f>
        <v/>
      </c>
      <c r="T2270" s="27" t="str">
        <f aca="false">IF(S2270=1,COUNTIF($S$2:S2270,1),"")</f>
        <v/>
      </c>
    </row>
    <row r="2271" customFormat="false" ht="15" hidden="false" customHeight="false" outlineLevel="0" collapsed="false">
      <c r="H2271" s="26"/>
      <c r="I2271" s="27" t="str">
        <f aca="false">IF(A2271="","",IF(H2271&lt;&gt;"",UPPER(TRIM(H2271)),IFERROR(CHOOSE(VALUE(E2271)+1,"A","B","C","D"),IF(OR(LEFT(UPPER(TRIM(E2271)),1)="F",UPPER(TRIM(E2271))="A"),"A",IF(OR(LEFT(UPPER(TRIM(E2271)),1)="M",UPPER(TRIM(E2271))="B"),"B",IF(OR(LEFT(UPPER(TRIM(E2271)),2)="SL",UPPER(TRIM(E2271))="C"),"C",IF(OR(LEFT(UPPER(TRIM(E2271)),1)="D",UPPER(TRIM(E2271))="D"),"D","")))))))</f>
        <v/>
      </c>
      <c r="J2271" s="27" t="str">
        <f aca="false">IF(I2271="","",IF(AND(I2271="D",Settings!$B$6&lt;&gt;"Yes"),"",IFERROR(INDEX(Settings!$C$9:$C$12,MATCH(I2271,Settings!$A$9:$A$12,0)),"")))</f>
        <v/>
      </c>
      <c r="K2271" s="27" t="str">
        <f aca="false">IF(J2271="","",COUNTIF($I$2:I2271,I2271))</f>
        <v/>
      </c>
      <c r="L2271" s="27" t="str">
        <f aca="false">IF(J2271="","",CHOOSE(Q2271+1,"Tue","Wed","Thu","Fri"))</f>
        <v/>
      </c>
      <c r="M2271" s="27" t="str">
        <f aca="false">IF(J2271="","",IF(J2271=1,"Every week",R2271+1&amp;" of "&amp;J2271))</f>
        <v/>
      </c>
      <c r="N2271" s="28" t="str">
        <f aca="false">IF(J2271="","",Settings!$B$4+R2271*7+Q2271)</f>
        <v/>
      </c>
      <c r="O2271" s="28" t="str">
        <f aca="true">IF(J2271="","",N2271+MAX(0,ROUNDUP((TODAY()-N2271)/(J2271*7),0))*J2271*7)</f>
        <v/>
      </c>
      <c r="P2271" s="27" t="str">
        <f aca="false">IF(J2271="","",MOD(K2271-1,J2271*4))</f>
        <v/>
      </c>
      <c r="Q2271" s="27" t="str">
        <f aca="false">IF(J2271="","",MOD(P2271,4))</f>
        <v/>
      </c>
      <c r="R2271" s="27" t="str">
        <f aca="false">IF(J2271="","",INT(P2271/4))</f>
        <v/>
      </c>
      <c r="S2271" s="27" t="str">
        <f aca="false">IF(J2271="","",IF(AND('Daily Count Sheet'!$H$3=Q2271,MOD('Daily Count Sheet'!$I$3,J2271)=R2271),1,""))</f>
        <v/>
      </c>
      <c r="T2271" s="27" t="str">
        <f aca="false">IF(S2271=1,COUNTIF($S$2:S2271,1),"")</f>
        <v/>
      </c>
    </row>
    <row r="2272" customFormat="false" ht="15" hidden="false" customHeight="false" outlineLevel="0" collapsed="false">
      <c r="H2272" s="26"/>
      <c r="I2272" s="27" t="str">
        <f aca="false">IF(A2272="","",IF(H2272&lt;&gt;"",UPPER(TRIM(H2272)),IFERROR(CHOOSE(VALUE(E2272)+1,"A","B","C","D"),IF(OR(LEFT(UPPER(TRIM(E2272)),1)="F",UPPER(TRIM(E2272))="A"),"A",IF(OR(LEFT(UPPER(TRIM(E2272)),1)="M",UPPER(TRIM(E2272))="B"),"B",IF(OR(LEFT(UPPER(TRIM(E2272)),2)="SL",UPPER(TRIM(E2272))="C"),"C",IF(OR(LEFT(UPPER(TRIM(E2272)),1)="D",UPPER(TRIM(E2272))="D"),"D","")))))))</f>
        <v/>
      </c>
      <c r="J2272" s="27" t="str">
        <f aca="false">IF(I2272="","",IF(AND(I2272="D",Settings!$B$6&lt;&gt;"Yes"),"",IFERROR(INDEX(Settings!$C$9:$C$12,MATCH(I2272,Settings!$A$9:$A$12,0)),"")))</f>
        <v/>
      </c>
      <c r="K2272" s="27" t="str">
        <f aca="false">IF(J2272="","",COUNTIF($I$2:I2272,I2272))</f>
        <v/>
      </c>
      <c r="L2272" s="27" t="str">
        <f aca="false">IF(J2272="","",CHOOSE(Q2272+1,"Tue","Wed","Thu","Fri"))</f>
        <v/>
      </c>
      <c r="M2272" s="27" t="str">
        <f aca="false">IF(J2272="","",IF(J2272=1,"Every week",R2272+1&amp;" of "&amp;J2272))</f>
        <v/>
      </c>
      <c r="N2272" s="28" t="str">
        <f aca="false">IF(J2272="","",Settings!$B$4+R2272*7+Q2272)</f>
        <v/>
      </c>
      <c r="O2272" s="28" t="str">
        <f aca="true">IF(J2272="","",N2272+MAX(0,ROUNDUP((TODAY()-N2272)/(J2272*7),0))*J2272*7)</f>
        <v/>
      </c>
      <c r="P2272" s="27" t="str">
        <f aca="false">IF(J2272="","",MOD(K2272-1,J2272*4))</f>
        <v/>
      </c>
      <c r="Q2272" s="27" t="str">
        <f aca="false">IF(J2272="","",MOD(P2272,4))</f>
        <v/>
      </c>
      <c r="R2272" s="27" t="str">
        <f aca="false">IF(J2272="","",INT(P2272/4))</f>
        <v/>
      </c>
      <c r="S2272" s="27" t="str">
        <f aca="false">IF(J2272="","",IF(AND('Daily Count Sheet'!$H$3=Q2272,MOD('Daily Count Sheet'!$I$3,J2272)=R2272),1,""))</f>
        <v/>
      </c>
      <c r="T2272" s="27" t="str">
        <f aca="false">IF(S2272=1,COUNTIF($S$2:S2272,1),"")</f>
        <v/>
      </c>
    </row>
    <row r="2273" customFormat="false" ht="15" hidden="false" customHeight="false" outlineLevel="0" collapsed="false">
      <c r="H2273" s="26"/>
      <c r="I2273" s="27" t="str">
        <f aca="false">IF(A2273="","",IF(H2273&lt;&gt;"",UPPER(TRIM(H2273)),IFERROR(CHOOSE(VALUE(E2273)+1,"A","B","C","D"),IF(OR(LEFT(UPPER(TRIM(E2273)),1)="F",UPPER(TRIM(E2273))="A"),"A",IF(OR(LEFT(UPPER(TRIM(E2273)),1)="M",UPPER(TRIM(E2273))="B"),"B",IF(OR(LEFT(UPPER(TRIM(E2273)),2)="SL",UPPER(TRIM(E2273))="C"),"C",IF(OR(LEFT(UPPER(TRIM(E2273)),1)="D",UPPER(TRIM(E2273))="D"),"D","")))))))</f>
        <v/>
      </c>
      <c r="J2273" s="27" t="str">
        <f aca="false">IF(I2273="","",IF(AND(I2273="D",Settings!$B$6&lt;&gt;"Yes"),"",IFERROR(INDEX(Settings!$C$9:$C$12,MATCH(I2273,Settings!$A$9:$A$12,0)),"")))</f>
        <v/>
      </c>
      <c r="K2273" s="27" t="str">
        <f aca="false">IF(J2273="","",COUNTIF($I$2:I2273,I2273))</f>
        <v/>
      </c>
      <c r="L2273" s="27" t="str">
        <f aca="false">IF(J2273="","",CHOOSE(Q2273+1,"Tue","Wed","Thu","Fri"))</f>
        <v/>
      </c>
      <c r="M2273" s="27" t="str">
        <f aca="false">IF(J2273="","",IF(J2273=1,"Every week",R2273+1&amp;" of "&amp;J2273))</f>
        <v/>
      </c>
      <c r="N2273" s="28" t="str">
        <f aca="false">IF(J2273="","",Settings!$B$4+R2273*7+Q2273)</f>
        <v/>
      </c>
      <c r="O2273" s="28" t="str">
        <f aca="true">IF(J2273="","",N2273+MAX(0,ROUNDUP((TODAY()-N2273)/(J2273*7),0))*J2273*7)</f>
        <v/>
      </c>
      <c r="P2273" s="27" t="str">
        <f aca="false">IF(J2273="","",MOD(K2273-1,J2273*4))</f>
        <v/>
      </c>
      <c r="Q2273" s="27" t="str">
        <f aca="false">IF(J2273="","",MOD(P2273,4))</f>
        <v/>
      </c>
      <c r="R2273" s="27" t="str">
        <f aca="false">IF(J2273="","",INT(P2273/4))</f>
        <v/>
      </c>
      <c r="S2273" s="27" t="str">
        <f aca="false">IF(J2273="","",IF(AND('Daily Count Sheet'!$H$3=Q2273,MOD('Daily Count Sheet'!$I$3,J2273)=R2273),1,""))</f>
        <v/>
      </c>
      <c r="T2273" s="27" t="str">
        <f aca="false">IF(S2273=1,COUNTIF($S$2:S2273,1),"")</f>
        <v/>
      </c>
    </row>
    <row r="2274" customFormat="false" ht="15" hidden="false" customHeight="false" outlineLevel="0" collapsed="false">
      <c r="H2274" s="26"/>
      <c r="I2274" s="27" t="str">
        <f aca="false">IF(A2274="","",IF(H2274&lt;&gt;"",UPPER(TRIM(H2274)),IFERROR(CHOOSE(VALUE(E2274)+1,"A","B","C","D"),IF(OR(LEFT(UPPER(TRIM(E2274)),1)="F",UPPER(TRIM(E2274))="A"),"A",IF(OR(LEFT(UPPER(TRIM(E2274)),1)="M",UPPER(TRIM(E2274))="B"),"B",IF(OR(LEFT(UPPER(TRIM(E2274)),2)="SL",UPPER(TRIM(E2274))="C"),"C",IF(OR(LEFT(UPPER(TRIM(E2274)),1)="D",UPPER(TRIM(E2274))="D"),"D","")))))))</f>
        <v/>
      </c>
      <c r="J2274" s="27" t="str">
        <f aca="false">IF(I2274="","",IF(AND(I2274="D",Settings!$B$6&lt;&gt;"Yes"),"",IFERROR(INDEX(Settings!$C$9:$C$12,MATCH(I2274,Settings!$A$9:$A$12,0)),"")))</f>
        <v/>
      </c>
      <c r="K2274" s="27" t="str">
        <f aca="false">IF(J2274="","",COUNTIF($I$2:I2274,I2274))</f>
        <v/>
      </c>
      <c r="L2274" s="27" t="str">
        <f aca="false">IF(J2274="","",CHOOSE(Q2274+1,"Tue","Wed","Thu","Fri"))</f>
        <v/>
      </c>
      <c r="M2274" s="27" t="str">
        <f aca="false">IF(J2274="","",IF(J2274=1,"Every week",R2274+1&amp;" of "&amp;J2274))</f>
        <v/>
      </c>
      <c r="N2274" s="28" t="str">
        <f aca="false">IF(J2274="","",Settings!$B$4+R2274*7+Q2274)</f>
        <v/>
      </c>
      <c r="O2274" s="28" t="str">
        <f aca="true">IF(J2274="","",N2274+MAX(0,ROUNDUP((TODAY()-N2274)/(J2274*7),0))*J2274*7)</f>
        <v/>
      </c>
      <c r="P2274" s="27" t="str">
        <f aca="false">IF(J2274="","",MOD(K2274-1,J2274*4))</f>
        <v/>
      </c>
      <c r="Q2274" s="27" t="str">
        <f aca="false">IF(J2274="","",MOD(P2274,4))</f>
        <v/>
      </c>
      <c r="R2274" s="27" t="str">
        <f aca="false">IF(J2274="","",INT(P2274/4))</f>
        <v/>
      </c>
      <c r="S2274" s="27" t="str">
        <f aca="false">IF(J2274="","",IF(AND('Daily Count Sheet'!$H$3=Q2274,MOD('Daily Count Sheet'!$I$3,J2274)=R2274),1,""))</f>
        <v/>
      </c>
      <c r="T2274" s="27" t="str">
        <f aca="false">IF(S2274=1,COUNTIF($S$2:S2274,1),"")</f>
        <v/>
      </c>
    </row>
    <row r="2275" customFormat="false" ht="15" hidden="false" customHeight="false" outlineLevel="0" collapsed="false">
      <c r="H2275" s="26"/>
      <c r="I2275" s="27" t="str">
        <f aca="false">IF(A2275="","",IF(H2275&lt;&gt;"",UPPER(TRIM(H2275)),IFERROR(CHOOSE(VALUE(E2275)+1,"A","B","C","D"),IF(OR(LEFT(UPPER(TRIM(E2275)),1)="F",UPPER(TRIM(E2275))="A"),"A",IF(OR(LEFT(UPPER(TRIM(E2275)),1)="M",UPPER(TRIM(E2275))="B"),"B",IF(OR(LEFT(UPPER(TRIM(E2275)),2)="SL",UPPER(TRIM(E2275))="C"),"C",IF(OR(LEFT(UPPER(TRIM(E2275)),1)="D",UPPER(TRIM(E2275))="D"),"D","")))))))</f>
        <v/>
      </c>
      <c r="J2275" s="27" t="str">
        <f aca="false">IF(I2275="","",IF(AND(I2275="D",Settings!$B$6&lt;&gt;"Yes"),"",IFERROR(INDEX(Settings!$C$9:$C$12,MATCH(I2275,Settings!$A$9:$A$12,0)),"")))</f>
        <v/>
      </c>
      <c r="K2275" s="27" t="str">
        <f aca="false">IF(J2275="","",COUNTIF($I$2:I2275,I2275))</f>
        <v/>
      </c>
      <c r="L2275" s="27" t="str">
        <f aca="false">IF(J2275="","",CHOOSE(Q2275+1,"Tue","Wed","Thu","Fri"))</f>
        <v/>
      </c>
      <c r="M2275" s="27" t="str">
        <f aca="false">IF(J2275="","",IF(J2275=1,"Every week",R2275+1&amp;" of "&amp;J2275))</f>
        <v/>
      </c>
      <c r="N2275" s="28" t="str">
        <f aca="false">IF(J2275="","",Settings!$B$4+R2275*7+Q2275)</f>
        <v/>
      </c>
      <c r="O2275" s="28" t="str">
        <f aca="true">IF(J2275="","",N2275+MAX(0,ROUNDUP((TODAY()-N2275)/(J2275*7),0))*J2275*7)</f>
        <v/>
      </c>
      <c r="P2275" s="27" t="str">
        <f aca="false">IF(J2275="","",MOD(K2275-1,J2275*4))</f>
        <v/>
      </c>
      <c r="Q2275" s="27" t="str">
        <f aca="false">IF(J2275="","",MOD(P2275,4))</f>
        <v/>
      </c>
      <c r="R2275" s="27" t="str">
        <f aca="false">IF(J2275="","",INT(P2275/4))</f>
        <v/>
      </c>
      <c r="S2275" s="27" t="str">
        <f aca="false">IF(J2275="","",IF(AND('Daily Count Sheet'!$H$3=Q2275,MOD('Daily Count Sheet'!$I$3,J2275)=R2275),1,""))</f>
        <v/>
      </c>
      <c r="T2275" s="27" t="str">
        <f aca="false">IF(S2275=1,COUNTIF($S$2:S2275,1),"")</f>
        <v/>
      </c>
    </row>
    <row r="2276" customFormat="false" ht="15" hidden="false" customHeight="false" outlineLevel="0" collapsed="false">
      <c r="H2276" s="26"/>
      <c r="I2276" s="27" t="str">
        <f aca="false">IF(A2276="","",IF(H2276&lt;&gt;"",UPPER(TRIM(H2276)),IFERROR(CHOOSE(VALUE(E2276)+1,"A","B","C","D"),IF(OR(LEFT(UPPER(TRIM(E2276)),1)="F",UPPER(TRIM(E2276))="A"),"A",IF(OR(LEFT(UPPER(TRIM(E2276)),1)="M",UPPER(TRIM(E2276))="B"),"B",IF(OR(LEFT(UPPER(TRIM(E2276)),2)="SL",UPPER(TRIM(E2276))="C"),"C",IF(OR(LEFT(UPPER(TRIM(E2276)),1)="D",UPPER(TRIM(E2276))="D"),"D","")))))))</f>
        <v/>
      </c>
      <c r="J2276" s="27" t="str">
        <f aca="false">IF(I2276="","",IF(AND(I2276="D",Settings!$B$6&lt;&gt;"Yes"),"",IFERROR(INDEX(Settings!$C$9:$C$12,MATCH(I2276,Settings!$A$9:$A$12,0)),"")))</f>
        <v/>
      </c>
      <c r="K2276" s="27" t="str">
        <f aca="false">IF(J2276="","",COUNTIF($I$2:I2276,I2276))</f>
        <v/>
      </c>
      <c r="L2276" s="27" t="str">
        <f aca="false">IF(J2276="","",CHOOSE(Q2276+1,"Tue","Wed","Thu","Fri"))</f>
        <v/>
      </c>
      <c r="M2276" s="27" t="str">
        <f aca="false">IF(J2276="","",IF(J2276=1,"Every week",R2276+1&amp;" of "&amp;J2276))</f>
        <v/>
      </c>
      <c r="N2276" s="28" t="str">
        <f aca="false">IF(J2276="","",Settings!$B$4+R2276*7+Q2276)</f>
        <v/>
      </c>
      <c r="O2276" s="28" t="str">
        <f aca="true">IF(J2276="","",N2276+MAX(0,ROUNDUP((TODAY()-N2276)/(J2276*7),0))*J2276*7)</f>
        <v/>
      </c>
      <c r="P2276" s="27" t="str">
        <f aca="false">IF(J2276="","",MOD(K2276-1,J2276*4))</f>
        <v/>
      </c>
      <c r="Q2276" s="27" t="str">
        <f aca="false">IF(J2276="","",MOD(P2276,4))</f>
        <v/>
      </c>
      <c r="R2276" s="27" t="str">
        <f aca="false">IF(J2276="","",INT(P2276/4))</f>
        <v/>
      </c>
      <c r="S2276" s="27" t="str">
        <f aca="false">IF(J2276="","",IF(AND('Daily Count Sheet'!$H$3=Q2276,MOD('Daily Count Sheet'!$I$3,J2276)=R2276),1,""))</f>
        <v/>
      </c>
      <c r="T2276" s="27" t="str">
        <f aca="false">IF(S2276=1,COUNTIF($S$2:S2276,1),"")</f>
        <v/>
      </c>
    </row>
    <row r="2277" customFormat="false" ht="15" hidden="false" customHeight="false" outlineLevel="0" collapsed="false">
      <c r="H2277" s="26"/>
      <c r="I2277" s="27" t="str">
        <f aca="false">IF(A2277="","",IF(H2277&lt;&gt;"",UPPER(TRIM(H2277)),IFERROR(CHOOSE(VALUE(E2277)+1,"A","B","C","D"),IF(OR(LEFT(UPPER(TRIM(E2277)),1)="F",UPPER(TRIM(E2277))="A"),"A",IF(OR(LEFT(UPPER(TRIM(E2277)),1)="M",UPPER(TRIM(E2277))="B"),"B",IF(OR(LEFT(UPPER(TRIM(E2277)),2)="SL",UPPER(TRIM(E2277))="C"),"C",IF(OR(LEFT(UPPER(TRIM(E2277)),1)="D",UPPER(TRIM(E2277))="D"),"D","")))))))</f>
        <v/>
      </c>
      <c r="J2277" s="27" t="str">
        <f aca="false">IF(I2277="","",IF(AND(I2277="D",Settings!$B$6&lt;&gt;"Yes"),"",IFERROR(INDEX(Settings!$C$9:$C$12,MATCH(I2277,Settings!$A$9:$A$12,0)),"")))</f>
        <v/>
      </c>
      <c r="K2277" s="27" t="str">
        <f aca="false">IF(J2277="","",COUNTIF($I$2:I2277,I2277))</f>
        <v/>
      </c>
      <c r="L2277" s="27" t="str">
        <f aca="false">IF(J2277="","",CHOOSE(Q2277+1,"Tue","Wed","Thu","Fri"))</f>
        <v/>
      </c>
      <c r="M2277" s="27" t="str">
        <f aca="false">IF(J2277="","",IF(J2277=1,"Every week",R2277+1&amp;" of "&amp;J2277))</f>
        <v/>
      </c>
      <c r="N2277" s="28" t="str">
        <f aca="false">IF(J2277="","",Settings!$B$4+R2277*7+Q2277)</f>
        <v/>
      </c>
      <c r="O2277" s="28" t="str">
        <f aca="true">IF(J2277="","",N2277+MAX(0,ROUNDUP((TODAY()-N2277)/(J2277*7),0))*J2277*7)</f>
        <v/>
      </c>
      <c r="P2277" s="27" t="str">
        <f aca="false">IF(J2277="","",MOD(K2277-1,J2277*4))</f>
        <v/>
      </c>
      <c r="Q2277" s="27" t="str">
        <f aca="false">IF(J2277="","",MOD(P2277,4))</f>
        <v/>
      </c>
      <c r="R2277" s="27" t="str">
        <f aca="false">IF(J2277="","",INT(P2277/4))</f>
        <v/>
      </c>
      <c r="S2277" s="27" t="str">
        <f aca="false">IF(J2277="","",IF(AND('Daily Count Sheet'!$H$3=Q2277,MOD('Daily Count Sheet'!$I$3,J2277)=R2277),1,""))</f>
        <v/>
      </c>
      <c r="T2277" s="27" t="str">
        <f aca="false">IF(S2277=1,COUNTIF($S$2:S2277,1),"")</f>
        <v/>
      </c>
    </row>
    <row r="2278" customFormat="false" ht="15" hidden="false" customHeight="false" outlineLevel="0" collapsed="false">
      <c r="H2278" s="26"/>
      <c r="I2278" s="27" t="str">
        <f aca="false">IF(A2278="","",IF(H2278&lt;&gt;"",UPPER(TRIM(H2278)),IFERROR(CHOOSE(VALUE(E2278)+1,"A","B","C","D"),IF(OR(LEFT(UPPER(TRIM(E2278)),1)="F",UPPER(TRIM(E2278))="A"),"A",IF(OR(LEFT(UPPER(TRIM(E2278)),1)="M",UPPER(TRIM(E2278))="B"),"B",IF(OR(LEFT(UPPER(TRIM(E2278)),2)="SL",UPPER(TRIM(E2278))="C"),"C",IF(OR(LEFT(UPPER(TRIM(E2278)),1)="D",UPPER(TRIM(E2278))="D"),"D","")))))))</f>
        <v/>
      </c>
      <c r="J2278" s="27" t="str">
        <f aca="false">IF(I2278="","",IF(AND(I2278="D",Settings!$B$6&lt;&gt;"Yes"),"",IFERROR(INDEX(Settings!$C$9:$C$12,MATCH(I2278,Settings!$A$9:$A$12,0)),"")))</f>
        <v/>
      </c>
      <c r="K2278" s="27" t="str">
        <f aca="false">IF(J2278="","",COUNTIF($I$2:I2278,I2278))</f>
        <v/>
      </c>
      <c r="L2278" s="27" t="str">
        <f aca="false">IF(J2278="","",CHOOSE(Q2278+1,"Tue","Wed","Thu","Fri"))</f>
        <v/>
      </c>
      <c r="M2278" s="27" t="str">
        <f aca="false">IF(J2278="","",IF(J2278=1,"Every week",R2278+1&amp;" of "&amp;J2278))</f>
        <v/>
      </c>
      <c r="N2278" s="28" t="str">
        <f aca="false">IF(J2278="","",Settings!$B$4+R2278*7+Q2278)</f>
        <v/>
      </c>
      <c r="O2278" s="28" t="str">
        <f aca="true">IF(J2278="","",N2278+MAX(0,ROUNDUP((TODAY()-N2278)/(J2278*7),0))*J2278*7)</f>
        <v/>
      </c>
      <c r="P2278" s="27" t="str">
        <f aca="false">IF(J2278="","",MOD(K2278-1,J2278*4))</f>
        <v/>
      </c>
      <c r="Q2278" s="27" t="str">
        <f aca="false">IF(J2278="","",MOD(P2278,4))</f>
        <v/>
      </c>
      <c r="R2278" s="27" t="str">
        <f aca="false">IF(J2278="","",INT(P2278/4))</f>
        <v/>
      </c>
      <c r="S2278" s="27" t="str">
        <f aca="false">IF(J2278="","",IF(AND('Daily Count Sheet'!$H$3=Q2278,MOD('Daily Count Sheet'!$I$3,J2278)=R2278),1,""))</f>
        <v/>
      </c>
      <c r="T2278" s="27" t="str">
        <f aca="false">IF(S2278=1,COUNTIF($S$2:S2278,1),"")</f>
        <v/>
      </c>
    </row>
    <row r="2279" customFormat="false" ht="15" hidden="false" customHeight="false" outlineLevel="0" collapsed="false">
      <c r="H2279" s="26"/>
      <c r="I2279" s="27" t="str">
        <f aca="false">IF(A2279="","",IF(H2279&lt;&gt;"",UPPER(TRIM(H2279)),IFERROR(CHOOSE(VALUE(E2279)+1,"A","B","C","D"),IF(OR(LEFT(UPPER(TRIM(E2279)),1)="F",UPPER(TRIM(E2279))="A"),"A",IF(OR(LEFT(UPPER(TRIM(E2279)),1)="M",UPPER(TRIM(E2279))="B"),"B",IF(OR(LEFT(UPPER(TRIM(E2279)),2)="SL",UPPER(TRIM(E2279))="C"),"C",IF(OR(LEFT(UPPER(TRIM(E2279)),1)="D",UPPER(TRIM(E2279))="D"),"D","")))))))</f>
        <v/>
      </c>
      <c r="J2279" s="27" t="str">
        <f aca="false">IF(I2279="","",IF(AND(I2279="D",Settings!$B$6&lt;&gt;"Yes"),"",IFERROR(INDEX(Settings!$C$9:$C$12,MATCH(I2279,Settings!$A$9:$A$12,0)),"")))</f>
        <v/>
      </c>
      <c r="K2279" s="27" t="str">
        <f aca="false">IF(J2279="","",COUNTIF($I$2:I2279,I2279))</f>
        <v/>
      </c>
      <c r="L2279" s="27" t="str">
        <f aca="false">IF(J2279="","",CHOOSE(Q2279+1,"Tue","Wed","Thu","Fri"))</f>
        <v/>
      </c>
      <c r="M2279" s="27" t="str">
        <f aca="false">IF(J2279="","",IF(J2279=1,"Every week",R2279+1&amp;" of "&amp;J2279))</f>
        <v/>
      </c>
      <c r="N2279" s="28" t="str">
        <f aca="false">IF(J2279="","",Settings!$B$4+R2279*7+Q2279)</f>
        <v/>
      </c>
      <c r="O2279" s="28" t="str">
        <f aca="true">IF(J2279="","",N2279+MAX(0,ROUNDUP((TODAY()-N2279)/(J2279*7),0))*J2279*7)</f>
        <v/>
      </c>
      <c r="P2279" s="27" t="str">
        <f aca="false">IF(J2279="","",MOD(K2279-1,J2279*4))</f>
        <v/>
      </c>
      <c r="Q2279" s="27" t="str">
        <f aca="false">IF(J2279="","",MOD(P2279,4))</f>
        <v/>
      </c>
      <c r="R2279" s="27" t="str">
        <f aca="false">IF(J2279="","",INT(P2279/4))</f>
        <v/>
      </c>
      <c r="S2279" s="27" t="str">
        <f aca="false">IF(J2279="","",IF(AND('Daily Count Sheet'!$H$3=Q2279,MOD('Daily Count Sheet'!$I$3,J2279)=R2279),1,""))</f>
        <v/>
      </c>
      <c r="T2279" s="27" t="str">
        <f aca="false">IF(S2279=1,COUNTIF($S$2:S2279,1),"")</f>
        <v/>
      </c>
    </row>
    <row r="2280" customFormat="false" ht="15" hidden="false" customHeight="false" outlineLevel="0" collapsed="false">
      <c r="H2280" s="26"/>
      <c r="I2280" s="27" t="str">
        <f aca="false">IF(A2280="","",IF(H2280&lt;&gt;"",UPPER(TRIM(H2280)),IFERROR(CHOOSE(VALUE(E2280)+1,"A","B","C","D"),IF(OR(LEFT(UPPER(TRIM(E2280)),1)="F",UPPER(TRIM(E2280))="A"),"A",IF(OR(LEFT(UPPER(TRIM(E2280)),1)="M",UPPER(TRIM(E2280))="B"),"B",IF(OR(LEFT(UPPER(TRIM(E2280)),2)="SL",UPPER(TRIM(E2280))="C"),"C",IF(OR(LEFT(UPPER(TRIM(E2280)),1)="D",UPPER(TRIM(E2280))="D"),"D","")))))))</f>
        <v/>
      </c>
      <c r="J2280" s="27" t="str">
        <f aca="false">IF(I2280="","",IF(AND(I2280="D",Settings!$B$6&lt;&gt;"Yes"),"",IFERROR(INDEX(Settings!$C$9:$C$12,MATCH(I2280,Settings!$A$9:$A$12,0)),"")))</f>
        <v/>
      </c>
      <c r="K2280" s="27" t="str">
        <f aca="false">IF(J2280="","",COUNTIF($I$2:I2280,I2280))</f>
        <v/>
      </c>
      <c r="L2280" s="27" t="str">
        <f aca="false">IF(J2280="","",CHOOSE(Q2280+1,"Tue","Wed","Thu","Fri"))</f>
        <v/>
      </c>
      <c r="M2280" s="27" t="str">
        <f aca="false">IF(J2280="","",IF(J2280=1,"Every week",R2280+1&amp;" of "&amp;J2280))</f>
        <v/>
      </c>
      <c r="N2280" s="28" t="str">
        <f aca="false">IF(J2280="","",Settings!$B$4+R2280*7+Q2280)</f>
        <v/>
      </c>
      <c r="O2280" s="28" t="str">
        <f aca="true">IF(J2280="","",N2280+MAX(0,ROUNDUP((TODAY()-N2280)/(J2280*7),0))*J2280*7)</f>
        <v/>
      </c>
      <c r="P2280" s="27" t="str">
        <f aca="false">IF(J2280="","",MOD(K2280-1,J2280*4))</f>
        <v/>
      </c>
      <c r="Q2280" s="27" t="str">
        <f aca="false">IF(J2280="","",MOD(P2280,4))</f>
        <v/>
      </c>
      <c r="R2280" s="27" t="str">
        <f aca="false">IF(J2280="","",INT(P2280/4))</f>
        <v/>
      </c>
      <c r="S2280" s="27" t="str">
        <f aca="false">IF(J2280="","",IF(AND('Daily Count Sheet'!$H$3=Q2280,MOD('Daily Count Sheet'!$I$3,J2280)=R2280),1,""))</f>
        <v/>
      </c>
      <c r="T2280" s="27" t="str">
        <f aca="false">IF(S2280=1,COUNTIF($S$2:S2280,1),"")</f>
        <v/>
      </c>
    </row>
    <row r="2281" customFormat="false" ht="15" hidden="false" customHeight="false" outlineLevel="0" collapsed="false">
      <c r="H2281" s="26"/>
      <c r="I2281" s="27" t="str">
        <f aca="false">IF(A2281="","",IF(H2281&lt;&gt;"",UPPER(TRIM(H2281)),IFERROR(CHOOSE(VALUE(E2281)+1,"A","B","C","D"),IF(OR(LEFT(UPPER(TRIM(E2281)),1)="F",UPPER(TRIM(E2281))="A"),"A",IF(OR(LEFT(UPPER(TRIM(E2281)),1)="M",UPPER(TRIM(E2281))="B"),"B",IF(OR(LEFT(UPPER(TRIM(E2281)),2)="SL",UPPER(TRIM(E2281))="C"),"C",IF(OR(LEFT(UPPER(TRIM(E2281)),1)="D",UPPER(TRIM(E2281))="D"),"D","")))))))</f>
        <v/>
      </c>
      <c r="J2281" s="27" t="str">
        <f aca="false">IF(I2281="","",IF(AND(I2281="D",Settings!$B$6&lt;&gt;"Yes"),"",IFERROR(INDEX(Settings!$C$9:$C$12,MATCH(I2281,Settings!$A$9:$A$12,0)),"")))</f>
        <v/>
      </c>
      <c r="K2281" s="27" t="str">
        <f aca="false">IF(J2281="","",COUNTIF($I$2:I2281,I2281))</f>
        <v/>
      </c>
      <c r="L2281" s="27" t="str">
        <f aca="false">IF(J2281="","",CHOOSE(Q2281+1,"Tue","Wed","Thu","Fri"))</f>
        <v/>
      </c>
      <c r="M2281" s="27" t="str">
        <f aca="false">IF(J2281="","",IF(J2281=1,"Every week",R2281+1&amp;" of "&amp;J2281))</f>
        <v/>
      </c>
      <c r="N2281" s="28" t="str">
        <f aca="false">IF(J2281="","",Settings!$B$4+R2281*7+Q2281)</f>
        <v/>
      </c>
      <c r="O2281" s="28" t="str">
        <f aca="true">IF(J2281="","",N2281+MAX(0,ROUNDUP((TODAY()-N2281)/(J2281*7),0))*J2281*7)</f>
        <v/>
      </c>
      <c r="P2281" s="27" t="str">
        <f aca="false">IF(J2281="","",MOD(K2281-1,J2281*4))</f>
        <v/>
      </c>
      <c r="Q2281" s="27" t="str">
        <f aca="false">IF(J2281="","",MOD(P2281,4))</f>
        <v/>
      </c>
      <c r="R2281" s="27" t="str">
        <f aca="false">IF(J2281="","",INT(P2281/4))</f>
        <v/>
      </c>
      <c r="S2281" s="27" t="str">
        <f aca="false">IF(J2281="","",IF(AND('Daily Count Sheet'!$H$3=Q2281,MOD('Daily Count Sheet'!$I$3,J2281)=R2281),1,""))</f>
        <v/>
      </c>
      <c r="T2281" s="27" t="str">
        <f aca="false">IF(S2281=1,COUNTIF($S$2:S2281,1),"")</f>
        <v/>
      </c>
    </row>
    <row r="2282" customFormat="false" ht="15" hidden="false" customHeight="false" outlineLevel="0" collapsed="false">
      <c r="H2282" s="26"/>
      <c r="I2282" s="27" t="str">
        <f aca="false">IF(A2282="","",IF(H2282&lt;&gt;"",UPPER(TRIM(H2282)),IFERROR(CHOOSE(VALUE(E2282)+1,"A","B","C","D"),IF(OR(LEFT(UPPER(TRIM(E2282)),1)="F",UPPER(TRIM(E2282))="A"),"A",IF(OR(LEFT(UPPER(TRIM(E2282)),1)="M",UPPER(TRIM(E2282))="B"),"B",IF(OR(LEFT(UPPER(TRIM(E2282)),2)="SL",UPPER(TRIM(E2282))="C"),"C",IF(OR(LEFT(UPPER(TRIM(E2282)),1)="D",UPPER(TRIM(E2282))="D"),"D","")))))))</f>
        <v/>
      </c>
      <c r="J2282" s="27" t="str">
        <f aca="false">IF(I2282="","",IF(AND(I2282="D",Settings!$B$6&lt;&gt;"Yes"),"",IFERROR(INDEX(Settings!$C$9:$C$12,MATCH(I2282,Settings!$A$9:$A$12,0)),"")))</f>
        <v/>
      </c>
      <c r="K2282" s="27" t="str">
        <f aca="false">IF(J2282="","",COUNTIF($I$2:I2282,I2282))</f>
        <v/>
      </c>
      <c r="L2282" s="27" t="str">
        <f aca="false">IF(J2282="","",CHOOSE(Q2282+1,"Tue","Wed","Thu","Fri"))</f>
        <v/>
      </c>
      <c r="M2282" s="27" t="str">
        <f aca="false">IF(J2282="","",IF(J2282=1,"Every week",R2282+1&amp;" of "&amp;J2282))</f>
        <v/>
      </c>
      <c r="N2282" s="28" t="str">
        <f aca="false">IF(J2282="","",Settings!$B$4+R2282*7+Q2282)</f>
        <v/>
      </c>
      <c r="O2282" s="28" t="str">
        <f aca="true">IF(J2282="","",N2282+MAX(0,ROUNDUP((TODAY()-N2282)/(J2282*7),0))*J2282*7)</f>
        <v/>
      </c>
      <c r="P2282" s="27" t="str">
        <f aca="false">IF(J2282="","",MOD(K2282-1,J2282*4))</f>
        <v/>
      </c>
      <c r="Q2282" s="27" t="str">
        <f aca="false">IF(J2282="","",MOD(P2282,4))</f>
        <v/>
      </c>
      <c r="R2282" s="27" t="str">
        <f aca="false">IF(J2282="","",INT(P2282/4))</f>
        <v/>
      </c>
      <c r="S2282" s="27" t="str">
        <f aca="false">IF(J2282="","",IF(AND('Daily Count Sheet'!$H$3=Q2282,MOD('Daily Count Sheet'!$I$3,J2282)=R2282),1,""))</f>
        <v/>
      </c>
      <c r="T2282" s="27" t="str">
        <f aca="false">IF(S2282=1,COUNTIF($S$2:S2282,1),"")</f>
        <v/>
      </c>
    </row>
    <row r="2283" customFormat="false" ht="15" hidden="false" customHeight="false" outlineLevel="0" collapsed="false">
      <c r="H2283" s="26"/>
      <c r="I2283" s="27" t="str">
        <f aca="false">IF(A2283="","",IF(H2283&lt;&gt;"",UPPER(TRIM(H2283)),IFERROR(CHOOSE(VALUE(E2283)+1,"A","B","C","D"),IF(OR(LEFT(UPPER(TRIM(E2283)),1)="F",UPPER(TRIM(E2283))="A"),"A",IF(OR(LEFT(UPPER(TRIM(E2283)),1)="M",UPPER(TRIM(E2283))="B"),"B",IF(OR(LEFT(UPPER(TRIM(E2283)),2)="SL",UPPER(TRIM(E2283))="C"),"C",IF(OR(LEFT(UPPER(TRIM(E2283)),1)="D",UPPER(TRIM(E2283))="D"),"D","")))))))</f>
        <v/>
      </c>
      <c r="J2283" s="27" t="str">
        <f aca="false">IF(I2283="","",IF(AND(I2283="D",Settings!$B$6&lt;&gt;"Yes"),"",IFERROR(INDEX(Settings!$C$9:$C$12,MATCH(I2283,Settings!$A$9:$A$12,0)),"")))</f>
        <v/>
      </c>
      <c r="K2283" s="27" t="str">
        <f aca="false">IF(J2283="","",COUNTIF($I$2:I2283,I2283))</f>
        <v/>
      </c>
      <c r="L2283" s="27" t="str">
        <f aca="false">IF(J2283="","",CHOOSE(Q2283+1,"Tue","Wed","Thu","Fri"))</f>
        <v/>
      </c>
      <c r="M2283" s="27" t="str">
        <f aca="false">IF(J2283="","",IF(J2283=1,"Every week",R2283+1&amp;" of "&amp;J2283))</f>
        <v/>
      </c>
      <c r="N2283" s="28" t="str">
        <f aca="false">IF(J2283="","",Settings!$B$4+R2283*7+Q2283)</f>
        <v/>
      </c>
      <c r="O2283" s="28" t="str">
        <f aca="true">IF(J2283="","",N2283+MAX(0,ROUNDUP((TODAY()-N2283)/(J2283*7),0))*J2283*7)</f>
        <v/>
      </c>
      <c r="P2283" s="27" t="str">
        <f aca="false">IF(J2283="","",MOD(K2283-1,J2283*4))</f>
        <v/>
      </c>
      <c r="Q2283" s="27" t="str">
        <f aca="false">IF(J2283="","",MOD(P2283,4))</f>
        <v/>
      </c>
      <c r="R2283" s="27" t="str">
        <f aca="false">IF(J2283="","",INT(P2283/4))</f>
        <v/>
      </c>
      <c r="S2283" s="27" t="str">
        <f aca="false">IF(J2283="","",IF(AND('Daily Count Sheet'!$H$3=Q2283,MOD('Daily Count Sheet'!$I$3,J2283)=R2283),1,""))</f>
        <v/>
      </c>
      <c r="T2283" s="27" t="str">
        <f aca="false">IF(S2283=1,COUNTIF($S$2:S2283,1),"")</f>
        <v/>
      </c>
    </row>
    <row r="2284" customFormat="false" ht="15" hidden="false" customHeight="false" outlineLevel="0" collapsed="false">
      <c r="H2284" s="26"/>
      <c r="I2284" s="27" t="str">
        <f aca="false">IF(A2284="","",IF(H2284&lt;&gt;"",UPPER(TRIM(H2284)),IFERROR(CHOOSE(VALUE(E2284)+1,"A","B","C","D"),IF(OR(LEFT(UPPER(TRIM(E2284)),1)="F",UPPER(TRIM(E2284))="A"),"A",IF(OR(LEFT(UPPER(TRIM(E2284)),1)="M",UPPER(TRIM(E2284))="B"),"B",IF(OR(LEFT(UPPER(TRIM(E2284)),2)="SL",UPPER(TRIM(E2284))="C"),"C",IF(OR(LEFT(UPPER(TRIM(E2284)),1)="D",UPPER(TRIM(E2284))="D"),"D","")))))))</f>
        <v/>
      </c>
      <c r="J2284" s="27" t="str">
        <f aca="false">IF(I2284="","",IF(AND(I2284="D",Settings!$B$6&lt;&gt;"Yes"),"",IFERROR(INDEX(Settings!$C$9:$C$12,MATCH(I2284,Settings!$A$9:$A$12,0)),"")))</f>
        <v/>
      </c>
      <c r="K2284" s="27" t="str">
        <f aca="false">IF(J2284="","",COUNTIF($I$2:I2284,I2284))</f>
        <v/>
      </c>
      <c r="L2284" s="27" t="str">
        <f aca="false">IF(J2284="","",CHOOSE(Q2284+1,"Tue","Wed","Thu","Fri"))</f>
        <v/>
      </c>
      <c r="M2284" s="27" t="str">
        <f aca="false">IF(J2284="","",IF(J2284=1,"Every week",R2284+1&amp;" of "&amp;J2284))</f>
        <v/>
      </c>
      <c r="N2284" s="28" t="str">
        <f aca="false">IF(J2284="","",Settings!$B$4+R2284*7+Q2284)</f>
        <v/>
      </c>
      <c r="O2284" s="28" t="str">
        <f aca="true">IF(J2284="","",N2284+MAX(0,ROUNDUP((TODAY()-N2284)/(J2284*7),0))*J2284*7)</f>
        <v/>
      </c>
      <c r="P2284" s="27" t="str">
        <f aca="false">IF(J2284="","",MOD(K2284-1,J2284*4))</f>
        <v/>
      </c>
      <c r="Q2284" s="27" t="str">
        <f aca="false">IF(J2284="","",MOD(P2284,4))</f>
        <v/>
      </c>
      <c r="R2284" s="27" t="str">
        <f aca="false">IF(J2284="","",INT(P2284/4))</f>
        <v/>
      </c>
      <c r="S2284" s="27" t="str">
        <f aca="false">IF(J2284="","",IF(AND('Daily Count Sheet'!$H$3=Q2284,MOD('Daily Count Sheet'!$I$3,J2284)=R2284),1,""))</f>
        <v/>
      </c>
      <c r="T2284" s="27" t="str">
        <f aca="false">IF(S2284=1,COUNTIF($S$2:S2284,1),"")</f>
        <v/>
      </c>
    </row>
    <row r="2285" customFormat="false" ht="15" hidden="false" customHeight="false" outlineLevel="0" collapsed="false">
      <c r="H2285" s="26"/>
      <c r="I2285" s="27" t="str">
        <f aca="false">IF(A2285="","",IF(H2285&lt;&gt;"",UPPER(TRIM(H2285)),IFERROR(CHOOSE(VALUE(E2285)+1,"A","B","C","D"),IF(OR(LEFT(UPPER(TRIM(E2285)),1)="F",UPPER(TRIM(E2285))="A"),"A",IF(OR(LEFT(UPPER(TRIM(E2285)),1)="M",UPPER(TRIM(E2285))="B"),"B",IF(OR(LEFT(UPPER(TRIM(E2285)),2)="SL",UPPER(TRIM(E2285))="C"),"C",IF(OR(LEFT(UPPER(TRIM(E2285)),1)="D",UPPER(TRIM(E2285))="D"),"D","")))))))</f>
        <v/>
      </c>
      <c r="J2285" s="27" t="str">
        <f aca="false">IF(I2285="","",IF(AND(I2285="D",Settings!$B$6&lt;&gt;"Yes"),"",IFERROR(INDEX(Settings!$C$9:$C$12,MATCH(I2285,Settings!$A$9:$A$12,0)),"")))</f>
        <v/>
      </c>
      <c r="K2285" s="27" t="str">
        <f aca="false">IF(J2285="","",COUNTIF($I$2:I2285,I2285))</f>
        <v/>
      </c>
      <c r="L2285" s="27" t="str">
        <f aca="false">IF(J2285="","",CHOOSE(Q2285+1,"Tue","Wed","Thu","Fri"))</f>
        <v/>
      </c>
      <c r="M2285" s="27" t="str">
        <f aca="false">IF(J2285="","",IF(J2285=1,"Every week",R2285+1&amp;" of "&amp;J2285))</f>
        <v/>
      </c>
      <c r="N2285" s="28" t="str">
        <f aca="false">IF(J2285="","",Settings!$B$4+R2285*7+Q2285)</f>
        <v/>
      </c>
      <c r="O2285" s="28" t="str">
        <f aca="true">IF(J2285="","",N2285+MAX(0,ROUNDUP((TODAY()-N2285)/(J2285*7),0))*J2285*7)</f>
        <v/>
      </c>
      <c r="P2285" s="27" t="str">
        <f aca="false">IF(J2285="","",MOD(K2285-1,J2285*4))</f>
        <v/>
      </c>
      <c r="Q2285" s="27" t="str">
        <f aca="false">IF(J2285="","",MOD(P2285,4))</f>
        <v/>
      </c>
      <c r="R2285" s="27" t="str">
        <f aca="false">IF(J2285="","",INT(P2285/4))</f>
        <v/>
      </c>
      <c r="S2285" s="27" t="str">
        <f aca="false">IF(J2285="","",IF(AND('Daily Count Sheet'!$H$3=Q2285,MOD('Daily Count Sheet'!$I$3,J2285)=R2285),1,""))</f>
        <v/>
      </c>
      <c r="T2285" s="27" t="str">
        <f aca="false">IF(S2285=1,COUNTIF($S$2:S2285,1),"")</f>
        <v/>
      </c>
    </row>
    <row r="2286" customFormat="false" ht="15" hidden="false" customHeight="false" outlineLevel="0" collapsed="false">
      <c r="H2286" s="26"/>
      <c r="I2286" s="27" t="str">
        <f aca="false">IF(A2286="","",IF(H2286&lt;&gt;"",UPPER(TRIM(H2286)),IFERROR(CHOOSE(VALUE(E2286)+1,"A","B","C","D"),IF(OR(LEFT(UPPER(TRIM(E2286)),1)="F",UPPER(TRIM(E2286))="A"),"A",IF(OR(LEFT(UPPER(TRIM(E2286)),1)="M",UPPER(TRIM(E2286))="B"),"B",IF(OR(LEFT(UPPER(TRIM(E2286)),2)="SL",UPPER(TRIM(E2286))="C"),"C",IF(OR(LEFT(UPPER(TRIM(E2286)),1)="D",UPPER(TRIM(E2286))="D"),"D","")))))))</f>
        <v/>
      </c>
      <c r="J2286" s="27" t="str">
        <f aca="false">IF(I2286="","",IF(AND(I2286="D",Settings!$B$6&lt;&gt;"Yes"),"",IFERROR(INDEX(Settings!$C$9:$C$12,MATCH(I2286,Settings!$A$9:$A$12,0)),"")))</f>
        <v/>
      </c>
      <c r="K2286" s="27" t="str">
        <f aca="false">IF(J2286="","",COUNTIF($I$2:I2286,I2286))</f>
        <v/>
      </c>
      <c r="L2286" s="27" t="str">
        <f aca="false">IF(J2286="","",CHOOSE(Q2286+1,"Tue","Wed","Thu","Fri"))</f>
        <v/>
      </c>
      <c r="M2286" s="27" t="str">
        <f aca="false">IF(J2286="","",IF(J2286=1,"Every week",R2286+1&amp;" of "&amp;J2286))</f>
        <v/>
      </c>
      <c r="N2286" s="28" t="str">
        <f aca="false">IF(J2286="","",Settings!$B$4+R2286*7+Q2286)</f>
        <v/>
      </c>
      <c r="O2286" s="28" t="str">
        <f aca="true">IF(J2286="","",N2286+MAX(0,ROUNDUP((TODAY()-N2286)/(J2286*7),0))*J2286*7)</f>
        <v/>
      </c>
      <c r="P2286" s="27" t="str">
        <f aca="false">IF(J2286="","",MOD(K2286-1,J2286*4))</f>
        <v/>
      </c>
      <c r="Q2286" s="27" t="str">
        <f aca="false">IF(J2286="","",MOD(P2286,4))</f>
        <v/>
      </c>
      <c r="R2286" s="27" t="str">
        <f aca="false">IF(J2286="","",INT(P2286/4))</f>
        <v/>
      </c>
      <c r="S2286" s="27" t="str">
        <f aca="false">IF(J2286="","",IF(AND('Daily Count Sheet'!$H$3=Q2286,MOD('Daily Count Sheet'!$I$3,J2286)=R2286),1,""))</f>
        <v/>
      </c>
      <c r="T2286" s="27" t="str">
        <f aca="false">IF(S2286=1,COUNTIF($S$2:S2286,1),"")</f>
        <v/>
      </c>
    </row>
    <row r="2287" customFormat="false" ht="15" hidden="false" customHeight="false" outlineLevel="0" collapsed="false">
      <c r="H2287" s="26"/>
      <c r="I2287" s="27" t="str">
        <f aca="false">IF(A2287="","",IF(H2287&lt;&gt;"",UPPER(TRIM(H2287)),IFERROR(CHOOSE(VALUE(E2287)+1,"A","B","C","D"),IF(OR(LEFT(UPPER(TRIM(E2287)),1)="F",UPPER(TRIM(E2287))="A"),"A",IF(OR(LEFT(UPPER(TRIM(E2287)),1)="M",UPPER(TRIM(E2287))="B"),"B",IF(OR(LEFT(UPPER(TRIM(E2287)),2)="SL",UPPER(TRIM(E2287))="C"),"C",IF(OR(LEFT(UPPER(TRIM(E2287)),1)="D",UPPER(TRIM(E2287))="D"),"D","")))))))</f>
        <v/>
      </c>
      <c r="J2287" s="27" t="str">
        <f aca="false">IF(I2287="","",IF(AND(I2287="D",Settings!$B$6&lt;&gt;"Yes"),"",IFERROR(INDEX(Settings!$C$9:$C$12,MATCH(I2287,Settings!$A$9:$A$12,0)),"")))</f>
        <v/>
      </c>
      <c r="K2287" s="27" t="str">
        <f aca="false">IF(J2287="","",COUNTIF($I$2:I2287,I2287))</f>
        <v/>
      </c>
      <c r="L2287" s="27" t="str">
        <f aca="false">IF(J2287="","",CHOOSE(Q2287+1,"Tue","Wed","Thu","Fri"))</f>
        <v/>
      </c>
      <c r="M2287" s="27" t="str">
        <f aca="false">IF(J2287="","",IF(J2287=1,"Every week",R2287+1&amp;" of "&amp;J2287))</f>
        <v/>
      </c>
      <c r="N2287" s="28" t="str">
        <f aca="false">IF(J2287="","",Settings!$B$4+R2287*7+Q2287)</f>
        <v/>
      </c>
      <c r="O2287" s="28" t="str">
        <f aca="true">IF(J2287="","",N2287+MAX(0,ROUNDUP((TODAY()-N2287)/(J2287*7),0))*J2287*7)</f>
        <v/>
      </c>
      <c r="P2287" s="27" t="str">
        <f aca="false">IF(J2287="","",MOD(K2287-1,J2287*4))</f>
        <v/>
      </c>
      <c r="Q2287" s="27" t="str">
        <f aca="false">IF(J2287="","",MOD(P2287,4))</f>
        <v/>
      </c>
      <c r="R2287" s="27" t="str">
        <f aca="false">IF(J2287="","",INT(P2287/4))</f>
        <v/>
      </c>
      <c r="S2287" s="27" t="str">
        <f aca="false">IF(J2287="","",IF(AND('Daily Count Sheet'!$H$3=Q2287,MOD('Daily Count Sheet'!$I$3,J2287)=R2287),1,""))</f>
        <v/>
      </c>
      <c r="T2287" s="27" t="str">
        <f aca="false">IF(S2287=1,COUNTIF($S$2:S2287,1),"")</f>
        <v/>
      </c>
    </row>
    <row r="2288" customFormat="false" ht="15" hidden="false" customHeight="false" outlineLevel="0" collapsed="false">
      <c r="H2288" s="26"/>
      <c r="I2288" s="27" t="str">
        <f aca="false">IF(A2288="","",IF(H2288&lt;&gt;"",UPPER(TRIM(H2288)),IFERROR(CHOOSE(VALUE(E2288)+1,"A","B","C","D"),IF(OR(LEFT(UPPER(TRIM(E2288)),1)="F",UPPER(TRIM(E2288))="A"),"A",IF(OR(LEFT(UPPER(TRIM(E2288)),1)="M",UPPER(TRIM(E2288))="B"),"B",IF(OR(LEFT(UPPER(TRIM(E2288)),2)="SL",UPPER(TRIM(E2288))="C"),"C",IF(OR(LEFT(UPPER(TRIM(E2288)),1)="D",UPPER(TRIM(E2288))="D"),"D","")))))))</f>
        <v/>
      </c>
      <c r="J2288" s="27" t="str">
        <f aca="false">IF(I2288="","",IF(AND(I2288="D",Settings!$B$6&lt;&gt;"Yes"),"",IFERROR(INDEX(Settings!$C$9:$C$12,MATCH(I2288,Settings!$A$9:$A$12,0)),"")))</f>
        <v/>
      </c>
      <c r="K2288" s="27" t="str">
        <f aca="false">IF(J2288="","",COUNTIF($I$2:I2288,I2288))</f>
        <v/>
      </c>
      <c r="L2288" s="27" t="str">
        <f aca="false">IF(J2288="","",CHOOSE(Q2288+1,"Tue","Wed","Thu","Fri"))</f>
        <v/>
      </c>
      <c r="M2288" s="27" t="str">
        <f aca="false">IF(J2288="","",IF(J2288=1,"Every week",R2288+1&amp;" of "&amp;J2288))</f>
        <v/>
      </c>
      <c r="N2288" s="28" t="str">
        <f aca="false">IF(J2288="","",Settings!$B$4+R2288*7+Q2288)</f>
        <v/>
      </c>
      <c r="O2288" s="28" t="str">
        <f aca="true">IF(J2288="","",N2288+MAX(0,ROUNDUP((TODAY()-N2288)/(J2288*7),0))*J2288*7)</f>
        <v/>
      </c>
      <c r="P2288" s="27" t="str">
        <f aca="false">IF(J2288="","",MOD(K2288-1,J2288*4))</f>
        <v/>
      </c>
      <c r="Q2288" s="27" t="str">
        <f aca="false">IF(J2288="","",MOD(P2288,4))</f>
        <v/>
      </c>
      <c r="R2288" s="27" t="str">
        <f aca="false">IF(J2288="","",INT(P2288/4))</f>
        <v/>
      </c>
      <c r="S2288" s="27" t="str">
        <f aca="false">IF(J2288="","",IF(AND('Daily Count Sheet'!$H$3=Q2288,MOD('Daily Count Sheet'!$I$3,J2288)=R2288),1,""))</f>
        <v/>
      </c>
      <c r="T2288" s="27" t="str">
        <f aca="false">IF(S2288=1,COUNTIF($S$2:S2288,1),"")</f>
        <v/>
      </c>
    </row>
    <row r="2289" customFormat="false" ht="15" hidden="false" customHeight="false" outlineLevel="0" collapsed="false">
      <c r="H2289" s="26"/>
      <c r="I2289" s="27" t="str">
        <f aca="false">IF(A2289="","",IF(H2289&lt;&gt;"",UPPER(TRIM(H2289)),IFERROR(CHOOSE(VALUE(E2289)+1,"A","B","C","D"),IF(OR(LEFT(UPPER(TRIM(E2289)),1)="F",UPPER(TRIM(E2289))="A"),"A",IF(OR(LEFT(UPPER(TRIM(E2289)),1)="M",UPPER(TRIM(E2289))="B"),"B",IF(OR(LEFT(UPPER(TRIM(E2289)),2)="SL",UPPER(TRIM(E2289))="C"),"C",IF(OR(LEFT(UPPER(TRIM(E2289)),1)="D",UPPER(TRIM(E2289))="D"),"D","")))))))</f>
        <v/>
      </c>
      <c r="J2289" s="27" t="str">
        <f aca="false">IF(I2289="","",IF(AND(I2289="D",Settings!$B$6&lt;&gt;"Yes"),"",IFERROR(INDEX(Settings!$C$9:$C$12,MATCH(I2289,Settings!$A$9:$A$12,0)),"")))</f>
        <v/>
      </c>
      <c r="K2289" s="27" t="str">
        <f aca="false">IF(J2289="","",COUNTIF($I$2:I2289,I2289))</f>
        <v/>
      </c>
      <c r="L2289" s="27" t="str">
        <f aca="false">IF(J2289="","",CHOOSE(Q2289+1,"Tue","Wed","Thu","Fri"))</f>
        <v/>
      </c>
      <c r="M2289" s="27" t="str">
        <f aca="false">IF(J2289="","",IF(J2289=1,"Every week",R2289+1&amp;" of "&amp;J2289))</f>
        <v/>
      </c>
      <c r="N2289" s="28" t="str">
        <f aca="false">IF(J2289="","",Settings!$B$4+R2289*7+Q2289)</f>
        <v/>
      </c>
      <c r="O2289" s="28" t="str">
        <f aca="true">IF(J2289="","",N2289+MAX(0,ROUNDUP((TODAY()-N2289)/(J2289*7),0))*J2289*7)</f>
        <v/>
      </c>
      <c r="P2289" s="27" t="str">
        <f aca="false">IF(J2289="","",MOD(K2289-1,J2289*4))</f>
        <v/>
      </c>
      <c r="Q2289" s="27" t="str">
        <f aca="false">IF(J2289="","",MOD(P2289,4))</f>
        <v/>
      </c>
      <c r="R2289" s="27" t="str">
        <f aca="false">IF(J2289="","",INT(P2289/4))</f>
        <v/>
      </c>
      <c r="S2289" s="27" t="str">
        <f aca="false">IF(J2289="","",IF(AND('Daily Count Sheet'!$H$3=Q2289,MOD('Daily Count Sheet'!$I$3,J2289)=R2289),1,""))</f>
        <v/>
      </c>
      <c r="T2289" s="27" t="str">
        <f aca="false">IF(S2289=1,COUNTIF($S$2:S2289,1),"")</f>
        <v/>
      </c>
    </row>
    <row r="2290" customFormat="false" ht="15" hidden="false" customHeight="false" outlineLevel="0" collapsed="false">
      <c r="H2290" s="26"/>
      <c r="I2290" s="27" t="str">
        <f aca="false">IF(A2290="","",IF(H2290&lt;&gt;"",UPPER(TRIM(H2290)),IFERROR(CHOOSE(VALUE(E2290)+1,"A","B","C","D"),IF(OR(LEFT(UPPER(TRIM(E2290)),1)="F",UPPER(TRIM(E2290))="A"),"A",IF(OR(LEFT(UPPER(TRIM(E2290)),1)="M",UPPER(TRIM(E2290))="B"),"B",IF(OR(LEFT(UPPER(TRIM(E2290)),2)="SL",UPPER(TRIM(E2290))="C"),"C",IF(OR(LEFT(UPPER(TRIM(E2290)),1)="D",UPPER(TRIM(E2290))="D"),"D","")))))))</f>
        <v/>
      </c>
      <c r="J2290" s="27" t="str">
        <f aca="false">IF(I2290="","",IF(AND(I2290="D",Settings!$B$6&lt;&gt;"Yes"),"",IFERROR(INDEX(Settings!$C$9:$C$12,MATCH(I2290,Settings!$A$9:$A$12,0)),"")))</f>
        <v/>
      </c>
      <c r="K2290" s="27" t="str">
        <f aca="false">IF(J2290="","",COUNTIF($I$2:I2290,I2290))</f>
        <v/>
      </c>
      <c r="L2290" s="27" t="str">
        <f aca="false">IF(J2290="","",CHOOSE(Q2290+1,"Tue","Wed","Thu","Fri"))</f>
        <v/>
      </c>
      <c r="M2290" s="27" t="str">
        <f aca="false">IF(J2290="","",IF(J2290=1,"Every week",R2290+1&amp;" of "&amp;J2290))</f>
        <v/>
      </c>
      <c r="N2290" s="28" t="str">
        <f aca="false">IF(J2290="","",Settings!$B$4+R2290*7+Q2290)</f>
        <v/>
      </c>
      <c r="O2290" s="28" t="str">
        <f aca="true">IF(J2290="","",N2290+MAX(0,ROUNDUP((TODAY()-N2290)/(J2290*7),0))*J2290*7)</f>
        <v/>
      </c>
      <c r="P2290" s="27" t="str">
        <f aca="false">IF(J2290="","",MOD(K2290-1,J2290*4))</f>
        <v/>
      </c>
      <c r="Q2290" s="27" t="str">
        <f aca="false">IF(J2290="","",MOD(P2290,4))</f>
        <v/>
      </c>
      <c r="R2290" s="27" t="str">
        <f aca="false">IF(J2290="","",INT(P2290/4))</f>
        <v/>
      </c>
      <c r="S2290" s="27" t="str">
        <f aca="false">IF(J2290="","",IF(AND('Daily Count Sheet'!$H$3=Q2290,MOD('Daily Count Sheet'!$I$3,J2290)=R2290),1,""))</f>
        <v/>
      </c>
      <c r="T2290" s="27" t="str">
        <f aca="false">IF(S2290=1,COUNTIF($S$2:S2290,1),"")</f>
        <v/>
      </c>
    </row>
    <row r="2291" customFormat="false" ht="15" hidden="false" customHeight="false" outlineLevel="0" collapsed="false">
      <c r="H2291" s="26"/>
      <c r="I2291" s="27" t="str">
        <f aca="false">IF(A2291="","",IF(H2291&lt;&gt;"",UPPER(TRIM(H2291)),IFERROR(CHOOSE(VALUE(E2291)+1,"A","B","C","D"),IF(OR(LEFT(UPPER(TRIM(E2291)),1)="F",UPPER(TRIM(E2291))="A"),"A",IF(OR(LEFT(UPPER(TRIM(E2291)),1)="M",UPPER(TRIM(E2291))="B"),"B",IF(OR(LEFT(UPPER(TRIM(E2291)),2)="SL",UPPER(TRIM(E2291))="C"),"C",IF(OR(LEFT(UPPER(TRIM(E2291)),1)="D",UPPER(TRIM(E2291))="D"),"D","")))))))</f>
        <v/>
      </c>
      <c r="J2291" s="27" t="str">
        <f aca="false">IF(I2291="","",IF(AND(I2291="D",Settings!$B$6&lt;&gt;"Yes"),"",IFERROR(INDEX(Settings!$C$9:$C$12,MATCH(I2291,Settings!$A$9:$A$12,0)),"")))</f>
        <v/>
      </c>
      <c r="K2291" s="27" t="str">
        <f aca="false">IF(J2291="","",COUNTIF($I$2:I2291,I2291))</f>
        <v/>
      </c>
      <c r="L2291" s="27" t="str">
        <f aca="false">IF(J2291="","",CHOOSE(Q2291+1,"Tue","Wed","Thu","Fri"))</f>
        <v/>
      </c>
      <c r="M2291" s="27" t="str">
        <f aca="false">IF(J2291="","",IF(J2291=1,"Every week",R2291+1&amp;" of "&amp;J2291))</f>
        <v/>
      </c>
      <c r="N2291" s="28" t="str">
        <f aca="false">IF(J2291="","",Settings!$B$4+R2291*7+Q2291)</f>
        <v/>
      </c>
      <c r="O2291" s="28" t="str">
        <f aca="true">IF(J2291="","",N2291+MAX(0,ROUNDUP((TODAY()-N2291)/(J2291*7),0))*J2291*7)</f>
        <v/>
      </c>
      <c r="P2291" s="27" t="str">
        <f aca="false">IF(J2291="","",MOD(K2291-1,J2291*4))</f>
        <v/>
      </c>
      <c r="Q2291" s="27" t="str">
        <f aca="false">IF(J2291="","",MOD(P2291,4))</f>
        <v/>
      </c>
      <c r="R2291" s="27" t="str">
        <f aca="false">IF(J2291="","",INT(P2291/4))</f>
        <v/>
      </c>
      <c r="S2291" s="27" t="str">
        <f aca="false">IF(J2291="","",IF(AND('Daily Count Sheet'!$H$3=Q2291,MOD('Daily Count Sheet'!$I$3,J2291)=R2291),1,""))</f>
        <v/>
      </c>
      <c r="T2291" s="27" t="str">
        <f aca="false">IF(S2291=1,COUNTIF($S$2:S2291,1),"")</f>
        <v/>
      </c>
    </row>
    <row r="2292" customFormat="false" ht="15" hidden="false" customHeight="false" outlineLevel="0" collapsed="false">
      <c r="H2292" s="26"/>
      <c r="I2292" s="27" t="str">
        <f aca="false">IF(A2292="","",IF(H2292&lt;&gt;"",UPPER(TRIM(H2292)),IFERROR(CHOOSE(VALUE(E2292)+1,"A","B","C","D"),IF(OR(LEFT(UPPER(TRIM(E2292)),1)="F",UPPER(TRIM(E2292))="A"),"A",IF(OR(LEFT(UPPER(TRIM(E2292)),1)="M",UPPER(TRIM(E2292))="B"),"B",IF(OR(LEFT(UPPER(TRIM(E2292)),2)="SL",UPPER(TRIM(E2292))="C"),"C",IF(OR(LEFT(UPPER(TRIM(E2292)),1)="D",UPPER(TRIM(E2292))="D"),"D","")))))))</f>
        <v/>
      </c>
      <c r="J2292" s="27" t="str">
        <f aca="false">IF(I2292="","",IF(AND(I2292="D",Settings!$B$6&lt;&gt;"Yes"),"",IFERROR(INDEX(Settings!$C$9:$C$12,MATCH(I2292,Settings!$A$9:$A$12,0)),"")))</f>
        <v/>
      </c>
      <c r="K2292" s="27" t="str">
        <f aca="false">IF(J2292="","",COUNTIF($I$2:I2292,I2292))</f>
        <v/>
      </c>
      <c r="L2292" s="27" t="str">
        <f aca="false">IF(J2292="","",CHOOSE(Q2292+1,"Tue","Wed","Thu","Fri"))</f>
        <v/>
      </c>
      <c r="M2292" s="27" t="str">
        <f aca="false">IF(J2292="","",IF(J2292=1,"Every week",R2292+1&amp;" of "&amp;J2292))</f>
        <v/>
      </c>
      <c r="N2292" s="28" t="str">
        <f aca="false">IF(J2292="","",Settings!$B$4+R2292*7+Q2292)</f>
        <v/>
      </c>
      <c r="O2292" s="28" t="str">
        <f aca="true">IF(J2292="","",N2292+MAX(0,ROUNDUP((TODAY()-N2292)/(J2292*7),0))*J2292*7)</f>
        <v/>
      </c>
      <c r="P2292" s="27" t="str">
        <f aca="false">IF(J2292="","",MOD(K2292-1,J2292*4))</f>
        <v/>
      </c>
      <c r="Q2292" s="27" t="str">
        <f aca="false">IF(J2292="","",MOD(P2292,4))</f>
        <v/>
      </c>
      <c r="R2292" s="27" t="str">
        <f aca="false">IF(J2292="","",INT(P2292/4))</f>
        <v/>
      </c>
      <c r="S2292" s="27" t="str">
        <f aca="false">IF(J2292="","",IF(AND('Daily Count Sheet'!$H$3=Q2292,MOD('Daily Count Sheet'!$I$3,J2292)=R2292),1,""))</f>
        <v/>
      </c>
      <c r="T2292" s="27" t="str">
        <f aca="false">IF(S2292=1,COUNTIF($S$2:S2292,1),"")</f>
        <v/>
      </c>
    </row>
    <row r="2293" customFormat="false" ht="15" hidden="false" customHeight="false" outlineLevel="0" collapsed="false">
      <c r="H2293" s="26"/>
      <c r="I2293" s="27" t="str">
        <f aca="false">IF(A2293="","",IF(H2293&lt;&gt;"",UPPER(TRIM(H2293)),IFERROR(CHOOSE(VALUE(E2293)+1,"A","B","C","D"),IF(OR(LEFT(UPPER(TRIM(E2293)),1)="F",UPPER(TRIM(E2293))="A"),"A",IF(OR(LEFT(UPPER(TRIM(E2293)),1)="M",UPPER(TRIM(E2293))="B"),"B",IF(OR(LEFT(UPPER(TRIM(E2293)),2)="SL",UPPER(TRIM(E2293))="C"),"C",IF(OR(LEFT(UPPER(TRIM(E2293)),1)="D",UPPER(TRIM(E2293))="D"),"D","")))))))</f>
        <v/>
      </c>
      <c r="J2293" s="27" t="str">
        <f aca="false">IF(I2293="","",IF(AND(I2293="D",Settings!$B$6&lt;&gt;"Yes"),"",IFERROR(INDEX(Settings!$C$9:$C$12,MATCH(I2293,Settings!$A$9:$A$12,0)),"")))</f>
        <v/>
      </c>
      <c r="K2293" s="27" t="str">
        <f aca="false">IF(J2293="","",COUNTIF($I$2:I2293,I2293))</f>
        <v/>
      </c>
      <c r="L2293" s="27" t="str">
        <f aca="false">IF(J2293="","",CHOOSE(Q2293+1,"Tue","Wed","Thu","Fri"))</f>
        <v/>
      </c>
      <c r="M2293" s="27" t="str">
        <f aca="false">IF(J2293="","",IF(J2293=1,"Every week",R2293+1&amp;" of "&amp;J2293))</f>
        <v/>
      </c>
      <c r="N2293" s="28" t="str">
        <f aca="false">IF(J2293="","",Settings!$B$4+R2293*7+Q2293)</f>
        <v/>
      </c>
      <c r="O2293" s="28" t="str">
        <f aca="true">IF(J2293="","",N2293+MAX(0,ROUNDUP((TODAY()-N2293)/(J2293*7),0))*J2293*7)</f>
        <v/>
      </c>
      <c r="P2293" s="27" t="str">
        <f aca="false">IF(J2293="","",MOD(K2293-1,J2293*4))</f>
        <v/>
      </c>
      <c r="Q2293" s="27" t="str">
        <f aca="false">IF(J2293="","",MOD(P2293,4))</f>
        <v/>
      </c>
      <c r="R2293" s="27" t="str">
        <f aca="false">IF(J2293="","",INT(P2293/4))</f>
        <v/>
      </c>
      <c r="S2293" s="27" t="str">
        <f aca="false">IF(J2293="","",IF(AND('Daily Count Sheet'!$H$3=Q2293,MOD('Daily Count Sheet'!$I$3,J2293)=R2293),1,""))</f>
        <v/>
      </c>
      <c r="T2293" s="27" t="str">
        <f aca="false">IF(S2293=1,COUNTIF($S$2:S2293,1),"")</f>
        <v/>
      </c>
    </row>
    <row r="2294" customFormat="false" ht="15" hidden="false" customHeight="false" outlineLevel="0" collapsed="false">
      <c r="H2294" s="26"/>
      <c r="I2294" s="27" t="str">
        <f aca="false">IF(A2294="","",IF(H2294&lt;&gt;"",UPPER(TRIM(H2294)),IFERROR(CHOOSE(VALUE(E2294)+1,"A","B","C","D"),IF(OR(LEFT(UPPER(TRIM(E2294)),1)="F",UPPER(TRIM(E2294))="A"),"A",IF(OR(LEFT(UPPER(TRIM(E2294)),1)="M",UPPER(TRIM(E2294))="B"),"B",IF(OR(LEFT(UPPER(TRIM(E2294)),2)="SL",UPPER(TRIM(E2294))="C"),"C",IF(OR(LEFT(UPPER(TRIM(E2294)),1)="D",UPPER(TRIM(E2294))="D"),"D","")))))))</f>
        <v/>
      </c>
      <c r="J2294" s="27" t="str">
        <f aca="false">IF(I2294="","",IF(AND(I2294="D",Settings!$B$6&lt;&gt;"Yes"),"",IFERROR(INDEX(Settings!$C$9:$C$12,MATCH(I2294,Settings!$A$9:$A$12,0)),"")))</f>
        <v/>
      </c>
      <c r="K2294" s="27" t="str">
        <f aca="false">IF(J2294="","",COUNTIF($I$2:I2294,I2294))</f>
        <v/>
      </c>
      <c r="L2294" s="27" t="str">
        <f aca="false">IF(J2294="","",CHOOSE(Q2294+1,"Tue","Wed","Thu","Fri"))</f>
        <v/>
      </c>
      <c r="M2294" s="27" t="str">
        <f aca="false">IF(J2294="","",IF(J2294=1,"Every week",R2294+1&amp;" of "&amp;J2294))</f>
        <v/>
      </c>
      <c r="N2294" s="28" t="str">
        <f aca="false">IF(J2294="","",Settings!$B$4+R2294*7+Q2294)</f>
        <v/>
      </c>
      <c r="O2294" s="28" t="str">
        <f aca="true">IF(J2294="","",N2294+MAX(0,ROUNDUP((TODAY()-N2294)/(J2294*7),0))*J2294*7)</f>
        <v/>
      </c>
      <c r="P2294" s="27" t="str">
        <f aca="false">IF(J2294="","",MOD(K2294-1,J2294*4))</f>
        <v/>
      </c>
      <c r="Q2294" s="27" t="str">
        <f aca="false">IF(J2294="","",MOD(P2294,4))</f>
        <v/>
      </c>
      <c r="R2294" s="27" t="str">
        <f aca="false">IF(J2294="","",INT(P2294/4))</f>
        <v/>
      </c>
      <c r="S2294" s="27" t="str">
        <f aca="false">IF(J2294="","",IF(AND('Daily Count Sheet'!$H$3=Q2294,MOD('Daily Count Sheet'!$I$3,J2294)=R2294),1,""))</f>
        <v/>
      </c>
      <c r="T2294" s="27" t="str">
        <f aca="false">IF(S2294=1,COUNTIF($S$2:S2294,1),"")</f>
        <v/>
      </c>
    </row>
    <row r="2295" customFormat="false" ht="15" hidden="false" customHeight="false" outlineLevel="0" collapsed="false">
      <c r="H2295" s="26"/>
      <c r="I2295" s="27" t="str">
        <f aca="false">IF(A2295="","",IF(H2295&lt;&gt;"",UPPER(TRIM(H2295)),IFERROR(CHOOSE(VALUE(E2295)+1,"A","B","C","D"),IF(OR(LEFT(UPPER(TRIM(E2295)),1)="F",UPPER(TRIM(E2295))="A"),"A",IF(OR(LEFT(UPPER(TRIM(E2295)),1)="M",UPPER(TRIM(E2295))="B"),"B",IF(OR(LEFT(UPPER(TRIM(E2295)),2)="SL",UPPER(TRIM(E2295))="C"),"C",IF(OR(LEFT(UPPER(TRIM(E2295)),1)="D",UPPER(TRIM(E2295))="D"),"D","")))))))</f>
        <v/>
      </c>
      <c r="J2295" s="27" t="str">
        <f aca="false">IF(I2295="","",IF(AND(I2295="D",Settings!$B$6&lt;&gt;"Yes"),"",IFERROR(INDEX(Settings!$C$9:$C$12,MATCH(I2295,Settings!$A$9:$A$12,0)),"")))</f>
        <v/>
      </c>
      <c r="K2295" s="27" t="str">
        <f aca="false">IF(J2295="","",COUNTIF($I$2:I2295,I2295))</f>
        <v/>
      </c>
      <c r="L2295" s="27" t="str">
        <f aca="false">IF(J2295="","",CHOOSE(Q2295+1,"Tue","Wed","Thu","Fri"))</f>
        <v/>
      </c>
      <c r="M2295" s="27" t="str">
        <f aca="false">IF(J2295="","",IF(J2295=1,"Every week",R2295+1&amp;" of "&amp;J2295))</f>
        <v/>
      </c>
      <c r="N2295" s="28" t="str">
        <f aca="false">IF(J2295="","",Settings!$B$4+R2295*7+Q2295)</f>
        <v/>
      </c>
      <c r="O2295" s="28" t="str">
        <f aca="true">IF(J2295="","",N2295+MAX(0,ROUNDUP((TODAY()-N2295)/(J2295*7),0))*J2295*7)</f>
        <v/>
      </c>
      <c r="P2295" s="27" t="str">
        <f aca="false">IF(J2295="","",MOD(K2295-1,J2295*4))</f>
        <v/>
      </c>
      <c r="Q2295" s="27" t="str">
        <f aca="false">IF(J2295="","",MOD(P2295,4))</f>
        <v/>
      </c>
      <c r="R2295" s="27" t="str">
        <f aca="false">IF(J2295="","",INT(P2295/4))</f>
        <v/>
      </c>
      <c r="S2295" s="27" t="str">
        <f aca="false">IF(J2295="","",IF(AND('Daily Count Sheet'!$H$3=Q2295,MOD('Daily Count Sheet'!$I$3,J2295)=R2295),1,""))</f>
        <v/>
      </c>
      <c r="T2295" s="27" t="str">
        <f aca="false">IF(S2295=1,COUNTIF($S$2:S2295,1),"")</f>
        <v/>
      </c>
    </row>
    <row r="2296" customFormat="false" ht="15" hidden="false" customHeight="false" outlineLevel="0" collapsed="false">
      <c r="H2296" s="26"/>
      <c r="I2296" s="27" t="str">
        <f aca="false">IF(A2296="","",IF(H2296&lt;&gt;"",UPPER(TRIM(H2296)),IFERROR(CHOOSE(VALUE(E2296)+1,"A","B","C","D"),IF(OR(LEFT(UPPER(TRIM(E2296)),1)="F",UPPER(TRIM(E2296))="A"),"A",IF(OR(LEFT(UPPER(TRIM(E2296)),1)="M",UPPER(TRIM(E2296))="B"),"B",IF(OR(LEFT(UPPER(TRIM(E2296)),2)="SL",UPPER(TRIM(E2296))="C"),"C",IF(OR(LEFT(UPPER(TRIM(E2296)),1)="D",UPPER(TRIM(E2296))="D"),"D","")))))))</f>
        <v/>
      </c>
      <c r="J2296" s="27" t="str">
        <f aca="false">IF(I2296="","",IF(AND(I2296="D",Settings!$B$6&lt;&gt;"Yes"),"",IFERROR(INDEX(Settings!$C$9:$C$12,MATCH(I2296,Settings!$A$9:$A$12,0)),"")))</f>
        <v/>
      </c>
      <c r="K2296" s="27" t="str">
        <f aca="false">IF(J2296="","",COUNTIF($I$2:I2296,I2296))</f>
        <v/>
      </c>
      <c r="L2296" s="27" t="str">
        <f aca="false">IF(J2296="","",CHOOSE(Q2296+1,"Tue","Wed","Thu","Fri"))</f>
        <v/>
      </c>
      <c r="M2296" s="27" t="str">
        <f aca="false">IF(J2296="","",IF(J2296=1,"Every week",R2296+1&amp;" of "&amp;J2296))</f>
        <v/>
      </c>
      <c r="N2296" s="28" t="str">
        <f aca="false">IF(J2296="","",Settings!$B$4+R2296*7+Q2296)</f>
        <v/>
      </c>
      <c r="O2296" s="28" t="str">
        <f aca="true">IF(J2296="","",N2296+MAX(0,ROUNDUP((TODAY()-N2296)/(J2296*7),0))*J2296*7)</f>
        <v/>
      </c>
      <c r="P2296" s="27" t="str">
        <f aca="false">IF(J2296="","",MOD(K2296-1,J2296*4))</f>
        <v/>
      </c>
      <c r="Q2296" s="27" t="str">
        <f aca="false">IF(J2296="","",MOD(P2296,4))</f>
        <v/>
      </c>
      <c r="R2296" s="27" t="str">
        <f aca="false">IF(J2296="","",INT(P2296/4))</f>
        <v/>
      </c>
      <c r="S2296" s="27" t="str">
        <f aca="false">IF(J2296="","",IF(AND('Daily Count Sheet'!$H$3=Q2296,MOD('Daily Count Sheet'!$I$3,J2296)=R2296),1,""))</f>
        <v/>
      </c>
      <c r="T2296" s="27" t="str">
        <f aca="false">IF(S2296=1,COUNTIF($S$2:S2296,1),"")</f>
        <v/>
      </c>
    </row>
    <row r="2297" customFormat="false" ht="15" hidden="false" customHeight="false" outlineLevel="0" collapsed="false">
      <c r="H2297" s="26"/>
      <c r="I2297" s="27" t="str">
        <f aca="false">IF(A2297="","",IF(H2297&lt;&gt;"",UPPER(TRIM(H2297)),IFERROR(CHOOSE(VALUE(E2297)+1,"A","B","C","D"),IF(OR(LEFT(UPPER(TRIM(E2297)),1)="F",UPPER(TRIM(E2297))="A"),"A",IF(OR(LEFT(UPPER(TRIM(E2297)),1)="M",UPPER(TRIM(E2297))="B"),"B",IF(OR(LEFT(UPPER(TRIM(E2297)),2)="SL",UPPER(TRIM(E2297))="C"),"C",IF(OR(LEFT(UPPER(TRIM(E2297)),1)="D",UPPER(TRIM(E2297))="D"),"D","")))))))</f>
        <v/>
      </c>
      <c r="J2297" s="27" t="str">
        <f aca="false">IF(I2297="","",IF(AND(I2297="D",Settings!$B$6&lt;&gt;"Yes"),"",IFERROR(INDEX(Settings!$C$9:$C$12,MATCH(I2297,Settings!$A$9:$A$12,0)),"")))</f>
        <v/>
      </c>
      <c r="K2297" s="27" t="str">
        <f aca="false">IF(J2297="","",COUNTIF($I$2:I2297,I2297))</f>
        <v/>
      </c>
      <c r="L2297" s="27" t="str">
        <f aca="false">IF(J2297="","",CHOOSE(Q2297+1,"Tue","Wed","Thu","Fri"))</f>
        <v/>
      </c>
      <c r="M2297" s="27" t="str">
        <f aca="false">IF(J2297="","",IF(J2297=1,"Every week",R2297+1&amp;" of "&amp;J2297))</f>
        <v/>
      </c>
      <c r="N2297" s="28" t="str">
        <f aca="false">IF(J2297="","",Settings!$B$4+R2297*7+Q2297)</f>
        <v/>
      </c>
      <c r="O2297" s="28" t="str">
        <f aca="true">IF(J2297="","",N2297+MAX(0,ROUNDUP((TODAY()-N2297)/(J2297*7),0))*J2297*7)</f>
        <v/>
      </c>
      <c r="P2297" s="27" t="str">
        <f aca="false">IF(J2297="","",MOD(K2297-1,J2297*4))</f>
        <v/>
      </c>
      <c r="Q2297" s="27" t="str">
        <f aca="false">IF(J2297="","",MOD(P2297,4))</f>
        <v/>
      </c>
      <c r="R2297" s="27" t="str">
        <f aca="false">IF(J2297="","",INT(P2297/4))</f>
        <v/>
      </c>
      <c r="S2297" s="27" t="str">
        <f aca="false">IF(J2297="","",IF(AND('Daily Count Sheet'!$H$3=Q2297,MOD('Daily Count Sheet'!$I$3,J2297)=R2297),1,""))</f>
        <v/>
      </c>
      <c r="T2297" s="27" t="str">
        <f aca="false">IF(S2297=1,COUNTIF($S$2:S2297,1),"")</f>
        <v/>
      </c>
    </row>
    <row r="2298" customFormat="false" ht="15" hidden="false" customHeight="false" outlineLevel="0" collapsed="false">
      <c r="H2298" s="26"/>
      <c r="I2298" s="27" t="str">
        <f aca="false">IF(A2298="","",IF(H2298&lt;&gt;"",UPPER(TRIM(H2298)),IFERROR(CHOOSE(VALUE(E2298)+1,"A","B","C","D"),IF(OR(LEFT(UPPER(TRIM(E2298)),1)="F",UPPER(TRIM(E2298))="A"),"A",IF(OR(LEFT(UPPER(TRIM(E2298)),1)="M",UPPER(TRIM(E2298))="B"),"B",IF(OR(LEFT(UPPER(TRIM(E2298)),2)="SL",UPPER(TRIM(E2298))="C"),"C",IF(OR(LEFT(UPPER(TRIM(E2298)),1)="D",UPPER(TRIM(E2298))="D"),"D","")))))))</f>
        <v/>
      </c>
      <c r="J2298" s="27" t="str">
        <f aca="false">IF(I2298="","",IF(AND(I2298="D",Settings!$B$6&lt;&gt;"Yes"),"",IFERROR(INDEX(Settings!$C$9:$C$12,MATCH(I2298,Settings!$A$9:$A$12,0)),"")))</f>
        <v/>
      </c>
      <c r="K2298" s="27" t="str">
        <f aca="false">IF(J2298="","",COUNTIF($I$2:I2298,I2298))</f>
        <v/>
      </c>
      <c r="L2298" s="27" t="str">
        <f aca="false">IF(J2298="","",CHOOSE(Q2298+1,"Tue","Wed","Thu","Fri"))</f>
        <v/>
      </c>
      <c r="M2298" s="27" t="str">
        <f aca="false">IF(J2298="","",IF(J2298=1,"Every week",R2298+1&amp;" of "&amp;J2298))</f>
        <v/>
      </c>
      <c r="N2298" s="28" t="str">
        <f aca="false">IF(J2298="","",Settings!$B$4+R2298*7+Q2298)</f>
        <v/>
      </c>
      <c r="O2298" s="28" t="str">
        <f aca="true">IF(J2298="","",N2298+MAX(0,ROUNDUP((TODAY()-N2298)/(J2298*7),0))*J2298*7)</f>
        <v/>
      </c>
      <c r="P2298" s="27" t="str">
        <f aca="false">IF(J2298="","",MOD(K2298-1,J2298*4))</f>
        <v/>
      </c>
      <c r="Q2298" s="27" t="str">
        <f aca="false">IF(J2298="","",MOD(P2298,4))</f>
        <v/>
      </c>
      <c r="R2298" s="27" t="str">
        <f aca="false">IF(J2298="","",INT(P2298/4))</f>
        <v/>
      </c>
      <c r="S2298" s="27" t="str">
        <f aca="false">IF(J2298="","",IF(AND('Daily Count Sheet'!$H$3=Q2298,MOD('Daily Count Sheet'!$I$3,J2298)=R2298),1,""))</f>
        <v/>
      </c>
      <c r="T2298" s="27" t="str">
        <f aca="false">IF(S2298=1,COUNTIF($S$2:S2298,1),"")</f>
        <v/>
      </c>
    </row>
    <row r="2299" customFormat="false" ht="15" hidden="false" customHeight="false" outlineLevel="0" collapsed="false">
      <c r="H2299" s="26"/>
      <c r="I2299" s="27" t="str">
        <f aca="false">IF(A2299="","",IF(H2299&lt;&gt;"",UPPER(TRIM(H2299)),IFERROR(CHOOSE(VALUE(E2299)+1,"A","B","C","D"),IF(OR(LEFT(UPPER(TRIM(E2299)),1)="F",UPPER(TRIM(E2299))="A"),"A",IF(OR(LEFT(UPPER(TRIM(E2299)),1)="M",UPPER(TRIM(E2299))="B"),"B",IF(OR(LEFT(UPPER(TRIM(E2299)),2)="SL",UPPER(TRIM(E2299))="C"),"C",IF(OR(LEFT(UPPER(TRIM(E2299)),1)="D",UPPER(TRIM(E2299))="D"),"D","")))))))</f>
        <v/>
      </c>
      <c r="J2299" s="27" t="str">
        <f aca="false">IF(I2299="","",IF(AND(I2299="D",Settings!$B$6&lt;&gt;"Yes"),"",IFERROR(INDEX(Settings!$C$9:$C$12,MATCH(I2299,Settings!$A$9:$A$12,0)),"")))</f>
        <v/>
      </c>
      <c r="K2299" s="27" t="str">
        <f aca="false">IF(J2299="","",COUNTIF($I$2:I2299,I2299))</f>
        <v/>
      </c>
      <c r="L2299" s="27" t="str">
        <f aca="false">IF(J2299="","",CHOOSE(Q2299+1,"Tue","Wed","Thu","Fri"))</f>
        <v/>
      </c>
      <c r="M2299" s="27" t="str">
        <f aca="false">IF(J2299="","",IF(J2299=1,"Every week",R2299+1&amp;" of "&amp;J2299))</f>
        <v/>
      </c>
      <c r="N2299" s="28" t="str">
        <f aca="false">IF(J2299="","",Settings!$B$4+R2299*7+Q2299)</f>
        <v/>
      </c>
      <c r="O2299" s="28" t="str">
        <f aca="true">IF(J2299="","",N2299+MAX(0,ROUNDUP((TODAY()-N2299)/(J2299*7),0))*J2299*7)</f>
        <v/>
      </c>
      <c r="P2299" s="27" t="str">
        <f aca="false">IF(J2299="","",MOD(K2299-1,J2299*4))</f>
        <v/>
      </c>
      <c r="Q2299" s="27" t="str">
        <f aca="false">IF(J2299="","",MOD(P2299,4))</f>
        <v/>
      </c>
      <c r="R2299" s="27" t="str">
        <f aca="false">IF(J2299="","",INT(P2299/4))</f>
        <v/>
      </c>
      <c r="S2299" s="27" t="str">
        <f aca="false">IF(J2299="","",IF(AND('Daily Count Sheet'!$H$3=Q2299,MOD('Daily Count Sheet'!$I$3,J2299)=R2299),1,""))</f>
        <v/>
      </c>
      <c r="T2299" s="27" t="str">
        <f aca="false">IF(S2299=1,COUNTIF($S$2:S2299,1),"")</f>
        <v/>
      </c>
    </row>
    <row r="2300" customFormat="false" ht="15" hidden="false" customHeight="false" outlineLevel="0" collapsed="false">
      <c r="H2300" s="26"/>
      <c r="I2300" s="27" t="str">
        <f aca="false">IF(A2300="","",IF(H2300&lt;&gt;"",UPPER(TRIM(H2300)),IFERROR(CHOOSE(VALUE(E2300)+1,"A","B","C","D"),IF(OR(LEFT(UPPER(TRIM(E2300)),1)="F",UPPER(TRIM(E2300))="A"),"A",IF(OR(LEFT(UPPER(TRIM(E2300)),1)="M",UPPER(TRIM(E2300))="B"),"B",IF(OR(LEFT(UPPER(TRIM(E2300)),2)="SL",UPPER(TRIM(E2300))="C"),"C",IF(OR(LEFT(UPPER(TRIM(E2300)),1)="D",UPPER(TRIM(E2300))="D"),"D","")))))))</f>
        <v/>
      </c>
      <c r="J2300" s="27" t="str">
        <f aca="false">IF(I2300="","",IF(AND(I2300="D",Settings!$B$6&lt;&gt;"Yes"),"",IFERROR(INDEX(Settings!$C$9:$C$12,MATCH(I2300,Settings!$A$9:$A$12,0)),"")))</f>
        <v/>
      </c>
      <c r="K2300" s="27" t="str">
        <f aca="false">IF(J2300="","",COUNTIF($I$2:I2300,I2300))</f>
        <v/>
      </c>
      <c r="L2300" s="27" t="str">
        <f aca="false">IF(J2300="","",CHOOSE(Q2300+1,"Tue","Wed","Thu","Fri"))</f>
        <v/>
      </c>
      <c r="M2300" s="27" t="str">
        <f aca="false">IF(J2300="","",IF(J2300=1,"Every week",R2300+1&amp;" of "&amp;J2300))</f>
        <v/>
      </c>
      <c r="N2300" s="28" t="str">
        <f aca="false">IF(J2300="","",Settings!$B$4+R2300*7+Q2300)</f>
        <v/>
      </c>
      <c r="O2300" s="28" t="str">
        <f aca="true">IF(J2300="","",N2300+MAX(0,ROUNDUP((TODAY()-N2300)/(J2300*7),0))*J2300*7)</f>
        <v/>
      </c>
      <c r="P2300" s="27" t="str">
        <f aca="false">IF(J2300="","",MOD(K2300-1,J2300*4))</f>
        <v/>
      </c>
      <c r="Q2300" s="27" t="str">
        <f aca="false">IF(J2300="","",MOD(P2300,4))</f>
        <v/>
      </c>
      <c r="R2300" s="27" t="str">
        <f aca="false">IF(J2300="","",INT(P2300/4))</f>
        <v/>
      </c>
      <c r="S2300" s="27" t="str">
        <f aca="false">IF(J2300="","",IF(AND('Daily Count Sheet'!$H$3=Q2300,MOD('Daily Count Sheet'!$I$3,J2300)=R2300),1,""))</f>
        <v/>
      </c>
      <c r="T2300" s="27" t="str">
        <f aca="false">IF(S2300=1,COUNTIF($S$2:S2300,1),"")</f>
        <v/>
      </c>
    </row>
    <row r="2301" customFormat="false" ht="15" hidden="false" customHeight="false" outlineLevel="0" collapsed="false">
      <c r="H2301" s="26"/>
      <c r="I2301" s="27" t="str">
        <f aca="false">IF(A2301="","",IF(H2301&lt;&gt;"",UPPER(TRIM(H2301)),IFERROR(CHOOSE(VALUE(E2301)+1,"A","B","C","D"),IF(OR(LEFT(UPPER(TRIM(E2301)),1)="F",UPPER(TRIM(E2301))="A"),"A",IF(OR(LEFT(UPPER(TRIM(E2301)),1)="M",UPPER(TRIM(E2301))="B"),"B",IF(OR(LEFT(UPPER(TRIM(E2301)),2)="SL",UPPER(TRIM(E2301))="C"),"C",IF(OR(LEFT(UPPER(TRIM(E2301)),1)="D",UPPER(TRIM(E2301))="D"),"D","")))))))</f>
        <v/>
      </c>
      <c r="J2301" s="27" t="str">
        <f aca="false">IF(I2301="","",IF(AND(I2301="D",Settings!$B$6&lt;&gt;"Yes"),"",IFERROR(INDEX(Settings!$C$9:$C$12,MATCH(I2301,Settings!$A$9:$A$12,0)),"")))</f>
        <v/>
      </c>
      <c r="K2301" s="27" t="str">
        <f aca="false">IF(J2301="","",COUNTIF($I$2:I2301,I2301))</f>
        <v/>
      </c>
      <c r="L2301" s="27" t="str">
        <f aca="false">IF(J2301="","",CHOOSE(Q2301+1,"Tue","Wed","Thu","Fri"))</f>
        <v/>
      </c>
      <c r="M2301" s="27" t="str">
        <f aca="false">IF(J2301="","",IF(J2301=1,"Every week",R2301+1&amp;" of "&amp;J2301))</f>
        <v/>
      </c>
      <c r="N2301" s="28" t="str">
        <f aca="false">IF(J2301="","",Settings!$B$4+R2301*7+Q2301)</f>
        <v/>
      </c>
      <c r="O2301" s="28" t="str">
        <f aca="true">IF(J2301="","",N2301+MAX(0,ROUNDUP((TODAY()-N2301)/(J2301*7),0))*J2301*7)</f>
        <v/>
      </c>
      <c r="P2301" s="27" t="str">
        <f aca="false">IF(J2301="","",MOD(K2301-1,J2301*4))</f>
        <v/>
      </c>
      <c r="Q2301" s="27" t="str">
        <f aca="false">IF(J2301="","",MOD(P2301,4))</f>
        <v/>
      </c>
      <c r="R2301" s="27" t="str">
        <f aca="false">IF(J2301="","",INT(P2301/4))</f>
        <v/>
      </c>
      <c r="S2301" s="27" t="str">
        <f aca="false">IF(J2301="","",IF(AND('Daily Count Sheet'!$H$3=Q2301,MOD('Daily Count Sheet'!$I$3,J2301)=R2301),1,""))</f>
        <v/>
      </c>
      <c r="T2301" s="27" t="str">
        <f aca="false">IF(S2301=1,COUNTIF($S$2:S2301,1),"")</f>
        <v/>
      </c>
    </row>
    <row r="2302" customFormat="false" ht="15" hidden="false" customHeight="false" outlineLevel="0" collapsed="false">
      <c r="H2302" s="26"/>
      <c r="I2302" s="27" t="str">
        <f aca="false">IF(A2302="","",IF(H2302&lt;&gt;"",UPPER(TRIM(H2302)),IFERROR(CHOOSE(VALUE(E2302)+1,"A","B","C","D"),IF(OR(LEFT(UPPER(TRIM(E2302)),1)="F",UPPER(TRIM(E2302))="A"),"A",IF(OR(LEFT(UPPER(TRIM(E2302)),1)="M",UPPER(TRIM(E2302))="B"),"B",IF(OR(LEFT(UPPER(TRIM(E2302)),2)="SL",UPPER(TRIM(E2302))="C"),"C",IF(OR(LEFT(UPPER(TRIM(E2302)),1)="D",UPPER(TRIM(E2302))="D"),"D","")))))))</f>
        <v/>
      </c>
      <c r="J2302" s="27" t="str">
        <f aca="false">IF(I2302="","",IF(AND(I2302="D",Settings!$B$6&lt;&gt;"Yes"),"",IFERROR(INDEX(Settings!$C$9:$C$12,MATCH(I2302,Settings!$A$9:$A$12,0)),"")))</f>
        <v/>
      </c>
      <c r="K2302" s="27" t="str">
        <f aca="false">IF(J2302="","",COUNTIF($I$2:I2302,I2302))</f>
        <v/>
      </c>
      <c r="L2302" s="27" t="str">
        <f aca="false">IF(J2302="","",CHOOSE(Q2302+1,"Tue","Wed","Thu","Fri"))</f>
        <v/>
      </c>
      <c r="M2302" s="27" t="str">
        <f aca="false">IF(J2302="","",IF(J2302=1,"Every week",R2302+1&amp;" of "&amp;J2302))</f>
        <v/>
      </c>
      <c r="N2302" s="28" t="str">
        <f aca="false">IF(J2302="","",Settings!$B$4+R2302*7+Q2302)</f>
        <v/>
      </c>
      <c r="O2302" s="28" t="str">
        <f aca="true">IF(J2302="","",N2302+MAX(0,ROUNDUP((TODAY()-N2302)/(J2302*7),0))*J2302*7)</f>
        <v/>
      </c>
      <c r="P2302" s="27" t="str">
        <f aca="false">IF(J2302="","",MOD(K2302-1,J2302*4))</f>
        <v/>
      </c>
      <c r="Q2302" s="27" t="str">
        <f aca="false">IF(J2302="","",MOD(P2302,4))</f>
        <v/>
      </c>
      <c r="R2302" s="27" t="str">
        <f aca="false">IF(J2302="","",INT(P2302/4))</f>
        <v/>
      </c>
      <c r="S2302" s="27" t="str">
        <f aca="false">IF(J2302="","",IF(AND('Daily Count Sheet'!$H$3=Q2302,MOD('Daily Count Sheet'!$I$3,J2302)=R2302),1,""))</f>
        <v/>
      </c>
      <c r="T2302" s="27" t="str">
        <f aca="false">IF(S2302=1,COUNTIF($S$2:S2302,1),"")</f>
        <v/>
      </c>
    </row>
    <row r="2303" customFormat="false" ht="15" hidden="false" customHeight="false" outlineLevel="0" collapsed="false">
      <c r="H2303" s="26"/>
      <c r="I2303" s="27" t="str">
        <f aca="false">IF(A2303="","",IF(H2303&lt;&gt;"",UPPER(TRIM(H2303)),IFERROR(CHOOSE(VALUE(E2303)+1,"A","B","C","D"),IF(OR(LEFT(UPPER(TRIM(E2303)),1)="F",UPPER(TRIM(E2303))="A"),"A",IF(OR(LEFT(UPPER(TRIM(E2303)),1)="M",UPPER(TRIM(E2303))="B"),"B",IF(OR(LEFT(UPPER(TRIM(E2303)),2)="SL",UPPER(TRIM(E2303))="C"),"C",IF(OR(LEFT(UPPER(TRIM(E2303)),1)="D",UPPER(TRIM(E2303))="D"),"D","")))))))</f>
        <v/>
      </c>
      <c r="J2303" s="27" t="str">
        <f aca="false">IF(I2303="","",IF(AND(I2303="D",Settings!$B$6&lt;&gt;"Yes"),"",IFERROR(INDEX(Settings!$C$9:$C$12,MATCH(I2303,Settings!$A$9:$A$12,0)),"")))</f>
        <v/>
      </c>
      <c r="K2303" s="27" t="str">
        <f aca="false">IF(J2303="","",COUNTIF($I$2:I2303,I2303))</f>
        <v/>
      </c>
      <c r="L2303" s="27" t="str">
        <f aca="false">IF(J2303="","",CHOOSE(Q2303+1,"Tue","Wed","Thu","Fri"))</f>
        <v/>
      </c>
      <c r="M2303" s="27" t="str">
        <f aca="false">IF(J2303="","",IF(J2303=1,"Every week",R2303+1&amp;" of "&amp;J2303))</f>
        <v/>
      </c>
      <c r="N2303" s="28" t="str">
        <f aca="false">IF(J2303="","",Settings!$B$4+R2303*7+Q2303)</f>
        <v/>
      </c>
      <c r="O2303" s="28" t="str">
        <f aca="true">IF(J2303="","",N2303+MAX(0,ROUNDUP((TODAY()-N2303)/(J2303*7),0))*J2303*7)</f>
        <v/>
      </c>
      <c r="P2303" s="27" t="str">
        <f aca="false">IF(J2303="","",MOD(K2303-1,J2303*4))</f>
        <v/>
      </c>
      <c r="Q2303" s="27" t="str">
        <f aca="false">IF(J2303="","",MOD(P2303,4))</f>
        <v/>
      </c>
      <c r="R2303" s="27" t="str">
        <f aca="false">IF(J2303="","",INT(P2303/4))</f>
        <v/>
      </c>
      <c r="S2303" s="27" t="str">
        <f aca="false">IF(J2303="","",IF(AND('Daily Count Sheet'!$H$3=Q2303,MOD('Daily Count Sheet'!$I$3,J2303)=R2303),1,""))</f>
        <v/>
      </c>
      <c r="T2303" s="27" t="str">
        <f aca="false">IF(S2303=1,COUNTIF($S$2:S2303,1),"")</f>
        <v/>
      </c>
    </row>
    <row r="2304" customFormat="false" ht="15" hidden="false" customHeight="false" outlineLevel="0" collapsed="false">
      <c r="H2304" s="26"/>
      <c r="I2304" s="27" t="str">
        <f aca="false">IF(A2304="","",IF(H2304&lt;&gt;"",UPPER(TRIM(H2304)),IFERROR(CHOOSE(VALUE(E2304)+1,"A","B","C","D"),IF(OR(LEFT(UPPER(TRIM(E2304)),1)="F",UPPER(TRIM(E2304))="A"),"A",IF(OR(LEFT(UPPER(TRIM(E2304)),1)="M",UPPER(TRIM(E2304))="B"),"B",IF(OR(LEFT(UPPER(TRIM(E2304)),2)="SL",UPPER(TRIM(E2304))="C"),"C",IF(OR(LEFT(UPPER(TRIM(E2304)),1)="D",UPPER(TRIM(E2304))="D"),"D","")))))))</f>
        <v/>
      </c>
      <c r="J2304" s="27" t="str">
        <f aca="false">IF(I2304="","",IF(AND(I2304="D",Settings!$B$6&lt;&gt;"Yes"),"",IFERROR(INDEX(Settings!$C$9:$C$12,MATCH(I2304,Settings!$A$9:$A$12,0)),"")))</f>
        <v/>
      </c>
      <c r="K2304" s="27" t="str">
        <f aca="false">IF(J2304="","",COUNTIF($I$2:I2304,I2304))</f>
        <v/>
      </c>
      <c r="L2304" s="27" t="str">
        <f aca="false">IF(J2304="","",CHOOSE(Q2304+1,"Tue","Wed","Thu","Fri"))</f>
        <v/>
      </c>
      <c r="M2304" s="27" t="str">
        <f aca="false">IF(J2304="","",IF(J2304=1,"Every week",R2304+1&amp;" of "&amp;J2304))</f>
        <v/>
      </c>
      <c r="N2304" s="28" t="str">
        <f aca="false">IF(J2304="","",Settings!$B$4+R2304*7+Q2304)</f>
        <v/>
      </c>
      <c r="O2304" s="28" t="str">
        <f aca="true">IF(J2304="","",N2304+MAX(0,ROUNDUP((TODAY()-N2304)/(J2304*7),0))*J2304*7)</f>
        <v/>
      </c>
      <c r="P2304" s="27" t="str">
        <f aca="false">IF(J2304="","",MOD(K2304-1,J2304*4))</f>
        <v/>
      </c>
      <c r="Q2304" s="27" t="str">
        <f aca="false">IF(J2304="","",MOD(P2304,4))</f>
        <v/>
      </c>
      <c r="R2304" s="27" t="str">
        <f aca="false">IF(J2304="","",INT(P2304/4))</f>
        <v/>
      </c>
      <c r="S2304" s="27" t="str">
        <f aca="false">IF(J2304="","",IF(AND('Daily Count Sheet'!$H$3=Q2304,MOD('Daily Count Sheet'!$I$3,J2304)=R2304),1,""))</f>
        <v/>
      </c>
      <c r="T2304" s="27" t="str">
        <f aca="false">IF(S2304=1,COUNTIF($S$2:S2304,1),"")</f>
        <v/>
      </c>
    </row>
    <row r="2305" customFormat="false" ht="15" hidden="false" customHeight="false" outlineLevel="0" collapsed="false">
      <c r="H2305" s="26"/>
      <c r="I2305" s="27" t="str">
        <f aca="false">IF(A2305="","",IF(H2305&lt;&gt;"",UPPER(TRIM(H2305)),IFERROR(CHOOSE(VALUE(E2305)+1,"A","B","C","D"),IF(OR(LEFT(UPPER(TRIM(E2305)),1)="F",UPPER(TRIM(E2305))="A"),"A",IF(OR(LEFT(UPPER(TRIM(E2305)),1)="M",UPPER(TRIM(E2305))="B"),"B",IF(OR(LEFT(UPPER(TRIM(E2305)),2)="SL",UPPER(TRIM(E2305))="C"),"C",IF(OR(LEFT(UPPER(TRIM(E2305)),1)="D",UPPER(TRIM(E2305))="D"),"D","")))))))</f>
        <v/>
      </c>
      <c r="J2305" s="27" t="str">
        <f aca="false">IF(I2305="","",IF(AND(I2305="D",Settings!$B$6&lt;&gt;"Yes"),"",IFERROR(INDEX(Settings!$C$9:$C$12,MATCH(I2305,Settings!$A$9:$A$12,0)),"")))</f>
        <v/>
      </c>
      <c r="K2305" s="27" t="str">
        <f aca="false">IF(J2305="","",COUNTIF($I$2:I2305,I2305))</f>
        <v/>
      </c>
      <c r="L2305" s="27" t="str">
        <f aca="false">IF(J2305="","",CHOOSE(Q2305+1,"Tue","Wed","Thu","Fri"))</f>
        <v/>
      </c>
      <c r="M2305" s="27" t="str">
        <f aca="false">IF(J2305="","",IF(J2305=1,"Every week",R2305+1&amp;" of "&amp;J2305))</f>
        <v/>
      </c>
      <c r="N2305" s="28" t="str">
        <f aca="false">IF(J2305="","",Settings!$B$4+R2305*7+Q2305)</f>
        <v/>
      </c>
      <c r="O2305" s="28" t="str">
        <f aca="true">IF(J2305="","",N2305+MAX(0,ROUNDUP((TODAY()-N2305)/(J2305*7),0))*J2305*7)</f>
        <v/>
      </c>
      <c r="P2305" s="27" t="str">
        <f aca="false">IF(J2305="","",MOD(K2305-1,J2305*4))</f>
        <v/>
      </c>
      <c r="Q2305" s="27" t="str">
        <f aca="false">IF(J2305="","",MOD(P2305,4))</f>
        <v/>
      </c>
      <c r="R2305" s="27" t="str">
        <f aca="false">IF(J2305="","",INT(P2305/4))</f>
        <v/>
      </c>
      <c r="S2305" s="27" t="str">
        <f aca="false">IF(J2305="","",IF(AND('Daily Count Sheet'!$H$3=Q2305,MOD('Daily Count Sheet'!$I$3,J2305)=R2305),1,""))</f>
        <v/>
      </c>
      <c r="T2305" s="27" t="str">
        <f aca="false">IF(S2305=1,COUNTIF($S$2:S2305,1),"")</f>
        <v/>
      </c>
    </row>
    <row r="2306" customFormat="false" ht="15" hidden="false" customHeight="false" outlineLevel="0" collapsed="false">
      <c r="H2306" s="26"/>
      <c r="I2306" s="27" t="str">
        <f aca="false">IF(A2306="","",IF(H2306&lt;&gt;"",UPPER(TRIM(H2306)),IFERROR(CHOOSE(VALUE(E2306)+1,"A","B","C","D"),IF(OR(LEFT(UPPER(TRIM(E2306)),1)="F",UPPER(TRIM(E2306))="A"),"A",IF(OR(LEFT(UPPER(TRIM(E2306)),1)="M",UPPER(TRIM(E2306))="B"),"B",IF(OR(LEFT(UPPER(TRIM(E2306)),2)="SL",UPPER(TRIM(E2306))="C"),"C",IF(OR(LEFT(UPPER(TRIM(E2306)),1)="D",UPPER(TRIM(E2306))="D"),"D","")))))))</f>
        <v/>
      </c>
      <c r="J2306" s="27" t="str">
        <f aca="false">IF(I2306="","",IF(AND(I2306="D",Settings!$B$6&lt;&gt;"Yes"),"",IFERROR(INDEX(Settings!$C$9:$C$12,MATCH(I2306,Settings!$A$9:$A$12,0)),"")))</f>
        <v/>
      </c>
      <c r="K2306" s="27" t="str">
        <f aca="false">IF(J2306="","",COUNTIF($I$2:I2306,I2306))</f>
        <v/>
      </c>
      <c r="L2306" s="27" t="str">
        <f aca="false">IF(J2306="","",CHOOSE(Q2306+1,"Tue","Wed","Thu","Fri"))</f>
        <v/>
      </c>
      <c r="M2306" s="27" t="str">
        <f aca="false">IF(J2306="","",IF(J2306=1,"Every week",R2306+1&amp;" of "&amp;J2306))</f>
        <v/>
      </c>
      <c r="N2306" s="28" t="str">
        <f aca="false">IF(J2306="","",Settings!$B$4+R2306*7+Q2306)</f>
        <v/>
      </c>
      <c r="O2306" s="28" t="str">
        <f aca="true">IF(J2306="","",N2306+MAX(0,ROUNDUP((TODAY()-N2306)/(J2306*7),0))*J2306*7)</f>
        <v/>
      </c>
      <c r="P2306" s="27" t="str">
        <f aca="false">IF(J2306="","",MOD(K2306-1,J2306*4))</f>
        <v/>
      </c>
      <c r="Q2306" s="27" t="str">
        <f aca="false">IF(J2306="","",MOD(P2306,4))</f>
        <v/>
      </c>
      <c r="R2306" s="27" t="str">
        <f aca="false">IF(J2306="","",INT(P2306/4))</f>
        <v/>
      </c>
      <c r="S2306" s="27" t="str">
        <f aca="false">IF(J2306="","",IF(AND('Daily Count Sheet'!$H$3=Q2306,MOD('Daily Count Sheet'!$I$3,J2306)=R2306),1,""))</f>
        <v/>
      </c>
      <c r="T2306" s="27" t="str">
        <f aca="false">IF(S2306=1,COUNTIF($S$2:S2306,1),"")</f>
        <v/>
      </c>
    </row>
    <row r="2307" customFormat="false" ht="15" hidden="false" customHeight="false" outlineLevel="0" collapsed="false">
      <c r="H2307" s="26"/>
      <c r="I2307" s="27" t="str">
        <f aca="false">IF(A2307="","",IF(H2307&lt;&gt;"",UPPER(TRIM(H2307)),IFERROR(CHOOSE(VALUE(E2307)+1,"A","B","C","D"),IF(OR(LEFT(UPPER(TRIM(E2307)),1)="F",UPPER(TRIM(E2307))="A"),"A",IF(OR(LEFT(UPPER(TRIM(E2307)),1)="M",UPPER(TRIM(E2307))="B"),"B",IF(OR(LEFT(UPPER(TRIM(E2307)),2)="SL",UPPER(TRIM(E2307))="C"),"C",IF(OR(LEFT(UPPER(TRIM(E2307)),1)="D",UPPER(TRIM(E2307))="D"),"D","")))))))</f>
        <v/>
      </c>
      <c r="J2307" s="27" t="str">
        <f aca="false">IF(I2307="","",IF(AND(I2307="D",Settings!$B$6&lt;&gt;"Yes"),"",IFERROR(INDEX(Settings!$C$9:$C$12,MATCH(I2307,Settings!$A$9:$A$12,0)),"")))</f>
        <v/>
      </c>
      <c r="K2307" s="27" t="str">
        <f aca="false">IF(J2307="","",COUNTIF($I$2:I2307,I2307))</f>
        <v/>
      </c>
      <c r="L2307" s="27" t="str">
        <f aca="false">IF(J2307="","",CHOOSE(Q2307+1,"Tue","Wed","Thu","Fri"))</f>
        <v/>
      </c>
      <c r="M2307" s="27" t="str">
        <f aca="false">IF(J2307="","",IF(J2307=1,"Every week",R2307+1&amp;" of "&amp;J2307))</f>
        <v/>
      </c>
      <c r="N2307" s="28" t="str">
        <f aca="false">IF(J2307="","",Settings!$B$4+R2307*7+Q2307)</f>
        <v/>
      </c>
      <c r="O2307" s="28" t="str">
        <f aca="true">IF(J2307="","",N2307+MAX(0,ROUNDUP((TODAY()-N2307)/(J2307*7),0))*J2307*7)</f>
        <v/>
      </c>
      <c r="P2307" s="27" t="str">
        <f aca="false">IF(J2307="","",MOD(K2307-1,J2307*4))</f>
        <v/>
      </c>
      <c r="Q2307" s="27" t="str">
        <f aca="false">IF(J2307="","",MOD(P2307,4))</f>
        <v/>
      </c>
      <c r="R2307" s="27" t="str">
        <f aca="false">IF(J2307="","",INT(P2307/4))</f>
        <v/>
      </c>
      <c r="S2307" s="27" t="str">
        <f aca="false">IF(J2307="","",IF(AND('Daily Count Sheet'!$H$3=Q2307,MOD('Daily Count Sheet'!$I$3,J2307)=R2307),1,""))</f>
        <v/>
      </c>
      <c r="T2307" s="27" t="str">
        <f aca="false">IF(S2307=1,COUNTIF($S$2:S2307,1),"")</f>
        <v/>
      </c>
    </row>
    <row r="2308" customFormat="false" ht="15" hidden="false" customHeight="false" outlineLevel="0" collapsed="false">
      <c r="H2308" s="26"/>
      <c r="I2308" s="27" t="str">
        <f aca="false">IF(A2308="","",IF(H2308&lt;&gt;"",UPPER(TRIM(H2308)),IFERROR(CHOOSE(VALUE(E2308)+1,"A","B","C","D"),IF(OR(LEFT(UPPER(TRIM(E2308)),1)="F",UPPER(TRIM(E2308))="A"),"A",IF(OR(LEFT(UPPER(TRIM(E2308)),1)="M",UPPER(TRIM(E2308))="B"),"B",IF(OR(LEFT(UPPER(TRIM(E2308)),2)="SL",UPPER(TRIM(E2308))="C"),"C",IF(OR(LEFT(UPPER(TRIM(E2308)),1)="D",UPPER(TRIM(E2308))="D"),"D","")))))))</f>
        <v/>
      </c>
      <c r="J2308" s="27" t="str">
        <f aca="false">IF(I2308="","",IF(AND(I2308="D",Settings!$B$6&lt;&gt;"Yes"),"",IFERROR(INDEX(Settings!$C$9:$C$12,MATCH(I2308,Settings!$A$9:$A$12,0)),"")))</f>
        <v/>
      </c>
      <c r="K2308" s="27" t="str">
        <f aca="false">IF(J2308="","",COUNTIF($I$2:I2308,I2308))</f>
        <v/>
      </c>
      <c r="L2308" s="27" t="str">
        <f aca="false">IF(J2308="","",CHOOSE(Q2308+1,"Tue","Wed","Thu","Fri"))</f>
        <v/>
      </c>
      <c r="M2308" s="27" t="str">
        <f aca="false">IF(J2308="","",IF(J2308=1,"Every week",R2308+1&amp;" of "&amp;J2308))</f>
        <v/>
      </c>
      <c r="N2308" s="28" t="str">
        <f aca="false">IF(J2308="","",Settings!$B$4+R2308*7+Q2308)</f>
        <v/>
      </c>
      <c r="O2308" s="28" t="str">
        <f aca="true">IF(J2308="","",N2308+MAX(0,ROUNDUP((TODAY()-N2308)/(J2308*7),0))*J2308*7)</f>
        <v/>
      </c>
      <c r="P2308" s="27" t="str">
        <f aca="false">IF(J2308="","",MOD(K2308-1,J2308*4))</f>
        <v/>
      </c>
      <c r="Q2308" s="27" t="str">
        <f aca="false">IF(J2308="","",MOD(P2308,4))</f>
        <v/>
      </c>
      <c r="R2308" s="27" t="str">
        <f aca="false">IF(J2308="","",INT(P2308/4))</f>
        <v/>
      </c>
      <c r="S2308" s="27" t="str">
        <f aca="false">IF(J2308="","",IF(AND('Daily Count Sheet'!$H$3=Q2308,MOD('Daily Count Sheet'!$I$3,J2308)=R2308),1,""))</f>
        <v/>
      </c>
      <c r="T2308" s="27" t="str">
        <f aca="false">IF(S2308=1,COUNTIF($S$2:S2308,1),"")</f>
        <v/>
      </c>
    </row>
    <row r="2309" customFormat="false" ht="15" hidden="false" customHeight="false" outlineLevel="0" collapsed="false">
      <c r="H2309" s="26"/>
      <c r="I2309" s="27" t="str">
        <f aca="false">IF(A2309="","",IF(H2309&lt;&gt;"",UPPER(TRIM(H2309)),IFERROR(CHOOSE(VALUE(E2309)+1,"A","B","C","D"),IF(OR(LEFT(UPPER(TRIM(E2309)),1)="F",UPPER(TRIM(E2309))="A"),"A",IF(OR(LEFT(UPPER(TRIM(E2309)),1)="M",UPPER(TRIM(E2309))="B"),"B",IF(OR(LEFT(UPPER(TRIM(E2309)),2)="SL",UPPER(TRIM(E2309))="C"),"C",IF(OR(LEFT(UPPER(TRIM(E2309)),1)="D",UPPER(TRIM(E2309))="D"),"D","")))))))</f>
        <v/>
      </c>
      <c r="J2309" s="27" t="str">
        <f aca="false">IF(I2309="","",IF(AND(I2309="D",Settings!$B$6&lt;&gt;"Yes"),"",IFERROR(INDEX(Settings!$C$9:$C$12,MATCH(I2309,Settings!$A$9:$A$12,0)),"")))</f>
        <v/>
      </c>
      <c r="K2309" s="27" t="str">
        <f aca="false">IF(J2309="","",COUNTIF($I$2:I2309,I2309))</f>
        <v/>
      </c>
      <c r="L2309" s="27" t="str">
        <f aca="false">IF(J2309="","",CHOOSE(Q2309+1,"Tue","Wed","Thu","Fri"))</f>
        <v/>
      </c>
      <c r="M2309" s="27" t="str">
        <f aca="false">IF(J2309="","",IF(J2309=1,"Every week",R2309+1&amp;" of "&amp;J2309))</f>
        <v/>
      </c>
      <c r="N2309" s="28" t="str">
        <f aca="false">IF(J2309="","",Settings!$B$4+R2309*7+Q2309)</f>
        <v/>
      </c>
      <c r="O2309" s="28" t="str">
        <f aca="true">IF(J2309="","",N2309+MAX(0,ROUNDUP((TODAY()-N2309)/(J2309*7),0))*J2309*7)</f>
        <v/>
      </c>
      <c r="P2309" s="27" t="str">
        <f aca="false">IF(J2309="","",MOD(K2309-1,J2309*4))</f>
        <v/>
      </c>
      <c r="Q2309" s="27" t="str">
        <f aca="false">IF(J2309="","",MOD(P2309,4))</f>
        <v/>
      </c>
      <c r="R2309" s="27" t="str">
        <f aca="false">IF(J2309="","",INT(P2309/4))</f>
        <v/>
      </c>
      <c r="S2309" s="27" t="str">
        <f aca="false">IF(J2309="","",IF(AND('Daily Count Sheet'!$H$3=Q2309,MOD('Daily Count Sheet'!$I$3,J2309)=R2309),1,""))</f>
        <v/>
      </c>
      <c r="T2309" s="27" t="str">
        <f aca="false">IF(S2309=1,COUNTIF($S$2:S2309,1),"")</f>
        <v/>
      </c>
    </row>
    <row r="2310" customFormat="false" ht="15" hidden="false" customHeight="false" outlineLevel="0" collapsed="false">
      <c r="H2310" s="26"/>
      <c r="I2310" s="27" t="str">
        <f aca="false">IF(A2310="","",IF(H2310&lt;&gt;"",UPPER(TRIM(H2310)),IFERROR(CHOOSE(VALUE(E2310)+1,"A","B","C","D"),IF(OR(LEFT(UPPER(TRIM(E2310)),1)="F",UPPER(TRIM(E2310))="A"),"A",IF(OR(LEFT(UPPER(TRIM(E2310)),1)="M",UPPER(TRIM(E2310))="B"),"B",IF(OR(LEFT(UPPER(TRIM(E2310)),2)="SL",UPPER(TRIM(E2310))="C"),"C",IF(OR(LEFT(UPPER(TRIM(E2310)),1)="D",UPPER(TRIM(E2310))="D"),"D","")))))))</f>
        <v/>
      </c>
      <c r="J2310" s="27" t="str">
        <f aca="false">IF(I2310="","",IF(AND(I2310="D",Settings!$B$6&lt;&gt;"Yes"),"",IFERROR(INDEX(Settings!$C$9:$C$12,MATCH(I2310,Settings!$A$9:$A$12,0)),"")))</f>
        <v/>
      </c>
      <c r="K2310" s="27" t="str">
        <f aca="false">IF(J2310="","",COUNTIF($I$2:I2310,I2310))</f>
        <v/>
      </c>
      <c r="L2310" s="27" t="str">
        <f aca="false">IF(J2310="","",CHOOSE(Q2310+1,"Tue","Wed","Thu","Fri"))</f>
        <v/>
      </c>
      <c r="M2310" s="27" t="str">
        <f aca="false">IF(J2310="","",IF(J2310=1,"Every week",R2310+1&amp;" of "&amp;J2310))</f>
        <v/>
      </c>
      <c r="N2310" s="28" t="str">
        <f aca="false">IF(J2310="","",Settings!$B$4+R2310*7+Q2310)</f>
        <v/>
      </c>
      <c r="O2310" s="28" t="str">
        <f aca="true">IF(J2310="","",N2310+MAX(0,ROUNDUP((TODAY()-N2310)/(J2310*7),0))*J2310*7)</f>
        <v/>
      </c>
      <c r="P2310" s="27" t="str">
        <f aca="false">IF(J2310="","",MOD(K2310-1,J2310*4))</f>
        <v/>
      </c>
      <c r="Q2310" s="27" t="str">
        <f aca="false">IF(J2310="","",MOD(P2310,4))</f>
        <v/>
      </c>
      <c r="R2310" s="27" t="str">
        <f aca="false">IF(J2310="","",INT(P2310/4))</f>
        <v/>
      </c>
      <c r="S2310" s="27" t="str">
        <f aca="false">IF(J2310="","",IF(AND('Daily Count Sheet'!$H$3=Q2310,MOD('Daily Count Sheet'!$I$3,J2310)=R2310),1,""))</f>
        <v/>
      </c>
      <c r="T2310" s="27" t="str">
        <f aca="false">IF(S2310=1,COUNTIF($S$2:S2310,1),"")</f>
        <v/>
      </c>
    </row>
    <row r="2311" customFormat="false" ht="15" hidden="false" customHeight="false" outlineLevel="0" collapsed="false">
      <c r="H2311" s="26"/>
      <c r="I2311" s="27" t="str">
        <f aca="false">IF(A2311="","",IF(H2311&lt;&gt;"",UPPER(TRIM(H2311)),IFERROR(CHOOSE(VALUE(E2311)+1,"A","B","C","D"),IF(OR(LEFT(UPPER(TRIM(E2311)),1)="F",UPPER(TRIM(E2311))="A"),"A",IF(OR(LEFT(UPPER(TRIM(E2311)),1)="M",UPPER(TRIM(E2311))="B"),"B",IF(OR(LEFT(UPPER(TRIM(E2311)),2)="SL",UPPER(TRIM(E2311))="C"),"C",IF(OR(LEFT(UPPER(TRIM(E2311)),1)="D",UPPER(TRIM(E2311))="D"),"D","")))))))</f>
        <v/>
      </c>
      <c r="J2311" s="27" t="str">
        <f aca="false">IF(I2311="","",IF(AND(I2311="D",Settings!$B$6&lt;&gt;"Yes"),"",IFERROR(INDEX(Settings!$C$9:$C$12,MATCH(I2311,Settings!$A$9:$A$12,0)),"")))</f>
        <v/>
      </c>
      <c r="K2311" s="27" t="str">
        <f aca="false">IF(J2311="","",COUNTIF($I$2:I2311,I2311))</f>
        <v/>
      </c>
      <c r="L2311" s="27" t="str">
        <f aca="false">IF(J2311="","",CHOOSE(Q2311+1,"Tue","Wed","Thu","Fri"))</f>
        <v/>
      </c>
      <c r="M2311" s="27" t="str">
        <f aca="false">IF(J2311="","",IF(J2311=1,"Every week",R2311+1&amp;" of "&amp;J2311))</f>
        <v/>
      </c>
      <c r="N2311" s="28" t="str">
        <f aca="false">IF(J2311="","",Settings!$B$4+R2311*7+Q2311)</f>
        <v/>
      </c>
      <c r="O2311" s="28" t="str">
        <f aca="true">IF(J2311="","",N2311+MAX(0,ROUNDUP((TODAY()-N2311)/(J2311*7),0))*J2311*7)</f>
        <v/>
      </c>
      <c r="P2311" s="27" t="str">
        <f aca="false">IF(J2311="","",MOD(K2311-1,J2311*4))</f>
        <v/>
      </c>
      <c r="Q2311" s="27" t="str">
        <f aca="false">IF(J2311="","",MOD(P2311,4))</f>
        <v/>
      </c>
      <c r="R2311" s="27" t="str">
        <f aca="false">IF(J2311="","",INT(P2311/4))</f>
        <v/>
      </c>
      <c r="S2311" s="27" t="str">
        <f aca="false">IF(J2311="","",IF(AND('Daily Count Sheet'!$H$3=Q2311,MOD('Daily Count Sheet'!$I$3,J2311)=R2311),1,""))</f>
        <v/>
      </c>
      <c r="T2311" s="27" t="str">
        <f aca="false">IF(S2311=1,COUNTIF($S$2:S2311,1),"")</f>
        <v/>
      </c>
    </row>
    <row r="2312" customFormat="false" ht="15" hidden="false" customHeight="false" outlineLevel="0" collapsed="false">
      <c r="H2312" s="26"/>
      <c r="I2312" s="27" t="str">
        <f aca="false">IF(A2312="","",IF(H2312&lt;&gt;"",UPPER(TRIM(H2312)),IFERROR(CHOOSE(VALUE(E2312)+1,"A","B","C","D"),IF(OR(LEFT(UPPER(TRIM(E2312)),1)="F",UPPER(TRIM(E2312))="A"),"A",IF(OR(LEFT(UPPER(TRIM(E2312)),1)="M",UPPER(TRIM(E2312))="B"),"B",IF(OR(LEFT(UPPER(TRIM(E2312)),2)="SL",UPPER(TRIM(E2312))="C"),"C",IF(OR(LEFT(UPPER(TRIM(E2312)),1)="D",UPPER(TRIM(E2312))="D"),"D","")))))))</f>
        <v/>
      </c>
      <c r="J2312" s="27" t="str">
        <f aca="false">IF(I2312="","",IF(AND(I2312="D",Settings!$B$6&lt;&gt;"Yes"),"",IFERROR(INDEX(Settings!$C$9:$C$12,MATCH(I2312,Settings!$A$9:$A$12,0)),"")))</f>
        <v/>
      </c>
      <c r="K2312" s="27" t="str">
        <f aca="false">IF(J2312="","",COUNTIF($I$2:I2312,I2312))</f>
        <v/>
      </c>
      <c r="L2312" s="27" t="str">
        <f aca="false">IF(J2312="","",CHOOSE(Q2312+1,"Tue","Wed","Thu","Fri"))</f>
        <v/>
      </c>
      <c r="M2312" s="27" t="str">
        <f aca="false">IF(J2312="","",IF(J2312=1,"Every week",R2312+1&amp;" of "&amp;J2312))</f>
        <v/>
      </c>
      <c r="N2312" s="28" t="str">
        <f aca="false">IF(J2312="","",Settings!$B$4+R2312*7+Q2312)</f>
        <v/>
      </c>
      <c r="O2312" s="28" t="str">
        <f aca="true">IF(J2312="","",N2312+MAX(0,ROUNDUP((TODAY()-N2312)/(J2312*7),0))*J2312*7)</f>
        <v/>
      </c>
      <c r="P2312" s="27" t="str">
        <f aca="false">IF(J2312="","",MOD(K2312-1,J2312*4))</f>
        <v/>
      </c>
      <c r="Q2312" s="27" t="str">
        <f aca="false">IF(J2312="","",MOD(P2312,4))</f>
        <v/>
      </c>
      <c r="R2312" s="27" t="str">
        <f aca="false">IF(J2312="","",INT(P2312/4))</f>
        <v/>
      </c>
      <c r="S2312" s="27" t="str">
        <f aca="false">IF(J2312="","",IF(AND('Daily Count Sheet'!$H$3=Q2312,MOD('Daily Count Sheet'!$I$3,J2312)=R2312),1,""))</f>
        <v/>
      </c>
      <c r="T2312" s="27" t="str">
        <f aca="false">IF(S2312=1,COUNTIF($S$2:S2312,1),"")</f>
        <v/>
      </c>
    </row>
    <row r="2313" customFormat="false" ht="15" hidden="false" customHeight="false" outlineLevel="0" collapsed="false">
      <c r="H2313" s="26"/>
      <c r="I2313" s="27" t="str">
        <f aca="false">IF(A2313="","",IF(H2313&lt;&gt;"",UPPER(TRIM(H2313)),IFERROR(CHOOSE(VALUE(E2313)+1,"A","B","C","D"),IF(OR(LEFT(UPPER(TRIM(E2313)),1)="F",UPPER(TRIM(E2313))="A"),"A",IF(OR(LEFT(UPPER(TRIM(E2313)),1)="M",UPPER(TRIM(E2313))="B"),"B",IF(OR(LEFT(UPPER(TRIM(E2313)),2)="SL",UPPER(TRIM(E2313))="C"),"C",IF(OR(LEFT(UPPER(TRIM(E2313)),1)="D",UPPER(TRIM(E2313))="D"),"D","")))))))</f>
        <v/>
      </c>
      <c r="J2313" s="27" t="str">
        <f aca="false">IF(I2313="","",IF(AND(I2313="D",Settings!$B$6&lt;&gt;"Yes"),"",IFERROR(INDEX(Settings!$C$9:$C$12,MATCH(I2313,Settings!$A$9:$A$12,0)),"")))</f>
        <v/>
      </c>
      <c r="K2313" s="27" t="str">
        <f aca="false">IF(J2313="","",COUNTIF($I$2:I2313,I2313))</f>
        <v/>
      </c>
      <c r="L2313" s="27" t="str">
        <f aca="false">IF(J2313="","",CHOOSE(Q2313+1,"Tue","Wed","Thu","Fri"))</f>
        <v/>
      </c>
      <c r="M2313" s="27" t="str">
        <f aca="false">IF(J2313="","",IF(J2313=1,"Every week",R2313+1&amp;" of "&amp;J2313))</f>
        <v/>
      </c>
      <c r="N2313" s="28" t="str">
        <f aca="false">IF(J2313="","",Settings!$B$4+R2313*7+Q2313)</f>
        <v/>
      </c>
      <c r="O2313" s="28" t="str">
        <f aca="true">IF(J2313="","",N2313+MAX(0,ROUNDUP((TODAY()-N2313)/(J2313*7),0))*J2313*7)</f>
        <v/>
      </c>
      <c r="P2313" s="27" t="str">
        <f aca="false">IF(J2313="","",MOD(K2313-1,J2313*4))</f>
        <v/>
      </c>
      <c r="Q2313" s="27" t="str">
        <f aca="false">IF(J2313="","",MOD(P2313,4))</f>
        <v/>
      </c>
      <c r="R2313" s="27" t="str">
        <f aca="false">IF(J2313="","",INT(P2313/4))</f>
        <v/>
      </c>
      <c r="S2313" s="27" t="str">
        <f aca="false">IF(J2313="","",IF(AND('Daily Count Sheet'!$H$3=Q2313,MOD('Daily Count Sheet'!$I$3,J2313)=R2313),1,""))</f>
        <v/>
      </c>
      <c r="T2313" s="27" t="str">
        <f aca="false">IF(S2313=1,COUNTIF($S$2:S2313,1),"")</f>
        <v/>
      </c>
    </row>
    <row r="2314" customFormat="false" ht="15" hidden="false" customHeight="false" outlineLevel="0" collapsed="false">
      <c r="H2314" s="26"/>
      <c r="I2314" s="27" t="str">
        <f aca="false">IF(A2314="","",IF(H2314&lt;&gt;"",UPPER(TRIM(H2314)),IFERROR(CHOOSE(VALUE(E2314)+1,"A","B","C","D"),IF(OR(LEFT(UPPER(TRIM(E2314)),1)="F",UPPER(TRIM(E2314))="A"),"A",IF(OR(LEFT(UPPER(TRIM(E2314)),1)="M",UPPER(TRIM(E2314))="B"),"B",IF(OR(LEFT(UPPER(TRIM(E2314)),2)="SL",UPPER(TRIM(E2314))="C"),"C",IF(OR(LEFT(UPPER(TRIM(E2314)),1)="D",UPPER(TRIM(E2314))="D"),"D","")))))))</f>
        <v/>
      </c>
      <c r="J2314" s="27" t="str">
        <f aca="false">IF(I2314="","",IF(AND(I2314="D",Settings!$B$6&lt;&gt;"Yes"),"",IFERROR(INDEX(Settings!$C$9:$C$12,MATCH(I2314,Settings!$A$9:$A$12,0)),"")))</f>
        <v/>
      </c>
      <c r="K2314" s="27" t="str">
        <f aca="false">IF(J2314="","",COUNTIF($I$2:I2314,I2314))</f>
        <v/>
      </c>
      <c r="L2314" s="27" t="str">
        <f aca="false">IF(J2314="","",CHOOSE(Q2314+1,"Tue","Wed","Thu","Fri"))</f>
        <v/>
      </c>
      <c r="M2314" s="27" t="str">
        <f aca="false">IF(J2314="","",IF(J2314=1,"Every week",R2314+1&amp;" of "&amp;J2314))</f>
        <v/>
      </c>
      <c r="N2314" s="28" t="str">
        <f aca="false">IF(J2314="","",Settings!$B$4+R2314*7+Q2314)</f>
        <v/>
      </c>
      <c r="O2314" s="28" t="str">
        <f aca="true">IF(J2314="","",N2314+MAX(0,ROUNDUP((TODAY()-N2314)/(J2314*7),0))*J2314*7)</f>
        <v/>
      </c>
      <c r="P2314" s="27" t="str">
        <f aca="false">IF(J2314="","",MOD(K2314-1,J2314*4))</f>
        <v/>
      </c>
      <c r="Q2314" s="27" t="str">
        <f aca="false">IF(J2314="","",MOD(P2314,4))</f>
        <v/>
      </c>
      <c r="R2314" s="27" t="str">
        <f aca="false">IF(J2314="","",INT(P2314/4))</f>
        <v/>
      </c>
      <c r="S2314" s="27" t="str">
        <f aca="false">IF(J2314="","",IF(AND('Daily Count Sheet'!$H$3=Q2314,MOD('Daily Count Sheet'!$I$3,J2314)=R2314),1,""))</f>
        <v/>
      </c>
      <c r="T2314" s="27" t="str">
        <f aca="false">IF(S2314=1,COUNTIF($S$2:S2314,1),"")</f>
        <v/>
      </c>
    </row>
    <row r="2315" customFormat="false" ht="15" hidden="false" customHeight="false" outlineLevel="0" collapsed="false">
      <c r="H2315" s="26"/>
      <c r="I2315" s="27" t="str">
        <f aca="false">IF(A2315="","",IF(H2315&lt;&gt;"",UPPER(TRIM(H2315)),IFERROR(CHOOSE(VALUE(E2315)+1,"A","B","C","D"),IF(OR(LEFT(UPPER(TRIM(E2315)),1)="F",UPPER(TRIM(E2315))="A"),"A",IF(OR(LEFT(UPPER(TRIM(E2315)),1)="M",UPPER(TRIM(E2315))="B"),"B",IF(OR(LEFT(UPPER(TRIM(E2315)),2)="SL",UPPER(TRIM(E2315))="C"),"C",IF(OR(LEFT(UPPER(TRIM(E2315)),1)="D",UPPER(TRIM(E2315))="D"),"D","")))))))</f>
        <v/>
      </c>
      <c r="J2315" s="27" t="str">
        <f aca="false">IF(I2315="","",IF(AND(I2315="D",Settings!$B$6&lt;&gt;"Yes"),"",IFERROR(INDEX(Settings!$C$9:$C$12,MATCH(I2315,Settings!$A$9:$A$12,0)),"")))</f>
        <v/>
      </c>
      <c r="K2315" s="27" t="str">
        <f aca="false">IF(J2315="","",COUNTIF($I$2:I2315,I2315))</f>
        <v/>
      </c>
      <c r="L2315" s="27" t="str">
        <f aca="false">IF(J2315="","",CHOOSE(Q2315+1,"Tue","Wed","Thu","Fri"))</f>
        <v/>
      </c>
      <c r="M2315" s="27" t="str">
        <f aca="false">IF(J2315="","",IF(J2315=1,"Every week",R2315+1&amp;" of "&amp;J2315))</f>
        <v/>
      </c>
      <c r="N2315" s="28" t="str">
        <f aca="false">IF(J2315="","",Settings!$B$4+R2315*7+Q2315)</f>
        <v/>
      </c>
      <c r="O2315" s="28" t="str">
        <f aca="true">IF(J2315="","",N2315+MAX(0,ROUNDUP((TODAY()-N2315)/(J2315*7),0))*J2315*7)</f>
        <v/>
      </c>
      <c r="P2315" s="27" t="str">
        <f aca="false">IF(J2315="","",MOD(K2315-1,J2315*4))</f>
        <v/>
      </c>
      <c r="Q2315" s="27" t="str">
        <f aca="false">IF(J2315="","",MOD(P2315,4))</f>
        <v/>
      </c>
      <c r="R2315" s="27" t="str">
        <f aca="false">IF(J2315="","",INT(P2315/4))</f>
        <v/>
      </c>
      <c r="S2315" s="27" t="str">
        <f aca="false">IF(J2315="","",IF(AND('Daily Count Sheet'!$H$3=Q2315,MOD('Daily Count Sheet'!$I$3,J2315)=R2315),1,""))</f>
        <v/>
      </c>
      <c r="T2315" s="27" t="str">
        <f aca="false">IF(S2315=1,COUNTIF($S$2:S2315,1),"")</f>
        <v/>
      </c>
    </row>
    <row r="2316" customFormat="false" ht="15" hidden="false" customHeight="false" outlineLevel="0" collapsed="false">
      <c r="H2316" s="26"/>
      <c r="I2316" s="27" t="str">
        <f aca="false">IF(A2316="","",IF(H2316&lt;&gt;"",UPPER(TRIM(H2316)),IFERROR(CHOOSE(VALUE(E2316)+1,"A","B","C","D"),IF(OR(LEFT(UPPER(TRIM(E2316)),1)="F",UPPER(TRIM(E2316))="A"),"A",IF(OR(LEFT(UPPER(TRIM(E2316)),1)="M",UPPER(TRIM(E2316))="B"),"B",IF(OR(LEFT(UPPER(TRIM(E2316)),2)="SL",UPPER(TRIM(E2316))="C"),"C",IF(OR(LEFT(UPPER(TRIM(E2316)),1)="D",UPPER(TRIM(E2316))="D"),"D","")))))))</f>
        <v/>
      </c>
      <c r="J2316" s="27" t="str">
        <f aca="false">IF(I2316="","",IF(AND(I2316="D",Settings!$B$6&lt;&gt;"Yes"),"",IFERROR(INDEX(Settings!$C$9:$C$12,MATCH(I2316,Settings!$A$9:$A$12,0)),"")))</f>
        <v/>
      </c>
      <c r="K2316" s="27" t="str">
        <f aca="false">IF(J2316="","",COUNTIF($I$2:I2316,I2316))</f>
        <v/>
      </c>
      <c r="L2316" s="27" t="str">
        <f aca="false">IF(J2316="","",CHOOSE(Q2316+1,"Tue","Wed","Thu","Fri"))</f>
        <v/>
      </c>
      <c r="M2316" s="27" t="str">
        <f aca="false">IF(J2316="","",IF(J2316=1,"Every week",R2316+1&amp;" of "&amp;J2316))</f>
        <v/>
      </c>
      <c r="N2316" s="28" t="str">
        <f aca="false">IF(J2316="","",Settings!$B$4+R2316*7+Q2316)</f>
        <v/>
      </c>
      <c r="O2316" s="28" t="str">
        <f aca="true">IF(J2316="","",N2316+MAX(0,ROUNDUP((TODAY()-N2316)/(J2316*7),0))*J2316*7)</f>
        <v/>
      </c>
      <c r="P2316" s="27" t="str">
        <f aca="false">IF(J2316="","",MOD(K2316-1,J2316*4))</f>
        <v/>
      </c>
      <c r="Q2316" s="27" t="str">
        <f aca="false">IF(J2316="","",MOD(P2316,4))</f>
        <v/>
      </c>
      <c r="R2316" s="27" t="str">
        <f aca="false">IF(J2316="","",INT(P2316/4))</f>
        <v/>
      </c>
      <c r="S2316" s="27" t="str">
        <f aca="false">IF(J2316="","",IF(AND('Daily Count Sheet'!$H$3=Q2316,MOD('Daily Count Sheet'!$I$3,J2316)=R2316),1,""))</f>
        <v/>
      </c>
      <c r="T2316" s="27" t="str">
        <f aca="false">IF(S2316=1,COUNTIF($S$2:S2316,1),"")</f>
        <v/>
      </c>
    </row>
    <row r="2317" customFormat="false" ht="15" hidden="false" customHeight="false" outlineLevel="0" collapsed="false">
      <c r="H2317" s="26"/>
      <c r="I2317" s="27" t="str">
        <f aca="false">IF(A2317="","",IF(H2317&lt;&gt;"",UPPER(TRIM(H2317)),IFERROR(CHOOSE(VALUE(E2317)+1,"A","B","C","D"),IF(OR(LEFT(UPPER(TRIM(E2317)),1)="F",UPPER(TRIM(E2317))="A"),"A",IF(OR(LEFT(UPPER(TRIM(E2317)),1)="M",UPPER(TRIM(E2317))="B"),"B",IF(OR(LEFT(UPPER(TRIM(E2317)),2)="SL",UPPER(TRIM(E2317))="C"),"C",IF(OR(LEFT(UPPER(TRIM(E2317)),1)="D",UPPER(TRIM(E2317))="D"),"D","")))))))</f>
        <v/>
      </c>
      <c r="J2317" s="27" t="str">
        <f aca="false">IF(I2317="","",IF(AND(I2317="D",Settings!$B$6&lt;&gt;"Yes"),"",IFERROR(INDEX(Settings!$C$9:$C$12,MATCH(I2317,Settings!$A$9:$A$12,0)),"")))</f>
        <v/>
      </c>
      <c r="K2317" s="27" t="str">
        <f aca="false">IF(J2317="","",COUNTIF($I$2:I2317,I2317))</f>
        <v/>
      </c>
      <c r="L2317" s="27" t="str">
        <f aca="false">IF(J2317="","",CHOOSE(Q2317+1,"Tue","Wed","Thu","Fri"))</f>
        <v/>
      </c>
      <c r="M2317" s="27" t="str">
        <f aca="false">IF(J2317="","",IF(J2317=1,"Every week",R2317+1&amp;" of "&amp;J2317))</f>
        <v/>
      </c>
      <c r="N2317" s="28" t="str">
        <f aca="false">IF(J2317="","",Settings!$B$4+R2317*7+Q2317)</f>
        <v/>
      </c>
      <c r="O2317" s="28" t="str">
        <f aca="true">IF(J2317="","",N2317+MAX(0,ROUNDUP((TODAY()-N2317)/(J2317*7),0))*J2317*7)</f>
        <v/>
      </c>
      <c r="P2317" s="27" t="str">
        <f aca="false">IF(J2317="","",MOD(K2317-1,J2317*4))</f>
        <v/>
      </c>
      <c r="Q2317" s="27" t="str">
        <f aca="false">IF(J2317="","",MOD(P2317,4))</f>
        <v/>
      </c>
      <c r="R2317" s="27" t="str">
        <f aca="false">IF(J2317="","",INT(P2317/4))</f>
        <v/>
      </c>
      <c r="S2317" s="27" t="str">
        <f aca="false">IF(J2317="","",IF(AND('Daily Count Sheet'!$H$3=Q2317,MOD('Daily Count Sheet'!$I$3,J2317)=R2317),1,""))</f>
        <v/>
      </c>
      <c r="T2317" s="27" t="str">
        <f aca="false">IF(S2317=1,COUNTIF($S$2:S2317,1),"")</f>
        <v/>
      </c>
    </row>
    <row r="2318" customFormat="false" ht="15" hidden="false" customHeight="false" outlineLevel="0" collapsed="false">
      <c r="H2318" s="26"/>
      <c r="I2318" s="27" t="str">
        <f aca="false">IF(A2318="","",IF(H2318&lt;&gt;"",UPPER(TRIM(H2318)),IFERROR(CHOOSE(VALUE(E2318)+1,"A","B","C","D"),IF(OR(LEFT(UPPER(TRIM(E2318)),1)="F",UPPER(TRIM(E2318))="A"),"A",IF(OR(LEFT(UPPER(TRIM(E2318)),1)="M",UPPER(TRIM(E2318))="B"),"B",IF(OR(LEFT(UPPER(TRIM(E2318)),2)="SL",UPPER(TRIM(E2318))="C"),"C",IF(OR(LEFT(UPPER(TRIM(E2318)),1)="D",UPPER(TRIM(E2318))="D"),"D","")))))))</f>
        <v/>
      </c>
      <c r="J2318" s="27" t="str">
        <f aca="false">IF(I2318="","",IF(AND(I2318="D",Settings!$B$6&lt;&gt;"Yes"),"",IFERROR(INDEX(Settings!$C$9:$C$12,MATCH(I2318,Settings!$A$9:$A$12,0)),"")))</f>
        <v/>
      </c>
      <c r="K2318" s="27" t="str">
        <f aca="false">IF(J2318="","",COUNTIF($I$2:I2318,I2318))</f>
        <v/>
      </c>
      <c r="L2318" s="27" t="str">
        <f aca="false">IF(J2318="","",CHOOSE(Q2318+1,"Tue","Wed","Thu","Fri"))</f>
        <v/>
      </c>
      <c r="M2318" s="27" t="str">
        <f aca="false">IF(J2318="","",IF(J2318=1,"Every week",R2318+1&amp;" of "&amp;J2318))</f>
        <v/>
      </c>
      <c r="N2318" s="28" t="str">
        <f aca="false">IF(J2318="","",Settings!$B$4+R2318*7+Q2318)</f>
        <v/>
      </c>
      <c r="O2318" s="28" t="str">
        <f aca="true">IF(J2318="","",N2318+MAX(0,ROUNDUP((TODAY()-N2318)/(J2318*7),0))*J2318*7)</f>
        <v/>
      </c>
      <c r="P2318" s="27" t="str">
        <f aca="false">IF(J2318="","",MOD(K2318-1,J2318*4))</f>
        <v/>
      </c>
      <c r="Q2318" s="27" t="str">
        <f aca="false">IF(J2318="","",MOD(P2318,4))</f>
        <v/>
      </c>
      <c r="R2318" s="27" t="str">
        <f aca="false">IF(J2318="","",INT(P2318/4))</f>
        <v/>
      </c>
      <c r="S2318" s="27" t="str">
        <f aca="false">IF(J2318="","",IF(AND('Daily Count Sheet'!$H$3=Q2318,MOD('Daily Count Sheet'!$I$3,J2318)=R2318),1,""))</f>
        <v/>
      </c>
      <c r="T2318" s="27" t="str">
        <f aca="false">IF(S2318=1,COUNTIF($S$2:S2318,1),"")</f>
        <v/>
      </c>
    </row>
    <row r="2319" customFormat="false" ht="15" hidden="false" customHeight="false" outlineLevel="0" collapsed="false">
      <c r="H2319" s="26"/>
      <c r="I2319" s="27" t="str">
        <f aca="false">IF(A2319="","",IF(H2319&lt;&gt;"",UPPER(TRIM(H2319)),IFERROR(CHOOSE(VALUE(E2319)+1,"A","B","C","D"),IF(OR(LEFT(UPPER(TRIM(E2319)),1)="F",UPPER(TRIM(E2319))="A"),"A",IF(OR(LEFT(UPPER(TRIM(E2319)),1)="M",UPPER(TRIM(E2319))="B"),"B",IF(OR(LEFT(UPPER(TRIM(E2319)),2)="SL",UPPER(TRIM(E2319))="C"),"C",IF(OR(LEFT(UPPER(TRIM(E2319)),1)="D",UPPER(TRIM(E2319))="D"),"D","")))))))</f>
        <v/>
      </c>
      <c r="J2319" s="27" t="str">
        <f aca="false">IF(I2319="","",IF(AND(I2319="D",Settings!$B$6&lt;&gt;"Yes"),"",IFERROR(INDEX(Settings!$C$9:$C$12,MATCH(I2319,Settings!$A$9:$A$12,0)),"")))</f>
        <v/>
      </c>
      <c r="K2319" s="27" t="str">
        <f aca="false">IF(J2319="","",COUNTIF($I$2:I2319,I2319))</f>
        <v/>
      </c>
      <c r="L2319" s="27" t="str">
        <f aca="false">IF(J2319="","",CHOOSE(Q2319+1,"Tue","Wed","Thu","Fri"))</f>
        <v/>
      </c>
      <c r="M2319" s="27" t="str">
        <f aca="false">IF(J2319="","",IF(J2319=1,"Every week",R2319+1&amp;" of "&amp;J2319))</f>
        <v/>
      </c>
      <c r="N2319" s="28" t="str">
        <f aca="false">IF(J2319="","",Settings!$B$4+R2319*7+Q2319)</f>
        <v/>
      </c>
      <c r="O2319" s="28" t="str">
        <f aca="true">IF(J2319="","",N2319+MAX(0,ROUNDUP((TODAY()-N2319)/(J2319*7),0))*J2319*7)</f>
        <v/>
      </c>
      <c r="P2319" s="27" t="str">
        <f aca="false">IF(J2319="","",MOD(K2319-1,J2319*4))</f>
        <v/>
      </c>
      <c r="Q2319" s="27" t="str">
        <f aca="false">IF(J2319="","",MOD(P2319,4))</f>
        <v/>
      </c>
      <c r="R2319" s="27" t="str">
        <f aca="false">IF(J2319="","",INT(P2319/4))</f>
        <v/>
      </c>
      <c r="S2319" s="27" t="str">
        <f aca="false">IF(J2319="","",IF(AND('Daily Count Sheet'!$H$3=Q2319,MOD('Daily Count Sheet'!$I$3,J2319)=R2319),1,""))</f>
        <v/>
      </c>
      <c r="T2319" s="27" t="str">
        <f aca="false">IF(S2319=1,COUNTIF($S$2:S2319,1),"")</f>
        <v/>
      </c>
    </row>
    <row r="2320" customFormat="false" ht="15" hidden="false" customHeight="false" outlineLevel="0" collapsed="false">
      <c r="H2320" s="26"/>
      <c r="I2320" s="27" t="str">
        <f aca="false">IF(A2320="","",IF(H2320&lt;&gt;"",UPPER(TRIM(H2320)),IFERROR(CHOOSE(VALUE(E2320)+1,"A","B","C","D"),IF(OR(LEFT(UPPER(TRIM(E2320)),1)="F",UPPER(TRIM(E2320))="A"),"A",IF(OR(LEFT(UPPER(TRIM(E2320)),1)="M",UPPER(TRIM(E2320))="B"),"B",IF(OR(LEFT(UPPER(TRIM(E2320)),2)="SL",UPPER(TRIM(E2320))="C"),"C",IF(OR(LEFT(UPPER(TRIM(E2320)),1)="D",UPPER(TRIM(E2320))="D"),"D","")))))))</f>
        <v/>
      </c>
      <c r="J2320" s="27" t="str">
        <f aca="false">IF(I2320="","",IF(AND(I2320="D",Settings!$B$6&lt;&gt;"Yes"),"",IFERROR(INDEX(Settings!$C$9:$C$12,MATCH(I2320,Settings!$A$9:$A$12,0)),"")))</f>
        <v/>
      </c>
      <c r="K2320" s="27" t="str">
        <f aca="false">IF(J2320="","",COUNTIF($I$2:I2320,I2320))</f>
        <v/>
      </c>
      <c r="L2320" s="27" t="str">
        <f aca="false">IF(J2320="","",CHOOSE(Q2320+1,"Tue","Wed","Thu","Fri"))</f>
        <v/>
      </c>
      <c r="M2320" s="27" t="str">
        <f aca="false">IF(J2320="","",IF(J2320=1,"Every week",R2320+1&amp;" of "&amp;J2320))</f>
        <v/>
      </c>
      <c r="N2320" s="28" t="str">
        <f aca="false">IF(J2320="","",Settings!$B$4+R2320*7+Q2320)</f>
        <v/>
      </c>
      <c r="O2320" s="28" t="str">
        <f aca="true">IF(J2320="","",N2320+MAX(0,ROUNDUP((TODAY()-N2320)/(J2320*7),0))*J2320*7)</f>
        <v/>
      </c>
      <c r="P2320" s="27" t="str">
        <f aca="false">IF(J2320="","",MOD(K2320-1,J2320*4))</f>
        <v/>
      </c>
      <c r="Q2320" s="27" t="str">
        <f aca="false">IF(J2320="","",MOD(P2320,4))</f>
        <v/>
      </c>
      <c r="R2320" s="27" t="str">
        <f aca="false">IF(J2320="","",INT(P2320/4))</f>
        <v/>
      </c>
      <c r="S2320" s="27" t="str">
        <f aca="false">IF(J2320="","",IF(AND('Daily Count Sheet'!$H$3=Q2320,MOD('Daily Count Sheet'!$I$3,J2320)=R2320),1,""))</f>
        <v/>
      </c>
      <c r="T2320" s="27" t="str">
        <f aca="false">IF(S2320=1,COUNTIF($S$2:S2320,1),"")</f>
        <v/>
      </c>
    </row>
    <row r="2321" customFormat="false" ht="15" hidden="false" customHeight="false" outlineLevel="0" collapsed="false">
      <c r="H2321" s="26"/>
      <c r="I2321" s="27" t="str">
        <f aca="false">IF(A2321="","",IF(H2321&lt;&gt;"",UPPER(TRIM(H2321)),IFERROR(CHOOSE(VALUE(E2321)+1,"A","B","C","D"),IF(OR(LEFT(UPPER(TRIM(E2321)),1)="F",UPPER(TRIM(E2321))="A"),"A",IF(OR(LEFT(UPPER(TRIM(E2321)),1)="M",UPPER(TRIM(E2321))="B"),"B",IF(OR(LEFT(UPPER(TRIM(E2321)),2)="SL",UPPER(TRIM(E2321))="C"),"C",IF(OR(LEFT(UPPER(TRIM(E2321)),1)="D",UPPER(TRIM(E2321))="D"),"D","")))))))</f>
        <v/>
      </c>
      <c r="J2321" s="27" t="str">
        <f aca="false">IF(I2321="","",IF(AND(I2321="D",Settings!$B$6&lt;&gt;"Yes"),"",IFERROR(INDEX(Settings!$C$9:$C$12,MATCH(I2321,Settings!$A$9:$A$12,0)),"")))</f>
        <v/>
      </c>
      <c r="K2321" s="27" t="str">
        <f aca="false">IF(J2321="","",COUNTIF($I$2:I2321,I2321))</f>
        <v/>
      </c>
      <c r="L2321" s="27" t="str">
        <f aca="false">IF(J2321="","",CHOOSE(Q2321+1,"Tue","Wed","Thu","Fri"))</f>
        <v/>
      </c>
      <c r="M2321" s="27" t="str">
        <f aca="false">IF(J2321="","",IF(J2321=1,"Every week",R2321+1&amp;" of "&amp;J2321))</f>
        <v/>
      </c>
      <c r="N2321" s="28" t="str">
        <f aca="false">IF(J2321="","",Settings!$B$4+R2321*7+Q2321)</f>
        <v/>
      </c>
      <c r="O2321" s="28" t="str">
        <f aca="true">IF(J2321="","",N2321+MAX(0,ROUNDUP((TODAY()-N2321)/(J2321*7),0))*J2321*7)</f>
        <v/>
      </c>
      <c r="P2321" s="27" t="str">
        <f aca="false">IF(J2321="","",MOD(K2321-1,J2321*4))</f>
        <v/>
      </c>
      <c r="Q2321" s="27" t="str">
        <f aca="false">IF(J2321="","",MOD(P2321,4))</f>
        <v/>
      </c>
      <c r="R2321" s="27" t="str">
        <f aca="false">IF(J2321="","",INT(P2321/4))</f>
        <v/>
      </c>
      <c r="S2321" s="27" t="str">
        <f aca="false">IF(J2321="","",IF(AND('Daily Count Sheet'!$H$3=Q2321,MOD('Daily Count Sheet'!$I$3,J2321)=R2321),1,""))</f>
        <v/>
      </c>
      <c r="T2321" s="27" t="str">
        <f aca="false">IF(S2321=1,COUNTIF($S$2:S2321,1),"")</f>
        <v/>
      </c>
    </row>
    <row r="2322" customFormat="false" ht="15" hidden="false" customHeight="false" outlineLevel="0" collapsed="false">
      <c r="H2322" s="26"/>
      <c r="I2322" s="27" t="str">
        <f aca="false">IF(A2322="","",IF(H2322&lt;&gt;"",UPPER(TRIM(H2322)),IFERROR(CHOOSE(VALUE(E2322)+1,"A","B","C","D"),IF(OR(LEFT(UPPER(TRIM(E2322)),1)="F",UPPER(TRIM(E2322))="A"),"A",IF(OR(LEFT(UPPER(TRIM(E2322)),1)="M",UPPER(TRIM(E2322))="B"),"B",IF(OR(LEFT(UPPER(TRIM(E2322)),2)="SL",UPPER(TRIM(E2322))="C"),"C",IF(OR(LEFT(UPPER(TRIM(E2322)),1)="D",UPPER(TRIM(E2322))="D"),"D","")))))))</f>
        <v/>
      </c>
      <c r="J2322" s="27" t="str">
        <f aca="false">IF(I2322="","",IF(AND(I2322="D",Settings!$B$6&lt;&gt;"Yes"),"",IFERROR(INDEX(Settings!$C$9:$C$12,MATCH(I2322,Settings!$A$9:$A$12,0)),"")))</f>
        <v/>
      </c>
      <c r="K2322" s="27" t="str">
        <f aca="false">IF(J2322="","",COUNTIF($I$2:I2322,I2322))</f>
        <v/>
      </c>
      <c r="L2322" s="27" t="str">
        <f aca="false">IF(J2322="","",CHOOSE(Q2322+1,"Tue","Wed","Thu","Fri"))</f>
        <v/>
      </c>
      <c r="M2322" s="27" t="str">
        <f aca="false">IF(J2322="","",IF(J2322=1,"Every week",R2322+1&amp;" of "&amp;J2322))</f>
        <v/>
      </c>
      <c r="N2322" s="28" t="str">
        <f aca="false">IF(J2322="","",Settings!$B$4+R2322*7+Q2322)</f>
        <v/>
      </c>
      <c r="O2322" s="28" t="str">
        <f aca="true">IF(J2322="","",N2322+MAX(0,ROUNDUP((TODAY()-N2322)/(J2322*7),0))*J2322*7)</f>
        <v/>
      </c>
      <c r="P2322" s="27" t="str">
        <f aca="false">IF(J2322="","",MOD(K2322-1,J2322*4))</f>
        <v/>
      </c>
      <c r="Q2322" s="27" t="str">
        <f aca="false">IF(J2322="","",MOD(P2322,4))</f>
        <v/>
      </c>
      <c r="R2322" s="27" t="str">
        <f aca="false">IF(J2322="","",INT(P2322/4))</f>
        <v/>
      </c>
      <c r="S2322" s="27" t="str">
        <f aca="false">IF(J2322="","",IF(AND('Daily Count Sheet'!$H$3=Q2322,MOD('Daily Count Sheet'!$I$3,J2322)=R2322),1,""))</f>
        <v/>
      </c>
      <c r="T2322" s="27" t="str">
        <f aca="false">IF(S2322=1,COUNTIF($S$2:S2322,1),"")</f>
        <v/>
      </c>
    </row>
    <row r="2323" customFormat="false" ht="15" hidden="false" customHeight="false" outlineLevel="0" collapsed="false">
      <c r="H2323" s="26"/>
      <c r="I2323" s="27" t="str">
        <f aca="false">IF(A2323="","",IF(H2323&lt;&gt;"",UPPER(TRIM(H2323)),IFERROR(CHOOSE(VALUE(E2323)+1,"A","B","C","D"),IF(OR(LEFT(UPPER(TRIM(E2323)),1)="F",UPPER(TRIM(E2323))="A"),"A",IF(OR(LEFT(UPPER(TRIM(E2323)),1)="M",UPPER(TRIM(E2323))="B"),"B",IF(OR(LEFT(UPPER(TRIM(E2323)),2)="SL",UPPER(TRIM(E2323))="C"),"C",IF(OR(LEFT(UPPER(TRIM(E2323)),1)="D",UPPER(TRIM(E2323))="D"),"D","")))))))</f>
        <v/>
      </c>
      <c r="J2323" s="27" t="str">
        <f aca="false">IF(I2323="","",IF(AND(I2323="D",Settings!$B$6&lt;&gt;"Yes"),"",IFERROR(INDEX(Settings!$C$9:$C$12,MATCH(I2323,Settings!$A$9:$A$12,0)),"")))</f>
        <v/>
      </c>
      <c r="K2323" s="27" t="str">
        <f aca="false">IF(J2323="","",COUNTIF($I$2:I2323,I2323))</f>
        <v/>
      </c>
      <c r="L2323" s="27" t="str">
        <f aca="false">IF(J2323="","",CHOOSE(Q2323+1,"Tue","Wed","Thu","Fri"))</f>
        <v/>
      </c>
      <c r="M2323" s="27" t="str">
        <f aca="false">IF(J2323="","",IF(J2323=1,"Every week",R2323+1&amp;" of "&amp;J2323))</f>
        <v/>
      </c>
      <c r="N2323" s="28" t="str">
        <f aca="false">IF(J2323="","",Settings!$B$4+R2323*7+Q2323)</f>
        <v/>
      </c>
      <c r="O2323" s="28" t="str">
        <f aca="true">IF(J2323="","",N2323+MAX(0,ROUNDUP((TODAY()-N2323)/(J2323*7),0))*J2323*7)</f>
        <v/>
      </c>
      <c r="P2323" s="27" t="str">
        <f aca="false">IF(J2323="","",MOD(K2323-1,J2323*4))</f>
        <v/>
      </c>
      <c r="Q2323" s="27" t="str">
        <f aca="false">IF(J2323="","",MOD(P2323,4))</f>
        <v/>
      </c>
      <c r="R2323" s="27" t="str">
        <f aca="false">IF(J2323="","",INT(P2323/4))</f>
        <v/>
      </c>
      <c r="S2323" s="27" t="str">
        <f aca="false">IF(J2323="","",IF(AND('Daily Count Sheet'!$H$3=Q2323,MOD('Daily Count Sheet'!$I$3,J2323)=R2323),1,""))</f>
        <v/>
      </c>
      <c r="T2323" s="27" t="str">
        <f aca="false">IF(S2323=1,COUNTIF($S$2:S2323,1),"")</f>
        <v/>
      </c>
    </row>
    <row r="2324" customFormat="false" ht="15" hidden="false" customHeight="false" outlineLevel="0" collapsed="false">
      <c r="H2324" s="26"/>
      <c r="I2324" s="27" t="str">
        <f aca="false">IF(A2324="","",IF(H2324&lt;&gt;"",UPPER(TRIM(H2324)),IFERROR(CHOOSE(VALUE(E2324)+1,"A","B","C","D"),IF(OR(LEFT(UPPER(TRIM(E2324)),1)="F",UPPER(TRIM(E2324))="A"),"A",IF(OR(LEFT(UPPER(TRIM(E2324)),1)="M",UPPER(TRIM(E2324))="B"),"B",IF(OR(LEFT(UPPER(TRIM(E2324)),2)="SL",UPPER(TRIM(E2324))="C"),"C",IF(OR(LEFT(UPPER(TRIM(E2324)),1)="D",UPPER(TRIM(E2324))="D"),"D","")))))))</f>
        <v/>
      </c>
      <c r="J2324" s="27" t="str">
        <f aca="false">IF(I2324="","",IF(AND(I2324="D",Settings!$B$6&lt;&gt;"Yes"),"",IFERROR(INDEX(Settings!$C$9:$C$12,MATCH(I2324,Settings!$A$9:$A$12,0)),"")))</f>
        <v/>
      </c>
      <c r="K2324" s="27" t="str">
        <f aca="false">IF(J2324="","",COUNTIF($I$2:I2324,I2324))</f>
        <v/>
      </c>
      <c r="L2324" s="27" t="str">
        <f aca="false">IF(J2324="","",CHOOSE(Q2324+1,"Tue","Wed","Thu","Fri"))</f>
        <v/>
      </c>
      <c r="M2324" s="27" t="str">
        <f aca="false">IF(J2324="","",IF(J2324=1,"Every week",R2324+1&amp;" of "&amp;J2324))</f>
        <v/>
      </c>
      <c r="N2324" s="28" t="str">
        <f aca="false">IF(J2324="","",Settings!$B$4+R2324*7+Q2324)</f>
        <v/>
      </c>
      <c r="O2324" s="28" t="str">
        <f aca="true">IF(J2324="","",N2324+MAX(0,ROUNDUP((TODAY()-N2324)/(J2324*7),0))*J2324*7)</f>
        <v/>
      </c>
      <c r="P2324" s="27" t="str">
        <f aca="false">IF(J2324="","",MOD(K2324-1,J2324*4))</f>
        <v/>
      </c>
      <c r="Q2324" s="27" t="str">
        <f aca="false">IF(J2324="","",MOD(P2324,4))</f>
        <v/>
      </c>
      <c r="R2324" s="27" t="str">
        <f aca="false">IF(J2324="","",INT(P2324/4))</f>
        <v/>
      </c>
      <c r="S2324" s="27" t="str">
        <f aca="false">IF(J2324="","",IF(AND('Daily Count Sheet'!$H$3=Q2324,MOD('Daily Count Sheet'!$I$3,J2324)=R2324),1,""))</f>
        <v/>
      </c>
      <c r="T2324" s="27" t="str">
        <f aca="false">IF(S2324=1,COUNTIF($S$2:S2324,1),"")</f>
        <v/>
      </c>
    </row>
    <row r="2325" customFormat="false" ht="15" hidden="false" customHeight="false" outlineLevel="0" collapsed="false">
      <c r="H2325" s="26"/>
      <c r="I2325" s="27" t="str">
        <f aca="false">IF(A2325="","",IF(H2325&lt;&gt;"",UPPER(TRIM(H2325)),IFERROR(CHOOSE(VALUE(E2325)+1,"A","B","C","D"),IF(OR(LEFT(UPPER(TRIM(E2325)),1)="F",UPPER(TRIM(E2325))="A"),"A",IF(OR(LEFT(UPPER(TRIM(E2325)),1)="M",UPPER(TRIM(E2325))="B"),"B",IF(OR(LEFT(UPPER(TRIM(E2325)),2)="SL",UPPER(TRIM(E2325))="C"),"C",IF(OR(LEFT(UPPER(TRIM(E2325)),1)="D",UPPER(TRIM(E2325))="D"),"D","")))))))</f>
        <v/>
      </c>
      <c r="J2325" s="27" t="str">
        <f aca="false">IF(I2325="","",IF(AND(I2325="D",Settings!$B$6&lt;&gt;"Yes"),"",IFERROR(INDEX(Settings!$C$9:$C$12,MATCH(I2325,Settings!$A$9:$A$12,0)),"")))</f>
        <v/>
      </c>
      <c r="K2325" s="27" t="str">
        <f aca="false">IF(J2325="","",COUNTIF($I$2:I2325,I2325))</f>
        <v/>
      </c>
      <c r="L2325" s="27" t="str">
        <f aca="false">IF(J2325="","",CHOOSE(Q2325+1,"Tue","Wed","Thu","Fri"))</f>
        <v/>
      </c>
      <c r="M2325" s="27" t="str">
        <f aca="false">IF(J2325="","",IF(J2325=1,"Every week",R2325+1&amp;" of "&amp;J2325))</f>
        <v/>
      </c>
      <c r="N2325" s="28" t="str">
        <f aca="false">IF(J2325="","",Settings!$B$4+R2325*7+Q2325)</f>
        <v/>
      </c>
      <c r="O2325" s="28" t="str">
        <f aca="true">IF(J2325="","",N2325+MAX(0,ROUNDUP((TODAY()-N2325)/(J2325*7),0))*J2325*7)</f>
        <v/>
      </c>
      <c r="P2325" s="27" t="str">
        <f aca="false">IF(J2325="","",MOD(K2325-1,J2325*4))</f>
        <v/>
      </c>
      <c r="Q2325" s="27" t="str">
        <f aca="false">IF(J2325="","",MOD(P2325,4))</f>
        <v/>
      </c>
      <c r="R2325" s="27" t="str">
        <f aca="false">IF(J2325="","",INT(P2325/4))</f>
        <v/>
      </c>
      <c r="S2325" s="27" t="str">
        <f aca="false">IF(J2325="","",IF(AND('Daily Count Sheet'!$H$3=Q2325,MOD('Daily Count Sheet'!$I$3,J2325)=R2325),1,""))</f>
        <v/>
      </c>
      <c r="T2325" s="27" t="str">
        <f aca="false">IF(S2325=1,COUNTIF($S$2:S2325,1),"")</f>
        <v/>
      </c>
    </row>
    <row r="2326" customFormat="false" ht="15" hidden="false" customHeight="false" outlineLevel="0" collapsed="false">
      <c r="H2326" s="26"/>
      <c r="I2326" s="27" t="str">
        <f aca="false">IF(A2326="","",IF(H2326&lt;&gt;"",UPPER(TRIM(H2326)),IFERROR(CHOOSE(VALUE(E2326)+1,"A","B","C","D"),IF(OR(LEFT(UPPER(TRIM(E2326)),1)="F",UPPER(TRIM(E2326))="A"),"A",IF(OR(LEFT(UPPER(TRIM(E2326)),1)="M",UPPER(TRIM(E2326))="B"),"B",IF(OR(LEFT(UPPER(TRIM(E2326)),2)="SL",UPPER(TRIM(E2326))="C"),"C",IF(OR(LEFT(UPPER(TRIM(E2326)),1)="D",UPPER(TRIM(E2326))="D"),"D","")))))))</f>
        <v/>
      </c>
      <c r="J2326" s="27" t="str">
        <f aca="false">IF(I2326="","",IF(AND(I2326="D",Settings!$B$6&lt;&gt;"Yes"),"",IFERROR(INDEX(Settings!$C$9:$C$12,MATCH(I2326,Settings!$A$9:$A$12,0)),"")))</f>
        <v/>
      </c>
      <c r="K2326" s="27" t="str">
        <f aca="false">IF(J2326="","",COUNTIF($I$2:I2326,I2326))</f>
        <v/>
      </c>
      <c r="L2326" s="27" t="str">
        <f aca="false">IF(J2326="","",CHOOSE(Q2326+1,"Tue","Wed","Thu","Fri"))</f>
        <v/>
      </c>
      <c r="M2326" s="27" t="str">
        <f aca="false">IF(J2326="","",IF(J2326=1,"Every week",R2326+1&amp;" of "&amp;J2326))</f>
        <v/>
      </c>
      <c r="N2326" s="28" t="str">
        <f aca="false">IF(J2326="","",Settings!$B$4+R2326*7+Q2326)</f>
        <v/>
      </c>
      <c r="O2326" s="28" t="str">
        <f aca="true">IF(J2326="","",N2326+MAX(0,ROUNDUP((TODAY()-N2326)/(J2326*7),0))*J2326*7)</f>
        <v/>
      </c>
      <c r="P2326" s="27" t="str">
        <f aca="false">IF(J2326="","",MOD(K2326-1,J2326*4))</f>
        <v/>
      </c>
      <c r="Q2326" s="27" t="str">
        <f aca="false">IF(J2326="","",MOD(P2326,4))</f>
        <v/>
      </c>
      <c r="R2326" s="27" t="str">
        <f aca="false">IF(J2326="","",INT(P2326/4))</f>
        <v/>
      </c>
      <c r="S2326" s="27" t="str">
        <f aca="false">IF(J2326="","",IF(AND('Daily Count Sheet'!$H$3=Q2326,MOD('Daily Count Sheet'!$I$3,J2326)=R2326),1,""))</f>
        <v/>
      </c>
      <c r="T2326" s="27" t="str">
        <f aca="false">IF(S2326=1,COUNTIF($S$2:S2326,1),"")</f>
        <v/>
      </c>
    </row>
    <row r="2327" customFormat="false" ht="15" hidden="false" customHeight="false" outlineLevel="0" collapsed="false">
      <c r="H2327" s="26"/>
      <c r="I2327" s="27" t="str">
        <f aca="false">IF(A2327="","",IF(H2327&lt;&gt;"",UPPER(TRIM(H2327)),IFERROR(CHOOSE(VALUE(E2327)+1,"A","B","C","D"),IF(OR(LEFT(UPPER(TRIM(E2327)),1)="F",UPPER(TRIM(E2327))="A"),"A",IF(OR(LEFT(UPPER(TRIM(E2327)),1)="M",UPPER(TRIM(E2327))="B"),"B",IF(OR(LEFT(UPPER(TRIM(E2327)),2)="SL",UPPER(TRIM(E2327))="C"),"C",IF(OR(LEFT(UPPER(TRIM(E2327)),1)="D",UPPER(TRIM(E2327))="D"),"D","")))))))</f>
        <v/>
      </c>
      <c r="J2327" s="27" t="str">
        <f aca="false">IF(I2327="","",IF(AND(I2327="D",Settings!$B$6&lt;&gt;"Yes"),"",IFERROR(INDEX(Settings!$C$9:$C$12,MATCH(I2327,Settings!$A$9:$A$12,0)),"")))</f>
        <v/>
      </c>
      <c r="K2327" s="27" t="str">
        <f aca="false">IF(J2327="","",COUNTIF($I$2:I2327,I2327))</f>
        <v/>
      </c>
      <c r="L2327" s="27" t="str">
        <f aca="false">IF(J2327="","",CHOOSE(Q2327+1,"Tue","Wed","Thu","Fri"))</f>
        <v/>
      </c>
      <c r="M2327" s="27" t="str">
        <f aca="false">IF(J2327="","",IF(J2327=1,"Every week",R2327+1&amp;" of "&amp;J2327))</f>
        <v/>
      </c>
      <c r="N2327" s="28" t="str">
        <f aca="false">IF(J2327="","",Settings!$B$4+R2327*7+Q2327)</f>
        <v/>
      </c>
      <c r="O2327" s="28" t="str">
        <f aca="true">IF(J2327="","",N2327+MAX(0,ROUNDUP((TODAY()-N2327)/(J2327*7),0))*J2327*7)</f>
        <v/>
      </c>
      <c r="P2327" s="27" t="str">
        <f aca="false">IF(J2327="","",MOD(K2327-1,J2327*4))</f>
        <v/>
      </c>
      <c r="Q2327" s="27" t="str">
        <f aca="false">IF(J2327="","",MOD(P2327,4))</f>
        <v/>
      </c>
      <c r="R2327" s="27" t="str">
        <f aca="false">IF(J2327="","",INT(P2327/4))</f>
        <v/>
      </c>
      <c r="S2327" s="27" t="str">
        <f aca="false">IF(J2327="","",IF(AND('Daily Count Sheet'!$H$3=Q2327,MOD('Daily Count Sheet'!$I$3,J2327)=R2327),1,""))</f>
        <v/>
      </c>
      <c r="T2327" s="27" t="str">
        <f aca="false">IF(S2327=1,COUNTIF($S$2:S2327,1),"")</f>
        <v/>
      </c>
    </row>
    <row r="2328" customFormat="false" ht="15" hidden="false" customHeight="false" outlineLevel="0" collapsed="false">
      <c r="H2328" s="26"/>
      <c r="I2328" s="27" t="str">
        <f aca="false">IF(A2328="","",IF(H2328&lt;&gt;"",UPPER(TRIM(H2328)),IFERROR(CHOOSE(VALUE(E2328)+1,"A","B","C","D"),IF(OR(LEFT(UPPER(TRIM(E2328)),1)="F",UPPER(TRIM(E2328))="A"),"A",IF(OR(LEFT(UPPER(TRIM(E2328)),1)="M",UPPER(TRIM(E2328))="B"),"B",IF(OR(LEFT(UPPER(TRIM(E2328)),2)="SL",UPPER(TRIM(E2328))="C"),"C",IF(OR(LEFT(UPPER(TRIM(E2328)),1)="D",UPPER(TRIM(E2328))="D"),"D","")))))))</f>
        <v/>
      </c>
      <c r="J2328" s="27" t="str">
        <f aca="false">IF(I2328="","",IF(AND(I2328="D",Settings!$B$6&lt;&gt;"Yes"),"",IFERROR(INDEX(Settings!$C$9:$C$12,MATCH(I2328,Settings!$A$9:$A$12,0)),"")))</f>
        <v/>
      </c>
      <c r="K2328" s="27" t="str">
        <f aca="false">IF(J2328="","",COUNTIF($I$2:I2328,I2328))</f>
        <v/>
      </c>
      <c r="L2328" s="27" t="str">
        <f aca="false">IF(J2328="","",CHOOSE(Q2328+1,"Tue","Wed","Thu","Fri"))</f>
        <v/>
      </c>
      <c r="M2328" s="27" t="str">
        <f aca="false">IF(J2328="","",IF(J2328=1,"Every week",R2328+1&amp;" of "&amp;J2328))</f>
        <v/>
      </c>
      <c r="N2328" s="28" t="str">
        <f aca="false">IF(J2328="","",Settings!$B$4+R2328*7+Q2328)</f>
        <v/>
      </c>
      <c r="O2328" s="28" t="str">
        <f aca="true">IF(J2328="","",N2328+MAX(0,ROUNDUP((TODAY()-N2328)/(J2328*7),0))*J2328*7)</f>
        <v/>
      </c>
      <c r="P2328" s="27" t="str">
        <f aca="false">IF(J2328="","",MOD(K2328-1,J2328*4))</f>
        <v/>
      </c>
      <c r="Q2328" s="27" t="str">
        <f aca="false">IF(J2328="","",MOD(P2328,4))</f>
        <v/>
      </c>
      <c r="R2328" s="27" t="str">
        <f aca="false">IF(J2328="","",INT(P2328/4))</f>
        <v/>
      </c>
      <c r="S2328" s="27" t="str">
        <f aca="false">IF(J2328="","",IF(AND('Daily Count Sheet'!$H$3=Q2328,MOD('Daily Count Sheet'!$I$3,J2328)=R2328),1,""))</f>
        <v/>
      </c>
      <c r="T2328" s="27" t="str">
        <f aca="false">IF(S2328=1,COUNTIF($S$2:S2328,1),"")</f>
        <v/>
      </c>
    </row>
    <row r="2329" customFormat="false" ht="15" hidden="false" customHeight="false" outlineLevel="0" collapsed="false">
      <c r="H2329" s="26"/>
      <c r="I2329" s="27" t="str">
        <f aca="false">IF(A2329="","",IF(H2329&lt;&gt;"",UPPER(TRIM(H2329)),IFERROR(CHOOSE(VALUE(E2329)+1,"A","B","C","D"),IF(OR(LEFT(UPPER(TRIM(E2329)),1)="F",UPPER(TRIM(E2329))="A"),"A",IF(OR(LEFT(UPPER(TRIM(E2329)),1)="M",UPPER(TRIM(E2329))="B"),"B",IF(OR(LEFT(UPPER(TRIM(E2329)),2)="SL",UPPER(TRIM(E2329))="C"),"C",IF(OR(LEFT(UPPER(TRIM(E2329)),1)="D",UPPER(TRIM(E2329))="D"),"D","")))))))</f>
        <v/>
      </c>
      <c r="J2329" s="27" t="str">
        <f aca="false">IF(I2329="","",IF(AND(I2329="D",Settings!$B$6&lt;&gt;"Yes"),"",IFERROR(INDEX(Settings!$C$9:$C$12,MATCH(I2329,Settings!$A$9:$A$12,0)),"")))</f>
        <v/>
      </c>
      <c r="K2329" s="27" t="str">
        <f aca="false">IF(J2329="","",COUNTIF($I$2:I2329,I2329))</f>
        <v/>
      </c>
      <c r="L2329" s="27" t="str">
        <f aca="false">IF(J2329="","",CHOOSE(Q2329+1,"Tue","Wed","Thu","Fri"))</f>
        <v/>
      </c>
      <c r="M2329" s="27" t="str">
        <f aca="false">IF(J2329="","",IF(J2329=1,"Every week",R2329+1&amp;" of "&amp;J2329))</f>
        <v/>
      </c>
      <c r="N2329" s="28" t="str">
        <f aca="false">IF(J2329="","",Settings!$B$4+R2329*7+Q2329)</f>
        <v/>
      </c>
      <c r="O2329" s="28" t="str">
        <f aca="true">IF(J2329="","",N2329+MAX(0,ROUNDUP((TODAY()-N2329)/(J2329*7),0))*J2329*7)</f>
        <v/>
      </c>
      <c r="P2329" s="27" t="str">
        <f aca="false">IF(J2329="","",MOD(K2329-1,J2329*4))</f>
        <v/>
      </c>
      <c r="Q2329" s="27" t="str">
        <f aca="false">IF(J2329="","",MOD(P2329,4))</f>
        <v/>
      </c>
      <c r="R2329" s="27" t="str">
        <f aca="false">IF(J2329="","",INT(P2329/4))</f>
        <v/>
      </c>
      <c r="S2329" s="27" t="str">
        <f aca="false">IF(J2329="","",IF(AND('Daily Count Sheet'!$H$3=Q2329,MOD('Daily Count Sheet'!$I$3,J2329)=R2329),1,""))</f>
        <v/>
      </c>
      <c r="T2329" s="27" t="str">
        <f aca="false">IF(S2329=1,COUNTIF($S$2:S2329,1),"")</f>
        <v/>
      </c>
    </row>
    <row r="2330" customFormat="false" ht="15" hidden="false" customHeight="false" outlineLevel="0" collapsed="false">
      <c r="H2330" s="26"/>
      <c r="I2330" s="27" t="str">
        <f aca="false">IF(A2330="","",IF(H2330&lt;&gt;"",UPPER(TRIM(H2330)),IFERROR(CHOOSE(VALUE(E2330)+1,"A","B","C","D"),IF(OR(LEFT(UPPER(TRIM(E2330)),1)="F",UPPER(TRIM(E2330))="A"),"A",IF(OR(LEFT(UPPER(TRIM(E2330)),1)="M",UPPER(TRIM(E2330))="B"),"B",IF(OR(LEFT(UPPER(TRIM(E2330)),2)="SL",UPPER(TRIM(E2330))="C"),"C",IF(OR(LEFT(UPPER(TRIM(E2330)),1)="D",UPPER(TRIM(E2330))="D"),"D","")))))))</f>
        <v/>
      </c>
      <c r="J2330" s="27" t="str">
        <f aca="false">IF(I2330="","",IF(AND(I2330="D",Settings!$B$6&lt;&gt;"Yes"),"",IFERROR(INDEX(Settings!$C$9:$C$12,MATCH(I2330,Settings!$A$9:$A$12,0)),"")))</f>
        <v/>
      </c>
      <c r="K2330" s="27" t="str">
        <f aca="false">IF(J2330="","",COUNTIF($I$2:I2330,I2330))</f>
        <v/>
      </c>
      <c r="L2330" s="27" t="str">
        <f aca="false">IF(J2330="","",CHOOSE(Q2330+1,"Tue","Wed","Thu","Fri"))</f>
        <v/>
      </c>
      <c r="M2330" s="27" t="str">
        <f aca="false">IF(J2330="","",IF(J2330=1,"Every week",R2330+1&amp;" of "&amp;J2330))</f>
        <v/>
      </c>
      <c r="N2330" s="28" t="str">
        <f aca="false">IF(J2330="","",Settings!$B$4+R2330*7+Q2330)</f>
        <v/>
      </c>
      <c r="O2330" s="28" t="str">
        <f aca="true">IF(J2330="","",N2330+MAX(0,ROUNDUP((TODAY()-N2330)/(J2330*7),0))*J2330*7)</f>
        <v/>
      </c>
      <c r="P2330" s="27" t="str">
        <f aca="false">IF(J2330="","",MOD(K2330-1,J2330*4))</f>
        <v/>
      </c>
      <c r="Q2330" s="27" t="str">
        <f aca="false">IF(J2330="","",MOD(P2330,4))</f>
        <v/>
      </c>
      <c r="R2330" s="27" t="str">
        <f aca="false">IF(J2330="","",INT(P2330/4))</f>
        <v/>
      </c>
      <c r="S2330" s="27" t="str">
        <f aca="false">IF(J2330="","",IF(AND('Daily Count Sheet'!$H$3=Q2330,MOD('Daily Count Sheet'!$I$3,J2330)=R2330),1,""))</f>
        <v/>
      </c>
      <c r="T2330" s="27" t="str">
        <f aca="false">IF(S2330=1,COUNTIF($S$2:S2330,1),"")</f>
        <v/>
      </c>
    </row>
    <row r="2331" customFormat="false" ht="15" hidden="false" customHeight="false" outlineLevel="0" collapsed="false">
      <c r="H2331" s="26"/>
      <c r="I2331" s="27" t="str">
        <f aca="false">IF(A2331="","",IF(H2331&lt;&gt;"",UPPER(TRIM(H2331)),IFERROR(CHOOSE(VALUE(E2331)+1,"A","B","C","D"),IF(OR(LEFT(UPPER(TRIM(E2331)),1)="F",UPPER(TRIM(E2331))="A"),"A",IF(OR(LEFT(UPPER(TRIM(E2331)),1)="M",UPPER(TRIM(E2331))="B"),"B",IF(OR(LEFT(UPPER(TRIM(E2331)),2)="SL",UPPER(TRIM(E2331))="C"),"C",IF(OR(LEFT(UPPER(TRIM(E2331)),1)="D",UPPER(TRIM(E2331))="D"),"D","")))))))</f>
        <v/>
      </c>
      <c r="J2331" s="27" t="str">
        <f aca="false">IF(I2331="","",IF(AND(I2331="D",Settings!$B$6&lt;&gt;"Yes"),"",IFERROR(INDEX(Settings!$C$9:$C$12,MATCH(I2331,Settings!$A$9:$A$12,0)),"")))</f>
        <v/>
      </c>
      <c r="K2331" s="27" t="str">
        <f aca="false">IF(J2331="","",COUNTIF($I$2:I2331,I2331))</f>
        <v/>
      </c>
      <c r="L2331" s="27" t="str">
        <f aca="false">IF(J2331="","",CHOOSE(Q2331+1,"Tue","Wed","Thu","Fri"))</f>
        <v/>
      </c>
      <c r="M2331" s="27" t="str">
        <f aca="false">IF(J2331="","",IF(J2331=1,"Every week",R2331+1&amp;" of "&amp;J2331))</f>
        <v/>
      </c>
      <c r="N2331" s="28" t="str">
        <f aca="false">IF(J2331="","",Settings!$B$4+R2331*7+Q2331)</f>
        <v/>
      </c>
      <c r="O2331" s="28" t="str">
        <f aca="true">IF(J2331="","",N2331+MAX(0,ROUNDUP((TODAY()-N2331)/(J2331*7),0))*J2331*7)</f>
        <v/>
      </c>
      <c r="P2331" s="27" t="str">
        <f aca="false">IF(J2331="","",MOD(K2331-1,J2331*4))</f>
        <v/>
      </c>
      <c r="Q2331" s="27" t="str">
        <f aca="false">IF(J2331="","",MOD(P2331,4))</f>
        <v/>
      </c>
      <c r="R2331" s="27" t="str">
        <f aca="false">IF(J2331="","",INT(P2331/4))</f>
        <v/>
      </c>
      <c r="S2331" s="27" t="str">
        <f aca="false">IF(J2331="","",IF(AND('Daily Count Sheet'!$H$3=Q2331,MOD('Daily Count Sheet'!$I$3,J2331)=R2331),1,""))</f>
        <v/>
      </c>
      <c r="T2331" s="27" t="str">
        <f aca="false">IF(S2331=1,COUNTIF($S$2:S2331,1),"")</f>
        <v/>
      </c>
    </row>
    <row r="2332" customFormat="false" ht="15" hidden="false" customHeight="false" outlineLevel="0" collapsed="false">
      <c r="H2332" s="26"/>
      <c r="I2332" s="27" t="str">
        <f aca="false">IF(A2332="","",IF(H2332&lt;&gt;"",UPPER(TRIM(H2332)),IFERROR(CHOOSE(VALUE(E2332)+1,"A","B","C","D"),IF(OR(LEFT(UPPER(TRIM(E2332)),1)="F",UPPER(TRIM(E2332))="A"),"A",IF(OR(LEFT(UPPER(TRIM(E2332)),1)="M",UPPER(TRIM(E2332))="B"),"B",IF(OR(LEFT(UPPER(TRIM(E2332)),2)="SL",UPPER(TRIM(E2332))="C"),"C",IF(OR(LEFT(UPPER(TRIM(E2332)),1)="D",UPPER(TRIM(E2332))="D"),"D","")))))))</f>
        <v/>
      </c>
      <c r="J2332" s="27" t="str">
        <f aca="false">IF(I2332="","",IF(AND(I2332="D",Settings!$B$6&lt;&gt;"Yes"),"",IFERROR(INDEX(Settings!$C$9:$C$12,MATCH(I2332,Settings!$A$9:$A$12,0)),"")))</f>
        <v/>
      </c>
      <c r="K2332" s="27" t="str">
        <f aca="false">IF(J2332="","",COUNTIF($I$2:I2332,I2332))</f>
        <v/>
      </c>
      <c r="L2332" s="27" t="str">
        <f aca="false">IF(J2332="","",CHOOSE(Q2332+1,"Tue","Wed","Thu","Fri"))</f>
        <v/>
      </c>
      <c r="M2332" s="27" t="str">
        <f aca="false">IF(J2332="","",IF(J2332=1,"Every week",R2332+1&amp;" of "&amp;J2332))</f>
        <v/>
      </c>
      <c r="N2332" s="28" t="str">
        <f aca="false">IF(J2332="","",Settings!$B$4+R2332*7+Q2332)</f>
        <v/>
      </c>
      <c r="O2332" s="28" t="str">
        <f aca="true">IF(J2332="","",N2332+MAX(0,ROUNDUP((TODAY()-N2332)/(J2332*7),0))*J2332*7)</f>
        <v/>
      </c>
      <c r="P2332" s="27" t="str">
        <f aca="false">IF(J2332="","",MOD(K2332-1,J2332*4))</f>
        <v/>
      </c>
      <c r="Q2332" s="27" t="str">
        <f aca="false">IF(J2332="","",MOD(P2332,4))</f>
        <v/>
      </c>
      <c r="R2332" s="27" t="str">
        <f aca="false">IF(J2332="","",INT(P2332/4))</f>
        <v/>
      </c>
      <c r="S2332" s="27" t="str">
        <f aca="false">IF(J2332="","",IF(AND('Daily Count Sheet'!$H$3=Q2332,MOD('Daily Count Sheet'!$I$3,J2332)=R2332),1,""))</f>
        <v/>
      </c>
      <c r="T2332" s="27" t="str">
        <f aca="false">IF(S2332=1,COUNTIF($S$2:S2332,1),"")</f>
        <v/>
      </c>
    </row>
    <row r="2333" customFormat="false" ht="15" hidden="false" customHeight="false" outlineLevel="0" collapsed="false">
      <c r="H2333" s="26"/>
      <c r="I2333" s="27" t="str">
        <f aca="false">IF(A2333="","",IF(H2333&lt;&gt;"",UPPER(TRIM(H2333)),IFERROR(CHOOSE(VALUE(E2333)+1,"A","B","C","D"),IF(OR(LEFT(UPPER(TRIM(E2333)),1)="F",UPPER(TRIM(E2333))="A"),"A",IF(OR(LEFT(UPPER(TRIM(E2333)),1)="M",UPPER(TRIM(E2333))="B"),"B",IF(OR(LEFT(UPPER(TRIM(E2333)),2)="SL",UPPER(TRIM(E2333))="C"),"C",IF(OR(LEFT(UPPER(TRIM(E2333)),1)="D",UPPER(TRIM(E2333))="D"),"D","")))))))</f>
        <v/>
      </c>
      <c r="J2333" s="27" t="str">
        <f aca="false">IF(I2333="","",IF(AND(I2333="D",Settings!$B$6&lt;&gt;"Yes"),"",IFERROR(INDEX(Settings!$C$9:$C$12,MATCH(I2333,Settings!$A$9:$A$12,0)),"")))</f>
        <v/>
      </c>
      <c r="K2333" s="27" t="str">
        <f aca="false">IF(J2333="","",COUNTIF($I$2:I2333,I2333))</f>
        <v/>
      </c>
      <c r="L2333" s="27" t="str">
        <f aca="false">IF(J2333="","",CHOOSE(Q2333+1,"Tue","Wed","Thu","Fri"))</f>
        <v/>
      </c>
      <c r="M2333" s="27" t="str">
        <f aca="false">IF(J2333="","",IF(J2333=1,"Every week",R2333+1&amp;" of "&amp;J2333))</f>
        <v/>
      </c>
      <c r="N2333" s="28" t="str">
        <f aca="false">IF(J2333="","",Settings!$B$4+R2333*7+Q2333)</f>
        <v/>
      </c>
      <c r="O2333" s="28" t="str">
        <f aca="true">IF(J2333="","",N2333+MAX(0,ROUNDUP((TODAY()-N2333)/(J2333*7),0))*J2333*7)</f>
        <v/>
      </c>
      <c r="P2333" s="27" t="str">
        <f aca="false">IF(J2333="","",MOD(K2333-1,J2333*4))</f>
        <v/>
      </c>
      <c r="Q2333" s="27" t="str">
        <f aca="false">IF(J2333="","",MOD(P2333,4))</f>
        <v/>
      </c>
      <c r="R2333" s="27" t="str">
        <f aca="false">IF(J2333="","",INT(P2333/4))</f>
        <v/>
      </c>
      <c r="S2333" s="27" t="str">
        <f aca="false">IF(J2333="","",IF(AND('Daily Count Sheet'!$H$3=Q2333,MOD('Daily Count Sheet'!$I$3,J2333)=R2333),1,""))</f>
        <v/>
      </c>
      <c r="T2333" s="27" t="str">
        <f aca="false">IF(S2333=1,COUNTIF($S$2:S2333,1),"")</f>
        <v/>
      </c>
    </row>
    <row r="2334" customFormat="false" ht="15" hidden="false" customHeight="false" outlineLevel="0" collapsed="false">
      <c r="H2334" s="26"/>
      <c r="I2334" s="27" t="str">
        <f aca="false">IF(A2334="","",IF(H2334&lt;&gt;"",UPPER(TRIM(H2334)),IFERROR(CHOOSE(VALUE(E2334)+1,"A","B","C","D"),IF(OR(LEFT(UPPER(TRIM(E2334)),1)="F",UPPER(TRIM(E2334))="A"),"A",IF(OR(LEFT(UPPER(TRIM(E2334)),1)="M",UPPER(TRIM(E2334))="B"),"B",IF(OR(LEFT(UPPER(TRIM(E2334)),2)="SL",UPPER(TRIM(E2334))="C"),"C",IF(OR(LEFT(UPPER(TRIM(E2334)),1)="D",UPPER(TRIM(E2334))="D"),"D","")))))))</f>
        <v/>
      </c>
      <c r="J2334" s="27" t="str">
        <f aca="false">IF(I2334="","",IF(AND(I2334="D",Settings!$B$6&lt;&gt;"Yes"),"",IFERROR(INDEX(Settings!$C$9:$C$12,MATCH(I2334,Settings!$A$9:$A$12,0)),"")))</f>
        <v/>
      </c>
      <c r="K2334" s="27" t="str">
        <f aca="false">IF(J2334="","",COUNTIF($I$2:I2334,I2334))</f>
        <v/>
      </c>
      <c r="L2334" s="27" t="str">
        <f aca="false">IF(J2334="","",CHOOSE(Q2334+1,"Tue","Wed","Thu","Fri"))</f>
        <v/>
      </c>
      <c r="M2334" s="27" t="str">
        <f aca="false">IF(J2334="","",IF(J2334=1,"Every week",R2334+1&amp;" of "&amp;J2334))</f>
        <v/>
      </c>
      <c r="N2334" s="28" t="str">
        <f aca="false">IF(J2334="","",Settings!$B$4+R2334*7+Q2334)</f>
        <v/>
      </c>
      <c r="O2334" s="28" t="str">
        <f aca="true">IF(J2334="","",N2334+MAX(0,ROUNDUP((TODAY()-N2334)/(J2334*7),0))*J2334*7)</f>
        <v/>
      </c>
      <c r="P2334" s="27" t="str">
        <f aca="false">IF(J2334="","",MOD(K2334-1,J2334*4))</f>
        <v/>
      </c>
      <c r="Q2334" s="27" t="str">
        <f aca="false">IF(J2334="","",MOD(P2334,4))</f>
        <v/>
      </c>
      <c r="R2334" s="27" t="str">
        <f aca="false">IF(J2334="","",INT(P2334/4))</f>
        <v/>
      </c>
      <c r="S2334" s="27" t="str">
        <f aca="false">IF(J2334="","",IF(AND('Daily Count Sheet'!$H$3=Q2334,MOD('Daily Count Sheet'!$I$3,J2334)=R2334),1,""))</f>
        <v/>
      </c>
      <c r="T2334" s="27" t="str">
        <f aca="false">IF(S2334=1,COUNTIF($S$2:S2334,1),"")</f>
        <v/>
      </c>
    </row>
    <row r="2335" customFormat="false" ht="15" hidden="false" customHeight="false" outlineLevel="0" collapsed="false">
      <c r="H2335" s="26"/>
      <c r="I2335" s="27" t="str">
        <f aca="false">IF(A2335="","",IF(H2335&lt;&gt;"",UPPER(TRIM(H2335)),IFERROR(CHOOSE(VALUE(E2335)+1,"A","B","C","D"),IF(OR(LEFT(UPPER(TRIM(E2335)),1)="F",UPPER(TRIM(E2335))="A"),"A",IF(OR(LEFT(UPPER(TRIM(E2335)),1)="M",UPPER(TRIM(E2335))="B"),"B",IF(OR(LEFT(UPPER(TRIM(E2335)),2)="SL",UPPER(TRIM(E2335))="C"),"C",IF(OR(LEFT(UPPER(TRIM(E2335)),1)="D",UPPER(TRIM(E2335))="D"),"D","")))))))</f>
        <v/>
      </c>
      <c r="J2335" s="27" t="str">
        <f aca="false">IF(I2335="","",IF(AND(I2335="D",Settings!$B$6&lt;&gt;"Yes"),"",IFERROR(INDEX(Settings!$C$9:$C$12,MATCH(I2335,Settings!$A$9:$A$12,0)),"")))</f>
        <v/>
      </c>
      <c r="K2335" s="27" t="str">
        <f aca="false">IF(J2335="","",COUNTIF($I$2:I2335,I2335))</f>
        <v/>
      </c>
      <c r="L2335" s="27" t="str">
        <f aca="false">IF(J2335="","",CHOOSE(Q2335+1,"Tue","Wed","Thu","Fri"))</f>
        <v/>
      </c>
      <c r="M2335" s="27" t="str">
        <f aca="false">IF(J2335="","",IF(J2335=1,"Every week",R2335+1&amp;" of "&amp;J2335))</f>
        <v/>
      </c>
      <c r="N2335" s="28" t="str">
        <f aca="false">IF(J2335="","",Settings!$B$4+R2335*7+Q2335)</f>
        <v/>
      </c>
      <c r="O2335" s="28" t="str">
        <f aca="true">IF(J2335="","",N2335+MAX(0,ROUNDUP((TODAY()-N2335)/(J2335*7),0))*J2335*7)</f>
        <v/>
      </c>
      <c r="P2335" s="27" t="str">
        <f aca="false">IF(J2335="","",MOD(K2335-1,J2335*4))</f>
        <v/>
      </c>
      <c r="Q2335" s="27" t="str">
        <f aca="false">IF(J2335="","",MOD(P2335,4))</f>
        <v/>
      </c>
      <c r="R2335" s="27" t="str">
        <f aca="false">IF(J2335="","",INT(P2335/4))</f>
        <v/>
      </c>
      <c r="S2335" s="27" t="str">
        <f aca="false">IF(J2335="","",IF(AND('Daily Count Sheet'!$H$3=Q2335,MOD('Daily Count Sheet'!$I$3,J2335)=R2335),1,""))</f>
        <v/>
      </c>
      <c r="T2335" s="27" t="str">
        <f aca="false">IF(S2335=1,COUNTIF($S$2:S2335,1),"")</f>
        <v/>
      </c>
    </row>
    <row r="2336" customFormat="false" ht="15" hidden="false" customHeight="false" outlineLevel="0" collapsed="false">
      <c r="H2336" s="26"/>
      <c r="I2336" s="27" t="str">
        <f aca="false">IF(A2336="","",IF(H2336&lt;&gt;"",UPPER(TRIM(H2336)),IFERROR(CHOOSE(VALUE(E2336)+1,"A","B","C","D"),IF(OR(LEFT(UPPER(TRIM(E2336)),1)="F",UPPER(TRIM(E2336))="A"),"A",IF(OR(LEFT(UPPER(TRIM(E2336)),1)="M",UPPER(TRIM(E2336))="B"),"B",IF(OR(LEFT(UPPER(TRIM(E2336)),2)="SL",UPPER(TRIM(E2336))="C"),"C",IF(OR(LEFT(UPPER(TRIM(E2336)),1)="D",UPPER(TRIM(E2336))="D"),"D","")))))))</f>
        <v/>
      </c>
      <c r="J2336" s="27" t="str">
        <f aca="false">IF(I2336="","",IF(AND(I2336="D",Settings!$B$6&lt;&gt;"Yes"),"",IFERROR(INDEX(Settings!$C$9:$C$12,MATCH(I2336,Settings!$A$9:$A$12,0)),"")))</f>
        <v/>
      </c>
      <c r="K2336" s="27" t="str">
        <f aca="false">IF(J2336="","",COUNTIF($I$2:I2336,I2336))</f>
        <v/>
      </c>
      <c r="L2336" s="27" t="str">
        <f aca="false">IF(J2336="","",CHOOSE(Q2336+1,"Tue","Wed","Thu","Fri"))</f>
        <v/>
      </c>
      <c r="M2336" s="27" t="str">
        <f aca="false">IF(J2336="","",IF(J2336=1,"Every week",R2336+1&amp;" of "&amp;J2336))</f>
        <v/>
      </c>
      <c r="N2336" s="28" t="str">
        <f aca="false">IF(J2336="","",Settings!$B$4+R2336*7+Q2336)</f>
        <v/>
      </c>
      <c r="O2336" s="28" t="str">
        <f aca="true">IF(J2336="","",N2336+MAX(0,ROUNDUP((TODAY()-N2336)/(J2336*7),0))*J2336*7)</f>
        <v/>
      </c>
      <c r="P2336" s="27" t="str">
        <f aca="false">IF(J2336="","",MOD(K2336-1,J2336*4))</f>
        <v/>
      </c>
      <c r="Q2336" s="27" t="str">
        <f aca="false">IF(J2336="","",MOD(P2336,4))</f>
        <v/>
      </c>
      <c r="R2336" s="27" t="str">
        <f aca="false">IF(J2336="","",INT(P2336/4))</f>
        <v/>
      </c>
      <c r="S2336" s="27" t="str">
        <f aca="false">IF(J2336="","",IF(AND('Daily Count Sheet'!$H$3=Q2336,MOD('Daily Count Sheet'!$I$3,J2336)=R2336),1,""))</f>
        <v/>
      </c>
      <c r="T2336" s="27" t="str">
        <f aca="false">IF(S2336=1,COUNTIF($S$2:S2336,1),"")</f>
        <v/>
      </c>
    </row>
    <row r="2337" customFormat="false" ht="15" hidden="false" customHeight="false" outlineLevel="0" collapsed="false">
      <c r="H2337" s="26"/>
      <c r="I2337" s="27" t="str">
        <f aca="false">IF(A2337="","",IF(H2337&lt;&gt;"",UPPER(TRIM(H2337)),IFERROR(CHOOSE(VALUE(E2337)+1,"A","B","C","D"),IF(OR(LEFT(UPPER(TRIM(E2337)),1)="F",UPPER(TRIM(E2337))="A"),"A",IF(OR(LEFT(UPPER(TRIM(E2337)),1)="M",UPPER(TRIM(E2337))="B"),"B",IF(OR(LEFT(UPPER(TRIM(E2337)),2)="SL",UPPER(TRIM(E2337))="C"),"C",IF(OR(LEFT(UPPER(TRIM(E2337)),1)="D",UPPER(TRIM(E2337))="D"),"D","")))))))</f>
        <v/>
      </c>
      <c r="J2337" s="27" t="str">
        <f aca="false">IF(I2337="","",IF(AND(I2337="D",Settings!$B$6&lt;&gt;"Yes"),"",IFERROR(INDEX(Settings!$C$9:$C$12,MATCH(I2337,Settings!$A$9:$A$12,0)),"")))</f>
        <v/>
      </c>
      <c r="K2337" s="27" t="str">
        <f aca="false">IF(J2337="","",COUNTIF($I$2:I2337,I2337))</f>
        <v/>
      </c>
      <c r="L2337" s="27" t="str">
        <f aca="false">IF(J2337="","",CHOOSE(Q2337+1,"Tue","Wed","Thu","Fri"))</f>
        <v/>
      </c>
      <c r="M2337" s="27" t="str">
        <f aca="false">IF(J2337="","",IF(J2337=1,"Every week",R2337+1&amp;" of "&amp;J2337))</f>
        <v/>
      </c>
      <c r="N2337" s="28" t="str">
        <f aca="false">IF(J2337="","",Settings!$B$4+R2337*7+Q2337)</f>
        <v/>
      </c>
      <c r="O2337" s="28" t="str">
        <f aca="true">IF(J2337="","",N2337+MAX(0,ROUNDUP((TODAY()-N2337)/(J2337*7),0))*J2337*7)</f>
        <v/>
      </c>
      <c r="P2337" s="27" t="str">
        <f aca="false">IF(J2337="","",MOD(K2337-1,J2337*4))</f>
        <v/>
      </c>
      <c r="Q2337" s="27" t="str">
        <f aca="false">IF(J2337="","",MOD(P2337,4))</f>
        <v/>
      </c>
      <c r="R2337" s="27" t="str">
        <f aca="false">IF(J2337="","",INT(P2337/4))</f>
        <v/>
      </c>
      <c r="S2337" s="27" t="str">
        <f aca="false">IF(J2337="","",IF(AND('Daily Count Sheet'!$H$3=Q2337,MOD('Daily Count Sheet'!$I$3,J2337)=R2337),1,""))</f>
        <v/>
      </c>
      <c r="T2337" s="27" t="str">
        <f aca="false">IF(S2337=1,COUNTIF($S$2:S2337,1),"")</f>
        <v/>
      </c>
    </row>
    <row r="2338" customFormat="false" ht="15" hidden="false" customHeight="false" outlineLevel="0" collapsed="false">
      <c r="H2338" s="26"/>
      <c r="I2338" s="27" t="str">
        <f aca="false">IF(A2338="","",IF(H2338&lt;&gt;"",UPPER(TRIM(H2338)),IFERROR(CHOOSE(VALUE(E2338)+1,"A","B","C","D"),IF(OR(LEFT(UPPER(TRIM(E2338)),1)="F",UPPER(TRIM(E2338))="A"),"A",IF(OR(LEFT(UPPER(TRIM(E2338)),1)="M",UPPER(TRIM(E2338))="B"),"B",IF(OR(LEFT(UPPER(TRIM(E2338)),2)="SL",UPPER(TRIM(E2338))="C"),"C",IF(OR(LEFT(UPPER(TRIM(E2338)),1)="D",UPPER(TRIM(E2338))="D"),"D","")))))))</f>
        <v/>
      </c>
      <c r="J2338" s="27" t="str">
        <f aca="false">IF(I2338="","",IF(AND(I2338="D",Settings!$B$6&lt;&gt;"Yes"),"",IFERROR(INDEX(Settings!$C$9:$C$12,MATCH(I2338,Settings!$A$9:$A$12,0)),"")))</f>
        <v/>
      </c>
      <c r="K2338" s="27" t="str">
        <f aca="false">IF(J2338="","",COUNTIF($I$2:I2338,I2338))</f>
        <v/>
      </c>
      <c r="L2338" s="27" t="str">
        <f aca="false">IF(J2338="","",CHOOSE(Q2338+1,"Tue","Wed","Thu","Fri"))</f>
        <v/>
      </c>
      <c r="M2338" s="27" t="str">
        <f aca="false">IF(J2338="","",IF(J2338=1,"Every week",R2338+1&amp;" of "&amp;J2338))</f>
        <v/>
      </c>
      <c r="N2338" s="28" t="str">
        <f aca="false">IF(J2338="","",Settings!$B$4+R2338*7+Q2338)</f>
        <v/>
      </c>
      <c r="O2338" s="28" t="str">
        <f aca="true">IF(J2338="","",N2338+MAX(0,ROUNDUP((TODAY()-N2338)/(J2338*7),0))*J2338*7)</f>
        <v/>
      </c>
      <c r="P2338" s="27" t="str">
        <f aca="false">IF(J2338="","",MOD(K2338-1,J2338*4))</f>
        <v/>
      </c>
      <c r="Q2338" s="27" t="str">
        <f aca="false">IF(J2338="","",MOD(P2338,4))</f>
        <v/>
      </c>
      <c r="R2338" s="27" t="str">
        <f aca="false">IF(J2338="","",INT(P2338/4))</f>
        <v/>
      </c>
      <c r="S2338" s="27" t="str">
        <f aca="false">IF(J2338="","",IF(AND('Daily Count Sheet'!$H$3=Q2338,MOD('Daily Count Sheet'!$I$3,J2338)=R2338),1,""))</f>
        <v/>
      </c>
      <c r="T2338" s="27" t="str">
        <f aca="false">IF(S2338=1,COUNTIF($S$2:S2338,1),"")</f>
        <v/>
      </c>
    </row>
    <row r="2339" customFormat="false" ht="15" hidden="false" customHeight="false" outlineLevel="0" collapsed="false">
      <c r="H2339" s="26"/>
      <c r="I2339" s="27" t="str">
        <f aca="false">IF(A2339="","",IF(H2339&lt;&gt;"",UPPER(TRIM(H2339)),IFERROR(CHOOSE(VALUE(E2339)+1,"A","B","C","D"),IF(OR(LEFT(UPPER(TRIM(E2339)),1)="F",UPPER(TRIM(E2339))="A"),"A",IF(OR(LEFT(UPPER(TRIM(E2339)),1)="M",UPPER(TRIM(E2339))="B"),"B",IF(OR(LEFT(UPPER(TRIM(E2339)),2)="SL",UPPER(TRIM(E2339))="C"),"C",IF(OR(LEFT(UPPER(TRIM(E2339)),1)="D",UPPER(TRIM(E2339))="D"),"D","")))))))</f>
        <v/>
      </c>
      <c r="J2339" s="27" t="str">
        <f aca="false">IF(I2339="","",IF(AND(I2339="D",Settings!$B$6&lt;&gt;"Yes"),"",IFERROR(INDEX(Settings!$C$9:$C$12,MATCH(I2339,Settings!$A$9:$A$12,0)),"")))</f>
        <v/>
      </c>
      <c r="K2339" s="27" t="str">
        <f aca="false">IF(J2339="","",COUNTIF($I$2:I2339,I2339))</f>
        <v/>
      </c>
      <c r="L2339" s="27" t="str">
        <f aca="false">IF(J2339="","",CHOOSE(Q2339+1,"Tue","Wed","Thu","Fri"))</f>
        <v/>
      </c>
      <c r="M2339" s="27" t="str">
        <f aca="false">IF(J2339="","",IF(J2339=1,"Every week",R2339+1&amp;" of "&amp;J2339))</f>
        <v/>
      </c>
      <c r="N2339" s="28" t="str">
        <f aca="false">IF(J2339="","",Settings!$B$4+R2339*7+Q2339)</f>
        <v/>
      </c>
      <c r="O2339" s="28" t="str">
        <f aca="true">IF(J2339="","",N2339+MAX(0,ROUNDUP((TODAY()-N2339)/(J2339*7),0))*J2339*7)</f>
        <v/>
      </c>
      <c r="P2339" s="27" t="str">
        <f aca="false">IF(J2339="","",MOD(K2339-1,J2339*4))</f>
        <v/>
      </c>
      <c r="Q2339" s="27" t="str">
        <f aca="false">IF(J2339="","",MOD(P2339,4))</f>
        <v/>
      </c>
      <c r="R2339" s="27" t="str">
        <f aca="false">IF(J2339="","",INT(P2339/4))</f>
        <v/>
      </c>
      <c r="S2339" s="27" t="str">
        <f aca="false">IF(J2339="","",IF(AND('Daily Count Sheet'!$H$3=Q2339,MOD('Daily Count Sheet'!$I$3,J2339)=R2339),1,""))</f>
        <v/>
      </c>
      <c r="T2339" s="27" t="str">
        <f aca="false">IF(S2339=1,COUNTIF($S$2:S2339,1),"")</f>
        <v/>
      </c>
    </row>
    <row r="2340" customFormat="false" ht="15" hidden="false" customHeight="false" outlineLevel="0" collapsed="false">
      <c r="H2340" s="26"/>
      <c r="I2340" s="27" t="str">
        <f aca="false">IF(A2340="","",IF(H2340&lt;&gt;"",UPPER(TRIM(H2340)),IFERROR(CHOOSE(VALUE(E2340)+1,"A","B","C","D"),IF(OR(LEFT(UPPER(TRIM(E2340)),1)="F",UPPER(TRIM(E2340))="A"),"A",IF(OR(LEFT(UPPER(TRIM(E2340)),1)="M",UPPER(TRIM(E2340))="B"),"B",IF(OR(LEFT(UPPER(TRIM(E2340)),2)="SL",UPPER(TRIM(E2340))="C"),"C",IF(OR(LEFT(UPPER(TRIM(E2340)),1)="D",UPPER(TRIM(E2340))="D"),"D","")))))))</f>
        <v/>
      </c>
      <c r="J2340" s="27" t="str">
        <f aca="false">IF(I2340="","",IF(AND(I2340="D",Settings!$B$6&lt;&gt;"Yes"),"",IFERROR(INDEX(Settings!$C$9:$C$12,MATCH(I2340,Settings!$A$9:$A$12,0)),"")))</f>
        <v/>
      </c>
      <c r="K2340" s="27" t="str">
        <f aca="false">IF(J2340="","",COUNTIF($I$2:I2340,I2340))</f>
        <v/>
      </c>
      <c r="L2340" s="27" t="str">
        <f aca="false">IF(J2340="","",CHOOSE(Q2340+1,"Tue","Wed","Thu","Fri"))</f>
        <v/>
      </c>
      <c r="M2340" s="27" t="str">
        <f aca="false">IF(J2340="","",IF(J2340=1,"Every week",R2340+1&amp;" of "&amp;J2340))</f>
        <v/>
      </c>
      <c r="N2340" s="28" t="str">
        <f aca="false">IF(J2340="","",Settings!$B$4+R2340*7+Q2340)</f>
        <v/>
      </c>
      <c r="O2340" s="28" t="str">
        <f aca="true">IF(J2340="","",N2340+MAX(0,ROUNDUP((TODAY()-N2340)/(J2340*7),0))*J2340*7)</f>
        <v/>
      </c>
      <c r="P2340" s="27" t="str">
        <f aca="false">IF(J2340="","",MOD(K2340-1,J2340*4))</f>
        <v/>
      </c>
      <c r="Q2340" s="27" t="str">
        <f aca="false">IF(J2340="","",MOD(P2340,4))</f>
        <v/>
      </c>
      <c r="R2340" s="27" t="str">
        <f aca="false">IF(J2340="","",INT(P2340/4))</f>
        <v/>
      </c>
      <c r="S2340" s="27" t="str">
        <f aca="false">IF(J2340="","",IF(AND('Daily Count Sheet'!$H$3=Q2340,MOD('Daily Count Sheet'!$I$3,J2340)=R2340),1,""))</f>
        <v/>
      </c>
      <c r="T2340" s="27" t="str">
        <f aca="false">IF(S2340=1,COUNTIF($S$2:S2340,1),"")</f>
        <v/>
      </c>
    </row>
    <row r="2341" customFormat="false" ht="15" hidden="false" customHeight="false" outlineLevel="0" collapsed="false">
      <c r="H2341" s="26"/>
      <c r="I2341" s="27" t="str">
        <f aca="false">IF(A2341="","",IF(H2341&lt;&gt;"",UPPER(TRIM(H2341)),IFERROR(CHOOSE(VALUE(E2341)+1,"A","B","C","D"),IF(OR(LEFT(UPPER(TRIM(E2341)),1)="F",UPPER(TRIM(E2341))="A"),"A",IF(OR(LEFT(UPPER(TRIM(E2341)),1)="M",UPPER(TRIM(E2341))="B"),"B",IF(OR(LEFT(UPPER(TRIM(E2341)),2)="SL",UPPER(TRIM(E2341))="C"),"C",IF(OR(LEFT(UPPER(TRIM(E2341)),1)="D",UPPER(TRIM(E2341))="D"),"D","")))))))</f>
        <v/>
      </c>
      <c r="J2341" s="27" t="str">
        <f aca="false">IF(I2341="","",IF(AND(I2341="D",Settings!$B$6&lt;&gt;"Yes"),"",IFERROR(INDEX(Settings!$C$9:$C$12,MATCH(I2341,Settings!$A$9:$A$12,0)),"")))</f>
        <v/>
      </c>
      <c r="K2341" s="27" t="str">
        <f aca="false">IF(J2341="","",COUNTIF($I$2:I2341,I2341))</f>
        <v/>
      </c>
      <c r="L2341" s="27" t="str">
        <f aca="false">IF(J2341="","",CHOOSE(Q2341+1,"Tue","Wed","Thu","Fri"))</f>
        <v/>
      </c>
      <c r="M2341" s="27" t="str">
        <f aca="false">IF(J2341="","",IF(J2341=1,"Every week",R2341+1&amp;" of "&amp;J2341))</f>
        <v/>
      </c>
      <c r="N2341" s="28" t="str">
        <f aca="false">IF(J2341="","",Settings!$B$4+R2341*7+Q2341)</f>
        <v/>
      </c>
      <c r="O2341" s="28" t="str">
        <f aca="true">IF(J2341="","",N2341+MAX(0,ROUNDUP((TODAY()-N2341)/(J2341*7),0))*J2341*7)</f>
        <v/>
      </c>
      <c r="P2341" s="27" t="str">
        <f aca="false">IF(J2341="","",MOD(K2341-1,J2341*4))</f>
        <v/>
      </c>
      <c r="Q2341" s="27" t="str">
        <f aca="false">IF(J2341="","",MOD(P2341,4))</f>
        <v/>
      </c>
      <c r="R2341" s="27" t="str">
        <f aca="false">IF(J2341="","",INT(P2341/4))</f>
        <v/>
      </c>
      <c r="S2341" s="27" t="str">
        <f aca="false">IF(J2341="","",IF(AND('Daily Count Sheet'!$H$3=Q2341,MOD('Daily Count Sheet'!$I$3,J2341)=R2341),1,""))</f>
        <v/>
      </c>
      <c r="T2341" s="27" t="str">
        <f aca="false">IF(S2341=1,COUNTIF($S$2:S2341,1),"")</f>
        <v/>
      </c>
    </row>
    <row r="2342" customFormat="false" ht="15" hidden="false" customHeight="false" outlineLevel="0" collapsed="false">
      <c r="H2342" s="26"/>
      <c r="I2342" s="27" t="str">
        <f aca="false">IF(A2342="","",IF(H2342&lt;&gt;"",UPPER(TRIM(H2342)),IFERROR(CHOOSE(VALUE(E2342)+1,"A","B","C","D"),IF(OR(LEFT(UPPER(TRIM(E2342)),1)="F",UPPER(TRIM(E2342))="A"),"A",IF(OR(LEFT(UPPER(TRIM(E2342)),1)="M",UPPER(TRIM(E2342))="B"),"B",IF(OR(LEFT(UPPER(TRIM(E2342)),2)="SL",UPPER(TRIM(E2342))="C"),"C",IF(OR(LEFT(UPPER(TRIM(E2342)),1)="D",UPPER(TRIM(E2342))="D"),"D","")))))))</f>
        <v/>
      </c>
      <c r="J2342" s="27" t="str">
        <f aca="false">IF(I2342="","",IF(AND(I2342="D",Settings!$B$6&lt;&gt;"Yes"),"",IFERROR(INDEX(Settings!$C$9:$C$12,MATCH(I2342,Settings!$A$9:$A$12,0)),"")))</f>
        <v/>
      </c>
      <c r="K2342" s="27" t="str">
        <f aca="false">IF(J2342="","",COUNTIF($I$2:I2342,I2342))</f>
        <v/>
      </c>
      <c r="L2342" s="27" t="str">
        <f aca="false">IF(J2342="","",CHOOSE(Q2342+1,"Tue","Wed","Thu","Fri"))</f>
        <v/>
      </c>
      <c r="M2342" s="27" t="str">
        <f aca="false">IF(J2342="","",IF(J2342=1,"Every week",R2342+1&amp;" of "&amp;J2342))</f>
        <v/>
      </c>
      <c r="N2342" s="28" t="str">
        <f aca="false">IF(J2342="","",Settings!$B$4+R2342*7+Q2342)</f>
        <v/>
      </c>
      <c r="O2342" s="28" t="str">
        <f aca="true">IF(J2342="","",N2342+MAX(0,ROUNDUP((TODAY()-N2342)/(J2342*7),0))*J2342*7)</f>
        <v/>
      </c>
      <c r="P2342" s="27" t="str">
        <f aca="false">IF(J2342="","",MOD(K2342-1,J2342*4))</f>
        <v/>
      </c>
      <c r="Q2342" s="27" t="str">
        <f aca="false">IF(J2342="","",MOD(P2342,4))</f>
        <v/>
      </c>
      <c r="R2342" s="27" t="str">
        <f aca="false">IF(J2342="","",INT(P2342/4))</f>
        <v/>
      </c>
      <c r="S2342" s="27" t="str">
        <f aca="false">IF(J2342="","",IF(AND('Daily Count Sheet'!$H$3=Q2342,MOD('Daily Count Sheet'!$I$3,J2342)=R2342),1,""))</f>
        <v/>
      </c>
      <c r="T2342" s="27" t="str">
        <f aca="false">IF(S2342=1,COUNTIF($S$2:S2342,1),"")</f>
        <v/>
      </c>
    </row>
    <row r="2343" customFormat="false" ht="15" hidden="false" customHeight="false" outlineLevel="0" collapsed="false">
      <c r="H2343" s="26"/>
      <c r="I2343" s="27" t="str">
        <f aca="false">IF(A2343="","",IF(H2343&lt;&gt;"",UPPER(TRIM(H2343)),IFERROR(CHOOSE(VALUE(E2343)+1,"A","B","C","D"),IF(OR(LEFT(UPPER(TRIM(E2343)),1)="F",UPPER(TRIM(E2343))="A"),"A",IF(OR(LEFT(UPPER(TRIM(E2343)),1)="M",UPPER(TRIM(E2343))="B"),"B",IF(OR(LEFT(UPPER(TRIM(E2343)),2)="SL",UPPER(TRIM(E2343))="C"),"C",IF(OR(LEFT(UPPER(TRIM(E2343)),1)="D",UPPER(TRIM(E2343))="D"),"D","")))))))</f>
        <v/>
      </c>
      <c r="J2343" s="27" t="str">
        <f aca="false">IF(I2343="","",IF(AND(I2343="D",Settings!$B$6&lt;&gt;"Yes"),"",IFERROR(INDEX(Settings!$C$9:$C$12,MATCH(I2343,Settings!$A$9:$A$12,0)),"")))</f>
        <v/>
      </c>
      <c r="K2343" s="27" t="str">
        <f aca="false">IF(J2343="","",COUNTIF($I$2:I2343,I2343))</f>
        <v/>
      </c>
      <c r="L2343" s="27" t="str">
        <f aca="false">IF(J2343="","",CHOOSE(Q2343+1,"Tue","Wed","Thu","Fri"))</f>
        <v/>
      </c>
      <c r="M2343" s="27" t="str">
        <f aca="false">IF(J2343="","",IF(J2343=1,"Every week",R2343+1&amp;" of "&amp;J2343))</f>
        <v/>
      </c>
      <c r="N2343" s="28" t="str">
        <f aca="false">IF(J2343="","",Settings!$B$4+R2343*7+Q2343)</f>
        <v/>
      </c>
      <c r="O2343" s="28" t="str">
        <f aca="true">IF(J2343="","",N2343+MAX(0,ROUNDUP((TODAY()-N2343)/(J2343*7),0))*J2343*7)</f>
        <v/>
      </c>
      <c r="P2343" s="27" t="str">
        <f aca="false">IF(J2343="","",MOD(K2343-1,J2343*4))</f>
        <v/>
      </c>
      <c r="Q2343" s="27" t="str">
        <f aca="false">IF(J2343="","",MOD(P2343,4))</f>
        <v/>
      </c>
      <c r="R2343" s="27" t="str">
        <f aca="false">IF(J2343="","",INT(P2343/4))</f>
        <v/>
      </c>
      <c r="S2343" s="27" t="str">
        <f aca="false">IF(J2343="","",IF(AND('Daily Count Sheet'!$H$3=Q2343,MOD('Daily Count Sheet'!$I$3,J2343)=R2343),1,""))</f>
        <v/>
      </c>
      <c r="T2343" s="27" t="str">
        <f aca="false">IF(S2343=1,COUNTIF($S$2:S2343,1),"")</f>
        <v/>
      </c>
    </row>
    <row r="2344" customFormat="false" ht="15" hidden="false" customHeight="false" outlineLevel="0" collapsed="false">
      <c r="H2344" s="26"/>
      <c r="I2344" s="27" t="str">
        <f aca="false">IF(A2344="","",IF(H2344&lt;&gt;"",UPPER(TRIM(H2344)),IFERROR(CHOOSE(VALUE(E2344)+1,"A","B","C","D"),IF(OR(LEFT(UPPER(TRIM(E2344)),1)="F",UPPER(TRIM(E2344))="A"),"A",IF(OR(LEFT(UPPER(TRIM(E2344)),1)="M",UPPER(TRIM(E2344))="B"),"B",IF(OR(LEFT(UPPER(TRIM(E2344)),2)="SL",UPPER(TRIM(E2344))="C"),"C",IF(OR(LEFT(UPPER(TRIM(E2344)),1)="D",UPPER(TRIM(E2344))="D"),"D","")))))))</f>
        <v/>
      </c>
      <c r="J2344" s="27" t="str">
        <f aca="false">IF(I2344="","",IF(AND(I2344="D",Settings!$B$6&lt;&gt;"Yes"),"",IFERROR(INDEX(Settings!$C$9:$C$12,MATCH(I2344,Settings!$A$9:$A$12,0)),"")))</f>
        <v/>
      </c>
      <c r="K2344" s="27" t="str">
        <f aca="false">IF(J2344="","",COUNTIF($I$2:I2344,I2344))</f>
        <v/>
      </c>
      <c r="L2344" s="27" t="str">
        <f aca="false">IF(J2344="","",CHOOSE(Q2344+1,"Tue","Wed","Thu","Fri"))</f>
        <v/>
      </c>
      <c r="M2344" s="27" t="str">
        <f aca="false">IF(J2344="","",IF(J2344=1,"Every week",R2344+1&amp;" of "&amp;J2344))</f>
        <v/>
      </c>
      <c r="N2344" s="28" t="str">
        <f aca="false">IF(J2344="","",Settings!$B$4+R2344*7+Q2344)</f>
        <v/>
      </c>
      <c r="O2344" s="28" t="str">
        <f aca="true">IF(J2344="","",N2344+MAX(0,ROUNDUP((TODAY()-N2344)/(J2344*7),0))*J2344*7)</f>
        <v/>
      </c>
      <c r="P2344" s="27" t="str">
        <f aca="false">IF(J2344="","",MOD(K2344-1,J2344*4))</f>
        <v/>
      </c>
      <c r="Q2344" s="27" t="str">
        <f aca="false">IF(J2344="","",MOD(P2344,4))</f>
        <v/>
      </c>
      <c r="R2344" s="27" t="str">
        <f aca="false">IF(J2344="","",INT(P2344/4))</f>
        <v/>
      </c>
      <c r="S2344" s="27" t="str">
        <f aca="false">IF(J2344="","",IF(AND('Daily Count Sheet'!$H$3=Q2344,MOD('Daily Count Sheet'!$I$3,J2344)=R2344),1,""))</f>
        <v/>
      </c>
      <c r="T2344" s="27" t="str">
        <f aca="false">IF(S2344=1,COUNTIF($S$2:S2344,1),"")</f>
        <v/>
      </c>
    </row>
    <row r="2345" customFormat="false" ht="15" hidden="false" customHeight="false" outlineLevel="0" collapsed="false">
      <c r="H2345" s="26"/>
      <c r="I2345" s="27" t="str">
        <f aca="false">IF(A2345="","",IF(H2345&lt;&gt;"",UPPER(TRIM(H2345)),IFERROR(CHOOSE(VALUE(E2345)+1,"A","B","C","D"),IF(OR(LEFT(UPPER(TRIM(E2345)),1)="F",UPPER(TRIM(E2345))="A"),"A",IF(OR(LEFT(UPPER(TRIM(E2345)),1)="M",UPPER(TRIM(E2345))="B"),"B",IF(OR(LEFT(UPPER(TRIM(E2345)),2)="SL",UPPER(TRIM(E2345))="C"),"C",IF(OR(LEFT(UPPER(TRIM(E2345)),1)="D",UPPER(TRIM(E2345))="D"),"D","")))))))</f>
        <v/>
      </c>
      <c r="J2345" s="27" t="str">
        <f aca="false">IF(I2345="","",IF(AND(I2345="D",Settings!$B$6&lt;&gt;"Yes"),"",IFERROR(INDEX(Settings!$C$9:$C$12,MATCH(I2345,Settings!$A$9:$A$12,0)),"")))</f>
        <v/>
      </c>
      <c r="K2345" s="27" t="str">
        <f aca="false">IF(J2345="","",COUNTIF($I$2:I2345,I2345))</f>
        <v/>
      </c>
      <c r="L2345" s="27" t="str">
        <f aca="false">IF(J2345="","",CHOOSE(Q2345+1,"Tue","Wed","Thu","Fri"))</f>
        <v/>
      </c>
      <c r="M2345" s="27" t="str">
        <f aca="false">IF(J2345="","",IF(J2345=1,"Every week",R2345+1&amp;" of "&amp;J2345))</f>
        <v/>
      </c>
      <c r="N2345" s="28" t="str">
        <f aca="false">IF(J2345="","",Settings!$B$4+R2345*7+Q2345)</f>
        <v/>
      </c>
      <c r="O2345" s="28" t="str">
        <f aca="true">IF(J2345="","",N2345+MAX(0,ROUNDUP((TODAY()-N2345)/(J2345*7),0))*J2345*7)</f>
        <v/>
      </c>
      <c r="P2345" s="27" t="str">
        <f aca="false">IF(J2345="","",MOD(K2345-1,J2345*4))</f>
        <v/>
      </c>
      <c r="Q2345" s="27" t="str">
        <f aca="false">IF(J2345="","",MOD(P2345,4))</f>
        <v/>
      </c>
      <c r="R2345" s="27" t="str">
        <f aca="false">IF(J2345="","",INT(P2345/4))</f>
        <v/>
      </c>
      <c r="S2345" s="27" t="str">
        <f aca="false">IF(J2345="","",IF(AND('Daily Count Sheet'!$H$3=Q2345,MOD('Daily Count Sheet'!$I$3,J2345)=R2345),1,""))</f>
        <v/>
      </c>
      <c r="T2345" s="27" t="str">
        <f aca="false">IF(S2345=1,COUNTIF($S$2:S2345,1),"")</f>
        <v/>
      </c>
    </row>
    <row r="2346" customFormat="false" ht="15" hidden="false" customHeight="false" outlineLevel="0" collapsed="false">
      <c r="H2346" s="26"/>
      <c r="I2346" s="27" t="str">
        <f aca="false">IF(A2346="","",IF(H2346&lt;&gt;"",UPPER(TRIM(H2346)),IFERROR(CHOOSE(VALUE(E2346)+1,"A","B","C","D"),IF(OR(LEFT(UPPER(TRIM(E2346)),1)="F",UPPER(TRIM(E2346))="A"),"A",IF(OR(LEFT(UPPER(TRIM(E2346)),1)="M",UPPER(TRIM(E2346))="B"),"B",IF(OR(LEFT(UPPER(TRIM(E2346)),2)="SL",UPPER(TRIM(E2346))="C"),"C",IF(OR(LEFT(UPPER(TRIM(E2346)),1)="D",UPPER(TRIM(E2346))="D"),"D","")))))))</f>
        <v/>
      </c>
      <c r="J2346" s="27" t="str">
        <f aca="false">IF(I2346="","",IF(AND(I2346="D",Settings!$B$6&lt;&gt;"Yes"),"",IFERROR(INDEX(Settings!$C$9:$C$12,MATCH(I2346,Settings!$A$9:$A$12,0)),"")))</f>
        <v/>
      </c>
      <c r="K2346" s="27" t="str">
        <f aca="false">IF(J2346="","",COUNTIF($I$2:I2346,I2346))</f>
        <v/>
      </c>
      <c r="L2346" s="27" t="str">
        <f aca="false">IF(J2346="","",CHOOSE(Q2346+1,"Tue","Wed","Thu","Fri"))</f>
        <v/>
      </c>
      <c r="M2346" s="27" t="str">
        <f aca="false">IF(J2346="","",IF(J2346=1,"Every week",R2346+1&amp;" of "&amp;J2346))</f>
        <v/>
      </c>
      <c r="N2346" s="28" t="str">
        <f aca="false">IF(J2346="","",Settings!$B$4+R2346*7+Q2346)</f>
        <v/>
      </c>
      <c r="O2346" s="28" t="str">
        <f aca="true">IF(J2346="","",N2346+MAX(0,ROUNDUP((TODAY()-N2346)/(J2346*7),0))*J2346*7)</f>
        <v/>
      </c>
      <c r="P2346" s="27" t="str">
        <f aca="false">IF(J2346="","",MOD(K2346-1,J2346*4))</f>
        <v/>
      </c>
      <c r="Q2346" s="27" t="str">
        <f aca="false">IF(J2346="","",MOD(P2346,4))</f>
        <v/>
      </c>
      <c r="R2346" s="27" t="str">
        <f aca="false">IF(J2346="","",INT(P2346/4))</f>
        <v/>
      </c>
      <c r="S2346" s="27" t="str">
        <f aca="false">IF(J2346="","",IF(AND('Daily Count Sheet'!$H$3=Q2346,MOD('Daily Count Sheet'!$I$3,J2346)=R2346),1,""))</f>
        <v/>
      </c>
      <c r="T2346" s="27" t="str">
        <f aca="false">IF(S2346=1,COUNTIF($S$2:S2346,1),"")</f>
        <v/>
      </c>
    </row>
    <row r="2347" customFormat="false" ht="15" hidden="false" customHeight="false" outlineLevel="0" collapsed="false">
      <c r="H2347" s="26"/>
      <c r="I2347" s="27" t="str">
        <f aca="false">IF(A2347="","",IF(H2347&lt;&gt;"",UPPER(TRIM(H2347)),IFERROR(CHOOSE(VALUE(E2347)+1,"A","B","C","D"),IF(OR(LEFT(UPPER(TRIM(E2347)),1)="F",UPPER(TRIM(E2347))="A"),"A",IF(OR(LEFT(UPPER(TRIM(E2347)),1)="M",UPPER(TRIM(E2347))="B"),"B",IF(OR(LEFT(UPPER(TRIM(E2347)),2)="SL",UPPER(TRIM(E2347))="C"),"C",IF(OR(LEFT(UPPER(TRIM(E2347)),1)="D",UPPER(TRIM(E2347))="D"),"D","")))))))</f>
        <v/>
      </c>
      <c r="J2347" s="27" t="str">
        <f aca="false">IF(I2347="","",IF(AND(I2347="D",Settings!$B$6&lt;&gt;"Yes"),"",IFERROR(INDEX(Settings!$C$9:$C$12,MATCH(I2347,Settings!$A$9:$A$12,0)),"")))</f>
        <v/>
      </c>
      <c r="K2347" s="27" t="str">
        <f aca="false">IF(J2347="","",COUNTIF($I$2:I2347,I2347))</f>
        <v/>
      </c>
      <c r="L2347" s="27" t="str">
        <f aca="false">IF(J2347="","",CHOOSE(Q2347+1,"Tue","Wed","Thu","Fri"))</f>
        <v/>
      </c>
      <c r="M2347" s="27" t="str">
        <f aca="false">IF(J2347="","",IF(J2347=1,"Every week",R2347+1&amp;" of "&amp;J2347))</f>
        <v/>
      </c>
      <c r="N2347" s="28" t="str">
        <f aca="false">IF(J2347="","",Settings!$B$4+R2347*7+Q2347)</f>
        <v/>
      </c>
      <c r="O2347" s="28" t="str">
        <f aca="true">IF(J2347="","",N2347+MAX(0,ROUNDUP((TODAY()-N2347)/(J2347*7),0))*J2347*7)</f>
        <v/>
      </c>
      <c r="P2347" s="27" t="str">
        <f aca="false">IF(J2347="","",MOD(K2347-1,J2347*4))</f>
        <v/>
      </c>
      <c r="Q2347" s="27" t="str">
        <f aca="false">IF(J2347="","",MOD(P2347,4))</f>
        <v/>
      </c>
      <c r="R2347" s="27" t="str">
        <f aca="false">IF(J2347="","",INT(P2347/4))</f>
        <v/>
      </c>
      <c r="S2347" s="27" t="str">
        <f aca="false">IF(J2347="","",IF(AND('Daily Count Sheet'!$H$3=Q2347,MOD('Daily Count Sheet'!$I$3,J2347)=R2347),1,""))</f>
        <v/>
      </c>
      <c r="T2347" s="27" t="str">
        <f aca="false">IF(S2347=1,COUNTIF($S$2:S2347,1),"")</f>
        <v/>
      </c>
    </row>
    <row r="2348" customFormat="false" ht="15" hidden="false" customHeight="false" outlineLevel="0" collapsed="false">
      <c r="H2348" s="26"/>
      <c r="I2348" s="27" t="str">
        <f aca="false">IF(A2348="","",IF(H2348&lt;&gt;"",UPPER(TRIM(H2348)),IFERROR(CHOOSE(VALUE(E2348)+1,"A","B","C","D"),IF(OR(LEFT(UPPER(TRIM(E2348)),1)="F",UPPER(TRIM(E2348))="A"),"A",IF(OR(LEFT(UPPER(TRIM(E2348)),1)="M",UPPER(TRIM(E2348))="B"),"B",IF(OR(LEFT(UPPER(TRIM(E2348)),2)="SL",UPPER(TRIM(E2348))="C"),"C",IF(OR(LEFT(UPPER(TRIM(E2348)),1)="D",UPPER(TRIM(E2348))="D"),"D","")))))))</f>
        <v/>
      </c>
      <c r="J2348" s="27" t="str">
        <f aca="false">IF(I2348="","",IF(AND(I2348="D",Settings!$B$6&lt;&gt;"Yes"),"",IFERROR(INDEX(Settings!$C$9:$C$12,MATCH(I2348,Settings!$A$9:$A$12,0)),"")))</f>
        <v/>
      </c>
      <c r="K2348" s="27" t="str">
        <f aca="false">IF(J2348="","",COUNTIF($I$2:I2348,I2348))</f>
        <v/>
      </c>
      <c r="L2348" s="27" t="str">
        <f aca="false">IF(J2348="","",CHOOSE(Q2348+1,"Tue","Wed","Thu","Fri"))</f>
        <v/>
      </c>
      <c r="M2348" s="27" t="str">
        <f aca="false">IF(J2348="","",IF(J2348=1,"Every week",R2348+1&amp;" of "&amp;J2348))</f>
        <v/>
      </c>
      <c r="N2348" s="28" t="str">
        <f aca="false">IF(J2348="","",Settings!$B$4+R2348*7+Q2348)</f>
        <v/>
      </c>
      <c r="O2348" s="28" t="str">
        <f aca="true">IF(J2348="","",N2348+MAX(0,ROUNDUP((TODAY()-N2348)/(J2348*7),0))*J2348*7)</f>
        <v/>
      </c>
      <c r="P2348" s="27" t="str">
        <f aca="false">IF(J2348="","",MOD(K2348-1,J2348*4))</f>
        <v/>
      </c>
      <c r="Q2348" s="27" t="str">
        <f aca="false">IF(J2348="","",MOD(P2348,4))</f>
        <v/>
      </c>
      <c r="R2348" s="27" t="str">
        <f aca="false">IF(J2348="","",INT(P2348/4))</f>
        <v/>
      </c>
      <c r="S2348" s="27" t="str">
        <f aca="false">IF(J2348="","",IF(AND('Daily Count Sheet'!$H$3=Q2348,MOD('Daily Count Sheet'!$I$3,J2348)=R2348),1,""))</f>
        <v/>
      </c>
      <c r="T2348" s="27" t="str">
        <f aca="false">IF(S2348=1,COUNTIF($S$2:S2348,1),"")</f>
        <v/>
      </c>
    </row>
    <row r="2349" customFormat="false" ht="15" hidden="false" customHeight="false" outlineLevel="0" collapsed="false">
      <c r="H2349" s="26"/>
      <c r="I2349" s="27" t="str">
        <f aca="false">IF(A2349="","",IF(H2349&lt;&gt;"",UPPER(TRIM(H2349)),IFERROR(CHOOSE(VALUE(E2349)+1,"A","B","C","D"),IF(OR(LEFT(UPPER(TRIM(E2349)),1)="F",UPPER(TRIM(E2349))="A"),"A",IF(OR(LEFT(UPPER(TRIM(E2349)),1)="M",UPPER(TRIM(E2349))="B"),"B",IF(OR(LEFT(UPPER(TRIM(E2349)),2)="SL",UPPER(TRIM(E2349))="C"),"C",IF(OR(LEFT(UPPER(TRIM(E2349)),1)="D",UPPER(TRIM(E2349))="D"),"D","")))))))</f>
        <v/>
      </c>
      <c r="J2349" s="27" t="str">
        <f aca="false">IF(I2349="","",IF(AND(I2349="D",Settings!$B$6&lt;&gt;"Yes"),"",IFERROR(INDEX(Settings!$C$9:$C$12,MATCH(I2349,Settings!$A$9:$A$12,0)),"")))</f>
        <v/>
      </c>
      <c r="K2349" s="27" t="str">
        <f aca="false">IF(J2349="","",COUNTIF($I$2:I2349,I2349))</f>
        <v/>
      </c>
      <c r="L2349" s="27" t="str">
        <f aca="false">IF(J2349="","",CHOOSE(Q2349+1,"Tue","Wed","Thu","Fri"))</f>
        <v/>
      </c>
      <c r="M2349" s="27" t="str">
        <f aca="false">IF(J2349="","",IF(J2349=1,"Every week",R2349+1&amp;" of "&amp;J2349))</f>
        <v/>
      </c>
      <c r="N2349" s="28" t="str">
        <f aca="false">IF(J2349="","",Settings!$B$4+R2349*7+Q2349)</f>
        <v/>
      </c>
      <c r="O2349" s="28" t="str">
        <f aca="true">IF(J2349="","",N2349+MAX(0,ROUNDUP((TODAY()-N2349)/(J2349*7),0))*J2349*7)</f>
        <v/>
      </c>
      <c r="P2349" s="27" t="str">
        <f aca="false">IF(J2349="","",MOD(K2349-1,J2349*4))</f>
        <v/>
      </c>
      <c r="Q2349" s="27" t="str">
        <f aca="false">IF(J2349="","",MOD(P2349,4))</f>
        <v/>
      </c>
      <c r="R2349" s="27" t="str">
        <f aca="false">IF(J2349="","",INT(P2349/4))</f>
        <v/>
      </c>
      <c r="S2349" s="27" t="str">
        <f aca="false">IF(J2349="","",IF(AND('Daily Count Sheet'!$H$3=Q2349,MOD('Daily Count Sheet'!$I$3,J2349)=R2349),1,""))</f>
        <v/>
      </c>
      <c r="T2349" s="27" t="str">
        <f aca="false">IF(S2349=1,COUNTIF($S$2:S2349,1),"")</f>
        <v/>
      </c>
    </row>
    <row r="2350" customFormat="false" ht="15" hidden="false" customHeight="false" outlineLevel="0" collapsed="false">
      <c r="H2350" s="26"/>
      <c r="I2350" s="27" t="str">
        <f aca="false">IF(A2350="","",IF(H2350&lt;&gt;"",UPPER(TRIM(H2350)),IFERROR(CHOOSE(VALUE(E2350)+1,"A","B","C","D"),IF(OR(LEFT(UPPER(TRIM(E2350)),1)="F",UPPER(TRIM(E2350))="A"),"A",IF(OR(LEFT(UPPER(TRIM(E2350)),1)="M",UPPER(TRIM(E2350))="B"),"B",IF(OR(LEFT(UPPER(TRIM(E2350)),2)="SL",UPPER(TRIM(E2350))="C"),"C",IF(OR(LEFT(UPPER(TRIM(E2350)),1)="D",UPPER(TRIM(E2350))="D"),"D","")))))))</f>
        <v/>
      </c>
      <c r="J2350" s="27" t="str">
        <f aca="false">IF(I2350="","",IF(AND(I2350="D",Settings!$B$6&lt;&gt;"Yes"),"",IFERROR(INDEX(Settings!$C$9:$C$12,MATCH(I2350,Settings!$A$9:$A$12,0)),"")))</f>
        <v/>
      </c>
      <c r="K2350" s="27" t="str">
        <f aca="false">IF(J2350="","",COUNTIF($I$2:I2350,I2350))</f>
        <v/>
      </c>
      <c r="L2350" s="27" t="str">
        <f aca="false">IF(J2350="","",CHOOSE(Q2350+1,"Tue","Wed","Thu","Fri"))</f>
        <v/>
      </c>
      <c r="M2350" s="27" t="str">
        <f aca="false">IF(J2350="","",IF(J2350=1,"Every week",R2350+1&amp;" of "&amp;J2350))</f>
        <v/>
      </c>
      <c r="N2350" s="28" t="str">
        <f aca="false">IF(J2350="","",Settings!$B$4+R2350*7+Q2350)</f>
        <v/>
      </c>
      <c r="O2350" s="28" t="str">
        <f aca="true">IF(J2350="","",N2350+MAX(0,ROUNDUP((TODAY()-N2350)/(J2350*7),0))*J2350*7)</f>
        <v/>
      </c>
      <c r="P2350" s="27" t="str">
        <f aca="false">IF(J2350="","",MOD(K2350-1,J2350*4))</f>
        <v/>
      </c>
      <c r="Q2350" s="27" t="str">
        <f aca="false">IF(J2350="","",MOD(P2350,4))</f>
        <v/>
      </c>
      <c r="R2350" s="27" t="str">
        <f aca="false">IF(J2350="","",INT(P2350/4))</f>
        <v/>
      </c>
      <c r="S2350" s="27" t="str">
        <f aca="false">IF(J2350="","",IF(AND('Daily Count Sheet'!$H$3=Q2350,MOD('Daily Count Sheet'!$I$3,J2350)=R2350),1,""))</f>
        <v/>
      </c>
      <c r="T2350" s="27" t="str">
        <f aca="false">IF(S2350=1,COUNTIF($S$2:S2350,1),"")</f>
        <v/>
      </c>
    </row>
    <row r="2351" customFormat="false" ht="15" hidden="false" customHeight="false" outlineLevel="0" collapsed="false">
      <c r="H2351" s="26"/>
      <c r="I2351" s="27" t="str">
        <f aca="false">IF(A2351="","",IF(H2351&lt;&gt;"",UPPER(TRIM(H2351)),IFERROR(CHOOSE(VALUE(E2351)+1,"A","B","C","D"),IF(OR(LEFT(UPPER(TRIM(E2351)),1)="F",UPPER(TRIM(E2351))="A"),"A",IF(OR(LEFT(UPPER(TRIM(E2351)),1)="M",UPPER(TRIM(E2351))="B"),"B",IF(OR(LEFT(UPPER(TRIM(E2351)),2)="SL",UPPER(TRIM(E2351))="C"),"C",IF(OR(LEFT(UPPER(TRIM(E2351)),1)="D",UPPER(TRIM(E2351))="D"),"D","")))))))</f>
        <v/>
      </c>
      <c r="J2351" s="27" t="str">
        <f aca="false">IF(I2351="","",IF(AND(I2351="D",Settings!$B$6&lt;&gt;"Yes"),"",IFERROR(INDEX(Settings!$C$9:$C$12,MATCH(I2351,Settings!$A$9:$A$12,0)),"")))</f>
        <v/>
      </c>
      <c r="K2351" s="27" t="str">
        <f aca="false">IF(J2351="","",COUNTIF($I$2:I2351,I2351))</f>
        <v/>
      </c>
      <c r="L2351" s="27" t="str">
        <f aca="false">IF(J2351="","",CHOOSE(Q2351+1,"Tue","Wed","Thu","Fri"))</f>
        <v/>
      </c>
      <c r="M2351" s="27" t="str">
        <f aca="false">IF(J2351="","",IF(J2351=1,"Every week",R2351+1&amp;" of "&amp;J2351))</f>
        <v/>
      </c>
      <c r="N2351" s="28" t="str">
        <f aca="false">IF(J2351="","",Settings!$B$4+R2351*7+Q2351)</f>
        <v/>
      </c>
      <c r="O2351" s="28" t="str">
        <f aca="true">IF(J2351="","",N2351+MAX(0,ROUNDUP((TODAY()-N2351)/(J2351*7),0))*J2351*7)</f>
        <v/>
      </c>
      <c r="P2351" s="27" t="str">
        <f aca="false">IF(J2351="","",MOD(K2351-1,J2351*4))</f>
        <v/>
      </c>
      <c r="Q2351" s="27" t="str">
        <f aca="false">IF(J2351="","",MOD(P2351,4))</f>
        <v/>
      </c>
      <c r="R2351" s="27" t="str">
        <f aca="false">IF(J2351="","",INT(P2351/4))</f>
        <v/>
      </c>
      <c r="S2351" s="27" t="str">
        <f aca="false">IF(J2351="","",IF(AND('Daily Count Sheet'!$H$3=Q2351,MOD('Daily Count Sheet'!$I$3,J2351)=R2351),1,""))</f>
        <v/>
      </c>
      <c r="T2351" s="27" t="str">
        <f aca="false">IF(S2351=1,COUNTIF($S$2:S2351,1),"")</f>
        <v/>
      </c>
    </row>
    <row r="2352" customFormat="false" ht="15" hidden="false" customHeight="false" outlineLevel="0" collapsed="false">
      <c r="H2352" s="26"/>
      <c r="I2352" s="27" t="str">
        <f aca="false">IF(A2352="","",IF(H2352&lt;&gt;"",UPPER(TRIM(H2352)),IFERROR(CHOOSE(VALUE(E2352)+1,"A","B","C","D"),IF(OR(LEFT(UPPER(TRIM(E2352)),1)="F",UPPER(TRIM(E2352))="A"),"A",IF(OR(LEFT(UPPER(TRIM(E2352)),1)="M",UPPER(TRIM(E2352))="B"),"B",IF(OR(LEFT(UPPER(TRIM(E2352)),2)="SL",UPPER(TRIM(E2352))="C"),"C",IF(OR(LEFT(UPPER(TRIM(E2352)),1)="D",UPPER(TRIM(E2352))="D"),"D","")))))))</f>
        <v/>
      </c>
      <c r="J2352" s="27" t="str">
        <f aca="false">IF(I2352="","",IF(AND(I2352="D",Settings!$B$6&lt;&gt;"Yes"),"",IFERROR(INDEX(Settings!$C$9:$C$12,MATCH(I2352,Settings!$A$9:$A$12,0)),"")))</f>
        <v/>
      </c>
      <c r="K2352" s="27" t="str">
        <f aca="false">IF(J2352="","",COUNTIF($I$2:I2352,I2352))</f>
        <v/>
      </c>
      <c r="L2352" s="27" t="str">
        <f aca="false">IF(J2352="","",CHOOSE(Q2352+1,"Tue","Wed","Thu","Fri"))</f>
        <v/>
      </c>
      <c r="M2352" s="27" t="str">
        <f aca="false">IF(J2352="","",IF(J2352=1,"Every week",R2352+1&amp;" of "&amp;J2352))</f>
        <v/>
      </c>
      <c r="N2352" s="28" t="str">
        <f aca="false">IF(J2352="","",Settings!$B$4+R2352*7+Q2352)</f>
        <v/>
      </c>
      <c r="O2352" s="28" t="str">
        <f aca="true">IF(J2352="","",N2352+MAX(0,ROUNDUP((TODAY()-N2352)/(J2352*7),0))*J2352*7)</f>
        <v/>
      </c>
      <c r="P2352" s="27" t="str">
        <f aca="false">IF(J2352="","",MOD(K2352-1,J2352*4))</f>
        <v/>
      </c>
      <c r="Q2352" s="27" t="str">
        <f aca="false">IF(J2352="","",MOD(P2352,4))</f>
        <v/>
      </c>
      <c r="R2352" s="27" t="str">
        <f aca="false">IF(J2352="","",INT(P2352/4))</f>
        <v/>
      </c>
      <c r="S2352" s="27" t="str">
        <f aca="false">IF(J2352="","",IF(AND('Daily Count Sheet'!$H$3=Q2352,MOD('Daily Count Sheet'!$I$3,J2352)=R2352),1,""))</f>
        <v/>
      </c>
      <c r="T2352" s="27" t="str">
        <f aca="false">IF(S2352=1,COUNTIF($S$2:S2352,1),"")</f>
        <v/>
      </c>
    </row>
    <row r="2353" customFormat="false" ht="15" hidden="false" customHeight="false" outlineLevel="0" collapsed="false">
      <c r="H2353" s="26"/>
      <c r="I2353" s="27" t="str">
        <f aca="false">IF(A2353="","",IF(H2353&lt;&gt;"",UPPER(TRIM(H2353)),IFERROR(CHOOSE(VALUE(E2353)+1,"A","B","C","D"),IF(OR(LEFT(UPPER(TRIM(E2353)),1)="F",UPPER(TRIM(E2353))="A"),"A",IF(OR(LEFT(UPPER(TRIM(E2353)),1)="M",UPPER(TRIM(E2353))="B"),"B",IF(OR(LEFT(UPPER(TRIM(E2353)),2)="SL",UPPER(TRIM(E2353))="C"),"C",IF(OR(LEFT(UPPER(TRIM(E2353)),1)="D",UPPER(TRIM(E2353))="D"),"D","")))))))</f>
        <v/>
      </c>
      <c r="J2353" s="27" t="str">
        <f aca="false">IF(I2353="","",IF(AND(I2353="D",Settings!$B$6&lt;&gt;"Yes"),"",IFERROR(INDEX(Settings!$C$9:$C$12,MATCH(I2353,Settings!$A$9:$A$12,0)),"")))</f>
        <v/>
      </c>
      <c r="K2353" s="27" t="str">
        <f aca="false">IF(J2353="","",COUNTIF($I$2:I2353,I2353))</f>
        <v/>
      </c>
      <c r="L2353" s="27" t="str">
        <f aca="false">IF(J2353="","",CHOOSE(Q2353+1,"Tue","Wed","Thu","Fri"))</f>
        <v/>
      </c>
      <c r="M2353" s="27" t="str">
        <f aca="false">IF(J2353="","",IF(J2353=1,"Every week",R2353+1&amp;" of "&amp;J2353))</f>
        <v/>
      </c>
      <c r="N2353" s="28" t="str">
        <f aca="false">IF(J2353="","",Settings!$B$4+R2353*7+Q2353)</f>
        <v/>
      </c>
      <c r="O2353" s="28" t="str">
        <f aca="true">IF(J2353="","",N2353+MAX(0,ROUNDUP((TODAY()-N2353)/(J2353*7),0))*J2353*7)</f>
        <v/>
      </c>
      <c r="P2353" s="27" t="str">
        <f aca="false">IF(J2353="","",MOD(K2353-1,J2353*4))</f>
        <v/>
      </c>
      <c r="Q2353" s="27" t="str">
        <f aca="false">IF(J2353="","",MOD(P2353,4))</f>
        <v/>
      </c>
      <c r="R2353" s="27" t="str">
        <f aca="false">IF(J2353="","",INT(P2353/4))</f>
        <v/>
      </c>
      <c r="S2353" s="27" t="str">
        <f aca="false">IF(J2353="","",IF(AND('Daily Count Sheet'!$H$3=Q2353,MOD('Daily Count Sheet'!$I$3,J2353)=R2353),1,""))</f>
        <v/>
      </c>
      <c r="T2353" s="27" t="str">
        <f aca="false">IF(S2353=1,COUNTIF($S$2:S2353,1),"")</f>
        <v/>
      </c>
    </row>
    <row r="2354" customFormat="false" ht="15" hidden="false" customHeight="false" outlineLevel="0" collapsed="false">
      <c r="H2354" s="26"/>
      <c r="I2354" s="27" t="str">
        <f aca="false">IF(A2354="","",IF(H2354&lt;&gt;"",UPPER(TRIM(H2354)),IFERROR(CHOOSE(VALUE(E2354)+1,"A","B","C","D"),IF(OR(LEFT(UPPER(TRIM(E2354)),1)="F",UPPER(TRIM(E2354))="A"),"A",IF(OR(LEFT(UPPER(TRIM(E2354)),1)="M",UPPER(TRIM(E2354))="B"),"B",IF(OR(LEFT(UPPER(TRIM(E2354)),2)="SL",UPPER(TRIM(E2354))="C"),"C",IF(OR(LEFT(UPPER(TRIM(E2354)),1)="D",UPPER(TRIM(E2354))="D"),"D","")))))))</f>
        <v/>
      </c>
      <c r="J2354" s="27" t="str">
        <f aca="false">IF(I2354="","",IF(AND(I2354="D",Settings!$B$6&lt;&gt;"Yes"),"",IFERROR(INDEX(Settings!$C$9:$C$12,MATCH(I2354,Settings!$A$9:$A$12,0)),"")))</f>
        <v/>
      </c>
      <c r="K2354" s="27" t="str">
        <f aca="false">IF(J2354="","",COUNTIF($I$2:I2354,I2354))</f>
        <v/>
      </c>
      <c r="L2354" s="27" t="str">
        <f aca="false">IF(J2354="","",CHOOSE(Q2354+1,"Tue","Wed","Thu","Fri"))</f>
        <v/>
      </c>
      <c r="M2354" s="27" t="str">
        <f aca="false">IF(J2354="","",IF(J2354=1,"Every week",R2354+1&amp;" of "&amp;J2354))</f>
        <v/>
      </c>
      <c r="N2354" s="28" t="str">
        <f aca="false">IF(J2354="","",Settings!$B$4+R2354*7+Q2354)</f>
        <v/>
      </c>
      <c r="O2354" s="28" t="str">
        <f aca="true">IF(J2354="","",N2354+MAX(0,ROUNDUP((TODAY()-N2354)/(J2354*7),0))*J2354*7)</f>
        <v/>
      </c>
      <c r="P2354" s="27" t="str">
        <f aca="false">IF(J2354="","",MOD(K2354-1,J2354*4))</f>
        <v/>
      </c>
      <c r="Q2354" s="27" t="str">
        <f aca="false">IF(J2354="","",MOD(P2354,4))</f>
        <v/>
      </c>
      <c r="R2354" s="27" t="str">
        <f aca="false">IF(J2354="","",INT(P2354/4))</f>
        <v/>
      </c>
      <c r="S2354" s="27" t="str">
        <f aca="false">IF(J2354="","",IF(AND('Daily Count Sheet'!$H$3=Q2354,MOD('Daily Count Sheet'!$I$3,J2354)=R2354),1,""))</f>
        <v/>
      </c>
      <c r="T2354" s="27" t="str">
        <f aca="false">IF(S2354=1,COUNTIF($S$2:S2354,1),"")</f>
        <v/>
      </c>
    </row>
    <row r="2355" customFormat="false" ht="15" hidden="false" customHeight="false" outlineLevel="0" collapsed="false">
      <c r="H2355" s="26"/>
      <c r="I2355" s="27" t="str">
        <f aca="false">IF(A2355="","",IF(H2355&lt;&gt;"",UPPER(TRIM(H2355)),IFERROR(CHOOSE(VALUE(E2355)+1,"A","B","C","D"),IF(OR(LEFT(UPPER(TRIM(E2355)),1)="F",UPPER(TRIM(E2355))="A"),"A",IF(OR(LEFT(UPPER(TRIM(E2355)),1)="M",UPPER(TRIM(E2355))="B"),"B",IF(OR(LEFT(UPPER(TRIM(E2355)),2)="SL",UPPER(TRIM(E2355))="C"),"C",IF(OR(LEFT(UPPER(TRIM(E2355)),1)="D",UPPER(TRIM(E2355))="D"),"D","")))))))</f>
        <v/>
      </c>
      <c r="J2355" s="27" t="str">
        <f aca="false">IF(I2355="","",IF(AND(I2355="D",Settings!$B$6&lt;&gt;"Yes"),"",IFERROR(INDEX(Settings!$C$9:$C$12,MATCH(I2355,Settings!$A$9:$A$12,0)),"")))</f>
        <v/>
      </c>
      <c r="K2355" s="27" t="str">
        <f aca="false">IF(J2355="","",COUNTIF($I$2:I2355,I2355))</f>
        <v/>
      </c>
      <c r="L2355" s="27" t="str">
        <f aca="false">IF(J2355="","",CHOOSE(Q2355+1,"Tue","Wed","Thu","Fri"))</f>
        <v/>
      </c>
      <c r="M2355" s="27" t="str">
        <f aca="false">IF(J2355="","",IF(J2355=1,"Every week",R2355+1&amp;" of "&amp;J2355))</f>
        <v/>
      </c>
      <c r="N2355" s="28" t="str">
        <f aca="false">IF(J2355="","",Settings!$B$4+R2355*7+Q2355)</f>
        <v/>
      </c>
      <c r="O2355" s="28" t="str">
        <f aca="true">IF(J2355="","",N2355+MAX(0,ROUNDUP((TODAY()-N2355)/(J2355*7),0))*J2355*7)</f>
        <v/>
      </c>
      <c r="P2355" s="27" t="str">
        <f aca="false">IF(J2355="","",MOD(K2355-1,J2355*4))</f>
        <v/>
      </c>
      <c r="Q2355" s="27" t="str">
        <f aca="false">IF(J2355="","",MOD(P2355,4))</f>
        <v/>
      </c>
      <c r="R2355" s="27" t="str">
        <f aca="false">IF(J2355="","",INT(P2355/4))</f>
        <v/>
      </c>
      <c r="S2355" s="27" t="str">
        <f aca="false">IF(J2355="","",IF(AND('Daily Count Sheet'!$H$3=Q2355,MOD('Daily Count Sheet'!$I$3,J2355)=R2355),1,""))</f>
        <v/>
      </c>
      <c r="T2355" s="27" t="str">
        <f aca="false">IF(S2355=1,COUNTIF($S$2:S2355,1),"")</f>
        <v/>
      </c>
    </row>
    <row r="2356" customFormat="false" ht="15" hidden="false" customHeight="false" outlineLevel="0" collapsed="false">
      <c r="H2356" s="26"/>
      <c r="I2356" s="27" t="str">
        <f aca="false">IF(A2356="","",IF(H2356&lt;&gt;"",UPPER(TRIM(H2356)),IFERROR(CHOOSE(VALUE(E2356)+1,"A","B","C","D"),IF(OR(LEFT(UPPER(TRIM(E2356)),1)="F",UPPER(TRIM(E2356))="A"),"A",IF(OR(LEFT(UPPER(TRIM(E2356)),1)="M",UPPER(TRIM(E2356))="B"),"B",IF(OR(LEFT(UPPER(TRIM(E2356)),2)="SL",UPPER(TRIM(E2356))="C"),"C",IF(OR(LEFT(UPPER(TRIM(E2356)),1)="D",UPPER(TRIM(E2356))="D"),"D","")))))))</f>
        <v/>
      </c>
      <c r="J2356" s="27" t="str">
        <f aca="false">IF(I2356="","",IF(AND(I2356="D",Settings!$B$6&lt;&gt;"Yes"),"",IFERROR(INDEX(Settings!$C$9:$C$12,MATCH(I2356,Settings!$A$9:$A$12,0)),"")))</f>
        <v/>
      </c>
      <c r="K2356" s="27" t="str">
        <f aca="false">IF(J2356="","",COUNTIF($I$2:I2356,I2356))</f>
        <v/>
      </c>
      <c r="L2356" s="27" t="str">
        <f aca="false">IF(J2356="","",CHOOSE(Q2356+1,"Tue","Wed","Thu","Fri"))</f>
        <v/>
      </c>
      <c r="M2356" s="27" t="str">
        <f aca="false">IF(J2356="","",IF(J2356=1,"Every week",R2356+1&amp;" of "&amp;J2356))</f>
        <v/>
      </c>
      <c r="N2356" s="28" t="str">
        <f aca="false">IF(J2356="","",Settings!$B$4+R2356*7+Q2356)</f>
        <v/>
      </c>
      <c r="O2356" s="28" t="str">
        <f aca="true">IF(J2356="","",N2356+MAX(0,ROUNDUP((TODAY()-N2356)/(J2356*7),0))*J2356*7)</f>
        <v/>
      </c>
      <c r="P2356" s="27" t="str">
        <f aca="false">IF(J2356="","",MOD(K2356-1,J2356*4))</f>
        <v/>
      </c>
      <c r="Q2356" s="27" t="str">
        <f aca="false">IF(J2356="","",MOD(P2356,4))</f>
        <v/>
      </c>
      <c r="R2356" s="27" t="str">
        <f aca="false">IF(J2356="","",INT(P2356/4))</f>
        <v/>
      </c>
      <c r="S2356" s="27" t="str">
        <f aca="false">IF(J2356="","",IF(AND('Daily Count Sheet'!$H$3=Q2356,MOD('Daily Count Sheet'!$I$3,J2356)=R2356),1,""))</f>
        <v/>
      </c>
      <c r="T2356" s="27" t="str">
        <f aca="false">IF(S2356=1,COUNTIF($S$2:S2356,1),"")</f>
        <v/>
      </c>
    </row>
    <row r="2357" customFormat="false" ht="15" hidden="false" customHeight="false" outlineLevel="0" collapsed="false">
      <c r="H2357" s="26"/>
      <c r="I2357" s="27" t="str">
        <f aca="false">IF(A2357="","",IF(H2357&lt;&gt;"",UPPER(TRIM(H2357)),IFERROR(CHOOSE(VALUE(E2357)+1,"A","B","C","D"),IF(OR(LEFT(UPPER(TRIM(E2357)),1)="F",UPPER(TRIM(E2357))="A"),"A",IF(OR(LEFT(UPPER(TRIM(E2357)),1)="M",UPPER(TRIM(E2357))="B"),"B",IF(OR(LEFT(UPPER(TRIM(E2357)),2)="SL",UPPER(TRIM(E2357))="C"),"C",IF(OR(LEFT(UPPER(TRIM(E2357)),1)="D",UPPER(TRIM(E2357))="D"),"D","")))))))</f>
        <v/>
      </c>
      <c r="J2357" s="27" t="str">
        <f aca="false">IF(I2357="","",IF(AND(I2357="D",Settings!$B$6&lt;&gt;"Yes"),"",IFERROR(INDEX(Settings!$C$9:$C$12,MATCH(I2357,Settings!$A$9:$A$12,0)),"")))</f>
        <v/>
      </c>
      <c r="K2357" s="27" t="str">
        <f aca="false">IF(J2357="","",COUNTIF($I$2:I2357,I2357))</f>
        <v/>
      </c>
      <c r="L2357" s="27" t="str">
        <f aca="false">IF(J2357="","",CHOOSE(Q2357+1,"Tue","Wed","Thu","Fri"))</f>
        <v/>
      </c>
      <c r="M2357" s="27" t="str">
        <f aca="false">IF(J2357="","",IF(J2357=1,"Every week",R2357+1&amp;" of "&amp;J2357))</f>
        <v/>
      </c>
      <c r="N2357" s="28" t="str">
        <f aca="false">IF(J2357="","",Settings!$B$4+R2357*7+Q2357)</f>
        <v/>
      </c>
      <c r="O2357" s="28" t="str">
        <f aca="true">IF(J2357="","",N2357+MAX(0,ROUNDUP((TODAY()-N2357)/(J2357*7),0))*J2357*7)</f>
        <v/>
      </c>
      <c r="P2357" s="27" t="str">
        <f aca="false">IF(J2357="","",MOD(K2357-1,J2357*4))</f>
        <v/>
      </c>
      <c r="Q2357" s="27" t="str">
        <f aca="false">IF(J2357="","",MOD(P2357,4))</f>
        <v/>
      </c>
      <c r="R2357" s="27" t="str">
        <f aca="false">IF(J2357="","",INT(P2357/4))</f>
        <v/>
      </c>
      <c r="S2357" s="27" t="str">
        <f aca="false">IF(J2357="","",IF(AND('Daily Count Sheet'!$H$3=Q2357,MOD('Daily Count Sheet'!$I$3,J2357)=R2357),1,""))</f>
        <v/>
      </c>
      <c r="T2357" s="27" t="str">
        <f aca="false">IF(S2357=1,COUNTIF($S$2:S2357,1),"")</f>
        <v/>
      </c>
    </row>
    <row r="2358" customFormat="false" ht="15" hidden="false" customHeight="false" outlineLevel="0" collapsed="false">
      <c r="H2358" s="26"/>
      <c r="I2358" s="27" t="str">
        <f aca="false">IF(A2358="","",IF(H2358&lt;&gt;"",UPPER(TRIM(H2358)),IFERROR(CHOOSE(VALUE(E2358)+1,"A","B","C","D"),IF(OR(LEFT(UPPER(TRIM(E2358)),1)="F",UPPER(TRIM(E2358))="A"),"A",IF(OR(LEFT(UPPER(TRIM(E2358)),1)="M",UPPER(TRIM(E2358))="B"),"B",IF(OR(LEFT(UPPER(TRIM(E2358)),2)="SL",UPPER(TRIM(E2358))="C"),"C",IF(OR(LEFT(UPPER(TRIM(E2358)),1)="D",UPPER(TRIM(E2358))="D"),"D","")))))))</f>
        <v/>
      </c>
      <c r="J2358" s="27" t="str">
        <f aca="false">IF(I2358="","",IF(AND(I2358="D",Settings!$B$6&lt;&gt;"Yes"),"",IFERROR(INDEX(Settings!$C$9:$C$12,MATCH(I2358,Settings!$A$9:$A$12,0)),"")))</f>
        <v/>
      </c>
      <c r="K2358" s="27" t="str">
        <f aca="false">IF(J2358="","",COUNTIF($I$2:I2358,I2358))</f>
        <v/>
      </c>
      <c r="L2358" s="27" t="str">
        <f aca="false">IF(J2358="","",CHOOSE(Q2358+1,"Tue","Wed","Thu","Fri"))</f>
        <v/>
      </c>
      <c r="M2358" s="27" t="str">
        <f aca="false">IF(J2358="","",IF(J2358=1,"Every week",R2358+1&amp;" of "&amp;J2358))</f>
        <v/>
      </c>
      <c r="N2358" s="28" t="str">
        <f aca="false">IF(J2358="","",Settings!$B$4+R2358*7+Q2358)</f>
        <v/>
      </c>
      <c r="O2358" s="28" t="str">
        <f aca="true">IF(J2358="","",N2358+MAX(0,ROUNDUP((TODAY()-N2358)/(J2358*7),0))*J2358*7)</f>
        <v/>
      </c>
      <c r="P2358" s="27" t="str">
        <f aca="false">IF(J2358="","",MOD(K2358-1,J2358*4))</f>
        <v/>
      </c>
      <c r="Q2358" s="27" t="str">
        <f aca="false">IF(J2358="","",MOD(P2358,4))</f>
        <v/>
      </c>
      <c r="R2358" s="27" t="str">
        <f aca="false">IF(J2358="","",INT(P2358/4))</f>
        <v/>
      </c>
      <c r="S2358" s="27" t="str">
        <f aca="false">IF(J2358="","",IF(AND('Daily Count Sheet'!$H$3=Q2358,MOD('Daily Count Sheet'!$I$3,J2358)=R2358),1,""))</f>
        <v/>
      </c>
      <c r="T2358" s="27" t="str">
        <f aca="false">IF(S2358=1,COUNTIF($S$2:S2358,1),"")</f>
        <v/>
      </c>
    </row>
    <row r="2359" customFormat="false" ht="15" hidden="false" customHeight="false" outlineLevel="0" collapsed="false">
      <c r="H2359" s="26"/>
      <c r="I2359" s="27" t="str">
        <f aca="false">IF(A2359="","",IF(H2359&lt;&gt;"",UPPER(TRIM(H2359)),IFERROR(CHOOSE(VALUE(E2359)+1,"A","B","C","D"),IF(OR(LEFT(UPPER(TRIM(E2359)),1)="F",UPPER(TRIM(E2359))="A"),"A",IF(OR(LEFT(UPPER(TRIM(E2359)),1)="M",UPPER(TRIM(E2359))="B"),"B",IF(OR(LEFT(UPPER(TRIM(E2359)),2)="SL",UPPER(TRIM(E2359))="C"),"C",IF(OR(LEFT(UPPER(TRIM(E2359)),1)="D",UPPER(TRIM(E2359))="D"),"D","")))))))</f>
        <v/>
      </c>
      <c r="J2359" s="27" t="str">
        <f aca="false">IF(I2359="","",IF(AND(I2359="D",Settings!$B$6&lt;&gt;"Yes"),"",IFERROR(INDEX(Settings!$C$9:$C$12,MATCH(I2359,Settings!$A$9:$A$12,0)),"")))</f>
        <v/>
      </c>
      <c r="K2359" s="27" t="str">
        <f aca="false">IF(J2359="","",COUNTIF($I$2:I2359,I2359))</f>
        <v/>
      </c>
      <c r="L2359" s="27" t="str">
        <f aca="false">IF(J2359="","",CHOOSE(Q2359+1,"Tue","Wed","Thu","Fri"))</f>
        <v/>
      </c>
      <c r="M2359" s="27" t="str">
        <f aca="false">IF(J2359="","",IF(J2359=1,"Every week",R2359+1&amp;" of "&amp;J2359))</f>
        <v/>
      </c>
      <c r="N2359" s="28" t="str">
        <f aca="false">IF(J2359="","",Settings!$B$4+R2359*7+Q2359)</f>
        <v/>
      </c>
      <c r="O2359" s="28" t="str">
        <f aca="true">IF(J2359="","",N2359+MAX(0,ROUNDUP((TODAY()-N2359)/(J2359*7),0))*J2359*7)</f>
        <v/>
      </c>
      <c r="P2359" s="27" t="str">
        <f aca="false">IF(J2359="","",MOD(K2359-1,J2359*4))</f>
        <v/>
      </c>
      <c r="Q2359" s="27" t="str">
        <f aca="false">IF(J2359="","",MOD(P2359,4))</f>
        <v/>
      </c>
      <c r="R2359" s="27" t="str">
        <f aca="false">IF(J2359="","",INT(P2359/4))</f>
        <v/>
      </c>
      <c r="S2359" s="27" t="str">
        <f aca="false">IF(J2359="","",IF(AND('Daily Count Sheet'!$H$3=Q2359,MOD('Daily Count Sheet'!$I$3,J2359)=R2359),1,""))</f>
        <v/>
      </c>
      <c r="T2359" s="27" t="str">
        <f aca="false">IF(S2359=1,COUNTIF($S$2:S2359,1),"")</f>
        <v/>
      </c>
    </row>
    <row r="2360" customFormat="false" ht="15" hidden="false" customHeight="false" outlineLevel="0" collapsed="false">
      <c r="H2360" s="26"/>
      <c r="I2360" s="27" t="str">
        <f aca="false">IF(A2360="","",IF(H2360&lt;&gt;"",UPPER(TRIM(H2360)),IFERROR(CHOOSE(VALUE(E2360)+1,"A","B","C","D"),IF(OR(LEFT(UPPER(TRIM(E2360)),1)="F",UPPER(TRIM(E2360))="A"),"A",IF(OR(LEFT(UPPER(TRIM(E2360)),1)="M",UPPER(TRIM(E2360))="B"),"B",IF(OR(LEFT(UPPER(TRIM(E2360)),2)="SL",UPPER(TRIM(E2360))="C"),"C",IF(OR(LEFT(UPPER(TRIM(E2360)),1)="D",UPPER(TRIM(E2360))="D"),"D","")))))))</f>
        <v/>
      </c>
      <c r="J2360" s="27" t="str">
        <f aca="false">IF(I2360="","",IF(AND(I2360="D",Settings!$B$6&lt;&gt;"Yes"),"",IFERROR(INDEX(Settings!$C$9:$C$12,MATCH(I2360,Settings!$A$9:$A$12,0)),"")))</f>
        <v/>
      </c>
      <c r="K2360" s="27" t="str">
        <f aca="false">IF(J2360="","",COUNTIF($I$2:I2360,I2360))</f>
        <v/>
      </c>
      <c r="L2360" s="27" t="str">
        <f aca="false">IF(J2360="","",CHOOSE(Q2360+1,"Tue","Wed","Thu","Fri"))</f>
        <v/>
      </c>
      <c r="M2360" s="27" t="str">
        <f aca="false">IF(J2360="","",IF(J2360=1,"Every week",R2360+1&amp;" of "&amp;J2360))</f>
        <v/>
      </c>
      <c r="N2360" s="28" t="str">
        <f aca="false">IF(J2360="","",Settings!$B$4+R2360*7+Q2360)</f>
        <v/>
      </c>
      <c r="O2360" s="28" t="str">
        <f aca="true">IF(J2360="","",N2360+MAX(0,ROUNDUP((TODAY()-N2360)/(J2360*7),0))*J2360*7)</f>
        <v/>
      </c>
      <c r="P2360" s="27" t="str">
        <f aca="false">IF(J2360="","",MOD(K2360-1,J2360*4))</f>
        <v/>
      </c>
      <c r="Q2360" s="27" t="str">
        <f aca="false">IF(J2360="","",MOD(P2360,4))</f>
        <v/>
      </c>
      <c r="R2360" s="27" t="str">
        <f aca="false">IF(J2360="","",INT(P2360/4))</f>
        <v/>
      </c>
      <c r="S2360" s="27" t="str">
        <f aca="false">IF(J2360="","",IF(AND('Daily Count Sheet'!$H$3=Q2360,MOD('Daily Count Sheet'!$I$3,J2360)=R2360),1,""))</f>
        <v/>
      </c>
      <c r="T2360" s="27" t="str">
        <f aca="false">IF(S2360=1,COUNTIF($S$2:S2360,1),"")</f>
        <v/>
      </c>
    </row>
    <row r="2361" customFormat="false" ht="15" hidden="false" customHeight="false" outlineLevel="0" collapsed="false">
      <c r="H2361" s="26"/>
      <c r="I2361" s="27" t="str">
        <f aca="false">IF(A2361="","",IF(H2361&lt;&gt;"",UPPER(TRIM(H2361)),IFERROR(CHOOSE(VALUE(E2361)+1,"A","B","C","D"),IF(OR(LEFT(UPPER(TRIM(E2361)),1)="F",UPPER(TRIM(E2361))="A"),"A",IF(OR(LEFT(UPPER(TRIM(E2361)),1)="M",UPPER(TRIM(E2361))="B"),"B",IF(OR(LEFT(UPPER(TRIM(E2361)),2)="SL",UPPER(TRIM(E2361))="C"),"C",IF(OR(LEFT(UPPER(TRIM(E2361)),1)="D",UPPER(TRIM(E2361))="D"),"D","")))))))</f>
        <v/>
      </c>
      <c r="J2361" s="27" t="str">
        <f aca="false">IF(I2361="","",IF(AND(I2361="D",Settings!$B$6&lt;&gt;"Yes"),"",IFERROR(INDEX(Settings!$C$9:$C$12,MATCH(I2361,Settings!$A$9:$A$12,0)),"")))</f>
        <v/>
      </c>
      <c r="K2361" s="27" t="str">
        <f aca="false">IF(J2361="","",COUNTIF($I$2:I2361,I2361))</f>
        <v/>
      </c>
      <c r="L2361" s="27" t="str">
        <f aca="false">IF(J2361="","",CHOOSE(Q2361+1,"Tue","Wed","Thu","Fri"))</f>
        <v/>
      </c>
      <c r="M2361" s="27" t="str">
        <f aca="false">IF(J2361="","",IF(J2361=1,"Every week",R2361+1&amp;" of "&amp;J2361))</f>
        <v/>
      </c>
      <c r="N2361" s="28" t="str">
        <f aca="false">IF(J2361="","",Settings!$B$4+R2361*7+Q2361)</f>
        <v/>
      </c>
      <c r="O2361" s="28" t="str">
        <f aca="true">IF(J2361="","",N2361+MAX(0,ROUNDUP((TODAY()-N2361)/(J2361*7),0))*J2361*7)</f>
        <v/>
      </c>
      <c r="P2361" s="27" t="str">
        <f aca="false">IF(J2361="","",MOD(K2361-1,J2361*4))</f>
        <v/>
      </c>
      <c r="Q2361" s="27" t="str">
        <f aca="false">IF(J2361="","",MOD(P2361,4))</f>
        <v/>
      </c>
      <c r="R2361" s="27" t="str">
        <f aca="false">IF(J2361="","",INT(P2361/4))</f>
        <v/>
      </c>
      <c r="S2361" s="27" t="str">
        <f aca="false">IF(J2361="","",IF(AND('Daily Count Sheet'!$H$3=Q2361,MOD('Daily Count Sheet'!$I$3,J2361)=R2361),1,""))</f>
        <v/>
      </c>
      <c r="T2361" s="27" t="str">
        <f aca="false">IF(S2361=1,COUNTIF($S$2:S2361,1),"")</f>
        <v/>
      </c>
    </row>
    <row r="2362" customFormat="false" ht="15" hidden="false" customHeight="false" outlineLevel="0" collapsed="false">
      <c r="H2362" s="26"/>
      <c r="I2362" s="27" t="str">
        <f aca="false">IF(A2362="","",IF(H2362&lt;&gt;"",UPPER(TRIM(H2362)),IFERROR(CHOOSE(VALUE(E2362)+1,"A","B","C","D"),IF(OR(LEFT(UPPER(TRIM(E2362)),1)="F",UPPER(TRIM(E2362))="A"),"A",IF(OR(LEFT(UPPER(TRIM(E2362)),1)="M",UPPER(TRIM(E2362))="B"),"B",IF(OR(LEFT(UPPER(TRIM(E2362)),2)="SL",UPPER(TRIM(E2362))="C"),"C",IF(OR(LEFT(UPPER(TRIM(E2362)),1)="D",UPPER(TRIM(E2362))="D"),"D","")))))))</f>
        <v/>
      </c>
      <c r="J2362" s="27" t="str">
        <f aca="false">IF(I2362="","",IF(AND(I2362="D",Settings!$B$6&lt;&gt;"Yes"),"",IFERROR(INDEX(Settings!$C$9:$C$12,MATCH(I2362,Settings!$A$9:$A$12,0)),"")))</f>
        <v/>
      </c>
      <c r="K2362" s="27" t="str">
        <f aca="false">IF(J2362="","",COUNTIF($I$2:I2362,I2362))</f>
        <v/>
      </c>
      <c r="L2362" s="27" t="str">
        <f aca="false">IF(J2362="","",CHOOSE(Q2362+1,"Tue","Wed","Thu","Fri"))</f>
        <v/>
      </c>
      <c r="M2362" s="27" t="str">
        <f aca="false">IF(J2362="","",IF(J2362=1,"Every week",R2362+1&amp;" of "&amp;J2362))</f>
        <v/>
      </c>
      <c r="N2362" s="28" t="str">
        <f aca="false">IF(J2362="","",Settings!$B$4+R2362*7+Q2362)</f>
        <v/>
      </c>
      <c r="O2362" s="28" t="str">
        <f aca="true">IF(J2362="","",N2362+MAX(0,ROUNDUP((TODAY()-N2362)/(J2362*7),0))*J2362*7)</f>
        <v/>
      </c>
      <c r="P2362" s="27" t="str">
        <f aca="false">IF(J2362="","",MOD(K2362-1,J2362*4))</f>
        <v/>
      </c>
      <c r="Q2362" s="27" t="str">
        <f aca="false">IF(J2362="","",MOD(P2362,4))</f>
        <v/>
      </c>
      <c r="R2362" s="27" t="str">
        <f aca="false">IF(J2362="","",INT(P2362/4))</f>
        <v/>
      </c>
      <c r="S2362" s="27" t="str">
        <f aca="false">IF(J2362="","",IF(AND('Daily Count Sheet'!$H$3=Q2362,MOD('Daily Count Sheet'!$I$3,J2362)=R2362),1,""))</f>
        <v/>
      </c>
      <c r="T2362" s="27" t="str">
        <f aca="false">IF(S2362=1,COUNTIF($S$2:S2362,1),"")</f>
        <v/>
      </c>
    </row>
    <row r="2363" customFormat="false" ht="15" hidden="false" customHeight="false" outlineLevel="0" collapsed="false">
      <c r="H2363" s="26"/>
      <c r="I2363" s="27" t="str">
        <f aca="false">IF(A2363="","",IF(H2363&lt;&gt;"",UPPER(TRIM(H2363)),IFERROR(CHOOSE(VALUE(E2363)+1,"A","B","C","D"),IF(OR(LEFT(UPPER(TRIM(E2363)),1)="F",UPPER(TRIM(E2363))="A"),"A",IF(OR(LEFT(UPPER(TRIM(E2363)),1)="M",UPPER(TRIM(E2363))="B"),"B",IF(OR(LEFT(UPPER(TRIM(E2363)),2)="SL",UPPER(TRIM(E2363))="C"),"C",IF(OR(LEFT(UPPER(TRIM(E2363)),1)="D",UPPER(TRIM(E2363))="D"),"D","")))))))</f>
        <v/>
      </c>
      <c r="J2363" s="27" t="str">
        <f aca="false">IF(I2363="","",IF(AND(I2363="D",Settings!$B$6&lt;&gt;"Yes"),"",IFERROR(INDEX(Settings!$C$9:$C$12,MATCH(I2363,Settings!$A$9:$A$12,0)),"")))</f>
        <v/>
      </c>
      <c r="K2363" s="27" t="str">
        <f aca="false">IF(J2363="","",COUNTIF($I$2:I2363,I2363))</f>
        <v/>
      </c>
      <c r="L2363" s="27" t="str">
        <f aca="false">IF(J2363="","",CHOOSE(Q2363+1,"Tue","Wed","Thu","Fri"))</f>
        <v/>
      </c>
      <c r="M2363" s="27" t="str">
        <f aca="false">IF(J2363="","",IF(J2363=1,"Every week",R2363+1&amp;" of "&amp;J2363))</f>
        <v/>
      </c>
      <c r="N2363" s="28" t="str">
        <f aca="false">IF(J2363="","",Settings!$B$4+R2363*7+Q2363)</f>
        <v/>
      </c>
      <c r="O2363" s="28" t="str">
        <f aca="true">IF(J2363="","",N2363+MAX(0,ROUNDUP((TODAY()-N2363)/(J2363*7),0))*J2363*7)</f>
        <v/>
      </c>
      <c r="P2363" s="27" t="str">
        <f aca="false">IF(J2363="","",MOD(K2363-1,J2363*4))</f>
        <v/>
      </c>
      <c r="Q2363" s="27" t="str">
        <f aca="false">IF(J2363="","",MOD(P2363,4))</f>
        <v/>
      </c>
      <c r="R2363" s="27" t="str">
        <f aca="false">IF(J2363="","",INT(P2363/4))</f>
        <v/>
      </c>
      <c r="S2363" s="27" t="str">
        <f aca="false">IF(J2363="","",IF(AND('Daily Count Sheet'!$H$3=Q2363,MOD('Daily Count Sheet'!$I$3,J2363)=R2363),1,""))</f>
        <v/>
      </c>
      <c r="T2363" s="27" t="str">
        <f aca="false">IF(S2363=1,COUNTIF($S$2:S2363,1),"")</f>
        <v/>
      </c>
    </row>
    <row r="2364" customFormat="false" ht="15" hidden="false" customHeight="false" outlineLevel="0" collapsed="false">
      <c r="H2364" s="26"/>
      <c r="I2364" s="27" t="str">
        <f aca="false">IF(A2364="","",IF(H2364&lt;&gt;"",UPPER(TRIM(H2364)),IFERROR(CHOOSE(VALUE(E2364)+1,"A","B","C","D"),IF(OR(LEFT(UPPER(TRIM(E2364)),1)="F",UPPER(TRIM(E2364))="A"),"A",IF(OR(LEFT(UPPER(TRIM(E2364)),1)="M",UPPER(TRIM(E2364))="B"),"B",IF(OR(LEFT(UPPER(TRIM(E2364)),2)="SL",UPPER(TRIM(E2364))="C"),"C",IF(OR(LEFT(UPPER(TRIM(E2364)),1)="D",UPPER(TRIM(E2364))="D"),"D","")))))))</f>
        <v/>
      </c>
      <c r="J2364" s="27" t="str">
        <f aca="false">IF(I2364="","",IF(AND(I2364="D",Settings!$B$6&lt;&gt;"Yes"),"",IFERROR(INDEX(Settings!$C$9:$C$12,MATCH(I2364,Settings!$A$9:$A$12,0)),"")))</f>
        <v/>
      </c>
      <c r="K2364" s="27" t="str">
        <f aca="false">IF(J2364="","",COUNTIF($I$2:I2364,I2364))</f>
        <v/>
      </c>
      <c r="L2364" s="27" t="str">
        <f aca="false">IF(J2364="","",CHOOSE(Q2364+1,"Tue","Wed","Thu","Fri"))</f>
        <v/>
      </c>
      <c r="M2364" s="27" t="str">
        <f aca="false">IF(J2364="","",IF(J2364=1,"Every week",R2364+1&amp;" of "&amp;J2364))</f>
        <v/>
      </c>
      <c r="N2364" s="28" t="str">
        <f aca="false">IF(J2364="","",Settings!$B$4+R2364*7+Q2364)</f>
        <v/>
      </c>
      <c r="O2364" s="28" t="str">
        <f aca="true">IF(J2364="","",N2364+MAX(0,ROUNDUP((TODAY()-N2364)/(J2364*7),0))*J2364*7)</f>
        <v/>
      </c>
      <c r="P2364" s="27" t="str">
        <f aca="false">IF(J2364="","",MOD(K2364-1,J2364*4))</f>
        <v/>
      </c>
      <c r="Q2364" s="27" t="str">
        <f aca="false">IF(J2364="","",MOD(P2364,4))</f>
        <v/>
      </c>
      <c r="R2364" s="27" t="str">
        <f aca="false">IF(J2364="","",INT(P2364/4))</f>
        <v/>
      </c>
      <c r="S2364" s="27" t="str">
        <f aca="false">IF(J2364="","",IF(AND('Daily Count Sheet'!$H$3=Q2364,MOD('Daily Count Sheet'!$I$3,J2364)=R2364),1,""))</f>
        <v/>
      </c>
      <c r="T2364" s="27" t="str">
        <f aca="false">IF(S2364=1,COUNTIF($S$2:S2364,1),"")</f>
        <v/>
      </c>
    </row>
    <row r="2365" customFormat="false" ht="15" hidden="false" customHeight="false" outlineLevel="0" collapsed="false">
      <c r="H2365" s="26"/>
      <c r="I2365" s="27" t="str">
        <f aca="false">IF(A2365="","",IF(H2365&lt;&gt;"",UPPER(TRIM(H2365)),IFERROR(CHOOSE(VALUE(E2365)+1,"A","B","C","D"),IF(OR(LEFT(UPPER(TRIM(E2365)),1)="F",UPPER(TRIM(E2365))="A"),"A",IF(OR(LEFT(UPPER(TRIM(E2365)),1)="M",UPPER(TRIM(E2365))="B"),"B",IF(OR(LEFT(UPPER(TRIM(E2365)),2)="SL",UPPER(TRIM(E2365))="C"),"C",IF(OR(LEFT(UPPER(TRIM(E2365)),1)="D",UPPER(TRIM(E2365))="D"),"D","")))))))</f>
        <v/>
      </c>
      <c r="J2365" s="27" t="str">
        <f aca="false">IF(I2365="","",IF(AND(I2365="D",Settings!$B$6&lt;&gt;"Yes"),"",IFERROR(INDEX(Settings!$C$9:$C$12,MATCH(I2365,Settings!$A$9:$A$12,0)),"")))</f>
        <v/>
      </c>
      <c r="K2365" s="27" t="str">
        <f aca="false">IF(J2365="","",COUNTIF($I$2:I2365,I2365))</f>
        <v/>
      </c>
      <c r="L2365" s="27" t="str">
        <f aca="false">IF(J2365="","",CHOOSE(Q2365+1,"Tue","Wed","Thu","Fri"))</f>
        <v/>
      </c>
      <c r="M2365" s="27" t="str">
        <f aca="false">IF(J2365="","",IF(J2365=1,"Every week",R2365+1&amp;" of "&amp;J2365))</f>
        <v/>
      </c>
      <c r="N2365" s="28" t="str">
        <f aca="false">IF(J2365="","",Settings!$B$4+R2365*7+Q2365)</f>
        <v/>
      </c>
      <c r="O2365" s="28" t="str">
        <f aca="true">IF(J2365="","",N2365+MAX(0,ROUNDUP((TODAY()-N2365)/(J2365*7),0))*J2365*7)</f>
        <v/>
      </c>
      <c r="P2365" s="27" t="str">
        <f aca="false">IF(J2365="","",MOD(K2365-1,J2365*4))</f>
        <v/>
      </c>
      <c r="Q2365" s="27" t="str">
        <f aca="false">IF(J2365="","",MOD(P2365,4))</f>
        <v/>
      </c>
      <c r="R2365" s="27" t="str">
        <f aca="false">IF(J2365="","",INT(P2365/4))</f>
        <v/>
      </c>
      <c r="S2365" s="27" t="str">
        <f aca="false">IF(J2365="","",IF(AND('Daily Count Sheet'!$H$3=Q2365,MOD('Daily Count Sheet'!$I$3,J2365)=R2365),1,""))</f>
        <v/>
      </c>
      <c r="T2365" s="27" t="str">
        <f aca="false">IF(S2365=1,COUNTIF($S$2:S2365,1),"")</f>
        <v/>
      </c>
    </row>
    <row r="2366" customFormat="false" ht="15" hidden="false" customHeight="false" outlineLevel="0" collapsed="false">
      <c r="H2366" s="26"/>
      <c r="I2366" s="27" t="str">
        <f aca="false">IF(A2366="","",IF(H2366&lt;&gt;"",UPPER(TRIM(H2366)),IFERROR(CHOOSE(VALUE(E2366)+1,"A","B","C","D"),IF(OR(LEFT(UPPER(TRIM(E2366)),1)="F",UPPER(TRIM(E2366))="A"),"A",IF(OR(LEFT(UPPER(TRIM(E2366)),1)="M",UPPER(TRIM(E2366))="B"),"B",IF(OR(LEFT(UPPER(TRIM(E2366)),2)="SL",UPPER(TRIM(E2366))="C"),"C",IF(OR(LEFT(UPPER(TRIM(E2366)),1)="D",UPPER(TRIM(E2366))="D"),"D","")))))))</f>
        <v/>
      </c>
      <c r="J2366" s="27" t="str">
        <f aca="false">IF(I2366="","",IF(AND(I2366="D",Settings!$B$6&lt;&gt;"Yes"),"",IFERROR(INDEX(Settings!$C$9:$C$12,MATCH(I2366,Settings!$A$9:$A$12,0)),"")))</f>
        <v/>
      </c>
      <c r="K2366" s="27" t="str">
        <f aca="false">IF(J2366="","",COUNTIF($I$2:I2366,I2366))</f>
        <v/>
      </c>
      <c r="L2366" s="27" t="str">
        <f aca="false">IF(J2366="","",CHOOSE(Q2366+1,"Tue","Wed","Thu","Fri"))</f>
        <v/>
      </c>
      <c r="M2366" s="27" t="str">
        <f aca="false">IF(J2366="","",IF(J2366=1,"Every week",R2366+1&amp;" of "&amp;J2366))</f>
        <v/>
      </c>
      <c r="N2366" s="28" t="str">
        <f aca="false">IF(J2366="","",Settings!$B$4+R2366*7+Q2366)</f>
        <v/>
      </c>
      <c r="O2366" s="28" t="str">
        <f aca="true">IF(J2366="","",N2366+MAX(0,ROUNDUP((TODAY()-N2366)/(J2366*7),0))*J2366*7)</f>
        <v/>
      </c>
      <c r="P2366" s="27" t="str">
        <f aca="false">IF(J2366="","",MOD(K2366-1,J2366*4))</f>
        <v/>
      </c>
      <c r="Q2366" s="27" t="str">
        <f aca="false">IF(J2366="","",MOD(P2366,4))</f>
        <v/>
      </c>
      <c r="R2366" s="27" t="str">
        <f aca="false">IF(J2366="","",INT(P2366/4))</f>
        <v/>
      </c>
      <c r="S2366" s="27" t="str">
        <f aca="false">IF(J2366="","",IF(AND('Daily Count Sheet'!$H$3=Q2366,MOD('Daily Count Sheet'!$I$3,J2366)=R2366),1,""))</f>
        <v/>
      </c>
      <c r="T2366" s="27" t="str">
        <f aca="false">IF(S2366=1,COUNTIF($S$2:S2366,1),"")</f>
        <v/>
      </c>
    </row>
    <row r="2367" customFormat="false" ht="15" hidden="false" customHeight="false" outlineLevel="0" collapsed="false">
      <c r="H2367" s="26"/>
      <c r="I2367" s="27" t="str">
        <f aca="false">IF(A2367="","",IF(H2367&lt;&gt;"",UPPER(TRIM(H2367)),IFERROR(CHOOSE(VALUE(E2367)+1,"A","B","C","D"),IF(OR(LEFT(UPPER(TRIM(E2367)),1)="F",UPPER(TRIM(E2367))="A"),"A",IF(OR(LEFT(UPPER(TRIM(E2367)),1)="M",UPPER(TRIM(E2367))="B"),"B",IF(OR(LEFT(UPPER(TRIM(E2367)),2)="SL",UPPER(TRIM(E2367))="C"),"C",IF(OR(LEFT(UPPER(TRIM(E2367)),1)="D",UPPER(TRIM(E2367))="D"),"D","")))))))</f>
        <v/>
      </c>
      <c r="J2367" s="27" t="str">
        <f aca="false">IF(I2367="","",IF(AND(I2367="D",Settings!$B$6&lt;&gt;"Yes"),"",IFERROR(INDEX(Settings!$C$9:$C$12,MATCH(I2367,Settings!$A$9:$A$12,0)),"")))</f>
        <v/>
      </c>
      <c r="K2367" s="27" t="str">
        <f aca="false">IF(J2367="","",COUNTIF($I$2:I2367,I2367))</f>
        <v/>
      </c>
      <c r="L2367" s="27" t="str">
        <f aca="false">IF(J2367="","",CHOOSE(Q2367+1,"Tue","Wed","Thu","Fri"))</f>
        <v/>
      </c>
      <c r="M2367" s="27" t="str">
        <f aca="false">IF(J2367="","",IF(J2367=1,"Every week",R2367+1&amp;" of "&amp;J2367))</f>
        <v/>
      </c>
      <c r="N2367" s="28" t="str">
        <f aca="false">IF(J2367="","",Settings!$B$4+R2367*7+Q2367)</f>
        <v/>
      </c>
      <c r="O2367" s="28" t="str">
        <f aca="true">IF(J2367="","",N2367+MAX(0,ROUNDUP((TODAY()-N2367)/(J2367*7),0))*J2367*7)</f>
        <v/>
      </c>
      <c r="P2367" s="27" t="str">
        <f aca="false">IF(J2367="","",MOD(K2367-1,J2367*4))</f>
        <v/>
      </c>
      <c r="Q2367" s="27" t="str">
        <f aca="false">IF(J2367="","",MOD(P2367,4))</f>
        <v/>
      </c>
      <c r="R2367" s="27" t="str">
        <f aca="false">IF(J2367="","",INT(P2367/4))</f>
        <v/>
      </c>
      <c r="S2367" s="27" t="str">
        <f aca="false">IF(J2367="","",IF(AND('Daily Count Sheet'!$H$3=Q2367,MOD('Daily Count Sheet'!$I$3,J2367)=R2367),1,""))</f>
        <v/>
      </c>
      <c r="T2367" s="27" t="str">
        <f aca="false">IF(S2367=1,COUNTIF($S$2:S2367,1),"")</f>
        <v/>
      </c>
    </row>
    <row r="2368" customFormat="false" ht="15" hidden="false" customHeight="false" outlineLevel="0" collapsed="false">
      <c r="H2368" s="26"/>
      <c r="I2368" s="27" t="str">
        <f aca="false">IF(A2368="","",IF(H2368&lt;&gt;"",UPPER(TRIM(H2368)),IFERROR(CHOOSE(VALUE(E2368)+1,"A","B","C","D"),IF(OR(LEFT(UPPER(TRIM(E2368)),1)="F",UPPER(TRIM(E2368))="A"),"A",IF(OR(LEFT(UPPER(TRIM(E2368)),1)="M",UPPER(TRIM(E2368))="B"),"B",IF(OR(LEFT(UPPER(TRIM(E2368)),2)="SL",UPPER(TRIM(E2368))="C"),"C",IF(OR(LEFT(UPPER(TRIM(E2368)),1)="D",UPPER(TRIM(E2368))="D"),"D","")))))))</f>
        <v/>
      </c>
      <c r="J2368" s="27" t="str">
        <f aca="false">IF(I2368="","",IF(AND(I2368="D",Settings!$B$6&lt;&gt;"Yes"),"",IFERROR(INDEX(Settings!$C$9:$C$12,MATCH(I2368,Settings!$A$9:$A$12,0)),"")))</f>
        <v/>
      </c>
      <c r="K2368" s="27" t="str">
        <f aca="false">IF(J2368="","",COUNTIF($I$2:I2368,I2368))</f>
        <v/>
      </c>
      <c r="L2368" s="27" t="str">
        <f aca="false">IF(J2368="","",CHOOSE(Q2368+1,"Tue","Wed","Thu","Fri"))</f>
        <v/>
      </c>
      <c r="M2368" s="27" t="str">
        <f aca="false">IF(J2368="","",IF(J2368=1,"Every week",R2368+1&amp;" of "&amp;J2368))</f>
        <v/>
      </c>
      <c r="N2368" s="28" t="str">
        <f aca="false">IF(J2368="","",Settings!$B$4+R2368*7+Q2368)</f>
        <v/>
      </c>
      <c r="O2368" s="28" t="str">
        <f aca="true">IF(J2368="","",N2368+MAX(0,ROUNDUP((TODAY()-N2368)/(J2368*7),0))*J2368*7)</f>
        <v/>
      </c>
      <c r="P2368" s="27" t="str">
        <f aca="false">IF(J2368="","",MOD(K2368-1,J2368*4))</f>
        <v/>
      </c>
      <c r="Q2368" s="27" t="str">
        <f aca="false">IF(J2368="","",MOD(P2368,4))</f>
        <v/>
      </c>
      <c r="R2368" s="27" t="str">
        <f aca="false">IF(J2368="","",INT(P2368/4))</f>
        <v/>
      </c>
      <c r="S2368" s="27" t="str">
        <f aca="false">IF(J2368="","",IF(AND('Daily Count Sheet'!$H$3=Q2368,MOD('Daily Count Sheet'!$I$3,J2368)=R2368),1,""))</f>
        <v/>
      </c>
      <c r="T2368" s="27" t="str">
        <f aca="false">IF(S2368=1,COUNTIF($S$2:S2368,1),"")</f>
        <v/>
      </c>
    </row>
    <row r="2369" customFormat="false" ht="15" hidden="false" customHeight="false" outlineLevel="0" collapsed="false">
      <c r="H2369" s="26"/>
      <c r="I2369" s="27" t="str">
        <f aca="false">IF(A2369="","",IF(H2369&lt;&gt;"",UPPER(TRIM(H2369)),IFERROR(CHOOSE(VALUE(E2369)+1,"A","B","C","D"),IF(OR(LEFT(UPPER(TRIM(E2369)),1)="F",UPPER(TRIM(E2369))="A"),"A",IF(OR(LEFT(UPPER(TRIM(E2369)),1)="M",UPPER(TRIM(E2369))="B"),"B",IF(OR(LEFT(UPPER(TRIM(E2369)),2)="SL",UPPER(TRIM(E2369))="C"),"C",IF(OR(LEFT(UPPER(TRIM(E2369)),1)="D",UPPER(TRIM(E2369))="D"),"D","")))))))</f>
        <v/>
      </c>
      <c r="J2369" s="27" t="str">
        <f aca="false">IF(I2369="","",IF(AND(I2369="D",Settings!$B$6&lt;&gt;"Yes"),"",IFERROR(INDEX(Settings!$C$9:$C$12,MATCH(I2369,Settings!$A$9:$A$12,0)),"")))</f>
        <v/>
      </c>
      <c r="K2369" s="27" t="str">
        <f aca="false">IF(J2369="","",COUNTIF($I$2:I2369,I2369))</f>
        <v/>
      </c>
      <c r="L2369" s="27" t="str">
        <f aca="false">IF(J2369="","",CHOOSE(Q2369+1,"Tue","Wed","Thu","Fri"))</f>
        <v/>
      </c>
      <c r="M2369" s="27" t="str">
        <f aca="false">IF(J2369="","",IF(J2369=1,"Every week",R2369+1&amp;" of "&amp;J2369))</f>
        <v/>
      </c>
      <c r="N2369" s="28" t="str">
        <f aca="false">IF(J2369="","",Settings!$B$4+R2369*7+Q2369)</f>
        <v/>
      </c>
      <c r="O2369" s="28" t="str">
        <f aca="true">IF(J2369="","",N2369+MAX(0,ROUNDUP((TODAY()-N2369)/(J2369*7),0))*J2369*7)</f>
        <v/>
      </c>
      <c r="P2369" s="27" t="str">
        <f aca="false">IF(J2369="","",MOD(K2369-1,J2369*4))</f>
        <v/>
      </c>
      <c r="Q2369" s="27" t="str">
        <f aca="false">IF(J2369="","",MOD(P2369,4))</f>
        <v/>
      </c>
      <c r="R2369" s="27" t="str">
        <f aca="false">IF(J2369="","",INT(P2369/4))</f>
        <v/>
      </c>
      <c r="S2369" s="27" t="str">
        <f aca="false">IF(J2369="","",IF(AND('Daily Count Sheet'!$H$3=Q2369,MOD('Daily Count Sheet'!$I$3,J2369)=R2369),1,""))</f>
        <v/>
      </c>
      <c r="T2369" s="27" t="str">
        <f aca="false">IF(S2369=1,COUNTIF($S$2:S2369,1),"")</f>
        <v/>
      </c>
    </row>
    <row r="2370" customFormat="false" ht="15" hidden="false" customHeight="false" outlineLevel="0" collapsed="false">
      <c r="H2370" s="26"/>
      <c r="I2370" s="27" t="str">
        <f aca="false">IF(A2370="","",IF(H2370&lt;&gt;"",UPPER(TRIM(H2370)),IFERROR(CHOOSE(VALUE(E2370)+1,"A","B","C","D"),IF(OR(LEFT(UPPER(TRIM(E2370)),1)="F",UPPER(TRIM(E2370))="A"),"A",IF(OR(LEFT(UPPER(TRIM(E2370)),1)="M",UPPER(TRIM(E2370))="B"),"B",IF(OR(LEFT(UPPER(TRIM(E2370)),2)="SL",UPPER(TRIM(E2370))="C"),"C",IF(OR(LEFT(UPPER(TRIM(E2370)),1)="D",UPPER(TRIM(E2370))="D"),"D","")))))))</f>
        <v/>
      </c>
      <c r="J2370" s="27" t="str">
        <f aca="false">IF(I2370="","",IF(AND(I2370="D",Settings!$B$6&lt;&gt;"Yes"),"",IFERROR(INDEX(Settings!$C$9:$C$12,MATCH(I2370,Settings!$A$9:$A$12,0)),"")))</f>
        <v/>
      </c>
      <c r="K2370" s="27" t="str">
        <f aca="false">IF(J2370="","",COUNTIF($I$2:I2370,I2370))</f>
        <v/>
      </c>
      <c r="L2370" s="27" t="str">
        <f aca="false">IF(J2370="","",CHOOSE(Q2370+1,"Tue","Wed","Thu","Fri"))</f>
        <v/>
      </c>
      <c r="M2370" s="27" t="str">
        <f aca="false">IF(J2370="","",IF(J2370=1,"Every week",R2370+1&amp;" of "&amp;J2370))</f>
        <v/>
      </c>
      <c r="N2370" s="28" t="str">
        <f aca="false">IF(J2370="","",Settings!$B$4+R2370*7+Q2370)</f>
        <v/>
      </c>
      <c r="O2370" s="28" t="str">
        <f aca="true">IF(J2370="","",N2370+MAX(0,ROUNDUP((TODAY()-N2370)/(J2370*7),0))*J2370*7)</f>
        <v/>
      </c>
      <c r="P2370" s="27" t="str">
        <f aca="false">IF(J2370="","",MOD(K2370-1,J2370*4))</f>
        <v/>
      </c>
      <c r="Q2370" s="27" t="str">
        <f aca="false">IF(J2370="","",MOD(P2370,4))</f>
        <v/>
      </c>
      <c r="R2370" s="27" t="str">
        <f aca="false">IF(J2370="","",INT(P2370/4))</f>
        <v/>
      </c>
      <c r="S2370" s="27" t="str">
        <f aca="false">IF(J2370="","",IF(AND('Daily Count Sheet'!$H$3=Q2370,MOD('Daily Count Sheet'!$I$3,J2370)=R2370),1,""))</f>
        <v/>
      </c>
      <c r="T2370" s="27" t="str">
        <f aca="false">IF(S2370=1,COUNTIF($S$2:S2370,1),"")</f>
        <v/>
      </c>
    </row>
    <row r="2371" customFormat="false" ht="15" hidden="false" customHeight="false" outlineLevel="0" collapsed="false">
      <c r="H2371" s="26"/>
      <c r="I2371" s="27" t="str">
        <f aca="false">IF(A2371="","",IF(H2371&lt;&gt;"",UPPER(TRIM(H2371)),IFERROR(CHOOSE(VALUE(E2371)+1,"A","B","C","D"),IF(OR(LEFT(UPPER(TRIM(E2371)),1)="F",UPPER(TRIM(E2371))="A"),"A",IF(OR(LEFT(UPPER(TRIM(E2371)),1)="M",UPPER(TRIM(E2371))="B"),"B",IF(OR(LEFT(UPPER(TRIM(E2371)),2)="SL",UPPER(TRIM(E2371))="C"),"C",IF(OR(LEFT(UPPER(TRIM(E2371)),1)="D",UPPER(TRIM(E2371))="D"),"D","")))))))</f>
        <v/>
      </c>
      <c r="J2371" s="27" t="str">
        <f aca="false">IF(I2371="","",IF(AND(I2371="D",Settings!$B$6&lt;&gt;"Yes"),"",IFERROR(INDEX(Settings!$C$9:$C$12,MATCH(I2371,Settings!$A$9:$A$12,0)),"")))</f>
        <v/>
      </c>
      <c r="K2371" s="27" t="str">
        <f aca="false">IF(J2371="","",COUNTIF($I$2:I2371,I2371))</f>
        <v/>
      </c>
      <c r="L2371" s="27" t="str">
        <f aca="false">IF(J2371="","",CHOOSE(Q2371+1,"Tue","Wed","Thu","Fri"))</f>
        <v/>
      </c>
      <c r="M2371" s="27" t="str">
        <f aca="false">IF(J2371="","",IF(J2371=1,"Every week",R2371+1&amp;" of "&amp;J2371))</f>
        <v/>
      </c>
      <c r="N2371" s="28" t="str">
        <f aca="false">IF(J2371="","",Settings!$B$4+R2371*7+Q2371)</f>
        <v/>
      </c>
      <c r="O2371" s="28" t="str">
        <f aca="true">IF(J2371="","",N2371+MAX(0,ROUNDUP((TODAY()-N2371)/(J2371*7),0))*J2371*7)</f>
        <v/>
      </c>
      <c r="P2371" s="27" t="str">
        <f aca="false">IF(J2371="","",MOD(K2371-1,J2371*4))</f>
        <v/>
      </c>
      <c r="Q2371" s="27" t="str">
        <f aca="false">IF(J2371="","",MOD(P2371,4))</f>
        <v/>
      </c>
      <c r="R2371" s="27" t="str">
        <f aca="false">IF(J2371="","",INT(P2371/4))</f>
        <v/>
      </c>
      <c r="S2371" s="27" t="str">
        <f aca="false">IF(J2371="","",IF(AND('Daily Count Sheet'!$H$3=Q2371,MOD('Daily Count Sheet'!$I$3,J2371)=R2371),1,""))</f>
        <v/>
      </c>
      <c r="T2371" s="27" t="str">
        <f aca="false">IF(S2371=1,COUNTIF($S$2:S2371,1),"")</f>
        <v/>
      </c>
    </row>
    <row r="2372" customFormat="false" ht="15" hidden="false" customHeight="false" outlineLevel="0" collapsed="false">
      <c r="H2372" s="26"/>
      <c r="I2372" s="27" t="str">
        <f aca="false">IF(A2372="","",IF(H2372&lt;&gt;"",UPPER(TRIM(H2372)),IFERROR(CHOOSE(VALUE(E2372)+1,"A","B","C","D"),IF(OR(LEFT(UPPER(TRIM(E2372)),1)="F",UPPER(TRIM(E2372))="A"),"A",IF(OR(LEFT(UPPER(TRIM(E2372)),1)="M",UPPER(TRIM(E2372))="B"),"B",IF(OR(LEFT(UPPER(TRIM(E2372)),2)="SL",UPPER(TRIM(E2372))="C"),"C",IF(OR(LEFT(UPPER(TRIM(E2372)),1)="D",UPPER(TRIM(E2372))="D"),"D","")))))))</f>
        <v/>
      </c>
      <c r="J2372" s="27" t="str">
        <f aca="false">IF(I2372="","",IF(AND(I2372="D",Settings!$B$6&lt;&gt;"Yes"),"",IFERROR(INDEX(Settings!$C$9:$C$12,MATCH(I2372,Settings!$A$9:$A$12,0)),"")))</f>
        <v/>
      </c>
      <c r="K2372" s="27" t="str">
        <f aca="false">IF(J2372="","",COUNTIF($I$2:I2372,I2372))</f>
        <v/>
      </c>
      <c r="L2372" s="27" t="str">
        <f aca="false">IF(J2372="","",CHOOSE(Q2372+1,"Tue","Wed","Thu","Fri"))</f>
        <v/>
      </c>
      <c r="M2372" s="27" t="str">
        <f aca="false">IF(J2372="","",IF(J2372=1,"Every week",R2372+1&amp;" of "&amp;J2372))</f>
        <v/>
      </c>
      <c r="N2372" s="28" t="str">
        <f aca="false">IF(J2372="","",Settings!$B$4+R2372*7+Q2372)</f>
        <v/>
      </c>
      <c r="O2372" s="28" t="str">
        <f aca="true">IF(J2372="","",N2372+MAX(0,ROUNDUP((TODAY()-N2372)/(J2372*7),0))*J2372*7)</f>
        <v/>
      </c>
      <c r="P2372" s="27" t="str">
        <f aca="false">IF(J2372="","",MOD(K2372-1,J2372*4))</f>
        <v/>
      </c>
      <c r="Q2372" s="27" t="str">
        <f aca="false">IF(J2372="","",MOD(P2372,4))</f>
        <v/>
      </c>
      <c r="R2372" s="27" t="str">
        <f aca="false">IF(J2372="","",INT(P2372/4))</f>
        <v/>
      </c>
      <c r="S2372" s="27" t="str">
        <f aca="false">IF(J2372="","",IF(AND('Daily Count Sheet'!$H$3=Q2372,MOD('Daily Count Sheet'!$I$3,J2372)=R2372),1,""))</f>
        <v/>
      </c>
      <c r="T2372" s="27" t="str">
        <f aca="false">IF(S2372=1,COUNTIF($S$2:S2372,1),"")</f>
        <v/>
      </c>
    </row>
    <row r="2373" customFormat="false" ht="15" hidden="false" customHeight="false" outlineLevel="0" collapsed="false">
      <c r="H2373" s="26"/>
      <c r="I2373" s="27" t="str">
        <f aca="false">IF(A2373="","",IF(H2373&lt;&gt;"",UPPER(TRIM(H2373)),IFERROR(CHOOSE(VALUE(E2373)+1,"A","B","C","D"),IF(OR(LEFT(UPPER(TRIM(E2373)),1)="F",UPPER(TRIM(E2373))="A"),"A",IF(OR(LEFT(UPPER(TRIM(E2373)),1)="M",UPPER(TRIM(E2373))="B"),"B",IF(OR(LEFT(UPPER(TRIM(E2373)),2)="SL",UPPER(TRIM(E2373))="C"),"C",IF(OR(LEFT(UPPER(TRIM(E2373)),1)="D",UPPER(TRIM(E2373))="D"),"D","")))))))</f>
        <v/>
      </c>
      <c r="J2373" s="27" t="str">
        <f aca="false">IF(I2373="","",IF(AND(I2373="D",Settings!$B$6&lt;&gt;"Yes"),"",IFERROR(INDEX(Settings!$C$9:$C$12,MATCH(I2373,Settings!$A$9:$A$12,0)),"")))</f>
        <v/>
      </c>
      <c r="K2373" s="27" t="str">
        <f aca="false">IF(J2373="","",COUNTIF($I$2:I2373,I2373))</f>
        <v/>
      </c>
      <c r="L2373" s="27" t="str">
        <f aca="false">IF(J2373="","",CHOOSE(Q2373+1,"Tue","Wed","Thu","Fri"))</f>
        <v/>
      </c>
      <c r="M2373" s="27" t="str">
        <f aca="false">IF(J2373="","",IF(J2373=1,"Every week",R2373+1&amp;" of "&amp;J2373))</f>
        <v/>
      </c>
      <c r="N2373" s="28" t="str">
        <f aca="false">IF(J2373="","",Settings!$B$4+R2373*7+Q2373)</f>
        <v/>
      </c>
      <c r="O2373" s="28" t="str">
        <f aca="true">IF(J2373="","",N2373+MAX(0,ROUNDUP((TODAY()-N2373)/(J2373*7),0))*J2373*7)</f>
        <v/>
      </c>
      <c r="P2373" s="27" t="str">
        <f aca="false">IF(J2373="","",MOD(K2373-1,J2373*4))</f>
        <v/>
      </c>
      <c r="Q2373" s="27" t="str">
        <f aca="false">IF(J2373="","",MOD(P2373,4))</f>
        <v/>
      </c>
      <c r="R2373" s="27" t="str">
        <f aca="false">IF(J2373="","",INT(P2373/4))</f>
        <v/>
      </c>
      <c r="S2373" s="27" t="str">
        <f aca="false">IF(J2373="","",IF(AND('Daily Count Sheet'!$H$3=Q2373,MOD('Daily Count Sheet'!$I$3,J2373)=R2373),1,""))</f>
        <v/>
      </c>
      <c r="T2373" s="27" t="str">
        <f aca="false">IF(S2373=1,COUNTIF($S$2:S2373,1),"")</f>
        <v/>
      </c>
    </row>
    <row r="2374" customFormat="false" ht="15" hidden="false" customHeight="false" outlineLevel="0" collapsed="false">
      <c r="H2374" s="26"/>
      <c r="I2374" s="27" t="str">
        <f aca="false">IF(A2374="","",IF(H2374&lt;&gt;"",UPPER(TRIM(H2374)),IFERROR(CHOOSE(VALUE(E2374)+1,"A","B","C","D"),IF(OR(LEFT(UPPER(TRIM(E2374)),1)="F",UPPER(TRIM(E2374))="A"),"A",IF(OR(LEFT(UPPER(TRIM(E2374)),1)="M",UPPER(TRIM(E2374))="B"),"B",IF(OR(LEFT(UPPER(TRIM(E2374)),2)="SL",UPPER(TRIM(E2374))="C"),"C",IF(OR(LEFT(UPPER(TRIM(E2374)),1)="D",UPPER(TRIM(E2374))="D"),"D","")))))))</f>
        <v/>
      </c>
      <c r="J2374" s="27" t="str">
        <f aca="false">IF(I2374="","",IF(AND(I2374="D",Settings!$B$6&lt;&gt;"Yes"),"",IFERROR(INDEX(Settings!$C$9:$C$12,MATCH(I2374,Settings!$A$9:$A$12,0)),"")))</f>
        <v/>
      </c>
      <c r="K2374" s="27" t="str">
        <f aca="false">IF(J2374="","",COUNTIF($I$2:I2374,I2374))</f>
        <v/>
      </c>
      <c r="L2374" s="27" t="str">
        <f aca="false">IF(J2374="","",CHOOSE(Q2374+1,"Tue","Wed","Thu","Fri"))</f>
        <v/>
      </c>
      <c r="M2374" s="27" t="str">
        <f aca="false">IF(J2374="","",IF(J2374=1,"Every week",R2374+1&amp;" of "&amp;J2374))</f>
        <v/>
      </c>
      <c r="N2374" s="28" t="str">
        <f aca="false">IF(J2374="","",Settings!$B$4+R2374*7+Q2374)</f>
        <v/>
      </c>
      <c r="O2374" s="28" t="str">
        <f aca="true">IF(J2374="","",N2374+MAX(0,ROUNDUP((TODAY()-N2374)/(J2374*7),0))*J2374*7)</f>
        <v/>
      </c>
      <c r="P2374" s="27" t="str">
        <f aca="false">IF(J2374="","",MOD(K2374-1,J2374*4))</f>
        <v/>
      </c>
      <c r="Q2374" s="27" t="str">
        <f aca="false">IF(J2374="","",MOD(P2374,4))</f>
        <v/>
      </c>
      <c r="R2374" s="27" t="str">
        <f aca="false">IF(J2374="","",INT(P2374/4))</f>
        <v/>
      </c>
      <c r="S2374" s="27" t="str">
        <f aca="false">IF(J2374="","",IF(AND('Daily Count Sheet'!$H$3=Q2374,MOD('Daily Count Sheet'!$I$3,J2374)=R2374),1,""))</f>
        <v/>
      </c>
      <c r="T2374" s="27" t="str">
        <f aca="false">IF(S2374=1,COUNTIF($S$2:S2374,1),"")</f>
        <v/>
      </c>
    </row>
    <row r="2375" customFormat="false" ht="15" hidden="false" customHeight="false" outlineLevel="0" collapsed="false">
      <c r="H2375" s="26"/>
      <c r="I2375" s="27" t="str">
        <f aca="false">IF(A2375="","",IF(H2375&lt;&gt;"",UPPER(TRIM(H2375)),IFERROR(CHOOSE(VALUE(E2375)+1,"A","B","C","D"),IF(OR(LEFT(UPPER(TRIM(E2375)),1)="F",UPPER(TRIM(E2375))="A"),"A",IF(OR(LEFT(UPPER(TRIM(E2375)),1)="M",UPPER(TRIM(E2375))="B"),"B",IF(OR(LEFT(UPPER(TRIM(E2375)),2)="SL",UPPER(TRIM(E2375))="C"),"C",IF(OR(LEFT(UPPER(TRIM(E2375)),1)="D",UPPER(TRIM(E2375))="D"),"D","")))))))</f>
        <v/>
      </c>
      <c r="J2375" s="27" t="str">
        <f aca="false">IF(I2375="","",IF(AND(I2375="D",Settings!$B$6&lt;&gt;"Yes"),"",IFERROR(INDEX(Settings!$C$9:$C$12,MATCH(I2375,Settings!$A$9:$A$12,0)),"")))</f>
        <v/>
      </c>
      <c r="K2375" s="27" t="str">
        <f aca="false">IF(J2375="","",COUNTIF($I$2:I2375,I2375))</f>
        <v/>
      </c>
      <c r="L2375" s="27" t="str">
        <f aca="false">IF(J2375="","",CHOOSE(Q2375+1,"Tue","Wed","Thu","Fri"))</f>
        <v/>
      </c>
      <c r="M2375" s="27" t="str">
        <f aca="false">IF(J2375="","",IF(J2375=1,"Every week",R2375+1&amp;" of "&amp;J2375))</f>
        <v/>
      </c>
      <c r="N2375" s="28" t="str">
        <f aca="false">IF(J2375="","",Settings!$B$4+R2375*7+Q2375)</f>
        <v/>
      </c>
      <c r="O2375" s="28" t="str">
        <f aca="true">IF(J2375="","",N2375+MAX(0,ROUNDUP((TODAY()-N2375)/(J2375*7),0))*J2375*7)</f>
        <v/>
      </c>
      <c r="P2375" s="27" t="str">
        <f aca="false">IF(J2375="","",MOD(K2375-1,J2375*4))</f>
        <v/>
      </c>
      <c r="Q2375" s="27" t="str">
        <f aca="false">IF(J2375="","",MOD(P2375,4))</f>
        <v/>
      </c>
      <c r="R2375" s="27" t="str">
        <f aca="false">IF(J2375="","",INT(P2375/4))</f>
        <v/>
      </c>
      <c r="S2375" s="27" t="str">
        <f aca="false">IF(J2375="","",IF(AND('Daily Count Sheet'!$H$3=Q2375,MOD('Daily Count Sheet'!$I$3,J2375)=R2375),1,""))</f>
        <v/>
      </c>
      <c r="T2375" s="27" t="str">
        <f aca="false">IF(S2375=1,COUNTIF($S$2:S2375,1),"")</f>
        <v/>
      </c>
    </row>
    <row r="2376" customFormat="false" ht="15" hidden="false" customHeight="false" outlineLevel="0" collapsed="false">
      <c r="H2376" s="26"/>
      <c r="I2376" s="27" t="str">
        <f aca="false">IF(A2376="","",IF(H2376&lt;&gt;"",UPPER(TRIM(H2376)),IFERROR(CHOOSE(VALUE(E2376)+1,"A","B","C","D"),IF(OR(LEFT(UPPER(TRIM(E2376)),1)="F",UPPER(TRIM(E2376))="A"),"A",IF(OR(LEFT(UPPER(TRIM(E2376)),1)="M",UPPER(TRIM(E2376))="B"),"B",IF(OR(LEFT(UPPER(TRIM(E2376)),2)="SL",UPPER(TRIM(E2376))="C"),"C",IF(OR(LEFT(UPPER(TRIM(E2376)),1)="D",UPPER(TRIM(E2376))="D"),"D","")))))))</f>
        <v/>
      </c>
      <c r="J2376" s="27" t="str">
        <f aca="false">IF(I2376="","",IF(AND(I2376="D",Settings!$B$6&lt;&gt;"Yes"),"",IFERROR(INDEX(Settings!$C$9:$C$12,MATCH(I2376,Settings!$A$9:$A$12,0)),"")))</f>
        <v/>
      </c>
      <c r="K2376" s="27" t="str">
        <f aca="false">IF(J2376="","",COUNTIF($I$2:I2376,I2376))</f>
        <v/>
      </c>
      <c r="L2376" s="27" t="str">
        <f aca="false">IF(J2376="","",CHOOSE(Q2376+1,"Tue","Wed","Thu","Fri"))</f>
        <v/>
      </c>
      <c r="M2376" s="27" t="str">
        <f aca="false">IF(J2376="","",IF(J2376=1,"Every week",R2376+1&amp;" of "&amp;J2376))</f>
        <v/>
      </c>
      <c r="N2376" s="28" t="str">
        <f aca="false">IF(J2376="","",Settings!$B$4+R2376*7+Q2376)</f>
        <v/>
      </c>
      <c r="O2376" s="28" t="str">
        <f aca="true">IF(J2376="","",N2376+MAX(0,ROUNDUP((TODAY()-N2376)/(J2376*7),0))*J2376*7)</f>
        <v/>
      </c>
      <c r="P2376" s="27" t="str">
        <f aca="false">IF(J2376="","",MOD(K2376-1,J2376*4))</f>
        <v/>
      </c>
      <c r="Q2376" s="27" t="str">
        <f aca="false">IF(J2376="","",MOD(P2376,4))</f>
        <v/>
      </c>
      <c r="R2376" s="27" t="str">
        <f aca="false">IF(J2376="","",INT(P2376/4))</f>
        <v/>
      </c>
      <c r="S2376" s="27" t="str">
        <f aca="false">IF(J2376="","",IF(AND('Daily Count Sheet'!$H$3=Q2376,MOD('Daily Count Sheet'!$I$3,J2376)=R2376),1,""))</f>
        <v/>
      </c>
      <c r="T2376" s="27" t="str">
        <f aca="false">IF(S2376=1,COUNTIF($S$2:S2376,1),"")</f>
        <v/>
      </c>
    </row>
    <row r="2377" customFormat="false" ht="15" hidden="false" customHeight="false" outlineLevel="0" collapsed="false">
      <c r="H2377" s="26"/>
      <c r="I2377" s="27" t="str">
        <f aca="false">IF(A2377="","",IF(H2377&lt;&gt;"",UPPER(TRIM(H2377)),IFERROR(CHOOSE(VALUE(E2377)+1,"A","B","C","D"),IF(OR(LEFT(UPPER(TRIM(E2377)),1)="F",UPPER(TRIM(E2377))="A"),"A",IF(OR(LEFT(UPPER(TRIM(E2377)),1)="M",UPPER(TRIM(E2377))="B"),"B",IF(OR(LEFT(UPPER(TRIM(E2377)),2)="SL",UPPER(TRIM(E2377))="C"),"C",IF(OR(LEFT(UPPER(TRIM(E2377)),1)="D",UPPER(TRIM(E2377))="D"),"D","")))))))</f>
        <v/>
      </c>
      <c r="J2377" s="27" t="str">
        <f aca="false">IF(I2377="","",IF(AND(I2377="D",Settings!$B$6&lt;&gt;"Yes"),"",IFERROR(INDEX(Settings!$C$9:$C$12,MATCH(I2377,Settings!$A$9:$A$12,0)),"")))</f>
        <v/>
      </c>
      <c r="K2377" s="27" t="str">
        <f aca="false">IF(J2377="","",COUNTIF($I$2:I2377,I2377))</f>
        <v/>
      </c>
      <c r="L2377" s="27" t="str">
        <f aca="false">IF(J2377="","",CHOOSE(Q2377+1,"Tue","Wed","Thu","Fri"))</f>
        <v/>
      </c>
      <c r="M2377" s="27" t="str">
        <f aca="false">IF(J2377="","",IF(J2377=1,"Every week",R2377+1&amp;" of "&amp;J2377))</f>
        <v/>
      </c>
      <c r="N2377" s="28" t="str">
        <f aca="false">IF(J2377="","",Settings!$B$4+R2377*7+Q2377)</f>
        <v/>
      </c>
      <c r="O2377" s="28" t="str">
        <f aca="true">IF(J2377="","",N2377+MAX(0,ROUNDUP((TODAY()-N2377)/(J2377*7),0))*J2377*7)</f>
        <v/>
      </c>
      <c r="P2377" s="27" t="str">
        <f aca="false">IF(J2377="","",MOD(K2377-1,J2377*4))</f>
        <v/>
      </c>
      <c r="Q2377" s="27" t="str">
        <f aca="false">IF(J2377="","",MOD(P2377,4))</f>
        <v/>
      </c>
      <c r="R2377" s="27" t="str">
        <f aca="false">IF(J2377="","",INT(P2377/4))</f>
        <v/>
      </c>
      <c r="S2377" s="27" t="str">
        <f aca="false">IF(J2377="","",IF(AND('Daily Count Sheet'!$H$3=Q2377,MOD('Daily Count Sheet'!$I$3,J2377)=R2377),1,""))</f>
        <v/>
      </c>
      <c r="T2377" s="27" t="str">
        <f aca="false">IF(S2377=1,COUNTIF($S$2:S2377,1),"")</f>
        <v/>
      </c>
    </row>
    <row r="2378" customFormat="false" ht="15" hidden="false" customHeight="false" outlineLevel="0" collapsed="false">
      <c r="H2378" s="26"/>
      <c r="I2378" s="27" t="str">
        <f aca="false">IF(A2378="","",IF(H2378&lt;&gt;"",UPPER(TRIM(H2378)),IFERROR(CHOOSE(VALUE(E2378)+1,"A","B","C","D"),IF(OR(LEFT(UPPER(TRIM(E2378)),1)="F",UPPER(TRIM(E2378))="A"),"A",IF(OR(LEFT(UPPER(TRIM(E2378)),1)="M",UPPER(TRIM(E2378))="B"),"B",IF(OR(LEFT(UPPER(TRIM(E2378)),2)="SL",UPPER(TRIM(E2378))="C"),"C",IF(OR(LEFT(UPPER(TRIM(E2378)),1)="D",UPPER(TRIM(E2378))="D"),"D","")))))))</f>
        <v/>
      </c>
      <c r="J2378" s="27" t="str">
        <f aca="false">IF(I2378="","",IF(AND(I2378="D",Settings!$B$6&lt;&gt;"Yes"),"",IFERROR(INDEX(Settings!$C$9:$C$12,MATCH(I2378,Settings!$A$9:$A$12,0)),"")))</f>
        <v/>
      </c>
      <c r="K2378" s="27" t="str">
        <f aca="false">IF(J2378="","",COUNTIF($I$2:I2378,I2378))</f>
        <v/>
      </c>
      <c r="L2378" s="27" t="str">
        <f aca="false">IF(J2378="","",CHOOSE(Q2378+1,"Tue","Wed","Thu","Fri"))</f>
        <v/>
      </c>
      <c r="M2378" s="27" t="str">
        <f aca="false">IF(J2378="","",IF(J2378=1,"Every week",R2378+1&amp;" of "&amp;J2378))</f>
        <v/>
      </c>
      <c r="N2378" s="28" t="str">
        <f aca="false">IF(J2378="","",Settings!$B$4+R2378*7+Q2378)</f>
        <v/>
      </c>
      <c r="O2378" s="28" t="str">
        <f aca="true">IF(J2378="","",N2378+MAX(0,ROUNDUP((TODAY()-N2378)/(J2378*7),0))*J2378*7)</f>
        <v/>
      </c>
      <c r="P2378" s="27" t="str">
        <f aca="false">IF(J2378="","",MOD(K2378-1,J2378*4))</f>
        <v/>
      </c>
      <c r="Q2378" s="27" t="str">
        <f aca="false">IF(J2378="","",MOD(P2378,4))</f>
        <v/>
      </c>
      <c r="R2378" s="27" t="str">
        <f aca="false">IF(J2378="","",INT(P2378/4))</f>
        <v/>
      </c>
      <c r="S2378" s="27" t="str">
        <f aca="false">IF(J2378="","",IF(AND('Daily Count Sheet'!$H$3=Q2378,MOD('Daily Count Sheet'!$I$3,J2378)=R2378),1,""))</f>
        <v/>
      </c>
      <c r="T2378" s="27" t="str">
        <f aca="false">IF(S2378=1,COUNTIF($S$2:S2378,1),"")</f>
        <v/>
      </c>
    </row>
    <row r="2379" customFormat="false" ht="15" hidden="false" customHeight="false" outlineLevel="0" collapsed="false">
      <c r="H2379" s="26"/>
      <c r="I2379" s="27" t="str">
        <f aca="false">IF(A2379="","",IF(H2379&lt;&gt;"",UPPER(TRIM(H2379)),IFERROR(CHOOSE(VALUE(E2379)+1,"A","B","C","D"),IF(OR(LEFT(UPPER(TRIM(E2379)),1)="F",UPPER(TRIM(E2379))="A"),"A",IF(OR(LEFT(UPPER(TRIM(E2379)),1)="M",UPPER(TRIM(E2379))="B"),"B",IF(OR(LEFT(UPPER(TRIM(E2379)),2)="SL",UPPER(TRIM(E2379))="C"),"C",IF(OR(LEFT(UPPER(TRIM(E2379)),1)="D",UPPER(TRIM(E2379))="D"),"D","")))))))</f>
        <v/>
      </c>
      <c r="J2379" s="27" t="str">
        <f aca="false">IF(I2379="","",IF(AND(I2379="D",Settings!$B$6&lt;&gt;"Yes"),"",IFERROR(INDEX(Settings!$C$9:$C$12,MATCH(I2379,Settings!$A$9:$A$12,0)),"")))</f>
        <v/>
      </c>
      <c r="K2379" s="27" t="str">
        <f aca="false">IF(J2379="","",COUNTIF($I$2:I2379,I2379))</f>
        <v/>
      </c>
      <c r="L2379" s="27" t="str">
        <f aca="false">IF(J2379="","",CHOOSE(Q2379+1,"Tue","Wed","Thu","Fri"))</f>
        <v/>
      </c>
      <c r="M2379" s="27" t="str">
        <f aca="false">IF(J2379="","",IF(J2379=1,"Every week",R2379+1&amp;" of "&amp;J2379))</f>
        <v/>
      </c>
      <c r="N2379" s="28" t="str">
        <f aca="false">IF(J2379="","",Settings!$B$4+R2379*7+Q2379)</f>
        <v/>
      </c>
      <c r="O2379" s="28" t="str">
        <f aca="true">IF(J2379="","",N2379+MAX(0,ROUNDUP((TODAY()-N2379)/(J2379*7),0))*J2379*7)</f>
        <v/>
      </c>
      <c r="P2379" s="27" t="str">
        <f aca="false">IF(J2379="","",MOD(K2379-1,J2379*4))</f>
        <v/>
      </c>
      <c r="Q2379" s="27" t="str">
        <f aca="false">IF(J2379="","",MOD(P2379,4))</f>
        <v/>
      </c>
      <c r="R2379" s="27" t="str">
        <f aca="false">IF(J2379="","",INT(P2379/4))</f>
        <v/>
      </c>
      <c r="S2379" s="27" t="str">
        <f aca="false">IF(J2379="","",IF(AND('Daily Count Sheet'!$H$3=Q2379,MOD('Daily Count Sheet'!$I$3,J2379)=R2379),1,""))</f>
        <v/>
      </c>
      <c r="T2379" s="27" t="str">
        <f aca="false">IF(S2379=1,COUNTIF($S$2:S2379,1),"")</f>
        <v/>
      </c>
    </row>
    <row r="2380" customFormat="false" ht="15" hidden="false" customHeight="false" outlineLevel="0" collapsed="false">
      <c r="H2380" s="26"/>
      <c r="I2380" s="27" t="str">
        <f aca="false">IF(A2380="","",IF(H2380&lt;&gt;"",UPPER(TRIM(H2380)),IFERROR(CHOOSE(VALUE(E2380)+1,"A","B","C","D"),IF(OR(LEFT(UPPER(TRIM(E2380)),1)="F",UPPER(TRIM(E2380))="A"),"A",IF(OR(LEFT(UPPER(TRIM(E2380)),1)="M",UPPER(TRIM(E2380))="B"),"B",IF(OR(LEFT(UPPER(TRIM(E2380)),2)="SL",UPPER(TRIM(E2380))="C"),"C",IF(OR(LEFT(UPPER(TRIM(E2380)),1)="D",UPPER(TRIM(E2380))="D"),"D","")))))))</f>
        <v/>
      </c>
      <c r="J2380" s="27" t="str">
        <f aca="false">IF(I2380="","",IF(AND(I2380="D",Settings!$B$6&lt;&gt;"Yes"),"",IFERROR(INDEX(Settings!$C$9:$C$12,MATCH(I2380,Settings!$A$9:$A$12,0)),"")))</f>
        <v/>
      </c>
      <c r="K2380" s="27" t="str">
        <f aca="false">IF(J2380="","",COUNTIF($I$2:I2380,I2380))</f>
        <v/>
      </c>
      <c r="L2380" s="27" t="str">
        <f aca="false">IF(J2380="","",CHOOSE(Q2380+1,"Tue","Wed","Thu","Fri"))</f>
        <v/>
      </c>
      <c r="M2380" s="27" t="str">
        <f aca="false">IF(J2380="","",IF(J2380=1,"Every week",R2380+1&amp;" of "&amp;J2380))</f>
        <v/>
      </c>
      <c r="N2380" s="28" t="str">
        <f aca="false">IF(J2380="","",Settings!$B$4+R2380*7+Q2380)</f>
        <v/>
      </c>
      <c r="O2380" s="28" t="str">
        <f aca="true">IF(J2380="","",N2380+MAX(0,ROUNDUP((TODAY()-N2380)/(J2380*7),0))*J2380*7)</f>
        <v/>
      </c>
      <c r="P2380" s="27" t="str">
        <f aca="false">IF(J2380="","",MOD(K2380-1,J2380*4))</f>
        <v/>
      </c>
      <c r="Q2380" s="27" t="str">
        <f aca="false">IF(J2380="","",MOD(P2380,4))</f>
        <v/>
      </c>
      <c r="R2380" s="27" t="str">
        <f aca="false">IF(J2380="","",INT(P2380/4))</f>
        <v/>
      </c>
      <c r="S2380" s="27" t="str">
        <f aca="false">IF(J2380="","",IF(AND('Daily Count Sheet'!$H$3=Q2380,MOD('Daily Count Sheet'!$I$3,J2380)=R2380),1,""))</f>
        <v/>
      </c>
      <c r="T2380" s="27" t="str">
        <f aca="false">IF(S2380=1,COUNTIF($S$2:S2380,1),"")</f>
        <v/>
      </c>
    </row>
    <row r="2381" customFormat="false" ht="15" hidden="false" customHeight="false" outlineLevel="0" collapsed="false">
      <c r="H2381" s="26"/>
      <c r="I2381" s="27" t="str">
        <f aca="false">IF(A2381="","",IF(H2381&lt;&gt;"",UPPER(TRIM(H2381)),IFERROR(CHOOSE(VALUE(E2381)+1,"A","B","C","D"),IF(OR(LEFT(UPPER(TRIM(E2381)),1)="F",UPPER(TRIM(E2381))="A"),"A",IF(OR(LEFT(UPPER(TRIM(E2381)),1)="M",UPPER(TRIM(E2381))="B"),"B",IF(OR(LEFT(UPPER(TRIM(E2381)),2)="SL",UPPER(TRIM(E2381))="C"),"C",IF(OR(LEFT(UPPER(TRIM(E2381)),1)="D",UPPER(TRIM(E2381))="D"),"D","")))))))</f>
        <v/>
      </c>
      <c r="J2381" s="27" t="str">
        <f aca="false">IF(I2381="","",IF(AND(I2381="D",Settings!$B$6&lt;&gt;"Yes"),"",IFERROR(INDEX(Settings!$C$9:$C$12,MATCH(I2381,Settings!$A$9:$A$12,0)),"")))</f>
        <v/>
      </c>
      <c r="K2381" s="27" t="str">
        <f aca="false">IF(J2381="","",COUNTIF($I$2:I2381,I2381))</f>
        <v/>
      </c>
      <c r="L2381" s="27" t="str">
        <f aca="false">IF(J2381="","",CHOOSE(Q2381+1,"Tue","Wed","Thu","Fri"))</f>
        <v/>
      </c>
      <c r="M2381" s="27" t="str">
        <f aca="false">IF(J2381="","",IF(J2381=1,"Every week",R2381+1&amp;" of "&amp;J2381))</f>
        <v/>
      </c>
      <c r="N2381" s="28" t="str">
        <f aca="false">IF(J2381="","",Settings!$B$4+R2381*7+Q2381)</f>
        <v/>
      </c>
      <c r="O2381" s="28" t="str">
        <f aca="true">IF(J2381="","",N2381+MAX(0,ROUNDUP((TODAY()-N2381)/(J2381*7),0))*J2381*7)</f>
        <v/>
      </c>
      <c r="P2381" s="27" t="str">
        <f aca="false">IF(J2381="","",MOD(K2381-1,J2381*4))</f>
        <v/>
      </c>
      <c r="Q2381" s="27" t="str">
        <f aca="false">IF(J2381="","",MOD(P2381,4))</f>
        <v/>
      </c>
      <c r="R2381" s="27" t="str">
        <f aca="false">IF(J2381="","",INT(P2381/4))</f>
        <v/>
      </c>
      <c r="S2381" s="27" t="str">
        <f aca="false">IF(J2381="","",IF(AND('Daily Count Sheet'!$H$3=Q2381,MOD('Daily Count Sheet'!$I$3,J2381)=R2381),1,""))</f>
        <v/>
      </c>
      <c r="T2381" s="27" t="str">
        <f aca="false">IF(S2381=1,COUNTIF($S$2:S2381,1),"")</f>
        <v/>
      </c>
    </row>
    <row r="2382" customFormat="false" ht="15" hidden="false" customHeight="false" outlineLevel="0" collapsed="false">
      <c r="H2382" s="26"/>
      <c r="I2382" s="27" t="str">
        <f aca="false">IF(A2382="","",IF(H2382&lt;&gt;"",UPPER(TRIM(H2382)),IFERROR(CHOOSE(VALUE(E2382)+1,"A","B","C","D"),IF(OR(LEFT(UPPER(TRIM(E2382)),1)="F",UPPER(TRIM(E2382))="A"),"A",IF(OR(LEFT(UPPER(TRIM(E2382)),1)="M",UPPER(TRIM(E2382))="B"),"B",IF(OR(LEFT(UPPER(TRIM(E2382)),2)="SL",UPPER(TRIM(E2382))="C"),"C",IF(OR(LEFT(UPPER(TRIM(E2382)),1)="D",UPPER(TRIM(E2382))="D"),"D","")))))))</f>
        <v/>
      </c>
      <c r="J2382" s="27" t="str">
        <f aca="false">IF(I2382="","",IF(AND(I2382="D",Settings!$B$6&lt;&gt;"Yes"),"",IFERROR(INDEX(Settings!$C$9:$C$12,MATCH(I2382,Settings!$A$9:$A$12,0)),"")))</f>
        <v/>
      </c>
      <c r="K2382" s="27" t="str">
        <f aca="false">IF(J2382="","",COUNTIF($I$2:I2382,I2382))</f>
        <v/>
      </c>
      <c r="L2382" s="27" t="str">
        <f aca="false">IF(J2382="","",CHOOSE(Q2382+1,"Tue","Wed","Thu","Fri"))</f>
        <v/>
      </c>
      <c r="M2382" s="27" t="str">
        <f aca="false">IF(J2382="","",IF(J2382=1,"Every week",R2382+1&amp;" of "&amp;J2382))</f>
        <v/>
      </c>
      <c r="N2382" s="28" t="str">
        <f aca="false">IF(J2382="","",Settings!$B$4+R2382*7+Q2382)</f>
        <v/>
      </c>
      <c r="O2382" s="28" t="str">
        <f aca="true">IF(J2382="","",N2382+MAX(0,ROUNDUP((TODAY()-N2382)/(J2382*7),0))*J2382*7)</f>
        <v/>
      </c>
      <c r="P2382" s="27" t="str">
        <f aca="false">IF(J2382="","",MOD(K2382-1,J2382*4))</f>
        <v/>
      </c>
      <c r="Q2382" s="27" t="str">
        <f aca="false">IF(J2382="","",MOD(P2382,4))</f>
        <v/>
      </c>
      <c r="R2382" s="27" t="str">
        <f aca="false">IF(J2382="","",INT(P2382/4))</f>
        <v/>
      </c>
      <c r="S2382" s="27" t="str">
        <f aca="false">IF(J2382="","",IF(AND('Daily Count Sheet'!$H$3=Q2382,MOD('Daily Count Sheet'!$I$3,J2382)=R2382),1,""))</f>
        <v/>
      </c>
      <c r="T2382" s="27" t="str">
        <f aca="false">IF(S2382=1,COUNTIF($S$2:S2382,1),"")</f>
        <v/>
      </c>
    </row>
    <row r="2383" customFormat="false" ht="15" hidden="false" customHeight="false" outlineLevel="0" collapsed="false">
      <c r="H2383" s="26"/>
      <c r="I2383" s="27" t="str">
        <f aca="false">IF(A2383="","",IF(H2383&lt;&gt;"",UPPER(TRIM(H2383)),IFERROR(CHOOSE(VALUE(E2383)+1,"A","B","C","D"),IF(OR(LEFT(UPPER(TRIM(E2383)),1)="F",UPPER(TRIM(E2383))="A"),"A",IF(OR(LEFT(UPPER(TRIM(E2383)),1)="M",UPPER(TRIM(E2383))="B"),"B",IF(OR(LEFT(UPPER(TRIM(E2383)),2)="SL",UPPER(TRIM(E2383))="C"),"C",IF(OR(LEFT(UPPER(TRIM(E2383)),1)="D",UPPER(TRIM(E2383))="D"),"D","")))))))</f>
        <v/>
      </c>
      <c r="J2383" s="27" t="str">
        <f aca="false">IF(I2383="","",IF(AND(I2383="D",Settings!$B$6&lt;&gt;"Yes"),"",IFERROR(INDEX(Settings!$C$9:$C$12,MATCH(I2383,Settings!$A$9:$A$12,0)),"")))</f>
        <v/>
      </c>
      <c r="K2383" s="27" t="str">
        <f aca="false">IF(J2383="","",COUNTIF($I$2:I2383,I2383))</f>
        <v/>
      </c>
      <c r="L2383" s="27" t="str">
        <f aca="false">IF(J2383="","",CHOOSE(Q2383+1,"Tue","Wed","Thu","Fri"))</f>
        <v/>
      </c>
      <c r="M2383" s="27" t="str">
        <f aca="false">IF(J2383="","",IF(J2383=1,"Every week",R2383+1&amp;" of "&amp;J2383))</f>
        <v/>
      </c>
      <c r="N2383" s="28" t="str">
        <f aca="false">IF(J2383="","",Settings!$B$4+R2383*7+Q2383)</f>
        <v/>
      </c>
      <c r="O2383" s="28" t="str">
        <f aca="true">IF(J2383="","",N2383+MAX(0,ROUNDUP((TODAY()-N2383)/(J2383*7),0))*J2383*7)</f>
        <v/>
      </c>
      <c r="P2383" s="27" t="str">
        <f aca="false">IF(J2383="","",MOD(K2383-1,J2383*4))</f>
        <v/>
      </c>
      <c r="Q2383" s="27" t="str">
        <f aca="false">IF(J2383="","",MOD(P2383,4))</f>
        <v/>
      </c>
      <c r="R2383" s="27" t="str">
        <f aca="false">IF(J2383="","",INT(P2383/4))</f>
        <v/>
      </c>
      <c r="S2383" s="27" t="str">
        <f aca="false">IF(J2383="","",IF(AND('Daily Count Sheet'!$H$3=Q2383,MOD('Daily Count Sheet'!$I$3,J2383)=R2383),1,""))</f>
        <v/>
      </c>
      <c r="T2383" s="27" t="str">
        <f aca="false">IF(S2383=1,COUNTIF($S$2:S2383,1),"")</f>
        <v/>
      </c>
    </row>
    <row r="2384" customFormat="false" ht="15" hidden="false" customHeight="false" outlineLevel="0" collapsed="false">
      <c r="H2384" s="26"/>
      <c r="I2384" s="27" t="str">
        <f aca="false">IF(A2384="","",IF(H2384&lt;&gt;"",UPPER(TRIM(H2384)),IFERROR(CHOOSE(VALUE(E2384)+1,"A","B","C","D"),IF(OR(LEFT(UPPER(TRIM(E2384)),1)="F",UPPER(TRIM(E2384))="A"),"A",IF(OR(LEFT(UPPER(TRIM(E2384)),1)="M",UPPER(TRIM(E2384))="B"),"B",IF(OR(LEFT(UPPER(TRIM(E2384)),2)="SL",UPPER(TRIM(E2384))="C"),"C",IF(OR(LEFT(UPPER(TRIM(E2384)),1)="D",UPPER(TRIM(E2384))="D"),"D","")))))))</f>
        <v/>
      </c>
      <c r="J2384" s="27" t="str">
        <f aca="false">IF(I2384="","",IF(AND(I2384="D",Settings!$B$6&lt;&gt;"Yes"),"",IFERROR(INDEX(Settings!$C$9:$C$12,MATCH(I2384,Settings!$A$9:$A$12,0)),"")))</f>
        <v/>
      </c>
      <c r="K2384" s="27" t="str">
        <f aca="false">IF(J2384="","",COUNTIF($I$2:I2384,I2384))</f>
        <v/>
      </c>
      <c r="L2384" s="27" t="str">
        <f aca="false">IF(J2384="","",CHOOSE(Q2384+1,"Tue","Wed","Thu","Fri"))</f>
        <v/>
      </c>
      <c r="M2384" s="27" t="str">
        <f aca="false">IF(J2384="","",IF(J2384=1,"Every week",R2384+1&amp;" of "&amp;J2384))</f>
        <v/>
      </c>
      <c r="N2384" s="28" t="str">
        <f aca="false">IF(J2384="","",Settings!$B$4+R2384*7+Q2384)</f>
        <v/>
      </c>
      <c r="O2384" s="28" t="str">
        <f aca="true">IF(J2384="","",N2384+MAX(0,ROUNDUP((TODAY()-N2384)/(J2384*7),0))*J2384*7)</f>
        <v/>
      </c>
      <c r="P2384" s="27" t="str">
        <f aca="false">IF(J2384="","",MOD(K2384-1,J2384*4))</f>
        <v/>
      </c>
      <c r="Q2384" s="27" t="str">
        <f aca="false">IF(J2384="","",MOD(P2384,4))</f>
        <v/>
      </c>
      <c r="R2384" s="27" t="str">
        <f aca="false">IF(J2384="","",INT(P2384/4))</f>
        <v/>
      </c>
      <c r="S2384" s="27" t="str">
        <f aca="false">IF(J2384="","",IF(AND('Daily Count Sheet'!$H$3=Q2384,MOD('Daily Count Sheet'!$I$3,J2384)=R2384),1,""))</f>
        <v/>
      </c>
      <c r="T2384" s="27" t="str">
        <f aca="false">IF(S2384=1,COUNTIF($S$2:S2384,1),"")</f>
        <v/>
      </c>
    </row>
    <row r="2385" customFormat="false" ht="15" hidden="false" customHeight="false" outlineLevel="0" collapsed="false">
      <c r="H2385" s="26"/>
      <c r="I2385" s="27" t="str">
        <f aca="false">IF(A2385="","",IF(H2385&lt;&gt;"",UPPER(TRIM(H2385)),IFERROR(CHOOSE(VALUE(E2385)+1,"A","B","C","D"),IF(OR(LEFT(UPPER(TRIM(E2385)),1)="F",UPPER(TRIM(E2385))="A"),"A",IF(OR(LEFT(UPPER(TRIM(E2385)),1)="M",UPPER(TRIM(E2385))="B"),"B",IF(OR(LEFT(UPPER(TRIM(E2385)),2)="SL",UPPER(TRIM(E2385))="C"),"C",IF(OR(LEFT(UPPER(TRIM(E2385)),1)="D",UPPER(TRIM(E2385))="D"),"D","")))))))</f>
        <v/>
      </c>
      <c r="J2385" s="27" t="str">
        <f aca="false">IF(I2385="","",IF(AND(I2385="D",Settings!$B$6&lt;&gt;"Yes"),"",IFERROR(INDEX(Settings!$C$9:$C$12,MATCH(I2385,Settings!$A$9:$A$12,0)),"")))</f>
        <v/>
      </c>
      <c r="K2385" s="27" t="str">
        <f aca="false">IF(J2385="","",COUNTIF($I$2:I2385,I2385))</f>
        <v/>
      </c>
      <c r="L2385" s="27" t="str">
        <f aca="false">IF(J2385="","",CHOOSE(Q2385+1,"Tue","Wed","Thu","Fri"))</f>
        <v/>
      </c>
      <c r="M2385" s="27" t="str">
        <f aca="false">IF(J2385="","",IF(J2385=1,"Every week",R2385+1&amp;" of "&amp;J2385))</f>
        <v/>
      </c>
      <c r="N2385" s="28" t="str">
        <f aca="false">IF(J2385="","",Settings!$B$4+R2385*7+Q2385)</f>
        <v/>
      </c>
      <c r="O2385" s="28" t="str">
        <f aca="true">IF(J2385="","",N2385+MAX(0,ROUNDUP((TODAY()-N2385)/(J2385*7),0))*J2385*7)</f>
        <v/>
      </c>
      <c r="P2385" s="27" t="str">
        <f aca="false">IF(J2385="","",MOD(K2385-1,J2385*4))</f>
        <v/>
      </c>
      <c r="Q2385" s="27" t="str">
        <f aca="false">IF(J2385="","",MOD(P2385,4))</f>
        <v/>
      </c>
      <c r="R2385" s="27" t="str">
        <f aca="false">IF(J2385="","",INT(P2385/4))</f>
        <v/>
      </c>
      <c r="S2385" s="27" t="str">
        <f aca="false">IF(J2385="","",IF(AND('Daily Count Sheet'!$H$3=Q2385,MOD('Daily Count Sheet'!$I$3,J2385)=R2385),1,""))</f>
        <v/>
      </c>
      <c r="T2385" s="27" t="str">
        <f aca="false">IF(S2385=1,COUNTIF($S$2:S2385,1),"")</f>
        <v/>
      </c>
    </row>
    <row r="2386" customFormat="false" ht="15" hidden="false" customHeight="false" outlineLevel="0" collapsed="false">
      <c r="H2386" s="26"/>
      <c r="I2386" s="27" t="str">
        <f aca="false">IF(A2386="","",IF(H2386&lt;&gt;"",UPPER(TRIM(H2386)),IFERROR(CHOOSE(VALUE(E2386)+1,"A","B","C","D"),IF(OR(LEFT(UPPER(TRIM(E2386)),1)="F",UPPER(TRIM(E2386))="A"),"A",IF(OR(LEFT(UPPER(TRIM(E2386)),1)="M",UPPER(TRIM(E2386))="B"),"B",IF(OR(LEFT(UPPER(TRIM(E2386)),2)="SL",UPPER(TRIM(E2386))="C"),"C",IF(OR(LEFT(UPPER(TRIM(E2386)),1)="D",UPPER(TRIM(E2386))="D"),"D","")))))))</f>
        <v/>
      </c>
      <c r="J2386" s="27" t="str">
        <f aca="false">IF(I2386="","",IF(AND(I2386="D",Settings!$B$6&lt;&gt;"Yes"),"",IFERROR(INDEX(Settings!$C$9:$C$12,MATCH(I2386,Settings!$A$9:$A$12,0)),"")))</f>
        <v/>
      </c>
      <c r="K2386" s="27" t="str">
        <f aca="false">IF(J2386="","",COUNTIF($I$2:I2386,I2386))</f>
        <v/>
      </c>
      <c r="L2386" s="27" t="str">
        <f aca="false">IF(J2386="","",CHOOSE(Q2386+1,"Tue","Wed","Thu","Fri"))</f>
        <v/>
      </c>
      <c r="M2386" s="27" t="str">
        <f aca="false">IF(J2386="","",IF(J2386=1,"Every week",R2386+1&amp;" of "&amp;J2386))</f>
        <v/>
      </c>
      <c r="N2386" s="28" t="str">
        <f aca="false">IF(J2386="","",Settings!$B$4+R2386*7+Q2386)</f>
        <v/>
      </c>
      <c r="O2386" s="28" t="str">
        <f aca="true">IF(J2386="","",N2386+MAX(0,ROUNDUP((TODAY()-N2386)/(J2386*7),0))*J2386*7)</f>
        <v/>
      </c>
      <c r="P2386" s="27" t="str">
        <f aca="false">IF(J2386="","",MOD(K2386-1,J2386*4))</f>
        <v/>
      </c>
      <c r="Q2386" s="27" t="str">
        <f aca="false">IF(J2386="","",MOD(P2386,4))</f>
        <v/>
      </c>
      <c r="R2386" s="27" t="str">
        <f aca="false">IF(J2386="","",INT(P2386/4))</f>
        <v/>
      </c>
      <c r="S2386" s="27" t="str">
        <f aca="false">IF(J2386="","",IF(AND('Daily Count Sheet'!$H$3=Q2386,MOD('Daily Count Sheet'!$I$3,J2386)=R2386),1,""))</f>
        <v/>
      </c>
      <c r="T2386" s="27" t="str">
        <f aca="false">IF(S2386=1,COUNTIF($S$2:S2386,1),"")</f>
        <v/>
      </c>
    </row>
    <row r="2387" customFormat="false" ht="15" hidden="false" customHeight="false" outlineLevel="0" collapsed="false">
      <c r="H2387" s="26"/>
      <c r="I2387" s="27" t="str">
        <f aca="false">IF(A2387="","",IF(H2387&lt;&gt;"",UPPER(TRIM(H2387)),IFERROR(CHOOSE(VALUE(E2387)+1,"A","B","C","D"),IF(OR(LEFT(UPPER(TRIM(E2387)),1)="F",UPPER(TRIM(E2387))="A"),"A",IF(OR(LEFT(UPPER(TRIM(E2387)),1)="M",UPPER(TRIM(E2387))="B"),"B",IF(OR(LEFT(UPPER(TRIM(E2387)),2)="SL",UPPER(TRIM(E2387))="C"),"C",IF(OR(LEFT(UPPER(TRIM(E2387)),1)="D",UPPER(TRIM(E2387))="D"),"D","")))))))</f>
        <v/>
      </c>
      <c r="J2387" s="27" t="str">
        <f aca="false">IF(I2387="","",IF(AND(I2387="D",Settings!$B$6&lt;&gt;"Yes"),"",IFERROR(INDEX(Settings!$C$9:$C$12,MATCH(I2387,Settings!$A$9:$A$12,0)),"")))</f>
        <v/>
      </c>
      <c r="K2387" s="27" t="str">
        <f aca="false">IF(J2387="","",COUNTIF($I$2:I2387,I2387))</f>
        <v/>
      </c>
      <c r="L2387" s="27" t="str">
        <f aca="false">IF(J2387="","",CHOOSE(Q2387+1,"Tue","Wed","Thu","Fri"))</f>
        <v/>
      </c>
      <c r="M2387" s="27" t="str">
        <f aca="false">IF(J2387="","",IF(J2387=1,"Every week",R2387+1&amp;" of "&amp;J2387))</f>
        <v/>
      </c>
      <c r="N2387" s="28" t="str">
        <f aca="false">IF(J2387="","",Settings!$B$4+R2387*7+Q2387)</f>
        <v/>
      </c>
      <c r="O2387" s="28" t="str">
        <f aca="true">IF(J2387="","",N2387+MAX(0,ROUNDUP((TODAY()-N2387)/(J2387*7),0))*J2387*7)</f>
        <v/>
      </c>
      <c r="P2387" s="27" t="str">
        <f aca="false">IF(J2387="","",MOD(K2387-1,J2387*4))</f>
        <v/>
      </c>
      <c r="Q2387" s="27" t="str">
        <f aca="false">IF(J2387="","",MOD(P2387,4))</f>
        <v/>
      </c>
      <c r="R2387" s="27" t="str">
        <f aca="false">IF(J2387="","",INT(P2387/4))</f>
        <v/>
      </c>
      <c r="S2387" s="27" t="str">
        <f aca="false">IF(J2387="","",IF(AND('Daily Count Sheet'!$H$3=Q2387,MOD('Daily Count Sheet'!$I$3,J2387)=R2387),1,""))</f>
        <v/>
      </c>
      <c r="T2387" s="27" t="str">
        <f aca="false">IF(S2387=1,COUNTIF($S$2:S2387,1),"")</f>
        <v/>
      </c>
    </row>
    <row r="2388" customFormat="false" ht="15" hidden="false" customHeight="false" outlineLevel="0" collapsed="false">
      <c r="H2388" s="26"/>
      <c r="I2388" s="27" t="str">
        <f aca="false">IF(A2388="","",IF(H2388&lt;&gt;"",UPPER(TRIM(H2388)),IFERROR(CHOOSE(VALUE(E2388)+1,"A","B","C","D"),IF(OR(LEFT(UPPER(TRIM(E2388)),1)="F",UPPER(TRIM(E2388))="A"),"A",IF(OR(LEFT(UPPER(TRIM(E2388)),1)="M",UPPER(TRIM(E2388))="B"),"B",IF(OR(LEFT(UPPER(TRIM(E2388)),2)="SL",UPPER(TRIM(E2388))="C"),"C",IF(OR(LEFT(UPPER(TRIM(E2388)),1)="D",UPPER(TRIM(E2388))="D"),"D","")))))))</f>
        <v/>
      </c>
      <c r="J2388" s="27" t="str">
        <f aca="false">IF(I2388="","",IF(AND(I2388="D",Settings!$B$6&lt;&gt;"Yes"),"",IFERROR(INDEX(Settings!$C$9:$C$12,MATCH(I2388,Settings!$A$9:$A$12,0)),"")))</f>
        <v/>
      </c>
      <c r="K2388" s="27" t="str">
        <f aca="false">IF(J2388="","",COUNTIF($I$2:I2388,I2388))</f>
        <v/>
      </c>
      <c r="L2388" s="27" t="str">
        <f aca="false">IF(J2388="","",CHOOSE(Q2388+1,"Tue","Wed","Thu","Fri"))</f>
        <v/>
      </c>
      <c r="M2388" s="27" t="str">
        <f aca="false">IF(J2388="","",IF(J2388=1,"Every week",R2388+1&amp;" of "&amp;J2388))</f>
        <v/>
      </c>
      <c r="N2388" s="28" t="str">
        <f aca="false">IF(J2388="","",Settings!$B$4+R2388*7+Q2388)</f>
        <v/>
      </c>
      <c r="O2388" s="28" t="str">
        <f aca="true">IF(J2388="","",N2388+MAX(0,ROUNDUP((TODAY()-N2388)/(J2388*7),0))*J2388*7)</f>
        <v/>
      </c>
      <c r="P2388" s="27" t="str">
        <f aca="false">IF(J2388="","",MOD(K2388-1,J2388*4))</f>
        <v/>
      </c>
      <c r="Q2388" s="27" t="str">
        <f aca="false">IF(J2388="","",MOD(P2388,4))</f>
        <v/>
      </c>
      <c r="R2388" s="27" t="str">
        <f aca="false">IF(J2388="","",INT(P2388/4))</f>
        <v/>
      </c>
      <c r="S2388" s="27" t="str">
        <f aca="false">IF(J2388="","",IF(AND('Daily Count Sheet'!$H$3=Q2388,MOD('Daily Count Sheet'!$I$3,J2388)=R2388),1,""))</f>
        <v/>
      </c>
      <c r="T2388" s="27" t="str">
        <f aca="false">IF(S2388=1,COUNTIF($S$2:S2388,1),"")</f>
        <v/>
      </c>
    </row>
    <row r="2389" customFormat="false" ht="15" hidden="false" customHeight="false" outlineLevel="0" collapsed="false">
      <c r="H2389" s="26"/>
      <c r="I2389" s="27" t="str">
        <f aca="false">IF(A2389="","",IF(H2389&lt;&gt;"",UPPER(TRIM(H2389)),IFERROR(CHOOSE(VALUE(E2389)+1,"A","B","C","D"),IF(OR(LEFT(UPPER(TRIM(E2389)),1)="F",UPPER(TRIM(E2389))="A"),"A",IF(OR(LEFT(UPPER(TRIM(E2389)),1)="M",UPPER(TRIM(E2389))="B"),"B",IF(OR(LEFT(UPPER(TRIM(E2389)),2)="SL",UPPER(TRIM(E2389))="C"),"C",IF(OR(LEFT(UPPER(TRIM(E2389)),1)="D",UPPER(TRIM(E2389))="D"),"D","")))))))</f>
        <v/>
      </c>
      <c r="J2389" s="27" t="str">
        <f aca="false">IF(I2389="","",IF(AND(I2389="D",Settings!$B$6&lt;&gt;"Yes"),"",IFERROR(INDEX(Settings!$C$9:$C$12,MATCH(I2389,Settings!$A$9:$A$12,0)),"")))</f>
        <v/>
      </c>
      <c r="K2389" s="27" t="str">
        <f aca="false">IF(J2389="","",COUNTIF($I$2:I2389,I2389))</f>
        <v/>
      </c>
      <c r="L2389" s="27" t="str">
        <f aca="false">IF(J2389="","",CHOOSE(Q2389+1,"Tue","Wed","Thu","Fri"))</f>
        <v/>
      </c>
      <c r="M2389" s="27" t="str">
        <f aca="false">IF(J2389="","",IF(J2389=1,"Every week",R2389+1&amp;" of "&amp;J2389))</f>
        <v/>
      </c>
      <c r="N2389" s="28" t="str">
        <f aca="false">IF(J2389="","",Settings!$B$4+R2389*7+Q2389)</f>
        <v/>
      </c>
      <c r="O2389" s="28" t="str">
        <f aca="true">IF(J2389="","",N2389+MAX(0,ROUNDUP((TODAY()-N2389)/(J2389*7),0))*J2389*7)</f>
        <v/>
      </c>
      <c r="P2389" s="27" t="str">
        <f aca="false">IF(J2389="","",MOD(K2389-1,J2389*4))</f>
        <v/>
      </c>
      <c r="Q2389" s="27" t="str">
        <f aca="false">IF(J2389="","",MOD(P2389,4))</f>
        <v/>
      </c>
      <c r="R2389" s="27" t="str">
        <f aca="false">IF(J2389="","",INT(P2389/4))</f>
        <v/>
      </c>
      <c r="S2389" s="27" t="str">
        <f aca="false">IF(J2389="","",IF(AND('Daily Count Sheet'!$H$3=Q2389,MOD('Daily Count Sheet'!$I$3,J2389)=R2389),1,""))</f>
        <v/>
      </c>
      <c r="T2389" s="27" t="str">
        <f aca="false">IF(S2389=1,COUNTIF($S$2:S2389,1),"")</f>
        <v/>
      </c>
    </row>
    <row r="2390" customFormat="false" ht="15" hidden="false" customHeight="false" outlineLevel="0" collapsed="false">
      <c r="H2390" s="26"/>
      <c r="I2390" s="27" t="str">
        <f aca="false">IF(A2390="","",IF(H2390&lt;&gt;"",UPPER(TRIM(H2390)),IFERROR(CHOOSE(VALUE(E2390)+1,"A","B","C","D"),IF(OR(LEFT(UPPER(TRIM(E2390)),1)="F",UPPER(TRIM(E2390))="A"),"A",IF(OR(LEFT(UPPER(TRIM(E2390)),1)="M",UPPER(TRIM(E2390))="B"),"B",IF(OR(LEFT(UPPER(TRIM(E2390)),2)="SL",UPPER(TRIM(E2390))="C"),"C",IF(OR(LEFT(UPPER(TRIM(E2390)),1)="D",UPPER(TRIM(E2390))="D"),"D","")))))))</f>
        <v/>
      </c>
      <c r="J2390" s="27" t="str">
        <f aca="false">IF(I2390="","",IF(AND(I2390="D",Settings!$B$6&lt;&gt;"Yes"),"",IFERROR(INDEX(Settings!$C$9:$C$12,MATCH(I2390,Settings!$A$9:$A$12,0)),"")))</f>
        <v/>
      </c>
      <c r="K2390" s="27" t="str">
        <f aca="false">IF(J2390="","",COUNTIF($I$2:I2390,I2390))</f>
        <v/>
      </c>
      <c r="L2390" s="27" t="str">
        <f aca="false">IF(J2390="","",CHOOSE(Q2390+1,"Tue","Wed","Thu","Fri"))</f>
        <v/>
      </c>
      <c r="M2390" s="27" t="str">
        <f aca="false">IF(J2390="","",IF(J2390=1,"Every week",R2390+1&amp;" of "&amp;J2390))</f>
        <v/>
      </c>
      <c r="N2390" s="28" t="str">
        <f aca="false">IF(J2390="","",Settings!$B$4+R2390*7+Q2390)</f>
        <v/>
      </c>
      <c r="O2390" s="28" t="str">
        <f aca="true">IF(J2390="","",N2390+MAX(0,ROUNDUP((TODAY()-N2390)/(J2390*7),0))*J2390*7)</f>
        <v/>
      </c>
      <c r="P2390" s="27" t="str">
        <f aca="false">IF(J2390="","",MOD(K2390-1,J2390*4))</f>
        <v/>
      </c>
      <c r="Q2390" s="27" t="str">
        <f aca="false">IF(J2390="","",MOD(P2390,4))</f>
        <v/>
      </c>
      <c r="R2390" s="27" t="str">
        <f aca="false">IF(J2390="","",INT(P2390/4))</f>
        <v/>
      </c>
      <c r="S2390" s="27" t="str">
        <f aca="false">IF(J2390="","",IF(AND('Daily Count Sheet'!$H$3=Q2390,MOD('Daily Count Sheet'!$I$3,J2390)=R2390),1,""))</f>
        <v/>
      </c>
      <c r="T2390" s="27" t="str">
        <f aca="false">IF(S2390=1,COUNTIF($S$2:S2390,1),"")</f>
        <v/>
      </c>
    </row>
    <row r="2391" customFormat="false" ht="15" hidden="false" customHeight="false" outlineLevel="0" collapsed="false">
      <c r="H2391" s="26"/>
      <c r="I2391" s="27" t="str">
        <f aca="false">IF(A2391="","",IF(H2391&lt;&gt;"",UPPER(TRIM(H2391)),IFERROR(CHOOSE(VALUE(E2391)+1,"A","B","C","D"),IF(OR(LEFT(UPPER(TRIM(E2391)),1)="F",UPPER(TRIM(E2391))="A"),"A",IF(OR(LEFT(UPPER(TRIM(E2391)),1)="M",UPPER(TRIM(E2391))="B"),"B",IF(OR(LEFT(UPPER(TRIM(E2391)),2)="SL",UPPER(TRIM(E2391))="C"),"C",IF(OR(LEFT(UPPER(TRIM(E2391)),1)="D",UPPER(TRIM(E2391))="D"),"D","")))))))</f>
        <v/>
      </c>
      <c r="J2391" s="27" t="str">
        <f aca="false">IF(I2391="","",IF(AND(I2391="D",Settings!$B$6&lt;&gt;"Yes"),"",IFERROR(INDEX(Settings!$C$9:$C$12,MATCH(I2391,Settings!$A$9:$A$12,0)),"")))</f>
        <v/>
      </c>
      <c r="K2391" s="27" t="str">
        <f aca="false">IF(J2391="","",COUNTIF($I$2:I2391,I2391))</f>
        <v/>
      </c>
      <c r="L2391" s="27" t="str">
        <f aca="false">IF(J2391="","",CHOOSE(Q2391+1,"Tue","Wed","Thu","Fri"))</f>
        <v/>
      </c>
      <c r="M2391" s="27" t="str">
        <f aca="false">IF(J2391="","",IF(J2391=1,"Every week",R2391+1&amp;" of "&amp;J2391))</f>
        <v/>
      </c>
      <c r="N2391" s="28" t="str">
        <f aca="false">IF(J2391="","",Settings!$B$4+R2391*7+Q2391)</f>
        <v/>
      </c>
      <c r="O2391" s="28" t="str">
        <f aca="true">IF(J2391="","",N2391+MAX(0,ROUNDUP((TODAY()-N2391)/(J2391*7),0))*J2391*7)</f>
        <v/>
      </c>
      <c r="P2391" s="27" t="str">
        <f aca="false">IF(J2391="","",MOD(K2391-1,J2391*4))</f>
        <v/>
      </c>
      <c r="Q2391" s="27" t="str">
        <f aca="false">IF(J2391="","",MOD(P2391,4))</f>
        <v/>
      </c>
      <c r="R2391" s="27" t="str">
        <f aca="false">IF(J2391="","",INT(P2391/4))</f>
        <v/>
      </c>
      <c r="S2391" s="27" t="str">
        <f aca="false">IF(J2391="","",IF(AND('Daily Count Sheet'!$H$3=Q2391,MOD('Daily Count Sheet'!$I$3,J2391)=R2391),1,""))</f>
        <v/>
      </c>
      <c r="T2391" s="27" t="str">
        <f aca="false">IF(S2391=1,COUNTIF($S$2:S2391,1),"")</f>
        <v/>
      </c>
    </row>
    <row r="2392" customFormat="false" ht="15" hidden="false" customHeight="false" outlineLevel="0" collapsed="false">
      <c r="H2392" s="26"/>
      <c r="I2392" s="27" t="str">
        <f aca="false">IF(A2392="","",IF(H2392&lt;&gt;"",UPPER(TRIM(H2392)),IFERROR(CHOOSE(VALUE(E2392)+1,"A","B","C","D"),IF(OR(LEFT(UPPER(TRIM(E2392)),1)="F",UPPER(TRIM(E2392))="A"),"A",IF(OR(LEFT(UPPER(TRIM(E2392)),1)="M",UPPER(TRIM(E2392))="B"),"B",IF(OR(LEFT(UPPER(TRIM(E2392)),2)="SL",UPPER(TRIM(E2392))="C"),"C",IF(OR(LEFT(UPPER(TRIM(E2392)),1)="D",UPPER(TRIM(E2392))="D"),"D","")))))))</f>
        <v/>
      </c>
      <c r="J2392" s="27" t="str">
        <f aca="false">IF(I2392="","",IF(AND(I2392="D",Settings!$B$6&lt;&gt;"Yes"),"",IFERROR(INDEX(Settings!$C$9:$C$12,MATCH(I2392,Settings!$A$9:$A$12,0)),"")))</f>
        <v/>
      </c>
      <c r="K2392" s="27" t="str">
        <f aca="false">IF(J2392="","",COUNTIF($I$2:I2392,I2392))</f>
        <v/>
      </c>
      <c r="L2392" s="27" t="str">
        <f aca="false">IF(J2392="","",CHOOSE(Q2392+1,"Tue","Wed","Thu","Fri"))</f>
        <v/>
      </c>
      <c r="M2392" s="27" t="str">
        <f aca="false">IF(J2392="","",IF(J2392=1,"Every week",R2392+1&amp;" of "&amp;J2392))</f>
        <v/>
      </c>
      <c r="N2392" s="28" t="str">
        <f aca="false">IF(J2392="","",Settings!$B$4+R2392*7+Q2392)</f>
        <v/>
      </c>
      <c r="O2392" s="28" t="str">
        <f aca="true">IF(J2392="","",N2392+MAX(0,ROUNDUP((TODAY()-N2392)/(J2392*7),0))*J2392*7)</f>
        <v/>
      </c>
      <c r="P2392" s="27" t="str">
        <f aca="false">IF(J2392="","",MOD(K2392-1,J2392*4))</f>
        <v/>
      </c>
      <c r="Q2392" s="27" t="str">
        <f aca="false">IF(J2392="","",MOD(P2392,4))</f>
        <v/>
      </c>
      <c r="R2392" s="27" t="str">
        <f aca="false">IF(J2392="","",INT(P2392/4))</f>
        <v/>
      </c>
      <c r="S2392" s="27" t="str">
        <f aca="false">IF(J2392="","",IF(AND('Daily Count Sheet'!$H$3=Q2392,MOD('Daily Count Sheet'!$I$3,J2392)=R2392),1,""))</f>
        <v/>
      </c>
      <c r="T2392" s="27" t="str">
        <f aca="false">IF(S2392=1,COUNTIF($S$2:S2392,1),"")</f>
        <v/>
      </c>
    </row>
    <row r="2393" customFormat="false" ht="15" hidden="false" customHeight="false" outlineLevel="0" collapsed="false">
      <c r="H2393" s="26"/>
      <c r="I2393" s="27" t="str">
        <f aca="false">IF(A2393="","",IF(H2393&lt;&gt;"",UPPER(TRIM(H2393)),IFERROR(CHOOSE(VALUE(E2393)+1,"A","B","C","D"),IF(OR(LEFT(UPPER(TRIM(E2393)),1)="F",UPPER(TRIM(E2393))="A"),"A",IF(OR(LEFT(UPPER(TRIM(E2393)),1)="M",UPPER(TRIM(E2393))="B"),"B",IF(OR(LEFT(UPPER(TRIM(E2393)),2)="SL",UPPER(TRIM(E2393))="C"),"C",IF(OR(LEFT(UPPER(TRIM(E2393)),1)="D",UPPER(TRIM(E2393))="D"),"D","")))))))</f>
        <v/>
      </c>
      <c r="J2393" s="27" t="str">
        <f aca="false">IF(I2393="","",IF(AND(I2393="D",Settings!$B$6&lt;&gt;"Yes"),"",IFERROR(INDEX(Settings!$C$9:$C$12,MATCH(I2393,Settings!$A$9:$A$12,0)),"")))</f>
        <v/>
      </c>
      <c r="K2393" s="27" t="str">
        <f aca="false">IF(J2393="","",COUNTIF($I$2:I2393,I2393))</f>
        <v/>
      </c>
      <c r="L2393" s="27" t="str">
        <f aca="false">IF(J2393="","",CHOOSE(Q2393+1,"Tue","Wed","Thu","Fri"))</f>
        <v/>
      </c>
      <c r="M2393" s="27" t="str">
        <f aca="false">IF(J2393="","",IF(J2393=1,"Every week",R2393+1&amp;" of "&amp;J2393))</f>
        <v/>
      </c>
      <c r="N2393" s="28" t="str">
        <f aca="false">IF(J2393="","",Settings!$B$4+R2393*7+Q2393)</f>
        <v/>
      </c>
      <c r="O2393" s="28" t="str">
        <f aca="true">IF(J2393="","",N2393+MAX(0,ROUNDUP((TODAY()-N2393)/(J2393*7),0))*J2393*7)</f>
        <v/>
      </c>
      <c r="P2393" s="27" t="str">
        <f aca="false">IF(J2393="","",MOD(K2393-1,J2393*4))</f>
        <v/>
      </c>
      <c r="Q2393" s="27" t="str">
        <f aca="false">IF(J2393="","",MOD(P2393,4))</f>
        <v/>
      </c>
      <c r="R2393" s="27" t="str">
        <f aca="false">IF(J2393="","",INT(P2393/4))</f>
        <v/>
      </c>
      <c r="S2393" s="27" t="str">
        <f aca="false">IF(J2393="","",IF(AND('Daily Count Sheet'!$H$3=Q2393,MOD('Daily Count Sheet'!$I$3,J2393)=R2393),1,""))</f>
        <v/>
      </c>
      <c r="T2393" s="27" t="str">
        <f aca="false">IF(S2393=1,COUNTIF($S$2:S2393,1),"")</f>
        <v/>
      </c>
    </row>
    <row r="2394" customFormat="false" ht="15" hidden="false" customHeight="false" outlineLevel="0" collapsed="false">
      <c r="H2394" s="26"/>
      <c r="I2394" s="27" t="str">
        <f aca="false">IF(A2394="","",IF(H2394&lt;&gt;"",UPPER(TRIM(H2394)),IFERROR(CHOOSE(VALUE(E2394)+1,"A","B","C","D"),IF(OR(LEFT(UPPER(TRIM(E2394)),1)="F",UPPER(TRIM(E2394))="A"),"A",IF(OR(LEFT(UPPER(TRIM(E2394)),1)="M",UPPER(TRIM(E2394))="B"),"B",IF(OR(LEFT(UPPER(TRIM(E2394)),2)="SL",UPPER(TRIM(E2394))="C"),"C",IF(OR(LEFT(UPPER(TRIM(E2394)),1)="D",UPPER(TRIM(E2394))="D"),"D","")))))))</f>
        <v/>
      </c>
      <c r="J2394" s="27" t="str">
        <f aca="false">IF(I2394="","",IF(AND(I2394="D",Settings!$B$6&lt;&gt;"Yes"),"",IFERROR(INDEX(Settings!$C$9:$C$12,MATCH(I2394,Settings!$A$9:$A$12,0)),"")))</f>
        <v/>
      </c>
      <c r="K2394" s="27" t="str">
        <f aca="false">IF(J2394="","",COUNTIF($I$2:I2394,I2394))</f>
        <v/>
      </c>
      <c r="L2394" s="27" t="str">
        <f aca="false">IF(J2394="","",CHOOSE(Q2394+1,"Tue","Wed","Thu","Fri"))</f>
        <v/>
      </c>
      <c r="M2394" s="27" t="str">
        <f aca="false">IF(J2394="","",IF(J2394=1,"Every week",R2394+1&amp;" of "&amp;J2394))</f>
        <v/>
      </c>
      <c r="N2394" s="28" t="str">
        <f aca="false">IF(J2394="","",Settings!$B$4+R2394*7+Q2394)</f>
        <v/>
      </c>
      <c r="O2394" s="28" t="str">
        <f aca="true">IF(J2394="","",N2394+MAX(0,ROUNDUP((TODAY()-N2394)/(J2394*7),0))*J2394*7)</f>
        <v/>
      </c>
      <c r="P2394" s="27" t="str">
        <f aca="false">IF(J2394="","",MOD(K2394-1,J2394*4))</f>
        <v/>
      </c>
      <c r="Q2394" s="27" t="str">
        <f aca="false">IF(J2394="","",MOD(P2394,4))</f>
        <v/>
      </c>
      <c r="R2394" s="27" t="str">
        <f aca="false">IF(J2394="","",INT(P2394/4))</f>
        <v/>
      </c>
      <c r="S2394" s="27" t="str">
        <f aca="false">IF(J2394="","",IF(AND('Daily Count Sheet'!$H$3=Q2394,MOD('Daily Count Sheet'!$I$3,J2394)=R2394),1,""))</f>
        <v/>
      </c>
      <c r="T2394" s="27" t="str">
        <f aca="false">IF(S2394=1,COUNTIF($S$2:S2394,1),"")</f>
        <v/>
      </c>
    </row>
    <row r="2395" customFormat="false" ht="15" hidden="false" customHeight="false" outlineLevel="0" collapsed="false">
      <c r="H2395" s="26"/>
      <c r="I2395" s="27" t="str">
        <f aca="false">IF(A2395="","",IF(H2395&lt;&gt;"",UPPER(TRIM(H2395)),IFERROR(CHOOSE(VALUE(E2395)+1,"A","B","C","D"),IF(OR(LEFT(UPPER(TRIM(E2395)),1)="F",UPPER(TRIM(E2395))="A"),"A",IF(OR(LEFT(UPPER(TRIM(E2395)),1)="M",UPPER(TRIM(E2395))="B"),"B",IF(OR(LEFT(UPPER(TRIM(E2395)),2)="SL",UPPER(TRIM(E2395))="C"),"C",IF(OR(LEFT(UPPER(TRIM(E2395)),1)="D",UPPER(TRIM(E2395))="D"),"D","")))))))</f>
        <v/>
      </c>
      <c r="J2395" s="27" t="str">
        <f aca="false">IF(I2395="","",IF(AND(I2395="D",Settings!$B$6&lt;&gt;"Yes"),"",IFERROR(INDEX(Settings!$C$9:$C$12,MATCH(I2395,Settings!$A$9:$A$12,0)),"")))</f>
        <v/>
      </c>
      <c r="K2395" s="27" t="str">
        <f aca="false">IF(J2395="","",COUNTIF($I$2:I2395,I2395))</f>
        <v/>
      </c>
      <c r="L2395" s="27" t="str">
        <f aca="false">IF(J2395="","",CHOOSE(Q2395+1,"Tue","Wed","Thu","Fri"))</f>
        <v/>
      </c>
      <c r="M2395" s="27" t="str">
        <f aca="false">IF(J2395="","",IF(J2395=1,"Every week",R2395+1&amp;" of "&amp;J2395))</f>
        <v/>
      </c>
      <c r="N2395" s="28" t="str">
        <f aca="false">IF(J2395="","",Settings!$B$4+R2395*7+Q2395)</f>
        <v/>
      </c>
      <c r="O2395" s="28" t="str">
        <f aca="true">IF(J2395="","",N2395+MAX(0,ROUNDUP((TODAY()-N2395)/(J2395*7),0))*J2395*7)</f>
        <v/>
      </c>
      <c r="P2395" s="27" t="str">
        <f aca="false">IF(J2395="","",MOD(K2395-1,J2395*4))</f>
        <v/>
      </c>
      <c r="Q2395" s="27" t="str">
        <f aca="false">IF(J2395="","",MOD(P2395,4))</f>
        <v/>
      </c>
      <c r="R2395" s="27" t="str">
        <f aca="false">IF(J2395="","",INT(P2395/4))</f>
        <v/>
      </c>
      <c r="S2395" s="27" t="str">
        <f aca="false">IF(J2395="","",IF(AND('Daily Count Sheet'!$H$3=Q2395,MOD('Daily Count Sheet'!$I$3,J2395)=R2395),1,""))</f>
        <v/>
      </c>
      <c r="T2395" s="27" t="str">
        <f aca="false">IF(S2395=1,COUNTIF($S$2:S2395,1),"")</f>
        <v/>
      </c>
    </row>
    <row r="2396" customFormat="false" ht="15" hidden="false" customHeight="false" outlineLevel="0" collapsed="false">
      <c r="H2396" s="26"/>
      <c r="I2396" s="27" t="str">
        <f aca="false">IF(A2396="","",IF(H2396&lt;&gt;"",UPPER(TRIM(H2396)),IFERROR(CHOOSE(VALUE(E2396)+1,"A","B","C","D"),IF(OR(LEFT(UPPER(TRIM(E2396)),1)="F",UPPER(TRIM(E2396))="A"),"A",IF(OR(LEFT(UPPER(TRIM(E2396)),1)="M",UPPER(TRIM(E2396))="B"),"B",IF(OR(LEFT(UPPER(TRIM(E2396)),2)="SL",UPPER(TRIM(E2396))="C"),"C",IF(OR(LEFT(UPPER(TRIM(E2396)),1)="D",UPPER(TRIM(E2396))="D"),"D","")))))))</f>
        <v/>
      </c>
      <c r="J2396" s="27" t="str">
        <f aca="false">IF(I2396="","",IF(AND(I2396="D",Settings!$B$6&lt;&gt;"Yes"),"",IFERROR(INDEX(Settings!$C$9:$C$12,MATCH(I2396,Settings!$A$9:$A$12,0)),"")))</f>
        <v/>
      </c>
      <c r="K2396" s="27" t="str">
        <f aca="false">IF(J2396="","",COUNTIF($I$2:I2396,I2396))</f>
        <v/>
      </c>
      <c r="L2396" s="27" t="str">
        <f aca="false">IF(J2396="","",CHOOSE(Q2396+1,"Tue","Wed","Thu","Fri"))</f>
        <v/>
      </c>
      <c r="M2396" s="27" t="str">
        <f aca="false">IF(J2396="","",IF(J2396=1,"Every week",R2396+1&amp;" of "&amp;J2396))</f>
        <v/>
      </c>
      <c r="N2396" s="28" t="str">
        <f aca="false">IF(J2396="","",Settings!$B$4+R2396*7+Q2396)</f>
        <v/>
      </c>
      <c r="O2396" s="28" t="str">
        <f aca="true">IF(J2396="","",N2396+MAX(0,ROUNDUP((TODAY()-N2396)/(J2396*7),0))*J2396*7)</f>
        <v/>
      </c>
      <c r="P2396" s="27" t="str">
        <f aca="false">IF(J2396="","",MOD(K2396-1,J2396*4))</f>
        <v/>
      </c>
      <c r="Q2396" s="27" t="str">
        <f aca="false">IF(J2396="","",MOD(P2396,4))</f>
        <v/>
      </c>
      <c r="R2396" s="27" t="str">
        <f aca="false">IF(J2396="","",INT(P2396/4))</f>
        <v/>
      </c>
      <c r="S2396" s="27" t="str">
        <f aca="false">IF(J2396="","",IF(AND('Daily Count Sheet'!$H$3=Q2396,MOD('Daily Count Sheet'!$I$3,J2396)=R2396),1,""))</f>
        <v/>
      </c>
      <c r="T2396" s="27" t="str">
        <f aca="false">IF(S2396=1,COUNTIF($S$2:S2396,1),"")</f>
        <v/>
      </c>
    </row>
    <row r="2397" customFormat="false" ht="15" hidden="false" customHeight="false" outlineLevel="0" collapsed="false">
      <c r="H2397" s="26"/>
      <c r="I2397" s="27" t="str">
        <f aca="false">IF(A2397="","",IF(H2397&lt;&gt;"",UPPER(TRIM(H2397)),IFERROR(CHOOSE(VALUE(E2397)+1,"A","B","C","D"),IF(OR(LEFT(UPPER(TRIM(E2397)),1)="F",UPPER(TRIM(E2397))="A"),"A",IF(OR(LEFT(UPPER(TRIM(E2397)),1)="M",UPPER(TRIM(E2397))="B"),"B",IF(OR(LEFT(UPPER(TRIM(E2397)),2)="SL",UPPER(TRIM(E2397))="C"),"C",IF(OR(LEFT(UPPER(TRIM(E2397)),1)="D",UPPER(TRIM(E2397))="D"),"D","")))))))</f>
        <v/>
      </c>
      <c r="J2397" s="27" t="str">
        <f aca="false">IF(I2397="","",IF(AND(I2397="D",Settings!$B$6&lt;&gt;"Yes"),"",IFERROR(INDEX(Settings!$C$9:$C$12,MATCH(I2397,Settings!$A$9:$A$12,0)),"")))</f>
        <v/>
      </c>
      <c r="K2397" s="27" t="str">
        <f aca="false">IF(J2397="","",COUNTIF($I$2:I2397,I2397))</f>
        <v/>
      </c>
      <c r="L2397" s="27" t="str">
        <f aca="false">IF(J2397="","",CHOOSE(Q2397+1,"Tue","Wed","Thu","Fri"))</f>
        <v/>
      </c>
      <c r="M2397" s="27" t="str">
        <f aca="false">IF(J2397="","",IF(J2397=1,"Every week",R2397+1&amp;" of "&amp;J2397))</f>
        <v/>
      </c>
      <c r="N2397" s="28" t="str">
        <f aca="false">IF(J2397="","",Settings!$B$4+R2397*7+Q2397)</f>
        <v/>
      </c>
      <c r="O2397" s="28" t="str">
        <f aca="true">IF(J2397="","",N2397+MAX(0,ROUNDUP((TODAY()-N2397)/(J2397*7),0))*J2397*7)</f>
        <v/>
      </c>
      <c r="P2397" s="27" t="str">
        <f aca="false">IF(J2397="","",MOD(K2397-1,J2397*4))</f>
        <v/>
      </c>
      <c r="Q2397" s="27" t="str">
        <f aca="false">IF(J2397="","",MOD(P2397,4))</f>
        <v/>
      </c>
      <c r="R2397" s="27" t="str">
        <f aca="false">IF(J2397="","",INT(P2397/4))</f>
        <v/>
      </c>
      <c r="S2397" s="27" t="str">
        <f aca="false">IF(J2397="","",IF(AND('Daily Count Sheet'!$H$3=Q2397,MOD('Daily Count Sheet'!$I$3,J2397)=R2397),1,""))</f>
        <v/>
      </c>
      <c r="T2397" s="27" t="str">
        <f aca="false">IF(S2397=1,COUNTIF($S$2:S2397,1),"")</f>
        <v/>
      </c>
    </row>
    <row r="2398" customFormat="false" ht="15" hidden="false" customHeight="false" outlineLevel="0" collapsed="false">
      <c r="H2398" s="26"/>
      <c r="I2398" s="27" t="str">
        <f aca="false">IF(A2398="","",IF(H2398&lt;&gt;"",UPPER(TRIM(H2398)),IFERROR(CHOOSE(VALUE(E2398)+1,"A","B","C","D"),IF(OR(LEFT(UPPER(TRIM(E2398)),1)="F",UPPER(TRIM(E2398))="A"),"A",IF(OR(LEFT(UPPER(TRIM(E2398)),1)="M",UPPER(TRIM(E2398))="B"),"B",IF(OR(LEFT(UPPER(TRIM(E2398)),2)="SL",UPPER(TRIM(E2398))="C"),"C",IF(OR(LEFT(UPPER(TRIM(E2398)),1)="D",UPPER(TRIM(E2398))="D"),"D","")))))))</f>
        <v/>
      </c>
      <c r="J2398" s="27" t="str">
        <f aca="false">IF(I2398="","",IF(AND(I2398="D",Settings!$B$6&lt;&gt;"Yes"),"",IFERROR(INDEX(Settings!$C$9:$C$12,MATCH(I2398,Settings!$A$9:$A$12,0)),"")))</f>
        <v/>
      </c>
      <c r="K2398" s="27" t="str">
        <f aca="false">IF(J2398="","",COUNTIF($I$2:I2398,I2398))</f>
        <v/>
      </c>
      <c r="L2398" s="27" t="str">
        <f aca="false">IF(J2398="","",CHOOSE(Q2398+1,"Tue","Wed","Thu","Fri"))</f>
        <v/>
      </c>
      <c r="M2398" s="27" t="str">
        <f aca="false">IF(J2398="","",IF(J2398=1,"Every week",R2398+1&amp;" of "&amp;J2398))</f>
        <v/>
      </c>
      <c r="N2398" s="28" t="str">
        <f aca="false">IF(J2398="","",Settings!$B$4+R2398*7+Q2398)</f>
        <v/>
      </c>
      <c r="O2398" s="28" t="str">
        <f aca="true">IF(J2398="","",N2398+MAX(0,ROUNDUP((TODAY()-N2398)/(J2398*7),0))*J2398*7)</f>
        <v/>
      </c>
      <c r="P2398" s="27" t="str">
        <f aca="false">IF(J2398="","",MOD(K2398-1,J2398*4))</f>
        <v/>
      </c>
      <c r="Q2398" s="27" t="str">
        <f aca="false">IF(J2398="","",MOD(P2398,4))</f>
        <v/>
      </c>
      <c r="R2398" s="27" t="str">
        <f aca="false">IF(J2398="","",INT(P2398/4))</f>
        <v/>
      </c>
      <c r="S2398" s="27" t="str">
        <f aca="false">IF(J2398="","",IF(AND('Daily Count Sheet'!$H$3=Q2398,MOD('Daily Count Sheet'!$I$3,J2398)=R2398),1,""))</f>
        <v/>
      </c>
      <c r="T2398" s="27" t="str">
        <f aca="false">IF(S2398=1,COUNTIF($S$2:S2398,1),"")</f>
        <v/>
      </c>
    </row>
    <row r="2399" customFormat="false" ht="15" hidden="false" customHeight="false" outlineLevel="0" collapsed="false">
      <c r="H2399" s="26"/>
      <c r="I2399" s="27" t="str">
        <f aca="false">IF(A2399="","",IF(H2399&lt;&gt;"",UPPER(TRIM(H2399)),IFERROR(CHOOSE(VALUE(E2399)+1,"A","B","C","D"),IF(OR(LEFT(UPPER(TRIM(E2399)),1)="F",UPPER(TRIM(E2399))="A"),"A",IF(OR(LEFT(UPPER(TRIM(E2399)),1)="M",UPPER(TRIM(E2399))="B"),"B",IF(OR(LEFT(UPPER(TRIM(E2399)),2)="SL",UPPER(TRIM(E2399))="C"),"C",IF(OR(LEFT(UPPER(TRIM(E2399)),1)="D",UPPER(TRIM(E2399))="D"),"D","")))))))</f>
        <v/>
      </c>
      <c r="J2399" s="27" t="str">
        <f aca="false">IF(I2399="","",IF(AND(I2399="D",Settings!$B$6&lt;&gt;"Yes"),"",IFERROR(INDEX(Settings!$C$9:$C$12,MATCH(I2399,Settings!$A$9:$A$12,0)),"")))</f>
        <v/>
      </c>
      <c r="K2399" s="27" t="str">
        <f aca="false">IF(J2399="","",COUNTIF($I$2:I2399,I2399))</f>
        <v/>
      </c>
      <c r="L2399" s="27" t="str">
        <f aca="false">IF(J2399="","",CHOOSE(Q2399+1,"Tue","Wed","Thu","Fri"))</f>
        <v/>
      </c>
      <c r="M2399" s="27" t="str">
        <f aca="false">IF(J2399="","",IF(J2399=1,"Every week",R2399+1&amp;" of "&amp;J2399))</f>
        <v/>
      </c>
      <c r="N2399" s="28" t="str">
        <f aca="false">IF(J2399="","",Settings!$B$4+R2399*7+Q2399)</f>
        <v/>
      </c>
      <c r="O2399" s="28" t="str">
        <f aca="true">IF(J2399="","",N2399+MAX(0,ROUNDUP((TODAY()-N2399)/(J2399*7),0))*J2399*7)</f>
        <v/>
      </c>
      <c r="P2399" s="27" t="str">
        <f aca="false">IF(J2399="","",MOD(K2399-1,J2399*4))</f>
        <v/>
      </c>
      <c r="Q2399" s="27" t="str">
        <f aca="false">IF(J2399="","",MOD(P2399,4))</f>
        <v/>
      </c>
      <c r="R2399" s="27" t="str">
        <f aca="false">IF(J2399="","",INT(P2399/4))</f>
        <v/>
      </c>
      <c r="S2399" s="27" t="str">
        <f aca="false">IF(J2399="","",IF(AND('Daily Count Sheet'!$H$3=Q2399,MOD('Daily Count Sheet'!$I$3,J2399)=R2399),1,""))</f>
        <v/>
      </c>
      <c r="T2399" s="27" t="str">
        <f aca="false">IF(S2399=1,COUNTIF($S$2:S2399,1),"")</f>
        <v/>
      </c>
    </row>
    <row r="2400" customFormat="false" ht="15" hidden="false" customHeight="false" outlineLevel="0" collapsed="false">
      <c r="H2400" s="26"/>
      <c r="I2400" s="27" t="str">
        <f aca="false">IF(A2400="","",IF(H2400&lt;&gt;"",UPPER(TRIM(H2400)),IFERROR(CHOOSE(VALUE(E2400)+1,"A","B","C","D"),IF(OR(LEFT(UPPER(TRIM(E2400)),1)="F",UPPER(TRIM(E2400))="A"),"A",IF(OR(LEFT(UPPER(TRIM(E2400)),1)="M",UPPER(TRIM(E2400))="B"),"B",IF(OR(LEFT(UPPER(TRIM(E2400)),2)="SL",UPPER(TRIM(E2400))="C"),"C",IF(OR(LEFT(UPPER(TRIM(E2400)),1)="D",UPPER(TRIM(E2400))="D"),"D","")))))))</f>
        <v/>
      </c>
      <c r="J2400" s="27" t="str">
        <f aca="false">IF(I2400="","",IF(AND(I2400="D",Settings!$B$6&lt;&gt;"Yes"),"",IFERROR(INDEX(Settings!$C$9:$C$12,MATCH(I2400,Settings!$A$9:$A$12,0)),"")))</f>
        <v/>
      </c>
      <c r="K2400" s="27" t="str">
        <f aca="false">IF(J2400="","",COUNTIF($I$2:I2400,I2400))</f>
        <v/>
      </c>
      <c r="L2400" s="27" t="str">
        <f aca="false">IF(J2400="","",CHOOSE(Q2400+1,"Tue","Wed","Thu","Fri"))</f>
        <v/>
      </c>
      <c r="M2400" s="27" t="str">
        <f aca="false">IF(J2400="","",IF(J2400=1,"Every week",R2400+1&amp;" of "&amp;J2400))</f>
        <v/>
      </c>
      <c r="N2400" s="28" t="str">
        <f aca="false">IF(J2400="","",Settings!$B$4+R2400*7+Q2400)</f>
        <v/>
      </c>
      <c r="O2400" s="28" t="str">
        <f aca="true">IF(J2400="","",N2400+MAX(0,ROUNDUP((TODAY()-N2400)/(J2400*7),0))*J2400*7)</f>
        <v/>
      </c>
      <c r="P2400" s="27" t="str">
        <f aca="false">IF(J2400="","",MOD(K2400-1,J2400*4))</f>
        <v/>
      </c>
      <c r="Q2400" s="27" t="str">
        <f aca="false">IF(J2400="","",MOD(P2400,4))</f>
        <v/>
      </c>
      <c r="R2400" s="27" t="str">
        <f aca="false">IF(J2400="","",INT(P2400/4))</f>
        <v/>
      </c>
      <c r="S2400" s="27" t="str">
        <f aca="false">IF(J2400="","",IF(AND('Daily Count Sheet'!$H$3=Q2400,MOD('Daily Count Sheet'!$I$3,J2400)=R2400),1,""))</f>
        <v/>
      </c>
      <c r="T2400" s="27" t="str">
        <f aca="false">IF(S2400=1,COUNTIF($S$2:S2400,1),"")</f>
        <v/>
      </c>
    </row>
    <row r="2401" customFormat="false" ht="15" hidden="false" customHeight="false" outlineLevel="0" collapsed="false">
      <c r="H2401" s="26"/>
      <c r="I2401" s="27" t="str">
        <f aca="false">IF(A2401="","",IF(H2401&lt;&gt;"",UPPER(TRIM(H2401)),IFERROR(CHOOSE(VALUE(E2401)+1,"A","B","C","D"),IF(OR(LEFT(UPPER(TRIM(E2401)),1)="F",UPPER(TRIM(E2401))="A"),"A",IF(OR(LEFT(UPPER(TRIM(E2401)),1)="M",UPPER(TRIM(E2401))="B"),"B",IF(OR(LEFT(UPPER(TRIM(E2401)),2)="SL",UPPER(TRIM(E2401))="C"),"C",IF(OR(LEFT(UPPER(TRIM(E2401)),1)="D",UPPER(TRIM(E2401))="D"),"D","")))))))</f>
        <v/>
      </c>
      <c r="J2401" s="27" t="str">
        <f aca="false">IF(I2401="","",IF(AND(I2401="D",Settings!$B$6&lt;&gt;"Yes"),"",IFERROR(INDEX(Settings!$C$9:$C$12,MATCH(I2401,Settings!$A$9:$A$12,0)),"")))</f>
        <v/>
      </c>
      <c r="K2401" s="27" t="str">
        <f aca="false">IF(J2401="","",COUNTIF($I$2:I2401,I2401))</f>
        <v/>
      </c>
      <c r="L2401" s="27" t="str">
        <f aca="false">IF(J2401="","",CHOOSE(Q2401+1,"Tue","Wed","Thu","Fri"))</f>
        <v/>
      </c>
      <c r="M2401" s="27" t="str">
        <f aca="false">IF(J2401="","",IF(J2401=1,"Every week",R2401+1&amp;" of "&amp;J2401))</f>
        <v/>
      </c>
      <c r="N2401" s="28" t="str">
        <f aca="false">IF(J2401="","",Settings!$B$4+R2401*7+Q2401)</f>
        <v/>
      </c>
      <c r="O2401" s="28" t="str">
        <f aca="true">IF(J2401="","",N2401+MAX(0,ROUNDUP((TODAY()-N2401)/(J2401*7),0))*J2401*7)</f>
        <v/>
      </c>
      <c r="P2401" s="27" t="str">
        <f aca="false">IF(J2401="","",MOD(K2401-1,J2401*4))</f>
        <v/>
      </c>
      <c r="Q2401" s="27" t="str">
        <f aca="false">IF(J2401="","",MOD(P2401,4))</f>
        <v/>
      </c>
      <c r="R2401" s="27" t="str">
        <f aca="false">IF(J2401="","",INT(P2401/4))</f>
        <v/>
      </c>
      <c r="S2401" s="27" t="str">
        <f aca="false">IF(J2401="","",IF(AND('Daily Count Sheet'!$H$3=Q2401,MOD('Daily Count Sheet'!$I$3,J2401)=R2401),1,""))</f>
        <v/>
      </c>
      <c r="T2401" s="27" t="str">
        <f aca="false">IF(S2401=1,COUNTIF($S$2:S2401,1),"")</f>
        <v/>
      </c>
    </row>
    <row r="2402" customFormat="false" ht="15" hidden="false" customHeight="false" outlineLevel="0" collapsed="false">
      <c r="H2402" s="26"/>
      <c r="I2402" s="27" t="str">
        <f aca="false">IF(A2402="","",IF(H2402&lt;&gt;"",UPPER(TRIM(H2402)),IFERROR(CHOOSE(VALUE(E2402)+1,"A","B","C","D"),IF(OR(LEFT(UPPER(TRIM(E2402)),1)="F",UPPER(TRIM(E2402))="A"),"A",IF(OR(LEFT(UPPER(TRIM(E2402)),1)="M",UPPER(TRIM(E2402))="B"),"B",IF(OR(LEFT(UPPER(TRIM(E2402)),2)="SL",UPPER(TRIM(E2402))="C"),"C",IF(OR(LEFT(UPPER(TRIM(E2402)),1)="D",UPPER(TRIM(E2402))="D"),"D","")))))))</f>
        <v/>
      </c>
      <c r="J2402" s="27" t="str">
        <f aca="false">IF(I2402="","",IF(AND(I2402="D",Settings!$B$6&lt;&gt;"Yes"),"",IFERROR(INDEX(Settings!$C$9:$C$12,MATCH(I2402,Settings!$A$9:$A$12,0)),"")))</f>
        <v/>
      </c>
      <c r="K2402" s="27" t="str">
        <f aca="false">IF(J2402="","",COUNTIF($I$2:I2402,I2402))</f>
        <v/>
      </c>
      <c r="L2402" s="27" t="str">
        <f aca="false">IF(J2402="","",CHOOSE(Q2402+1,"Tue","Wed","Thu","Fri"))</f>
        <v/>
      </c>
      <c r="M2402" s="27" t="str">
        <f aca="false">IF(J2402="","",IF(J2402=1,"Every week",R2402+1&amp;" of "&amp;J2402))</f>
        <v/>
      </c>
      <c r="N2402" s="28" t="str">
        <f aca="false">IF(J2402="","",Settings!$B$4+R2402*7+Q2402)</f>
        <v/>
      </c>
      <c r="O2402" s="28" t="str">
        <f aca="true">IF(J2402="","",N2402+MAX(0,ROUNDUP((TODAY()-N2402)/(J2402*7),0))*J2402*7)</f>
        <v/>
      </c>
      <c r="P2402" s="27" t="str">
        <f aca="false">IF(J2402="","",MOD(K2402-1,J2402*4))</f>
        <v/>
      </c>
      <c r="Q2402" s="27" t="str">
        <f aca="false">IF(J2402="","",MOD(P2402,4))</f>
        <v/>
      </c>
      <c r="R2402" s="27" t="str">
        <f aca="false">IF(J2402="","",INT(P2402/4))</f>
        <v/>
      </c>
      <c r="S2402" s="27" t="str">
        <f aca="false">IF(J2402="","",IF(AND('Daily Count Sheet'!$H$3=Q2402,MOD('Daily Count Sheet'!$I$3,J2402)=R2402),1,""))</f>
        <v/>
      </c>
      <c r="T2402" s="27" t="str">
        <f aca="false">IF(S2402=1,COUNTIF($S$2:S2402,1),"")</f>
        <v/>
      </c>
    </row>
    <row r="2403" customFormat="false" ht="15" hidden="false" customHeight="false" outlineLevel="0" collapsed="false">
      <c r="H2403" s="26"/>
      <c r="I2403" s="27" t="str">
        <f aca="false">IF(A2403="","",IF(H2403&lt;&gt;"",UPPER(TRIM(H2403)),IFERROR(CHOOSE(VALUE(E2403)+1,"A","B","C","D"),IF(OR(LEFT(UPPER(TRIM(E2403)),1)="F",UPPER(TRIM(E2403))="A"),"A",IF(OR(LEFT(UPPER(TRIM(E2403)),1)="M",UPPER(TRIM(E2403))="B"),"B",IF(OR(LEFT(UPPER(TRIM(E2403)),2)="SL",UPPER(TRIM(E2403))="C"),"C",IF(OR(LEFT(UPPER(TRIM(E2403)),1)="D",UPPER(TRIM(E2403))="D"),"D","")))))))</f>
        <v/>
      </c>
      <c r="J2403" s="27" t="str">
        <f aca="false">IF(I2403="","",IF(AND(I2403="D",Settings!$B$6&lt;&gt;"Yes"),"",IFERROR(INDEX(Settings!$C$9:$C$12,MATCH(I2403,Settings!$A$9:$A$12,0)),"")))</f>
        <v/>
      </c>
      <c r="K2403" s="27" t="str">
        <f aca="false">IF(J2403="","",COUNTIF($I$2:I2403,I2403))</f>
        <v/>
      </c>
      <c r="L2403" s="27" t="str">
        <f aca="false">IF(J2403="","",CHOOSE(Q2403+1,"Tue","Wed","Thu","Fri"))</f>
        <v/>
      </c>
      <c r="M2403" s="27" t="str">
        <f aca="false">IF(J2403="","",IF(J2403=1,"Every week",R2403+1&amp;" of "&amp;J2403))</f>
        <v/>
      </c>
      <c r="N2403" s="28" t="str">
        <f aca="false">IF(J2403="","",Settings!$B$4+R2403*7+Q2403)</f>
        <v/>
      </c>
      <c r="O2403" s="28" t="str">
        <f aca="true">IF(J2403="","",N2403+MAX(0,ROUNDUP((TODAY()-N2403)/(J2403*7),0))*J2403*7)</f>
        <v/>
      </c>
      <c r="P2403" s="27" t="str">
        <f aca="false">IF(J2403="","",MOD(K2403-1,J2403*4))</f>
        <v/>
      </c>
      <c r="Q2403" s="27" t="str">
        <f aca="false">IF(J2403="","",MOD(P2403,4))</f>
        <v/>
      </c>
      <c r="R2403" s="27" t="str">
        <f aca="false">IF(J2403="","",INT(P2403/4))</f>
        <v/>
      </c>
      <c r="S2403" s="27" t="str">
        <f aca="false">IF(J2403="","",IF(AND('Daily Count Sheet'!$H$3=Q2403,MOD('Daily Count Sheet'!$I$3,J2403)=R2403),1,""))</f>
        <v/>
      </c>
      <c r="T2403" s="27" t="str">
        <f aca="false">IF(S2403=1,COUNTIF($S$2:S2403,1),"")</f>
        <v/>
      </c>
    </row>
    <row r="2404" customFormat="false" ht="15" hidden="false" customHeight="false" outlineLevel="0" collapsed="false">
      <c r="H2404" s="26"/>
      <c r="I2404" s="27" t="str">
        <f aca="false">IF(A2404="","",IF(H2404&lt;&gt;"",UPPER(TRIM(H2404)),IFERROR(CHOOSE(VALUE(E2404)+1,"A","B","C","D"),IF(OR(LEFT(UPPER(TRIM(E2404)),1)="F",UPPER(TRIM(E2404))="A"),"A",IF(OR(LEFT(UPPER(TRIM(E2404)),1)="M",UPPER(TRIM(E2404))="B"),"B",IF(OR(LEFT(UPPER(TRIM(E2404)),2)="SL",UPPER(TRIM(E2404))="C"),"C",IF(OR(LEFT(UPPER(TRIM(E2404)),1)="D",UPPER(TRIM(E2404))="D"),"D","")))))))</f>
        <v/>
      </c>
      <c r="J2404" s="27" t="str">
        <f aca="false">IF(I2404="","",IF(AND(I2404="D",Settings!$B$6&lt;&gt;"Yes"),"",IFERROR(INDEX(Settings!$C$9:$C$12,MATCH(I2404,Settings!$A$9:$A$12,0)),"")))</f>
        <v/>
      </c>
      <c r="K2404" s="27" t="str">
        <f aca="false">IF(J2404="","",COUNTIF($I$2:I2404,I2404))</f>
        <v/>
      </c>
      <c r="L2404" s="27" t="str">
        <f aca="false">IF(J2404="","",CHOOSE(Q2404+1,"Tue","Wed","Thu","Fri"))</f>
        <v/>
      </c>
      <c r="M2404" s="27" t="str">
        <f aca="false">IF(J2404="","",IF(J2404=1,"Every week",R2404+1&amp;" of "&amp;J2404))</f>
        <v/>
      </c>
      <c r="N2404" s="28" t="str">
        <f aca="false">IF(J2404="","",Settings!$B$4+R2404*7+Q2404)</f>
        <v/>
      </c>
      <c r="O2404" s="28" t="str">
        <f aca="true">IF(J2404="","",N2404+MAX(0,ROUNDUP((TODAY()-N2404)/(J2404*7),0))*J2404*7)</f>
        <v/>
      </c>
      <c r="P2404" s="27" t="str">
        <f aca="false">IF(J2404="","",MOD(K2404-1,J2404*4))</f>
        <v/>
      </c>
      <c r="Q2404" s="27" t="str">
        <f aca="false">IF(J2404="","",MOD(P2404,4))</f>
        <v/>
      </c>
      <c r="R2404" s="27" t="str">
        <f aca="false">IF(J2404="","",INT(P2404/4))</f>
        <v/>
      </c>
      <c r="S2404" s="27" t="str">
        <f aca="false">IF(J2404="","",IF(AND('Daily Count Sheet'!$H$3=Q2404,MOD('Daily Count Sheet'!$I$3,J2404)=R2404),1,""))</f>
        <v/>
      </c>
      <c r="T2404" s="27" t="str">
        <f aca="false">IF(S2404=1,COUNTIF($S$2:S2404,1),"")</f>
        <v/>
      </c>
    </row>
    <row r="2405" customFormat="false" ht="15" hidden="false" customHeight="false" outlineLevel="0" collapsed="false">
      <c r="H2405" s="26"/>
      <c r="I2405" s="27" t="str">
        <f aca="false">IF(A2405="","",IF(H2405&lt;&gt;"",UPPER(TRIM(H2405)),IFERROR(CHOOSE(VALUE(E2405)+1,"A","B","C","D"),IF(OR(LEFT(UPPER(TRIM(E2405)),1)="F",UPPER(TRIM(E2405))="A"),"A",IF(OR(LEFT(UPPER(TRIM(E2405)),1)="M",UPPER(TRIM(E2405))="B"),"B",IF(OR(LEFT(UPPER(TRIM(E2405)),2)="SL",UPPER(TRIM(E2405))="C"),"C",IF(OR(LEFT(UPPER(TRIM(E2405)),1)="D",UPPER(TRIM(E2405))="D"),"D","")))))))</f>
        <v/>
      </c>
      <c r="J2405" s="27" t="str">
        <f aca="false">IF(I2405="","",IF(AND(I2405="D",Settings!$B$6&lt;&gt;"Yes"),"",IFERROR(INDEX(Settings!$C$9:$C$12,MATCH(I2405,Settings!$A$9:$A$12,0)),"")))</f>
        <v/>
      </c>
      <c r="K2405" s="27" t="str">
        <f aca="false">IF(J2405="","",COUNTIF($I$2:I2405,I2405))</f>
        <v/>
      </c>
      <c r="L2405" s="27" t="str">
        <f aca="false">IF(J2405="","",CHOOSE(Q2405+1,"Tue","Wed","Thu","Fri"))</f>
        <v/>
      </c>
      <c r="M2405" s="27" t="str">
        <f aca="false">IF(J2405="","",IF(J2405=1,"Every week",R2405+1&amp;" of "&amp;J2405))</f>
        <v/>
      </c>
      <c r="N2405" s="28" t="str">
        <f aca="false">IF(J2405="","",Settings!$B$4+R2405*7+Q2405)</f>
        <v/>
      </c>
      <c r="O2405" s="28" t="str">
        <f aca="true">IF(J2405="","",N2405+MAX(0,ROUNDUP((TODAY()-N2405)/(J2405*7),0))*J2405*7)</f>
        <v/>
      </c>
      <c r="P2405" s="27" t="str">
        <f aca="false">IF(J2405="","",MOD(K2405-1,J2405*4))</f>
        <v/>
      </c>
      <c r="Q2405" s="27" t="str">
        <f aca="false">IF(J2405="","",MOD(P2405,4))</f>
        <v/>
      </c>
      <c r="R2405" s="27" t="str">
        <f aca="false">IF(J2405="","",INT(P2405/4))</f>
        <v/>
      </c>
      <c r="S2405" s="27" t="str">
        <f aca="false">IF(J2405="","",IF(AND('Daily Count Sheet'!$H$3=Q2405,MOD('Daily Count Sheet'!$I$3,J2405)=R2405),1,""))</f>
        <v/>
      </c>
      <c r="T2405" s="27" t="str">
        <f aca="false">IF(S2405=1,COUNTIF($S$2:S2405,1),"")</f>
        <v/>
      </c>
    </row>
    <row r="2406" customFormat="false" ht="15" hidden="false" customHeight="false" outlineLevel="0" collapsed="false">
      <c r="H2406" s="26"/>
      <c r="I2406" s="27" t="str">
        <f aca="false">IF(A2406="","",IF(H2406&lt;&gt;"",UPPER(TRIM(H2406)),IFERROR(CHOOSE(VALUE(E2406)+1,"A","B","C","D"),IF(OR(LEFT(UPPER(TRIM(E2406)),1)="F",UPPER(TRIM(E2406))="A"),"A",IF(OR(LEFT(UPPER(TRIM(E2406)),1)="M",UPPER(TRIM(E2406))="B"),"B",IF(OR(LEFT(UPPER(TRIM(E2406)),2)="SL",UPPER(TRIM(E2406))="C"),"C",IF(OR(LEFT(UPPER(TRIM(E2406)),1)="D",UPPER(TRIM(E2406))="D"),"D","")))))))</f>
        <v/>
      </c>
      <c r="J2406" s="27" t="str">
        <f aca="false">IF(I2406="","",IF(AND(I2406="D",Settings!$B$6&lt;&gt;"Yes"),"",IFERROR(INDEX(Settings!$C$9:$C$12,MATCH(I2406,Settings!$A$9:$A$12,0)),"")))</f>
        <v/>
      </c>
      <c r="K2406" s="27" t="str">
        <f aca="false">IF(J2406="","",COUNTIF($I$2:I2406,I2406))</f>
        <v/>
      </c>
      <c r="L2406" s="27" t="str">
        <f aca="false">IF(J2406="","",CHOOSE(Q2406+1,"Tue","Wed","Thu","Fri"))</f>
        <v/>
      </c>
      <c r="M2406" s="27" t="str">
        <f aca="false">IF(J2406="","",IF(J2406=1,"Every week",R2406+1&amp;" of "&amp;J2406))</f>
        <v/>
      </c>
      <c r="N2406" s="28" t="str">
        <f aca="false">IF(J2406="","",Settings!$B$4+R2406*7+Q2406)</f>
        <v/>
      </c>
      <c r="O2406" s="28" t="str">
        <f aca="true">IF(J2406="","",N2406+MAX(0,ROUNDUP((TODAY()-N2406)/(J2406*7),0))*J2406*7)</f>
        <v/>
      </c>
      <c r="P2406" s="27" t="str">
        <f aca="false">IF(J2406="","",MOD(K2406-1,J2406*4))</f>
        <v/>
      </c>
      <c r="Q2406" s="27" t="str">
        <f aca="false">IF(J2406="","",MOD(P2406,4))</f>
        <v/>
      </c>
      <c r="R2406" s="27" t="str">
        <f aca="false">IF(J2406="","",INT(P2406/4))</f>
        <v/>
      </c>
      <c r="S2406" s="27" t="str">
        <f aca="false">IF(J2406="","",IF(AND('Daily Count Sheet'!$H$3=Q2406,MOD('Daily Count Sheet'!$I$3,J2406)=R2406),1,""))</f>
        <v/>
      </c>
      <c r="T2406" s="27" t="str">
        <f aca="false">IF(S2406=1,COUNTIF($S$2:S2406,1),"")</f>
        <v/>
      </c>
    </row>
    <row r="2407" customFormat="false" ht="15" hidden="false" customHeight="false" outlineLevel="0" collapsed="false">
      <c r="H2407" s="26"/>
      <c r="I2407" s="27" t="str">
        <f aca="false">IF(A2407="","",IF(H2407&lt;&gt;"",UPPER(TRIM(H2407)),IFERROR(CHOOSE(VALUE(E2407)+1,"A","B","C","D"),IF(OR(LEFT(UPPER(TRIM(E2407)),1)="F",UPPER(TRIM(E2407))="A"),"A",IF(OR(LEFT(UPPER(TRIM(E2407)),1)="M",UPPER(TRIM(E2407))="B"),"B",IF(OR(LEFT(UPPER(TRIM(E2407)),2)="SL",UPPER(TRIM(E2407))="C"),"C",IF(OR(LEFT(UPPER(TRIM(E2407)),1)="D",UPPER(TRIM(E2407))="D"),"D","")))))))</f>
        <v/>
      </c>
      <c r="J2407" s="27" t="str">
        <f aca="false">IF(I2407="","",IF(AND(I2407="D",Settings!$B$6&lt;&gt;"Yes"),"",IFERROR(INDEX(Settings!$C$9:$C$12,MATCH(I2407,Settings!$A$9:$A$12,0)),"")))</f>
        <v/>
      </c>
      <c r="K2407" s="27" t="str">
        <f aca="false">IF(J2407="","",COUNTIF($I$2:I2407,I2407))</f>
        <v/>
      </c>
      <c r="L2407" s="27" t="str">
        <f aca="false">IF(J2407="","",CHOOSE(Q2407+1,"Tue","Wed","Thu","Fri"))</f>
        <v/>
      </c>
      <c r="M2407" s="27" t="str">
        <f aca="false">IF(J2407="","",IF(J2407=1,"Every week",R2407+1&amp;" of "&amp;J2407))</f>
        <v/>
      </c>
      <c r="N2407" s="28" t="str">
        <f aca="false">IF(J2407="","",Settings!$B$4+R2407*7+Q2407)</f>
        <v/>
      </c>
      <c r="O2407" s="28" t="str">
        <f aca="true">IF(J2407="","",N2407+MAX(0,ROUNDUP((TODAY()-N2407)/(J2407*7),0))*J2407*7)</f>
        <v/>
      </c>
      <c r="P2407" s="27" t="str">
        <f aca="false">IF(J2407="","",MOD(K2407-1,J2407*4))</f>
        <v/>
      </c>
      <c r="Q2407" s="27" t="str">
        <f aca="false">IF(J2407="","",MOD(P2407,4))</f>
        <v/>
      </c>
      <c r="R2407" s="27" t="str">
        <f aca="false">IF(J2407="","",INT(P2407/4))</f>
        <v/>
      </c>
      <c r="S2407" s="27" t="str">
        <f aca="false">IF(J2407="","",IF(AND('Daily Count Sheet'!$H$3=Q2407,MOD('Daily Count Sheet'!$I$3,J2407)=R2407),1,""))</f>
        <v/>
      </c>
      <c r="T2407" s="27" t="str">
        <f aca="false">IF(S2407=1,COUNTIF($S$2:S2407,1),"")</f>
        <v/>
      </c>
    </row>
    <row r="2408" customFormat="false" ht="15" hidden="false" customHeight="false" outlineLevel="0" collapsed="false">
      <c r="H2408" s="26"/>
      <c r="I2408" s="27" t="str">
        <f aca="false">IF(A2408="","",IF(H2408&lt;&gt;"",UPPER(TRIM(H2408)),IFERROR(CHOOSE(VALUE(E2408)+1,"A","B","C","D"),IF(OR(LEFT(UPPER(TRIM(E2408)),1)="F",UPPER(TRIM(E2408))="A"),"A",IF(OR(LEFT(UPPER(TRIM(E2408)),1)="M",UPPER(TRIM(E2408))="B"),"B",IF(OR(LEFT(UPPER(TRIM(E2408)),2)="SL",UPPER(TRIM(E2408))="C"),"C",IF(OR(LEFT(UPPER(TRIM(E2408)),1)="D",UPPER(TRIM(E2408))="D"),"D","")))))))</f>
        <v/>
      </c>
      <c r="J2408" s="27" t="str">
        <f aca="false">IF(I2408="","",IF(AND(I2408="D",Settings!$B$6&lt;&gt;"Yes"),"",IFERROR(INDEX(Settings!$C$9:$C$12,MATCH(I2408,Settings!$A$9:$A$12,0)),"")))</f>
        <v/>
      </c>
      <c r="K2408" s="27" t="str">
        <f aca="false">IF(J2408="","",COUNTIF($I$2:I2408,I2408))</f>
        <v/>
      </c>
      <c r="L2408" s="27" t="str">
        <f aca="false">IF(J2408="","",CHOOSE(Q2408+1,"Tue","Wed","Thu","Fri"))</f>
        <v/>
      </c>
      <c r="M2408" s="27" t="str">
        <f aca="false">IF(J2408="","",IF(J2408=1,"Every week",R2408+1&amp;" of "&amp;J2408))</f>
        <v/>
      </c>
      <c r="N2408" s="28" t="str">
        <f aca="false">IF(J2408="","",Settings!$B$4+R2408*7+Q2408)</f>
        <v/>
      </c>
      <c r="O2408" s="28" t="str">
        <f aca="true">IF(J2408="","",N2408+MAX(0,ROUNDUP((TODAY()-N2408)/(J2408*7),0))*J2408*7)</f>
        <v/>
      </c>
      <c r="P2408" s="27" t="str">
        <f aca="false">IF(J2408="","",MOD(K2408-1,J2408*4))</f>
        <v/>
      </c>
      <c r="Q2408" s="27" t="str">
        <f aca="false">IF(J2408="","",MOD(P2408,4))</f>
        <v/>
      </c>
      <c r="R2408" s="27" t="str">
        <f aca="false">IF(J2408="","",INT(P2408/4))</f>
        <v/>
      </c>
      <c r="S2408" s="27" t="str">
        <f aca="false">IF(J2408="","",IF(AND('Daily Count Sheet'!$H$3=Q2408,MOD('Daily Count Sheet'!$I$3,J2408)=R2408),1,""))</f>
        <v/>
      </c>
      <c r="T2408" s="27" t="str">
        <f aca="false">IF(S2408=1,COUNTIF($S$2:S2408,1),"")</f>
        <v/>
      </c>
    </row>
    <row r="2409" customFormat="false" ht="15" hidden="false" customHeight="false" outlineLevel="0" collapsed="false">
      <c r="H2409" s="26"/>
      <c r="I2409" s="27" t="str">
        <f aca="false">IF(A2409="","",IF(H2409&lt;&gt;"",UPPER(TRIM(H2409)),IFERROR(CHOOSE(VALUE(E2409)+1,"A","B","C","D"),IF(OR(LEFT(UPPER(TRIM(E2409)),1)="F",UPPER(TRIM(E2409))="A"),"A",IF(OR(LEFT(UPPER(TRIM(E2409)),1)="M",UPPER(TRIM(E2409))="B"),"B",IF(OR(LEFT(UPPER(TRIM(E2409)),2)="SL",UPPER(TRIM(E2409))="C"),"C",IF(OR(LEFT(UPPER(TRIM(E2409)),1)="D",UPPER(TRIM(E2409))="D"),"D","")))))))</f>
        <v/>
      </c>
      <c r="J2409" s="27" t="str">
        <f aca="false">IF(I2409="","",IF(AND(I2409="D",Settings!$B$6&lt;&gt;"Yes"),"",IFERROR(INDEX(Settings!$C$9:$C$12,MATCH(I2409,Settings!$A$9:$A$12,0)),"")))</f>
        <v/>
      </c>
      <c r="K2409" s="27" t="str">
        <f aca="false">IF(J2409="","",COUNTIF($I$2:I2409,I2409))</f>
        <v/>
      </c>
      <c r="L2409" s="27" t="str">
        <f aca="false">IF(J2409="","",CHOOSE(Q2409+1,"Tue","Wed","Thu","Fri"))</f>
        <v/>
      </c>
      <c r="M2409" s="27" t="str">
        <f aca="false">IF(J2409="","",IF(J2409=1,"Every week",R2409+1&amp;" of "&amp;J2409))</f>
        <v/>
      </c>
      <c r="N2409" s="28" t="str">
        <f aca="false">IF(J2409="","",Settings!$B$4+R2409*7+Q2409)</f>
        <v/>
      </c>
      <c r="O2409" s="28" t="str">
        <f aca="true">IF(J2409="","",N2409+MAX(0,ROUNDUP((TODAY()-N2409)/(J2409*7),0))*J2409*7)</f>
        <v/>
      </c>
      <c r="P2409" s="27" t="str">
        <f aca="false">IF(J2409="","",MOD(K2409-1,J2409*4))</f>
        <v/>
      </c>
      <c r="Q2409" s="27" t="str">
        <f aca="false">IF(J2409="","",MOD(P2409,4))</f>
        <v/>
      </c>
      <c r="R2409" s="27" t="str">
        <f aca="false">IF(J2409="","",INT(P2409/4))</f>
        <v/>
      </c>
      <c r="S2409" s="27" t="str">
        <f aca="false">IF(J2409="","",IF(AND('Daily Count Sheet'!$H$3=Q2409,MOD('Daily Count Sheet'!$I$3,J2409)=R2409),1,""))</f>
        <v/>
      </c>
      <c r="T2409" s="27" t="str">
        <f aca="false">IF(S2409=1,COUNTIF($S$2:S2409,1),"")</f>
        <v/>
      </c>
    </row>
    <row r="2410" customFormat="false" ht="15" hidden="false" customHeight="false" outlineLevel="0" collapsed="false">
      <c r="H2410" s="26"/>
      <c r="I2410" s="27" t="str">
        <f aca="false">IF(A2410="","",IF(H2410&lt;&gt;"",UPPER(TRIM(H2410)),IFERROR(CHOOSE(VALUE(E2410)+1,"A","B","C","D"),IF(OR(LEFT(UPPER(TRIM(E2410)),1)="F",UPPER(TRIM(E2410))="A"),"A",IF(OR(LEFT(UPPER(TRIM(E2410)),1)="M",UPPER(TRIM(E2410))="B"),"B",IF(OR(LEFT(UPPER(TRIM(E2410)),2)="SL",UPPER(TRIM(E2410))="C"),"C",IF(OR(LEFT(UPPER(TRIM(E2410)),1)="D",UPPER(TRIM(E2410))="D"),"D","")))))))</f>
        <v/>
      </c>
      <c r="J2410" s="27" t="str">
        <f aca="false">IF(I2410="","",IF(AND(I2410="D",Settings!$B$6&lt;&gt;"Yes"),"",IFERROR(INDEX(Settings!$C$9:$C$12,MATCH(I2410,Settings!$A$9:$A$12,0)),"")))</f>
        <v/>
      </c>
      <c r="K2410" s="27" t="str">
        <f aca="false">IF(J2410="","",COUNTIF($I$2:I2410,I2410))</f>
        <v/>
      </c>
      <c r="L2410" s="27" t="str">
        <f aca="false">IF(J2410="","",CHOOSE(Q2410+1,"Tue","Wed","Thu","Fri"))</f>
        <v/>
      </c>
      <c r="M2410" s="27" t="str">
        <f aca="false">IF(J2410="","",IF(J2410=1,"Every week",R2410+1&amp;" of "&amp;J2410))</f>
        <v/>
      </c>
      <c r="N2410" s="28" t="str">
        <f aca="false">IF(J2410="","",Settings!$B$4+R2410*7+Q2410)</f>
        <v/>
      </c>
      <c r="O2410" s="28" t="str">
        <f aca="true">IF(J2410="","",N2410+MAX(0,ROUNDUP((TODAY()-N2410)/(J2410*7),0))*J2410*7)</f>
        <v/>
      </c>
      <c r="P2410" s="27" t="str">
        <f aca="false">IF(J2410="","",MOD(K2410-1,J2410*4))</f>
        <v/>
      </c>
      <c r="Q2410" s="27" t="str">
        <f aca="false">IF(J2410="","",MOD(P2410,4))</f>
        <v/>
      </c>
      <c r="R2410" s="27" t="str">
        <f aca="false">IF(J2410="","",INT(P2410/4))</f>
        <v/>
      </c>
      <c r="S2410" s="27" t="str">
        <f aca="false">IF(J2410="","",IF(AND('Daily Count Sheet'!$H$3=Q2410,MOD('Daily Count Sheet'!$I$3,J2410)=R2410),1,""))</f>
        <v/>
      </c>
      <c r="T2410" s="27" t="str">
        <f aca="false">IF(S2410=1,COUNTIF($S$2:S2410,1),"")</f>
        <v/>
      </c>
    </row>
    <row r="2411" customFormat="false" ht="15" hidden="false" customHeight="false" outlineLevel="0" collapsed="false">
      <c r="H2411" s="26"/>
      <c r="I2411" s="27" t="str">
        <f aca="false">IF(A2411="","",IF(H2411&lt;&gt;"",UPPER(TRIM(H2411)),IFERROR(CHOOSE(VALUE(E2411)+1,"A","B","C","D"),IF(OR(LEFT(UPPER(TRIM(E2411)),1)="F",UPPER(TRIM(E2411))="A"),"A",IF(OR(LEFT(UPPER(TRIM(E2411)),1)="M",UPPER(TRIM(E2411))="B"),"B",IF(OR(LEFT(UPPER(TRIM(E2411)),2)="SL",UPPER(TRIM(E2411))="C"),"C",IF(OR(LEFT(UPPER(TRIM(E2411)),1)="D",UPPER(TRIM(E2411))="D"),"D","")))))))</f>
        <v/>
      </c>
      <c r="J2411" s="27" t="str">
        <f aca="false">IF(I2411="","",IF(AND(I2411="D",Settings!$B$6&lt;&gt;"Yes"),"",IFERROR(INDEX(Settings!$C$9:$C$12,MATCH(I2411,Settings!$A$9:$A$12,0)),"")))</f>
        <v/>
      </c>
      <c r="K2411" s="27" t="str">
        <f aca="false">IF(J2411="","",COUNTIF($I$2:I2411,I2411))</f>
        <v/>
      </c>
      <c r="L2411" s="27" t="str">
        <f aca="false">IF(J2411="","",CHOOSE(Q2411+1,"Tue","Wed","Thu","Fri"))</f>
        <v/>
      </c>
      <c r="M2411" s="27" t="str">
        <f aca="false">IF(J2411="","",IF(J2411=1,"Every week",R2411+1&amp;" of "&amp;J2411))</f>
        <v/>
      </c>
      <c r="N2411" s="28" t="str">
        <f aca="false">IF(J2411="","",Settings!$B$4+R2411*7+Q2411)</f>
        <v/>
      </c>
      <c r="O2411" s="28" t="str">
        <f aca="true">IF(J2411="","",N2411+MAX(0,ROUNDUP((TODAY()-N2411)/(J2411*7),0))*J2411*7)</f>
        <v/>
      </c>
      <c r="P2411" s="27" t="str">
        <f aca="false">IF(J2411="","",MOD(K2411-1,J2411*4))</f>
        <v/>
      </c>
      <c r="Q2411" s="27" t="str">
        <f aca="false">IF(J2411="","",MOD(P2411,4))</f>
        <v/>
      </c>
      <c r="R2411" s="27" t="str">
        <f aca="false">IF(J2411="","",INT(P2411/4))</f>
        <v/>
      </c>
      <c r="S2411" s="27" t="str">
        <f aca="false">IF(J2411="","",IF(AND('Daily Count Sheet'!$H$3=Q2411,MOD('Daily Count Sheet'!$I$3,J2411)=R2411),1,""))</f>
        <v/>
      </c>
      <c r="T2411" s="27" t="str">
        <f aca="false">IF(S2411=1,COUNTIF($S$2:S2411,1),"")</f>
        <v/>
      </c>
    </row>
    <row r="2412" customFormat="false" ht="15" hidden="false" customHeight="false" outlineLevel="0" collapsed="false">
      <c r="H2412" s="26"/>
      <c r="I2412" s="27" t="str">
        <f aca="false">IF(A2412="","",IF(H2412&lt;&gt;"",UPPER(TRIM(H2412)),IFERROR(CHOOSE(VALUE(E2412)+1,"A","B","C","D"),IF(OR(LEFT(UPPER(TRIM(E2412)),1)="F",UPPER(TRIM(E2412))="A"),"A",IF(OR(LEFT(UPPER(TRIM(E2412)),1)="M",UPPER(TRIM(E2412))="B"),"B",IF(OR(LEFT(UPPER(TRIM(E2412)),2)="SL",UPPER(TRIM(E2412))="C"),"C",IF(OR(LEFT(UPPER(TRIM(E2412)),1)="D",UPPER(TRIM(E2412))="D"),"D","")))))))</f>
        <v/>
      </c>
      <c r="J2412" s="27" t="str">
        <f aca="false">IF(I2412="","",IF(AND(I2412="D",Settings!$B$6&lt;&gt;"Yes"),"",IFERROR(INDEX(Settings!$C$9:$C$12,MATCH(I2412,Settings!$A$9:$A$12,0)),"")))</f>
        <v/>
      </c>
      <c r="K2412" s="27" t="str">
        <f aca="false">IF(J2412="","",COUNTIF($I$2:I2412,I2412))</f>
        <v/>
      </c>
      <c r="L2412" s="27" t="str">
        <f aca="false">IF(J2412="","",CHOOSE(Q2412+1,"Tue","Wed","Thu","Fri"))</f>
        <v/>
      </c>
      <c r="M2412" s="27" t="str">
        <f aca="false">IF(J2412="","",IF(J2412=1,"Every week",R2412+1&amp;" of "&amp;J2412))</f>
        <v/>
      </c>
      <c r="N2412" s="28" t="str">
        <f aca="false">IF(J2412="","",Settings!$B$4+R2412*7+Q2412)</f>
        <v/>
      </c>
      <c r="O2412" s="28" t="str">
        <f aca="true">IF(J2412="","",N2412+MAX(0,ROUNDUP((TODAY()-N2412)/(J2412*7),0))*J2412*7)</f>
        <v/>
      </c>
      <c r="P2412" s="27" t="str">
        <f aca="false">IF(J2412="","",MOD(K2412-1,J2412*4))</f>
        <v/>
      </c>
      <c r="Q2412" s="27" t="str">
        <f aca="false">IF(J2412="","",MOD(P2412,4))</f>
        <v/>
      </c>
      <c r="R2412" s="27" t="str">
        <f aca="false">IF(J2412="","",INT(P2412/4))</f>
        <v/>
      </c>
      <c r="S2412" s="27" t="str">
        <f aca="false">IF(J2412="","",IF(AND('Daily Count Sheet'!$H$3=Q2412,MOD('Daily Count Sheet'!$I$3,J2412)=R2412),1,""))</f>
        <v/>
      </c>
      <c r="T2412" s="27" t="str">
        <f aca="false">IF(S2412=1,COUNTIF($S$2:S2412,1),"")</f>
        <v/>
      </c>
    </row>
    <row r="2413" customFormat="false" ht="15" hidden="false" customHeight="false" outlineLevel="0" collapsed="false">
      <c r="H2413" s="26"/>
      <c r="I2413" s="27" t="str">
        <f aca="false">IF(A2413="","",IF(H2413&lt;&gt;"",UPPER(TRIM(H2413)),IFERROR(CHOOSE(VALUE(E2413)+1,"A","B","C","D"),IF(OR(LEFT(UPPER(TRIM(E2413)),1)="F",UPPER(TRIM(E2413))="A"),"A",IF(OR(LEFT(UPPER(TRIM(E2413)),1)="M",UPPER(TRIM(E2413))="B"),"B",IF(OR(LEFT(UPPER(TRIM(E2413)),2)="SL",UPPER(TRIM(E2413))="C"),"C",IF(OR(LEFT(UPPER(TRIM(E2413)),1)="D",UPPER(TRIM(E2413))="D"),"D","")))))))</f>
        <v/>
      </c>
      <c r="J2413" s="27" t="str">
        <f aca="false">IF(I2413="","",IF(AND(I2413="D",Settings!$B$6&lt;&gt;"Yes"),"",IFERROR(INDEX(Settings!$C$9:$C$12,MATCH(I2413,Settings!$A$9:$A$12,0)),"")))</f>
        <v/>
      </c>
      <c r="K2413" s="27" t="str">
        <f aca="false">IF(J2413="","",COUNTIF($I$2:I2413,I2413))</f>
        <v/>
      </c>
      <c r="L2413" s="27" t="str">
        <f aca="false">IF(J2413="","",CHOOSE(Q2413+1,"Tue","Wed","Thu","Fri"))</f>
        <v/>
      </c>
      <c r="M2413" s="27" t="str">
        <f aca="false">IF(J2413="","",IF(J2413=1,"Every week",R2413+1&amp;" of "&amp;J2413))</f>
        <v/>
      </c>
      <c r="N2413" s="28" t="str">
        <f aca="false">IF(J2413="","",Settings!$B$4+R2413*7+Q2413)</f>
        <v/>
      </c>
      <c r="O2413" s="28" t="str">
        <f aca="true">IF(J2413="","",N2413+MAX(0,ROUNDUP((TODAY()-N2413)/(J2413*7),0))*J2413*7)</f>
        <v/>
      </c>
      <c r="P2413" s="27" t="str">
        <f aca="false">IF(J2413="","",MOD(K2413-1,J2413*4))</f>
        <v/>
      </c>
      <c r="Q2413" s="27" t="str">
        <f aca="false">IF(J2413="","",MOD(P2413,4))</f>
        <v/>
      </c>
      <c r="R2413" s="27" t="str">
        <f aca="false">IF(J2413="","",INT(P2413/4))</f>
        <v/>
      </c>
      <c r="S2413" s="27" t="str">
        <f aca="false">IF(J2413="","",IF(AND('Daily Count Sheet'!$H$3=Q2413,MOD('Daily Count Sheet'!$I$3,J2413)=R2413),1,""))</f>
        <v/>
      </c>
      <c r="T2413" s="27" t="str">
        <f aca="false">IF(S2413=1,COUNTIF($S$2:S2413,1),"")</f>
        <v/>
      </c>
    </row>
    <row r="2414" customFormat="false" ht="15" hidden="false" customHeight="false" outlineLevel="0" collapsed="false">
      <c r="H2414" s="26"/>
      <c r="I2414" s="27" t="str">
        <f aca="false">IF(A2414="","",IF(H2414&lt;&gt;"",UPPER(TRIM(H2414)),IFERROR(CHOOSE(VALUE(E2414)+1,"A","B","C","D"),IF(OR(LEFT(UPPER(TRIM(E2414)),1)="F",UPPER(TRIM(E2414))="A"),"A",IF(OR(LEFT(UPPER(TRIM(E2414)),1)="M",UPPER(TRIM(E2414))="B"),"B",IF(OR(LEFT(UPPER(TRIM(E2414)),2)="SL",UPPER(TRIM(E2414))="C"),"C",IF(OR(LEFT(UPPER(TRIM(E2414)),1)="D",UPPER(TRIM(E2414))="D"),"D","")))))))</f>
        <v/>
      </c>
      <c r="J2414" s="27" t="str">
        <f aca="false">IF(I2414="","",IF(AND(I2414="D",Settings!$B$6&lt;&gt;"Yes"),"",IFERROR(INDEX(Settings!$C$9:$C$12,MATCH(I2414,Settings!$A$9:$A$12,0)),"")))</f>
        <v/>
      </c>
      <c r="K2414" s="27" t="str">
        <f aca="false">IF(J2414="","",COUNTIF($I$2:I2414,I2414))</f>
        <v/>
      </c>
      <c r="L2414" s="27" t="str">
        <f aca="false">IF(J2414="","",CHOOSE(Q2414+1,"Tue","Wed","Thu","Fri"))</f>
        <v/>
      </c>
      <c r="M2414" s="27" t="str">
        <f aca="false">IF(J2414="","",IF(J2414=1,"Every week",R2414+1&amp;" of "&amp;J2414))</f>
        <v/>
      </c>
      <c r="N2414" s="28" t="str">
        <f aca="false">IF(J2414="","",Settings!$B$4+R2414*7+Q2414)</f>
        <v/>
      </c>
      <c r="O2414" s="28" t="str">
        <f aca="true">IF(J2414="","",N2414+MAX(0,ROUNDUP((TODAY()-N2414)/(J2414*7),0))*J2414*7)</f>
        <v/>
      </c>
      <c r="P2414" s="27" t="str">
        <f aca="false">IF(J2414="","",MOD(K2414-1,J2414*4))</f>
        <v/>
      </c>
      <c r="Q2414" s="27" t="str">
        <f aca="false">IF(J2414="","",MOD(P2414,4))</f>
        <v/>
      </c>
      <c r="R2414" s="27" t="str">
        <f aca="false">IF(J2414="","",INT(P2414/4))</f>
        <v/>
      </c>
      <c r="S2414" s="27" t="str">
        <f aca="false">IF(J2414="","",IF(AND('Daily Count Sheet'!$H$3=Q2414,MOD('Daily Count Sheet'!$I$3,J2414)=R2414),1,""))</f>
        <v/>
      </c>
      <c r="T2414" s="27" t="str">
        <f aca="false">IF(S2414=1,COUNTIF($S$2:S2414,1),"")</f>
        <v/>
      </c>
    </row>
    <row r="2415" customFormat="false" ht="15" hidden="false" customHeight="false" outlineLevel="0" collapsed="false">
      <c r="H2415" s="26"/>
      <c r="I2415" s="27" t="str">
        <f aca="false">IF(A2415="","",IF(H2415&lt;&gt;"",UPPER(TRIM(H2415)),IFERROR(CHOOSE(VALUE(E2415)+1,"A","B","C","D"),IF(OR(LEFT(UPPER(TRIM(E2415)),1)="F",UPPER(TRIM(E2415))="A"),"A",IF(OR(LEFT(UPPER(TRIM(E2415)),1)="M",UPPER(TRIM(E2415))="B"),"B",IF(OR(LEFT(UPPER(TRIM(E2415)),2)="SL",UPPER(TRIM(E2415))="C"),"C",IF(OR(LEFT(UPPER(TRIM(E2415)),1)="D",UPPER(TRIM(E2415))="D"),"D","")))))))</f>
        <v/>
      </c>
      <c r="J2415" s="27" t="str">
        <f aca="false">IF(I2415="","",IF(AND(I2415="D",Settings!$B$6&lt;&gt;"Yes"),"",IFERROR(INDEX(Settings!$C$9:$C$12,MATCH(I2415,Settings!$A$9:$A$12,0)),"")))</f>
        <v/>
      </c>
      <c r="K2415" s="27" t="str">
        <f aca="false">IF(J2415="","",COUNTIF($I$2:I2415,I2415))</f>
        <v/>
      </c>
      <c r="L2415" s="27" t="str">
        <f aca="false">IF(J2415="","",CHOOSE(Q2415+1,"Tue","Wed","Thu","Fri"))</f>
        <v/>
      </c>
      <c r="M2415" s="27" t="str">
        <f aca="false">IF(J2415="","",IF(J2415=1,"Every week",R2415+1&amp;" of "&amp;J2415))</f>
        <v/>
      </c>
      <c r="N2415" s="28" t="str">
        <f aca="false">IF(J2415="","",Settings!$B$4+R2415*7+Q2415)</f>
        <v/>
      </c>
      <c r="O2415" s="28" t="str">
        <f aca="true">IF(J2415="","",N2415+MAX(0,ROUNDUP((TODAY()-N2415)/(J2415*7),0))*J2415*7)</f>
        <v/>
      </c>
      <c r="P2415" s="27" t="str">
        <f aca="false">IF(J2415="","",MOD(K2415-1,J2415*4))</f>
        <v/>
      </c>
      <c r="Q2415" s="27" t="str">
        <f aca="false">IF(J2415="","",MOD(P2415,4))</f>
        <v/>
      </c>
      <c r="R2415" s="27" t="str">
        <f aca="false">IF(J2415="","",INT(P2415/4))</f>
        <v/>
      </c>
      <c r="S2415" s="27" t="str">
        <f aca="false">IF(J2415="","",IF(AND('Daily Count Sheet'!$H$3=Q2415,MOD('Daily Count Sheet'!$I$3,J2415)=R2415),1,""))</f>
        <v/>
      </c>
      <c r="T2415" s="27" t="str">
        <f aca="false">IF(S2415=1,COUNTIF($S$2:S2415,1),"")</f>
        <v/>
      </c>
    </row>
    <row r="2416" customFormat="false" ht="15" hidden="false" customHeight="false" outlineLevel="0" collapsed="false">
      <c r="H2416" s="26"/>
      <c r="I2416" s="27" t="str">
        <f aca="false">IF(A2416="","",IF(H2416&lt;&gt;"",UPPER(TRIM(H2416)),IFERROR(CHOOSE(VALUE(E2416)+1,"A","B","C","D"),IF(OR(LEFT(UPPER(TRIM(E2416)),1)="F",UPPER(TRIM(E2416))="A"),"A",IF(OR(LEFT(UPPER(TRIM(E2416)),1)="M",UPPER(TRIM(E2416))="B"),"B",IF(OR(LEFT(UPPER(TRIM(E2416)),2)="SL",UPPER(TRIM(E2416))="C"),"C",IF(OR(LEFT(UPPER(TRIM(E2416)),1)="D",UPPER(TRIM(E2416))="D"),"D","")))))))</f>
        <v/>
      </c>
      <c r="J2416" s="27" t="str">
        <f aca="false">IF(I2416="","",IF(AND(I2416="D",Settings!$B$6&lt;&gt;"Yes"),"",IFERROR(INDEX(Settings!$C$9:$C$12,MATCH(I2416,Settings!$A$9:$A$12,0)),"")))</f>
        <v/>
      </c>
      <c r="K2416" s="27" t="str">
        <f aca="false">IF(J2416="","",COUNTIF($I$2:I2416,I2416))</f>
        <v/>
      </c>
      <c r="L2416" s="27" t="str">
        <f aca="false">IF(J2416="","",CHOOSE(Q2416+1,"Tue","Wed","Thu","Fri"))</f>
        <v/>
      </c>
      <c r="M2416" s="27" t="str">
        <f aca="false">IF(J2416="","",IF(J2416=1,"Every week",R2416+1&amp;" of "&amp;J2416))</f>
        <v/>
      </c>
      <c r="N2416" s="28" t="str">
        <f aca="false">IF(J2416="","",Settings!$B$4+R2416*7+Q2416)</f>
        <v/>
      </c>
      <c r="O2416" s="28" t="str">
        <f aca="true">IF(J2416="","",N2416+MAX(0,ROUNDUP((TODAY()-N2416)/(J2416*7),0))*J2416*7)</f>
        <v/>
      </c>
      <c r="P2416" s="27" t="str">
        <f aca="false">IF(J2416="","",MOD(K2416-1,J2416*4))</f>
        <v/>
      </c>
      <c r="Q2416" s="27" t="str">
        <f aca="false">IF(J2416="","",MOD(P2416,4))</f>
        <v/>
      </c>
      <c r="R2416" s="27" t="str">
        <f aca="false">IF(J2416="","",INT(P2416/4))</f>
        <v/>
      </c>
      <c r="S2416" s="27" t="str">
        <f aca="false">IF(J2416="","",IF(AND('Daily Count Sheet'!$H$3=Q2416,MOD('Daily Count Sheet'!$I$3,J2416)=R2416),1,""))</f>
        <v/>
      </c>
      <c r="T2416" s="27" t="str">
        <f aca="false">IF(S2416=1,COUNTIF($S$2:S2416,1),"")</f>
        <v/>
      </c>
    </row>
    <row r="2417" customFormat="false" ht="15" hidden="false" customHeight="false" outlineLevel="0" collapsed="false">
      <c r="H2417" s="26"/>
      <c r="I2417" s="27" t="str">
        <f aca="false">IF(A2417="","",IF(H2417&lt;&gt;"",UPPER(TRIM(H2417)),IFERROR(CHOOSE(VALUE(E2417)+1,"A","B","C","D"),IF(OR(LEFT(UPPER(TRIM(E2417)),1)="F",UPPER(TRIM(E2417))="A"),"A",IF(OR(LEFT(UPPER(TRIM(E2417)),1)="M",UPPER(TRIM(E2417))="B"),"B",IF(OR(LEFT(UPPER(TRIM(E2417)),2)="SL",UPPER(TRIM(E2417))="C"),"C",IF(OR(LEFT(UPPER(TRIM(E2417)),1)="D",UPPER(TRIM(E2417))="D"),"D","")))))))</f>
        <v/>
      </c>
      <c r="J2417" s="27" t="str">
        <f aca="false">IF(I2417="","",IF(AND(I2417="D",Settings!$B$6&lt;&gt;"Yes"),"",IFERROR(INDEX(Settings!$C$9:$C$12,MATCH(I2417,Settings!$A$9:$A$12,0)),"")))</f>
        <v/>
      </c>
      <c r="K2417" s="27" t="str">
        <f aca="false">IF(J2417="","",COUNTIF($I$2:I2417,I2417))</f>
        <v/>
      </c>
      <c r="L2417" s="27" t="str">
        <f aca="false">IF(J2417="","",CHOOSE(Q2417+1,"Tue","Wed","Thu","Fri"))</f>
        <v/>
      </c>
      <c r="M2417" s="27" t="str">
        <f aca="false">IF(J2417="","",IF(J2417=1,"Every week",R2417+1&amp;" of "&amp;J2417))</f>
        <v/>
      </c>
      <c r="N2417" s="28" t="str">
        <f aca="false">IF(J2417="","",Settings!$B$4+R2417*7+Q2417)</f>
        <v/>
      </c>
      <c r="O2417" s="28" t="str">
        <f aca="true">IF(J2417="","",N2417+MAX(0,ROUNDUP((TODAY()-N2417)/(J2417*7),0))*J2417*7)</f>
        <v/>
      </c>
      <c r="P2417" s="27" t="str">
        <f aca="false">IF(J2417="","",MOD(K2417-1,J2417*4))</f>
        <v/>
      </c>
      <c r="Q2417" s="27" t="str">
        <f aca="false">IF(J2417="","",MOD(P2417,4))</f>
        <v/>
      </c>
      <c r="R2417" s="27" t="str">
        <f aca="false">IF(J2417="","",INT(P2417/4))</f>
        <v/>
      </c>
      <c r="S2417" s="27" t="str">
        <f aca="false">IF(J2417="","",IF(AND('Daily Count Sheet'!$H$3=Q2417,MOD('Daily Count Sheet'!$I$3,J2417)=R2417),1,""))</f>
        <v/>
      </c>
      <c r="T2417" s="27" t="str">
        <f aca="false">IF(S2417=1,COUNTIF($S$2:S2417,1),"")</f>
        <v/>
      </c>
    </row>
    <row r="2418" customFormat="false" ht="15" hidden="false" customHeight="false" outlineLevel="0" collapsed="false">
      <c r="H2418" s="26"/>
      <c r="I2418" s="27" t="str">
        <f aca="false">IF(A2418="","",IF(H2418&lt;&gt;"",UPPER(TRIM(H2418)),IFERROR(CHOOSE(VALUE(E2418)+1,"A","B","C","D"),IF(OR(LEFT(UPPER(TRIM(E2418)),1)="F",UPPER(TRIM(E2418))="A"),"A",IF(OR(LEFT(UPPER(TRIM(E2418)),1)="M",UPPER(TRIM(E2418))="B"),"B",IF(OR(LEFT(UPPER(TRIM(E2418)),2)="SL",UPPER(TRIM(E2418))="C"),"C",IF(OR(LEFT(UPPER(TRIM(E2418)),1)="D",UPPER(TRIM(E2418))="D"),"D","")))))))</f>
        <v/>
      </c>
      <c r="J2418" s="27" t="str">
        <f aca="false">IF(I2418="","",IF(AND(I2418="D",Settings!$B$6&lt;&gt;"Yes"),"",IFERROR(INDEX(Settings!$C$9:$C$12,MATCH(I2418,Settings!$A$9:$A$12,0)),"")))</f>
        <v/>
      </c>
      <c r="K2418" s="27" t="str">
        <f aca="false">IF(J2418="","",COUNTIF($I$2:I2418,I2418))</f>
        <v/>
      </c>
      <c r="L2418" s="27" t="str">
        <f aca="false">IF(J2418="","",CHOOSE(Q2418+1,"Tue","Wed","Thu","Fri"))</f>
        <v/>
      </c>
      <c r="M2418" s="27" t="str">
        <f aca="false">IF(J2418="","",IF(J2418=1,"Every week",R2418+1&amp;" of "&amp;J2418))</f>
        <v/>
      </c>
      <c r="N2418" s="28" t="str">
        <f aca="false">IF(J2418="","",Settings!$B$4+R2418*7+Q2418)</f>
        <v/>
      </c>
      <c r="O2418" s="28" t="str">
        <f aca="true">IF(J2418="","",N2418+MAX(0,ROUNDUP((TODAY()-N2418)/(J2418*7),0))*J2418*7)</f>
        <v/>
      </c>
      <c r="P2418" s="27" t="str">
        <f aca="false">IF(J2418="","",MOD(K2418-1,J2418*4))</f>
        <v/>
      </c>
      <c r="Q2418" s="27" t="str">
        <f aca="false">IF(J2418="","",MOD(P2418,4))</f>
        <v/>
      </c>
      <c r="R2418" s="27" t="str">
        <f aca="false">IF(J2418="","",INT(P2418/4))</f>
        <v/>
      </c>
      <c r="S2418" s="27" t="str">
        <f aca="false">IF(J2418="","",IF(AND('Daily Count Sheet'!$H$3=Q2418,MOD('Daily Count Sheet'!$I$3,J2418)=R2418),1,""))</f>
        <v/>
      </c>
      <c r="T2418" s="27" t="str">
        <f aca="false">IF(S2418=1,COUNTIF($S$2:S2418,1),"")</f>
        <v/>
      </c>
    </row>
    <row r="2419" customFormat="false" ht="15" hidden="false" customHeight="false" outlineLevel="0" collapsed="false">
      <c r="H2419" s="26"/>
      <c r="I2419" s="27" t="str">
        <f aca="false">IF(A2419="","",IF(H2419&lt;&gt;"",UPPER(TRIM(H2419)),IFERROR(CHOOSE(VALUE(E2419)+1,"A","B","C","D"),IF(OR(LEFT(UPPER(TRIM(E2419)),1)="F",UPPER(TRIM(E2419))="A"),"A",IF(OR(LEFT(UPPER(TRIM(E2419)),1)="M",UPPER(TRIM(E2419))="B"),"B",IF(OR(LEFT(UPPER(TRIM(E2419)),2)="SL",UPPER(TRIM(E2419))="C"),"C",IF(OR(LEFT(UPPER(TRIM(E2419)),1)="D",UPPER(TRIM(E2419))="D"),"D","")))))))</f>
        <v/>
      </c>
      <c r="J2419" s="27" t="str">
        <f aca="false">IF(I2419="","",IF(AND(I2419="D",Settings!$B$6&lt;&gt;"Yes"),"",IFERROR(INDEX(Settings!$C$9:$C$12,MATCH(I2419,Settings!$A$9:$A$12,0)),"")))</f>
        <v/>
      </c>
      <c r="K2419" s="27" t="str">
        <f aca="false">IF(J2419="","",COUNTIF($I$2:I2419,I2419))</f>
        <v/>
      </c>
      <c r="L2419" s="27" t="str">
        <f aca="false">IF(J2419="","",CHOOSE(Q2419+1,"Tue","Wed","Thu","Fri"))</f>
        <v/>
      </c>
      <c r="M2419" s="27" t="str">
        <f aca="false">IF(J2419="","",IF(J2419=1,"Every week",R2419+1&amp;" of "&amp;J2419))</f>
        <v/>
      </c>
      <c r="N2419" s="28" t="str">
        <f aca="false">IF(J2419="","",Settings!$B$4+R2419*7+Q2419)</f>
        <v/>
      </c>
      <c r="O2419" s="28" t="str">
        <f aca="true">IF(J2419="","",N2419+MAX(0,ROUNDUP((TODAY()-N2419)/(J2419*7),0))*J2419*7)</f>
        <v/>
      </c>
      <c r="P2419" s="27" t="str">
        <f aca="false">IF(J2419="","",MOD(K2419-1,J2419*4))</f>
        <v/>
      </c>
      <c r="Q2419" s="27" t="str">
        <f aca="false">IF(J2419="","",MOD(P2419,4))</f>
        <v/>
      </c>
      <c r="R2419" s="27" t="str">
        <f aca="false">IF(J2419="","",INT(P2419/4))</f>
        <v/>
      </c>
      <c r="S2419" s="27" t="str">
        <f aca="false">IF(J2419="","",IF(AND('Daily Count Sheet'!$H$3=Q2419,MOD('Daily Count Sheet'!$I$3,J2419)=R2419),1,""))</f>
        <v/>
      </c>
      <c r="T2419" s="27" t="str">
        <f aca="false">IF(S2419=1,COUNTIF($S$2:S2419,1),"")</f>
        <v/>
      </c>
    </row>
    <row r="2420" customFormat="false" ht="15" hidden="false" customHeight="false" outlineLevel="0" collapsed="false">
      <c r="H2420" s="26"/>
      <c r="I2420" s="27" t="str">
        <f aca="false">IF(A2420="","",IF(H2420&lt;&gt;"",UPPER(TRIM(H2420)),IFERROR(CHOOSE(VALUE(E2420)+1,"A","B","C","D"),IF(OR(LEFT(UPPER(TRIM(E2420)),1)="F",UPPER(TRIM(E2420))="A"),"A",IF(OR(LEFT(UPPER(TRIM(E2420)),1)="M",UPPER(TRIM(E2420))="B"),"B",IF(OR(LEFT(UPPER(TRIM(E2420)),2)="SL",UPPER(TRIM(E2420))="C"),"C",IF(OR(LEFT(UPPER(TRIM(E2420)),1)="D",UPPER(TRIM(E2420))="D"),"D","")))))))</f>
        <v/>
      </c>
      <c r="J2420" s="27" t="str">
        <f aca="false">IF(I2420="","",IF(AND(I2420="D",Settings!$B$6&lt;&gt;"Yes"),"",IFERROR(INDEX(Settings!$C$9:$C$12,MATCH(I2420,Settings!$A$9:$A$12,0)),"")))</f>
        <v/>
      </c>
      <c r="K2420" s="27" t="str">
        <f aca="false">IF(J2420="","",COUNTIF($I$2:I2420,I2420))</f>
        <v/>
      </c>
      <c r="L2420" s="27" t="str">
        <f aca="false">IF(J2420="","",CHOOSE(Q2420+1,"Tue","Wed","Thu","Fri"))</f>
        <v/>
      </c>
      <c r="M2420" s="27" t="str">
        <f aca="false">IF(J2420="","",IF(J2420=1,"Every week",R2420+1&amp;" of "&amp;J2420))</f>
        <v/>
      </c>
      <c r="N2420" s="28" t="str">
        <f aca="false">IF(J2420="","",Settings!$B$4+R2420*7+Q2420)</f>
        <v/>
      </c>
      <c r="O2420" s="28" t="str">
        <f aca="true">IF(J2420="","",N2420+MAX(0,ROUNDUP((TODAY()-N2420)/(J2420*7),0))*J2420*7)</f>
        <v/>
      </c>
      <c r="P2420" s="27" t="str">
        <f aca="false">IF(J2420="","",MOD(K2420-1,J2420*4))</f>
        <v/>
      </c>
      <c r="Q2420" s="27" t="str">
        <f aca="false">IF(J2420="","",MOD(P2420,4))</f>
        <v/>
      </c>
      <c r="R2420" s="27" t="str">
        <f aca="false">IF(J2420="","",INT(P2420/4))</f>
        <v/>
      </c>
      <c r="S2420" s="27" t="str">
        <f aca="false">IF(J2420="","",IF(AND('Daily Count Sheet'!$H$3=Q2420,MOD('Daily Count Sheet'!$I$3,J2420)=R2420),1,""))</f>
        <v/>
      </c>
      <c r="T2420" s="27" t="str">
        <f aca="false">IF(S2420=1,COUNTIF($S$2:S2420,1),"")</f>
        <v/>
      </c>
    </row>
    <row r="2421" customFormat="false" ht="15" hidden="false" customHeight="false" outlineLevel="0" collapsed="false">
      <c r="H2421" s="26"/>
      <c r="I2421" s="27" t="str">
        <f aca="false">IF(A2421="","",IF(H2421&lt;&gt;"",UPPER(TRIM(H2421)),IFERROR(CHOOSE(VALUE(E2421)+1,"A","B","C","D"),IF(OR(LEFT(UPPER(TRIM(E2421)),1)="F",UPPER(TRIM(E2421))="A"),"A",IF(OR(LEFT(UPPER(TRIM(E2421)),1)="M",UPPER(TRIM(E2421))="B"),"B",IF(OR(LEFT(UPPER(TRIM(E2421)),2)="SL",UPPER(TRIM(E2421))="C"),"C",IF(OR(LEFT(UPPER(TRIM(E2421)),1)="D",UPPER(TRIM(E2421))="D"),"D","")))))))</f>
        <v/>
      </c>
      <c r="J2421" s="27" t="str">
        <f aca="false">IF(I2421="","",IF(AND(I2421="D",Settings!$B$6&lt;&gt;"Yes"),"",IFERROR(INDEX(Settings!$C$9:$C$12,MATCH(I2421,Settings!$A$9:$A$12,0)),"")))</f>
        <v/>
      </c>
      <c r="K2421" s="27" t="str">
        <f aca="false">IF(J2421="","",COUNTIF($I$2:I2421,I2421))</f>
        <v/>
      </c>
      <c r="L2421" s="27" t="str">
        <f aca="false">IF(J2421="","",CHOOSE(Q2421+1,"Tue","Wed","Thu","Fri"))</f>
        <v/>
      </c>
      <c r="M2421" s="27" t="str">
        <f aca="false">IF(J2421="","",IF(J2421=1,"Every week",R2421+1&amp;" of "&amp;J2421))</f>
        <v/>
      </c>
      <c r="N2421" s="28" t="str">
        <f aca="false">IF(J2421="","",Settings!$B$4+R2421*7+Q2421)</f>
        <v/>
      </c>
      <c r="O2421" s="28" t="str">
        <f aca="true">IF(J2421="","",N2421+MAX(0,ROUNDUP((TODAY()-N2421)/(J2421*7),0))*J2421*7)</f>
        <v/>
      </c>
      <c r="P2421" s="27" t="str">
        <f aca="false">IF(J2421="","",MOD(K2421-1,J2421*4))</f>
        <v/>
      </c>
      <c r="Q2421" s="27" t="str">
        <f aca="false">IF(J2421="","",MOD(P2421,4))</f>
        <v/>
      </c>
      <c r="R2421" s="27" t="str">
        <f aca="false">IF(J2421="","",INT(P2421/4))</f>
        <v/>
      </c>
      <c r="S2421" s="27" t="str">
        <f aca="false">IF(J2421="","",IF(AND('Daily Count Sheet'!$H$3=Q2421,MOD('Daily Count Sheet'!$I$3,J2421)=R2421),1,""))</f>
        <v/>
      </c>
      <c r="T2421" s="27" t="str">
        <f aca="false">IF(S2421=1,COUNTIF($S$2:S2421,1),"")</f>
        <v/>
      </c>
    </row>
    <row r="2422" customFormat="false" ht="15" hidden="false" customHeight="false" outlineLevel="0" collapsed="false">
      <c r="H2422" s="26"/>
      <c r="I2422" s="27" t="str">
        <f aca="false">IF(A2422="","",IF(H2422&lt;&gt;"",UPPER(TRIM(H2422)),IFERROR(CHOOSE(VALUE(E2422)+1,"A","B","C","D"),IF(OR(LEFT(UPPER(TRIM(E2422)),1)="F",UPPER(TRIM(E2422))="A"),"A",IF(OR(LEFT(UPPER(TRIM(E2422)),1)="M",UPPER(TRIM(E2422))="B"),"B",IF(OR(LEFT(UPPER(TRIM(E2422)),2)="SL",UPPER(TRIM(E2422))="C"),"C",IF(OR(LEFT(UPPER(TRIM(E2422)),1)="D",UPPER(TRIM(E2422))="D"),"D","")))))))</f>
        <v/>
      </c>
      <c r="J2422" s="27" t="str">
        <f aca="false">IF(I2422="","",IF(AND(I2422="D",Settings!$B$6&lt;&gt;"Yes"),"",IFERROR(INDEX(Settings!$C$9:$C$12,MATCH(I2422,Settings!$A$9:$A$12,0)),"")))</f>
        <v/>
      </c>
      <c r="K2422" s="27" t="str">
        <f aca="false">IF(J2422="","",COUNTIF($I$2:I2422,I2422))</f>
        <v/>
      </c>
      <c r="L2422" s="27" t="str">
        <f aca="false">IF(J2422="","",CHOOSE(Q2422+1,"Tue","Wed","Thu","Fri"))</f>
        <v/>
      </c>
      <c r="M2422" s="27" t="str">
        <f aca="false">IF(J2422="","",IF(J2422=1,"Every week",R2422+1&amp;" of "&amp;J2422))</f>
        <v/>
      </c>
      <c r="N2422" s="28" t="str">
        <f aca="false">IF(J2422="","",Settings!$B$4+R2422*7+Q2422)</f>
        <v/>
      </c>
      <c r="O2422" s="28" t="str">
        <f aca="true">IF(J2422="","",N2422+MAX(0,ROUNDUP((TODAY()-N2422)/(J2422*7),0))*J2422*7)</f>
        <v/>
      </c>
      <c r="P2422" s="27" t="str">
        <f aca="false">IF(J2422="","",MOD(K2422-1,J2422*4))</f>
        <v/>
      </c>
      <c r="Q2422" s="27" t="str">
        <f aca="false">IF(J2422="","",MOD(P2422,4))</f>
        <v/>
      </c>
      <c r="R2422" s="27" t="str">
        <f aca="false">IF(J2422="","",INT(P2422/4))</f>
        <v/>
      </c>
      <c r="S2422" s="27" t="str">
        <f aca="false">IF(J2422="","",IF(AND('Daily Count Sheet'!$H$3=Q2422,MOD('Daily Count Sheet'!$I$3,J2422)=R2422),1,""))</f>
        <v/>
      </c>
      <c r="T2422" s="27" t="str">
        <f aca="false">IF(S2422=1,COUNTIF($S$2:S2422,1),"")</f>
        <v/>
      </c>
    </row>
    <row r="2423" customFormat="false" ht="15" hidden="false" customHeight="false" outlineLevel="0" collapsed="false">
      <c r="H2423" s="26"/>
      <c r="I2423" s="27" t="str">
        <f aca="false">IF(A2423="","",IF(H2423&lt;&gt;"",UPPER(TRIM(H2423)),IFERROR(CHOOSE(VALUE(E2423)+1,"A","B","C","D"),IF(OR(LEFT(UPPER(TRIM(E2423)),1)="F",UPPER(TRIM(E2423))="A"),"A",IF(OR(LEFT(UPPER(TRIM(E2423)),1)="M",UPPER(TRIM(E2423))="B"),"B",IF(OR(LEFT(UPPER(TRIM(E2423)),2)="SL",UPPER(TRIM(E2423))="C"),"C",IF(OR(LEFT(UPPER(TRIM(E2423)),1)="D",UPPER(TRIM(E2423))="D"),"D","")))))))</f>
        <v/>
      </c>
      <c r="J2423" s="27" t="str">
        <f aca="false">IF(I2423="","",IF(AND(I2423="D",Settings!$B$6&lt;&gt;"Yes"),"",IFERROR(INDEX(Settings!$C$9:$C$12,MATCH(I2423,Settings!$A$9:$A$12,0)),"")))</f>
        <v/>
      </c>
      <c r="K2423" s="27" t="str">
        <f aca="false">IF(J2423="","",COUNTIF($I$2:I2423,I2423))</f>
        <v/>
      </c>
      <c r="L2423" s="27" t="str">
        <f aca="false">IF(J2423="","",CHOOSE(Q2423+1,"Tue","Wed","Thu","Fri"))</f>
        <v/>
      </c>
      <c r="M2423" s="27" t="str">
        <f aca="false">IF(J2423="","",IF(J2423=1,"Every week",R2423+1&amp;" of "&amp;J2423))</f>
        <v/>
      </c>
      <c r="N2423" s="28" t="str">
        <f aca="false">IF(J2423="","",Settings!$B$4+R2423*7+Q2423)</f>
        <v/>
      </c>
      <c r="O2423" s="28" t="str">
        <f aca="true">IF(J2423="","",N2423+MAX(0,ROUNDUP((TODAY()-N2423)/(J2423*7),0))*J2423*7)</f>
        <v/>
      </c>
      <c r="P2423" s="27" t="str">
        <f aca="false">IF(J2423="","",MOD(K2423-1,J2423*4))</f>
        <v/>
      </c>
      <c r="Q2423" s="27" t="str">
        <f aca="false">IF(J2423="","",MOD(P2423,4))</f>
        <v/>
      </c>
      <c r="R2423" s="27" t="str">
        <f aca="false">IF(J2423="","",INT(P2423/4))</f>
        <v/>
      </c>
      <c r="S2423" s="27" t="str">
        <f aca="false">IF(J2423="","",IF(AND('Daily Count Sheet'!$H$3=Q2423,MOD('Daily Count Sheet'!$I$3,J2423)=R2423),1,""))</f>
        <v/>
      </c>
      <c r="T2423" s="27" t="str">
        <f aca="false">IF(S2423=1,COUNTIF($S$2:S2423,1),"")</f>
        <v/>
      </c>
    </row>
    <row r="2424" customFormat="false" ht="15" hidden="false" customHeight="false" outlineLevel="0" collapsed="false">
      <c r="H2424" s="26"/>
      <c r="I2424" s="27" t="str">
        <f aca="false">IF(A2424="","",IF(H2424&lt;&gt;"",UPPER(TRIM(H2424)),IFERROR(CHOOSE(VALUE(E2424)+1,"A","B","C","D"),IF(OR(LEFT(UPPER(TRIM(E2424)),1)="F",UPPER(TRIM(E2424))="A"),"A",IF(OR(LEFT(UPPER(TRIM(E2424)),1)="M",UPPER(TRIM(E2424))="B"),"B",IF(OR(LEFT(UPPER(TRIM(E2424)),2)="SL",UPPER(TRIM(E2424))="C"),"C",IF(OR(LEFT(UPPER(TRIM(E2424)),1)="D",UPPER(TRIM(E2424))="D"),"D","")))))))</f>
        <v/>
      </c>
      <c r="J2424" s="27" t="str">
        <f aca="false">IF(I2424="","",IF(AND(I2424="D",Settings!$B$6&lt;&gt;"Yes"),"",IFERROR(INDEX(Settings!$C$9:$C$12,MATCH(I2424,Settings!$A$9:$A$12,0)),"")))</f>
        <v/>
      </c>
      <c r="K2424" s="27" t="str">
        <f aca="false">IF(J2424="","",COUNTIF($I$2:I2424,I2424))</f>
        <v/>
      </c>
      <c r="L2424" s="27" t="str">
        <f aca="false">IF(J2424="","",CHOOSE(Q2424+1,"Tue","Wed","Thu","Fri"))</f>
        <v/>
      </c>
      <c r="M2424" s="27" t="str">
        <f aca="false">IF(J2424="","",IF(J2424=1,"Every week",R2424+1&amp;" of "&amp;J2424))</f>
        <v/>
      </c>
      <c r="N2424" s="28" t="str">
        <f aca="false">IF(J2424="","",Settings!$B$4+R2424*7+Q2424)</f>
        <v/>
      </c>
      <c r="O2424" s="28" t="str">
        <f aca="true">IF(J2424="","",N2424+MAX(0,ROUNDUP((TODAY()-N2424)/(J2424*7),0))*J2424*7)</f>
        <v/>
      </c>
      <c r="P2424" s="27" t="str">
        <f aca="false">IF(J2424="","",MOD(K2424-1,J2424*4))</f>
        <v/>
      </c>
      <c r="Q2424" s="27" t="str">
        <f aca="false">IF(J2424="","",MOD(P2424,4))</f>
        <v/>
      </c>
      <c r="R2424" s="27" t="str">
        <f aca="false">IF(J2424="","",INT(P2424/4))</f>
        <v/>
      </c>
      <c r="S2424" s="27" t="str">
        <f aca="false">IF(J2424="","",IF(AND('Daily Count Sheet'!$H$3=Q2424,MOD('Daily Count Sheet'!$I$3,J2424)=R2424),1,""))</f>
        <v/>
      </c>
      <c r="T2424" s="27" t="str">
        <f aca="false">IF(S2424=1,COUNTIF($S$2:S2424,1),"")</f>
        <v/>
      </c>
    </row>
    <row r="2425" customFormat="false" ht="15" hidden="false" customHeight="false" outlineLevel="0" collapsed="false">
      <c r="H2425" s="26"/>
      <c r="I2425" s="27" t="str">
        <f aca="false">IF(A2425="","",IF(H2425&lt;&gt;"",UPPER(TRIM(H2425)),IFERROR(CHOOSE(VALUE(E2425)+1,"A","B","C","D"),IF(OR(LEFT(UPPER(TRIM(E2425)),1)="F",UPPER(TRIM(E2425))="A"),"A",IF(OR(LEFT(UPPER(TRIM(E2425)),1)="M",UPPER(TRIM(E2425))="B"),"B",IF(OR(LEFT(UPPER(TRIM(E2425)),2)="SL",UPPER(TRIM(E2425))="C"),"C",IF(OR(LEFT(UPPER(TRIM(E2425)),1)="D",UPPER(TRIM(E2425))="D"),"D","")))))))</f>
        <v/>
      </c>
      <c r="J2425" s="27" t="str">
        <f aca="false">IF(I2425="","",IF(AND(I2425="D",Settings!$B$6&lt;&gt;"Yes"),"",IFERROR(INDEX(Settings!$C$9:$C$12,MATCH(I2425,Settings!$A$9:$A$12,0)),"")))</f>
        <v/>
      </c>
      <c r="K2425" s="27" t="str">
        <f aca="false">IF(J2425="","",COUNTIF($I$2:I2425,I2425))</f>
        <v/>
      </c>
      <c r="L2425" s="27" t="str">
        <f aca="false">IF(J2425="","",CHOOSE(Q2425+1,"Tue","Wed","Thu","Fri"))</f>
        <v/>
      </c>
      <c r="M2425" s="27" t="str">
        <f aca="false">IF(J2425="","",IF(J2425=1,"Every week",R2425+1&amp;" of "&amp;J2425))</f>
        <v/>
      </c>
      <c r="N2425" s="28" t="str">
        <f aca="false">IF(J2425="","",Settings!$B$4+R2425*7+Q2425)</f>
        <v/>
      </c>
      <c r="O2425" s="28" t="str">
        <f aca="true">IF(J2425="","",N2425+MAX(0,ROUNDUP((TODAY()-N2425)/(J2425*7),0))*J2425*7)</f>
        <v/>
      </c>
      <c r="P2425" s="27" t="str">
        <f aca="false">IF(J2425="","",MOD(K2425-1,J2425*4))</f>
        <v/>
      </c>
      <c r="Q2425" s="27" t="str">
        <f aca="false">IF(J2425="","",MOD(P2425,4))</f>
        <v/>
      </c>
      <c r="R2425" s="27" t="str">
        <f aca="false">IF(J2425="","",INT(P2425/4))</f>
        <v/>
      </c>
      <c r="S2425" s="27" t="str">
        <f aca="false">IF(J2425="","",IF(AND('Daily Count Sheet'!$H$3=Q2425,MOD('Daily Count Sheet'!$I$3,J2425)=R2425),1,""))</f>
        <v/>
      </c>
      <c r="T2425" s="27" t="str">
        <f aca="false">IF(S2425=1,COUNTIF($S$2:S2425,1),"")</f>
        <v/>
      </c>
    </row>
    <row r="2426" customFormat="false" ht="15" hidden="false" customHeight="false" outlineLevel="0" collapsed="false">
      <c r="H2426" s="26"/>
      <c r="I2426" s="27" t="str">
        <f aca="false">IF(A2426="","",IF(H2426&lt;&gt;"",UPPER(TRIM(H2426)),IFERROR(CHOOSE(VALUE(E2426)+1,"A","B","C","D"),IF(OR(LEFT(UPPER(TRIM(E2426)),1)="F",UPPER(TRIM(E2426))="A"),"A",IF(OR(LEFT(UPPER(TRIM(E2426)),1)="M",UPPER(TRIM(E2426))="B"),"B",IF(OR(LEFT(UPPER(TRIM(E2426)),2)="SL",UPPER(TRIM(E2426))="C"),"C",IF(OR(LEFT(UPPER(TRIM(E2426)),1)="D",UPPER(TRIM(E2426))="D"),"D","")))))))</f>
        <v/>
      </c>
      <c r="J2426" s="27" t="str">
        <f aca="false">IF(I2426="","",IF(AND(I2426="D",Settings!$B$6&lt;&gt;"Yes"),"",IFERROR(INDEX(Settings!$C$9:$C$12,MATCH(I2426,Settings!$A$9:$A$12,0)),"")))</f>
        <v/>
      </c>
      <c r="K2426" s="27" t="str">
        <f aca="false">IF(J2426="","",COUNTIF($I$2:I2426,I2426))</f>
        <v/>
      </c>
      <c r="L2426" s="27" t="str">
        <f aca="false">IF(J2426="","",CHOOSE(Q2426+1,"Tue","Wed","Thu","Fri"))</f>
        <v/>
      </c>
      <c r="M2426" s="27" t="str">
        <f aca="false">IF(J2426="","",IF(J2426=1,"Every week",R2426+1&amp;" of "&amp;J2426))</f>
        <v/>
      </c>
      <c r="N2426" s="28" t="str">
        <f aca="false">IF(J2426="","",Settings!$B$4+R2426*7+Q2426)</f>
        <v/>
      </c>
      <c r="O2426" s="28" t="str">
        <f aca="true">IF(J2426="","",N2426+MAX(0,ROUNDUP((TODAY()-N2426)/(J2426*7),0))*J2426*7)</f>
        <v/>
      </c>
      <c r="P2426" s="27" t="str">
        <f aca="false">IF(J2426="","",MOD(K2426-1,J2426*4))</f>
        <v/>
      </c>
      <c r="Q2426" s="27" t="str">
        <f aca="false">IF(J2426="","",MOD(P2426,4))</f>
        <v/>
      </c>
      <c r="R2426" s="27" t="str">
        <f aca="false">IF(J2426="","",INT(P2426/4))</f>
        <v/>
      </c>
      <c r="S2426" s="27" t="str">
        <f aca="false">IF(J2426="","",IF(AND('Daily Count Sheet'!$H$3=Q2426,MOD('Daily Count Sheet'!$I$3,J2426)=R2426),1,""))</f>
        <v/>
      </c>
      <c r="T2426" s="27" t="str">
        <f aca="false">IF(S2426=1,COUNTIF($S$2:S2426,1),"")</f>
        <v/>
      </c>
    </row>
    <row r="2427" customFormat="false" ht="15" hidden="false" customHeight="false" outlineLevel="0" collapsed="false">
      <c r="H2427" s="26"/>
      <c r="I2427" s="27" t="str">
        <f aca="false">IF(A2427="","",IF(H2427&lt;&gt;"",UPPER(TRIM(H2427)),IFERROR(CHOOSE(VALUE(E2427)+1,"A","B","C","D"),IF(OR(LEFT(UPPER(TRIM(E2427)),1)="F",UPPER(TRIM(E2427))="A"),"A",IF(OR(LEFT(UPPER(TRIM(E2427)),1)="M",UPPER(TRIM(E2427))="B"),"B",IF(OR(LEFT(UPPER(TRIM(E2427)),2)="SL",UPPER(TRIM(E2427))="C"),"C",IF(OR(LEFT(UPPER(TRIM(E2427)),1)="D",UPPER(TRIM(E2427))="D"),"D","")))))))</f>
        <v/>
      </c>
      <c r="J2427" s="27" t="str">
        <f aca="false">IF(I2427="","",IF(AND(I2427="D",Settings!$B$6&lt;&gt;"Yes"),"",IFERROR(INDEX(Settings!$C$9:$C$12,MATCH(I2427,Settings!$A$9:$A$12,0)),"")))</f>
        <v/>
      </c>
      <c r="K2427" s="27" t="str">
        <f aca="false">IF(J2427="","",COUNTIF($I$2:I2427,I2427))</f>
        <v/>
      </c>
      <c r="L2427" s="27" t="str">
        <f aca="false">IF(J2427="","",CHOOSE(Q2427+1,"Tue","Wed","Thu","Fri"))</f>
        <v/>
      </c>
      <c r="M2427" s="27" t="str">
        <f aca="false">IF(J2427="","",IF(J2427=1,"Every week",R2427+1&amp;" of "&amp;J2427))</f>
        <v/>
      </c>
      <c r="N2427" s="28" t="str">
        <f aca="false">IF(J2427="","",Settings!$B$4+R2427*7+Q2427)</f>
        <v/>
      </c>
      <c r="O2427" s="28" t="str">
        <f aca="true">IF(J2427="","",N2427+MAX(0,ROUNDUP((TODAY()-N2427)/(J2427*7),0))*J2427*7)</f>
        <v/>
      </c>
      <c r="P2427" s="27" t="str">
        <f aca="false">IF(J2427="","",MOD(K2427-1,J2427*4))</f>
        <v/>
      </c>
      <c r="Q2427" s="27" t="str">
        <f aca="false">IF(J2427="","",MOD(P2427,4))</f>
        <v/>
      </c>
      <c r="R2427" s="27" t="str">
        <f aca="false">IF(J2427="","",INT(P2427/4))</f>
        <v/>
      </c>
      <c r="S2427" s="27" t="str">
        <f aca="false">IF(J2427="","",IF(AND('Daily Count Sheet'!$H$3=Q2427,MOD('Daily Count Sheet'!$I$3,J2427)=R2427),1,""))</f>
        <v/>
      </c>
      <c r="T2427" s="27" t="str">
        <f aca="false">IF(S2427=1,COUNTIF($S$2:S2427,1),"")</f>
        <v/>
      </c>
    </row>
    <row r="2428" customFormat="false" ht="15" hidden="false" customHeight="false" outlineLevel="0" collapsed="false">
      <c r="H2428" s="26"/>
      <c r="I2428" s="27" t="str">
        <f aca="false">IF(A2428="","",IF(H2428&lt;&gt;"",UPPER(TRIM(H2428)),IFERROR(CHOOSE(VALUE(E2428)+1,"A","B","C","D"),IF(OR(LEFT(UPPER(TRIM(E2428)),1)="F",UPPER(TRIM(E2428))="A"),"A",IF(OR(LEFT(UPPER(TRIM(E2428)),1)="M",UPPER(TRIM(E2428))="B"),"B",IF(OR(LEFT(UPPER(TRIM(E2428)),2)="SL",UPPER(TRIM(E2428))="C"),"C",IF(OR(LEFT(UPPER(TRIM(E2428)),1)="D",UPPER(TRIM(E2428))="D"),"D","")))))))</f>
        <v/>
      </c>
      <c r="J2428" s="27" t="str">
        <f aca="false">IF(I2428="","",IF(AND(I2428="D",Settings!$B$6&lt;&gt;"Yes"),"",IFERROR(INDEX(Settings!$C$9:$C$12,MATCH(I2428,Settings!$A$9:$A$12,0)),"")))</f>
        <v/>
      </c>
      <c r="K2428" s="27" t="str">
        <f aca="false">IF(J2428="","",COUNTIF($I$2:I2428,I2428))</f>
        <v/>
      </c>
      <c r="L2428" s="27" t="str">
        <f aca="false">IF(J2428="","",CHOOSE(Q2428+1,"Tue","Wed","Thu","Fri"))</f>
        <v/>
      </c>
      <c r="M2428" s="27" t="str">
        <f aca="false">IF(J2428="","",IF(J2428=1,"Every week",R2428+1&amp;" of "&amp;J2428))</f>
        <v/>
      </c>
      <c r="N2428" s="28" t="str">
        <f aca="false">IF(J2428="","",Settings!$B$4+R2428*7+Q2428)</f>
        <v/>
      </c>
      <c r="O2428" s="28" t="str">
        <f aca="true">IF(J2428="","",N2428+MAX(0,ROUNDUP((TODAY()-N2428)/(J2428*7),0))*J2428*7)</f>
        <v/>
      </c>
      <c r="P2428" s="27" t="str">
        <f aca="false">IF(J2428="","",MOD(K2428-1,J2428*4))</f>
        <v/>
      </c>
      <c r="Q2428" s="27" t="str">
        <f aca="false">IF(J2428="","",MOD(P2428,4))</f>
        <v/>
      </c>
      <c r="R2428" s="27" t="str">
        <f aca="false">IF(J2428="","",INT(P2428/4))</f>
        <v/>
      </c>
      <c r="S2428" s="27" t="str">
        <f aca="false">IF(J2428="","",IF(AND('Daily Count Sheet'!$H$3=Q2428,MOD('Daily Count Sheet'!$I$3,J2428)=R2428),1,""))</f>
        <v/>
      </c>
      <c r="T2428" s="27" t="str">
        <f aca="false">IF(S2428=1,COUNTIF($S$2:S2428,1),"")</f>
        <v/>
      </c>
    </row>
    <row r="2429" customFormat="false" ht="15" hidden="false" customHeight="false" outlineLevel="0" collapsed="false">
      <c r="H2429" s="26"/>
      <c r="I2429" s="27" t="str">
        <f aca="false">IF(A2429="","",IF(H2429&lt;&gt;"",UPPER(TRIM(H2429)),IFERROR(CHOOSE(VALUE(E2429)+1,"A","B","C","D"),IF(OR(LEFT(UPPER(TRIM(E2429)),1)="F",UPPER(TRIM(E2429))="A"),"A",IF(OR(LEFT(UPPER(TRIM(E2429)),1)="M",UPPER(TRIM(E2429))="B"),"B",IF(OR(LEFT(UPPER(TRIM(E2429)),2)="SL",UPPER(TRIM(E2429))="C"),"C",IF(OR(LEFT(UPPER(TRIM(E2429)),1)="D",UPPER(TRIM(E2429))="D"),"D","")))))))</f>
        <v/>
      </c>
      <c r="J2429" s="27" t="str">
        <f aca="false">IF(I2429="","",IF(AND(I2429="D",Settings!$B$6&lt;&gt;"Yes"),"",IFERROR(INDEX(Settings!$C$9:$C$12,MATCH(I2429,Settings!$A$9:$A$12,0)),"")))</f>
        <v/>
      </c>
      <c r="K2429" s="27" t="str">
        <f aca="false">IF(J2429="","",COUNTIF($I$2:I2429,I2429))</f>
        <v/>
      </c>
      <c r="L2429" s="27" t="str">
        <f aca="false">IF(J2429="","",CHOOSE(Q2429+1,"Tue","Wed","Thu","Fri"))</f>
        <v/>
      </c>
      <c r="M2429" s="27" t="str">
        <f aca="false">IF(J2429="","",IF(J2429=1,"Every week",R2429+1&amp;" of "&amp;J2429))</f>
        <v/>
      </c>
      <c r="N2429" s="28" t="str">
        <f aca="false">IF(J2429="","",Settings!$B$4+R2429*7+Q2429)</f>
        <v/>
      </c>
      <c r="O2429" s="28" t="str">
        <f aca="true">IF(J2429="","",N2429+MAX(0,ROUNDUP((TODAY()-N2429)/(J2429*7),0))*J2429*7)</f>
        <v/>
      </c>
      <c r="P2429" s="27" t="str">
        <f aca="false">IF(J2429="","",MOD(K2429-1,J2429*4))</f>
        <v/>
      </c>
      <c r="Q2429" s="27" t="str">
        <f aca="false">IF(J2429="","",MOD(P2429,4))</f>
        <v/>
      </c>
      <c r="R2429" s="27" t="str">
        <f aca="false">IF(J2429="","",INT(P2429/4))</f>
        <v/>
      </c>
      <c r="S2429" s="27" t="str">
        <f aca="false">IF(J2429="","",IF(AND('Daily Count Sheet'!$H$3=Q2429,MOD('Daily Count Sheet'!$I$3,J2429)=R2429),1,""))</f>
        <v/>
      </c>
      <c r="T2429" s="27" t="str">
        <f aca="false">IF(S2429=1,COUNTIF($S$2:S2429,1),"")</f>
        <v/>
      </c>
    </row>
    <row r="2430" customFormat="false" ht="15" hidden="false" customHeight="false" outlineLevel="0" collapsed="false">
      <c r="H2430" s="26"/>
      <c r="I2430" s="27" t="str">
        <f aca="false">IF(A2430="","",IF(H2430&lt;&gt;"",UPPER(TRIM(H2430)),IFERROR(CHOOSE(VALUE(E2430)+1,"A","B","C","D"),IF(OR(LEFT(UPPER(TRIM(E2430)),1)="F",UPPER(TRIM(E2430))="A"),"A",IF(OR(LEFT(UPPER(TRIM(E2430)),1)="M",UPPER(TRIM(E2430))="B"),"B",IF(OR(LEFT(UPPER(TRIM(E2430)),2)="SL",UPPER(TRIM(E2430))="C"),"C",IF(OR(LEFT(UPPER(TRIM(E2430)),1)="D",UPPER(TRIM(E2430))="D"),"D","")))))))</f>
        <v/>
      </c>
      <c r="J2430" s="27" t="str">
        <f aca="false">IF(I2430="","",IF(AND(I2430="D",Settings!$B$6&lt;&gt;"Yes"),"",IFERROR(INDEX(Settings!$C$9:$C$12,MATCH(I2430,Settings!$A$9:$A$12,0)),"")))</f>
        <v/>
      </c>
      <c r="K2430" s="27" t="str">
        <f aca="false">IF(J2430="","",COUNTIF($I$2:I2430,I2430))</f>
        <v/>
      </c>
      <c r="L2430" s="27" t="str">
        <f aca="false">IF(J2430="","",CHOOSE(Q2430+1,"Tue","Wed","Thu","Fri"))</f>
        <v/>
      </c>
      <c r="M2430" s="27" t="str">
        <f aca="false">IF(J2430="","",IF(J2430=1,"Every week",R2430+1&amp;" of "&amp;J2430))</f>
        <v/>
      </c>
      <c r="N2430" s="28" t="str">
        <f aca="false">IF(J2430="","",Settings!$B$4+R2430*7+Q2430)</f>
        <v/>
      </c>
      <c r="O2430" s="28" t="str">
        <f aca="true">IF(J2430="","",N2430+MAX(0,ROUNDUP((TODAY()-N2430)/(J2430*7),0))*J2430*7)</f>
        <v/>
      </c>
      <c r="P2430" s="27" t="str">
        <f aca="false">IF(J2430="","",MOD(K2430-1,J2430*4))</f>
        <v/>
      </c>
      <c r="Q2430" s="27" t="str">
        <f aca="false">IF(J2430="","",MOD(P2430,4))</f>
        <v/>
      </c>
      <c r="R2430" s="27" t="str">
        <f aca="false">IF(J2430="","",INT(P2430/4))</f>
        <v/>
      </c>
      <c r="S2430" s="27" t="str">
        <f aca="false">IF(J2430="","",IF(AND('Daily Count Sheet'!$H$3=Q2430,MOD('Daily Count Sheet'!$I$3,J2430)=R2430),1,""))</f>
        <v/>
      </c>
      <c r="T2430" s="27" t="str">
        <f aca="false">IF(S2430=1,COUNTIF($S$2:S2430,1),"")</f>
        <v/>
      </c>
    </row>
    <row r="2431" customFormat="false" ht="15" hidden="false" customHeight="false" outlineLevel="0" collapsed="false">
      <c r="H2431" s="26"/>
      <c r="I2431" s="27" t="str">
        <f aca="false">IF(A2431="","",IF(H2431&lt;&gt;"",UPPER(TRIM(H2431)),IFERROR(CHOOSE(VALUE(E2431)+1,"A","B","C","D"),IF(OR(LEFT(UPPER(TRIM(E2431)),1)="F",UPPER(TRIM(E2431))="A"),"A",IF(OR(LEFT(UPPER(TRIM(E2431)),1)="M",UPPER(TRIM(E2431))="B"),"B",IF(OR(LEFT(UPPER(TRIM(E2431)),2)="SL",UPPER(TRIM(E2431))="C"),"C",IF(OR(LEFT(UPPER(TRIM(E2431)),1)="D",UPPER(TRIM(E2431))="D"),"D","")))))))</f>
        <v/>
      </c>
      <c r="J2431" s="27" t="str">
        <f aca="false">IF(I2431="","",IF(AND(I2431="D",Settings!$B$6&lt;&gt;"Yes"),"",IFERROR(INDEX(Settings!$C$9:$C$12,MATCH(I2431,Settings!$A$9:$A$12,0)),"")))</f>
        <v/>
      </c>
      <c r="K2431" s="27" t="str">
        <f aca="false">IF(J2431="","",COUNTIF($I$2:I2431,I2431))</f>
        <v/>
      </c>
      <c r="L2431" s="27" t="str">
        <f aca="false">IF(J2431="","",CHOOSE(Q2431+1,"Tue","Wed","Thu","Fri"))</f>
        <v/>
      </c>
      <c r="M2431" s="27" t="str">
        <f aca="false">IF(J2431="","",IF(J2431=1,"Every week",R2431+1&amp;" of "&amp;J2431))</f>
        <v/>
      </c>
      <c r="N2431" s="28" t="str">
        <f aca="false">IF(J2431="","",Settings!$B$4+R2431*7+Q2431)</f>
        <v/>
      </c>
      <c r="O2431" s="28" t="str">
        <f aca="true">IF(J2431="","",N2431+MAX(0,ROUNDUP((TODAY()-N2431)/(J2431*7),0))*J2431*7)</f>
        <v/>
      </c>
      <c r="P2431" s="27" t="str">
        <f aca="false">IF(J2431="","",MOD(K2431-1,J2431*4))</f>
        <v/>
      </c>
      <c r="Q2431" s="27" t="str">
        <f aca="false">IF(J2431="","",MOD(P2431,4))</f>
        <v/>
      </c>
      <c r="R2431" s="27" t="str">
        <f aca="false">IF(J2431="","",INT(P2431/4))</f>
        <v/>
      </c>
      <c r="S2431" s="27" t="str">
        <f aca="false">IF(J2431="","",IF(AND('Daily Count Sheet'!$H$3=Q2431,MOD('Daily Count Sheet'!$I$3,J2431)=R2431),1,""))</f>
        <v/>
      </c>
      <c r="T2431" s="27" t="str">
        <f aca="false">IF(S2431=1,COUNTIF($S$2:S2431,1),"")</f>
        <v/>
      </c>
    </row>
    <row r="2432" customFormat="false" ht="15" hidden="false" customHeight="false" outlineLevel="0" collapsed="false">
      <c r="H2432" s="26"/>
      <c r="I2432" s="27" t="str">
        <f aca="false">IF(A2432="","",IF(H2432&lt;&gt;"",UPPER(TRIM(H2432)),IFERROR(CHOOSE(VALUE(E2432)+1,"A","B","C","D"),IF(OR(LEFT(UPPER(TRIM(E2432)),1)="F",UPPER(TRIM(E2432))="A"),"A",IF(OR(LEFT(UPPER(TRIM(E2432)),1)="M",UPPER(TRIM(E2432))="B"),"B",IF(OR(LEFT(UPPER(TRIM(E2432)),2)="SL",UPPER(TRIM(E2432))="C"),"C",IF(OR(LEFT(UPPER(TRIM(E2432)),1)="D",UPPER(TRIM(E2432))="D"),"D","")))))))</f>
        <v/>
      </c>
      <c r="J2432" s="27" t="str">
        <f aca="false">IF(I2432="","",IF(AND(I2432="D",Settings!$B$6&lt;&gt;"Yes"),"",IFERROR(INDEX(Settings!$C$9:$C$12,MATCH(I2432,Settings!$A$9:$A$12,0)),"")))</f>
        <v/>
      </c>
      <c r="K2432" s="27" t="str">
        <f aca="false">IF(J2432="","",COUNTIF($I$2:I2432,I2432))</f>
        <v/>
      </c>
      <c r="L2432" s="27" t="str">
        <f aca="false">IF(J2432="","",CHOOSE(Q2432+1,"Tue","Wed","Thu","Fri"))</f>
        <v/>
      </c>
      <c r="M2432" s="27" t="str">
        <f aca="false">IF(J2432="","",IF(J2432=1,"Every week",R2432+1&amp;" of "&amp;J2432))</f>
        <v/>
      </c>
      <c r="N2432" s="28" t="str">
        <f aca="false">IF(J2432="","",Settings!$B$4+R2432*7+Q2432)</f>
        <v/>
      </c>
      <c r="O2432" s="28" t="str">
        <f aca="true">IF(J2432="","",N2432+MAX(0,ROUNDUP((TODAY()-N2432)/(J2432*7),0))*J2432*7)</f>
        <v/>
      </c>
      <c r="P2432" s="27" t="str">
        <f aca="false">IF(J2432="","",MOD(K2432-1,J2432*4))</f>
        <v/>
      </c>
      <c r="Q2432" s="27" t="str">
        <f aca="false">IF(J2432="","",MOD(P2432,4))</f>
        <v/>
      </c>
      <c r="R2432" s="27" t="str">
        <f aca="false">IF(J2432="","",INT(P2432/4))</f>
        <v/>
      </c>
      <c r="S2432" s="27" t="str">
        <f aca="false">IF(J2432="","",IF(AND('Daily Count Sheet'!$H$3=Q2432,MOD('Daily Count Sheet'!$I$3,J2432)=R2432),1,""))</f>
        <v/>
      </c>
      <c r="T2432" s="27" t="str">
        <f aca="false">IF(S2432=1,COUNTIF($S$2:S2432,1),"")</f>
        <v/>
      </c>
    </row>
    <row r="2433" customFormat="false" ht="15" hidden="false" customHeight="false" outlineLevel="0" collapsed="false">
      <c r="H2433" s="26"/>
      <c r="I2433" s="27" t="str">
        <f aca="false">IF(A2433="","",IF(H2433&lt;&gt;"",UPPER(TRIM(H2433)),IFERROR(CHOOSE(VALUE(E2433)+1,"A","B","C","D"),IF(OR(LEFT(UPPER(TRIM(E2433)),1)="F",UPPER(TRIM(E2433))="A"),"A",IF(OR(LEFT(UPPER(TRIM(E2433)),1)="M",UPPER(TRIM(E2433))="B"),"B",IF(OR(LEFT(UPPER(TRIM(E2433)),2)="SL",UPPER(TRIM(E2433))="C"),"C",IF(OR(LEFT(UPPER(TRIM(E2433)),1)="D",UPPER(TRIM(E2433))="D"),"D","")))))))</f>
        <v/>
      </c>
      <c r="J2433" s="27" t="str">
        <f aca="false">IF(I2433="","",IF(AND(I2433="D",Settings!$B$6&lt;&gt;"Yes"),"",IFERROR(INDEX(Settings!$C$9:$C$12,MATCH(I2433,Settings!$A$9:$A$12,0)),"")))</f>
        <v/>
      </c>
      <c r="K2433" s="27" t="str">
        <f aca="false">IF(J2433="","",COUNTIF($I$2:I2433,I2433))</f>
        <v/>
      </c>
      <c r="L2433" s="27" t="str">
        <f aca="false">IF(J2433="","",CHOOSE(Q2433+1,"Tue","Wed","Thu","Fri"))</f>
        <v/>
      </c>
      <c r="M2433" s="27" t="str">
        <f aca="false">IF(J2433="","",IF(J2433=1,"Every week",R2433+1&amp;" of "&amp;J2433))</f>
        <v/>
      </c>
      <c r="N2433" s="28" t="str">
        <f aca="false">IF(J2433="","",Settings!$B$4+R2433*7+Q2433)</f>
        <v/>
      </c>
      <c r="O2433" s="28" t="str">
        <f aca="true">IF(J2433="","",N2433+MAX(0,ROUNDUP((TODAY()-N2433)/(J2433*7),0))*J2433*7)</f>
        <v/>
      </c>
      <c r="P2433" s="27" t="str">
        <f aca="false">IF(J2433="","",MOD(K2433-1,J2433*4))</f>
        <v/>
      </c>
      <c r="Q2433" s="27" t="str">
        <f aca="false">IF(J2433="","",MOD(P2433,4))</f>
        <v/>
      </c>
      <c r="R2433" s="27" t="str">
        <f aca="false">IF(J2433="","",INT(P2433/4))</f>
        <v/>
      </c>
      <c r="S2433" s="27" t="str">
        <f aca="false">IF(J2433="","",IF(AND('Daily Count Sheet'!$H$3=Q2433,MOD('Daily Count Sheet'!$I$3,J2433)=R2433),1,""))</f>
        <v/>
      </c>
      <c r="T2433" s="27" t="str">
        <f aca="false">IF(S2433=1,COUNTIF($S$2:S2433,1),"")</f>
        <v/>
      </c>
    </row>
    <row r="2434" customFormat="false" ht="15" hidden="false" customHeight="false" outlineLevel="0" collapsed="false">
      <c r="H2434" s="26"/>
      <c r="I2434" s="27" t="str">
        <f aca="false">IF(A2434="","",IF(H2434&lt;&gt;"",UPPER(TRIM(H2434)),IFERROR(CHOOSE(VALUE(E2434)+1,"A","B","C","D"),IF(OR(LEFT(UPPER(TRIM(E2434)),1)="F",UPPER(TRIM(E2434))="A"),"A",IF(OR(LEFT(UPPER(TRIM(E2434)),1)="M",UPPER(TRIM(E2434))="B"),"B",IF(OR(LEFT(UPPER(TRIM(E2434)),2)="SL",UPPER(TRIM(E2434))="C"),"C",IF(OR(LEFT(UPPER(TRIM(E2434)),1)="D",UPPER(TRIM(E2434))="D"),"D","")))))))</f>
        <v/>
      </c>
      <c r="J2434" s="27" t="str">
        <f aca="false">IF(I2434="","",IF(AND(I2434="D",Settings!$B$6&lt;&gt;"Yes"),"",IFERROR(INDEX(Settings!$C$9:$C$12,MATCH(I2434,Settings!$A$9:$A$12,0)),"")))</f>
        <v/>
      </c>
      <c r="K2434" s="27" t="str">
        <f aca="false">IF(J2434="","",COUNTIF($I$2:I2434,I2434))</f>
        <v/>
      </c>
      <c r="L2434" s="27" t="str">
        <f aca="false">IF(J2434="","",CHOOSE(Q2434+1,"Tue","Wed","Thu","Fri"))</f>
        <v/>
      </c>
      <c r="M2434" s="27" t="str">
        <f aca="false">IF(J2434="","",IF(J2434=1,"Every week",R2434+1&amp;" of "&amp;J2434))</f>
        <v/>
      </c>
      <c r="N2434" s="28" t="str">
        <f aca="false">IF(J2434="","",Settings!$B$4+R2434*7+Q2434)</f>
        <v/>
      </c>
      <c r="O2434" s="28" t="str">
        <f aca="true">IF(J2434="","",N2434+MAX(0,ROUNDUP((TODAY()-N2434)/(J2434*7),0))*J2434*7)</f>
        <v/>
      </c>
      <c r="P2434" s="27" t="str">
        <f aca="false">IF(J2434="","",MOD(K2434-1,J2434*4))</f>
        <v/>
      </c>
      <c r="Q2434" s="27" t="str">
        <f aca="false">IF(J2434="","",MOD(P2434,4))</f>
        <v/>
      </c>
      <c r="R2434" s="27" t="str">
        <f aca="false">IF(J2434="","",INT(P2434/4))</f>
        <v/>
      </c>
      <c r="S2434" s="27" t="str">
        <f aca="false">IF(J2434="","",IF(AND('Daily Count Sheet'!$H$3=Q2434,MOD('Daily Count Sheet'!$I$3,J2434)=R2434),1,""))</f>
        <v/>
      </c>
      <c r="T2434" s="27" t="str">
        <f aca="false">IF(S2434=1,COUNTIF($S$2:S2434,1),"")</f>
        <v/>
      </c>
    </row>
    <row r="2435" customFormat="false" ht="15" hidden="false" customHeight="false" outlineLevel="0" collapsed="false">
      <c r="H2435" s="26"/>
      <c r="I2435" s="27" t="str">
        <f aca="false">IF(A2435="","",IF(H2435&lt;&gt;"",UPPER(TRIM(H2435)),IFERROR(CHOOSE(VALUE(E2435)+1,"A","B","C","D"),IF(OR(LEFT(UPPER(TRIM(E2435)),1)="F",UPPER(TRIM(E2435))="A"),"A",IF(OR(LEFT(UPPER(TRIM(E2435)),1)="M",UPPER(TRIM(E2435))="B"),"B",IF(OR(LEFT(UPPER(TRIM(E2435)),2)="SL",UPPER(TRIM(E2435))="C"),"C",IF(OR(LEFT(UPPER(TRIM(E2435)),1)="D",UPPER(TRIM(E2435))="D"),"D","")))))))</f>
        <v/>
      </c>
      <c r="J2435" s="27" t="str">
        <f aca="false">IF(I2435="","",IF(AND(I2435="D",Settings!$B$6&lt;&gt;"Yes"),"",IFERROR(INDEX(Settings!$C$9:$C$12,MATCH(I2435,Settings!$A$9:$A$12,0)),"")))</f>
        <v/>
      </c>
      <c r="K2435" s="27" t="str">
        <f aca="false">IF(J2435="","",COUNTIF($I$2:I2435,I2435))</f>
        <v/>
      </c>
      <c r="L2435" s="27" t="str">
        <f aca="false">IF(J2435="","",CHOOSE(Q2435+1,"Tue","Wed","Thu","Fri"))</f>
        <v/>
      </c>
      <c r="M2435" s="27" t="str">
        <f aca="false">IF(J2435="","",IF(J2435=1,"Every week",R2435+1&amp;" of "&amp;J2435))</f>
        <v/>
      </c>
      <c r="N2435" s="28" t="str">
        <f aca="false">IF(J2435="","",Settings!$B$4+R2435*7+Q2435)</f>
        <v/>
      </c>
      <c r="O2435" s="28" t="str">
        <f aca="true">IF(J2435="","",N2435+MAX(0,ROUNDUP((TODAY()-N2435)/(J2435*7),0))*J2435*7)</f>
        <v/>
      </c>
      <c r="P2435" s="27" t="str">
        <f aca="false">IF(J2435="","",MOD(K2435-1,J2435*4))</f>
        <v/>
      </c>
      <c r="Q2435" s="27" t="str">
        <f aca="false">IF(J2435="","",MOD(P2435,4))</f>
        <v/>
      </c>
      <c r="R2435" s="27" t="str">
        <f aca="false">IF(J2435="","",INT(P2435/4))</f>
        <v/>
      </c>
      <c r="S2435" s="27" t="str">
        <f aca="false">IF(J2435="","",IF(AND('Daily Count Sheet'!$H$3=Q2435,MOD('Daily Count Sheet'!$I$3,J2435)=R2435),1,""))</f>
        <v/>
      </c>
      <c r="T2435" s="27" t="str">
        <f aca="false">IF(S2435=1,COUNTIF($S$2:S2435,1),"")</f>
        <v/>
      </c>
    </row>
    <row r="2436" customFormat="false" ht="15" hidden="false" customHeight="false" outlineLevel="0" collapsed="false">
      <c r="H2436" s="26"/>
      <c r="I2436" s="27" t="str">
        <f aca="false">IF(A2436="","",IF(H2436&lt;&gt;"",UPPER(TRIM(H2436)),IFERROR(CHOOSE(VALUE(E2436)+1,"A","B","C","D"),IF(OR(LEFT(UPPER(TRIM(E2436)),1)="F",UPPER(TRIM(E2436))="A"),"A",IF(OR(LEFT(UPPER(TRIM(E2436)),1)="M",UPPER(TRIM(E2436))="B"),"B",IF(OR(LEFT(UPPER(TRIM(E2436)),2)="SL",UPPER(TRIM(E2436))="C"),"C",IF(OR(LEFT(UPPER(TRIM(E2436)),1)="D",UPPER(TRIM(E2436))="D"),"D","")))))))</f>
        <v/>
      </c>
      <c r="J2436" s="27" t="str">
        <f aca="false">IF(I2436="","",IF(AND(I2436="D",Settings!$B$6&lt;&gt;"Yes"),"",IFERROR(INDEX(Settings!$C$9:$C$12,MATCH(I2436,Settings!$A$9:$A$12,0)),"")))</f>
        <v/>
      </c>
      <c r="K2436" s="27" t="str">
        <f aca="false">IF(J2436="","",COUNTIF($I$2:I2436,I2436))</f>
        <v/>
      </c>
      <c r="L2436" s="27" t="str">
        <f aca="false">IF(J2436="","",CHOOSE(Q2436+1,"Tue","Wed","Thu","Fri"))</f>
        <v/>
      </c>
      <c r="M2436" s="27" t="str">
        <f aca="false">IF(J2436="","",IF(J2436=1,"Every week",R2436+1&amp;" of "&amp;J2436))</f>
        <v/>
      </c>
      <c r="N2436" s="28" t="str">
        <f aca="false">IF(J2436="","",Settings!$B$4+R2436*7+Q2436)</f>
        <v/>
      </c>
      <c r="O2436" s="28" t="str">
        <f aca="true">IF(J2436="","",N2436+MAX(0,ROUNDUP((TODAY()-N2436)/(J2436*7),0))*J2436*7)</f>
        <v/>
      </c>
      <c r="P2436" s="27" t="str">
        <f aca="false">IF(J2436="","",MOD(K2436-1,J2436*4))</f>
        <v/>
      </c>
      <c r="Q2436" s="27" t="str">
        <f aca="false">IF(J2436="","",MOD(P2436,4))</f>
        <v/>
      </c>
      <c r="R2436" s="27" t="str">
        <f aca="false">IF(J2436="","",INT(P2436/4))</f>
        <v/>
      </c>
      <c r="S2436" s="27" t="str">
        <f aca="false">IF(J2436="","",IF(AND('Daily Count Sheet'!$H$3=Q2436,MOD('Daily Count Sheet'!$I$3,J2436)=R2436),1,""))</f>
        <v/>
      </c>
      <c r="T2436" s="27" t="str">
        <f aca="false">IF(S2436=1,COUNTIF($S$2:S2436,1),"")</f>
        <v/>
      </c>
    </row>
    <row r="2437" customFormat="false" ht="15" hidden="false" customHeight="false" outlineLevel="0" collapsed="false">
      <c r="H2437" s="26"/>
      <c r="I2437" s="27" t="str">
        <f aca="false">IF(A2437="","",IF(H2437&lt;&gt;"",UPPER(TRIM(H2437)),IFERROR(CHOOSE(VALUE(E2437)+1,"A","B","C","D"),IF(OR(LEFT(UPPER(TRIM(E2437)),1)="F",UPPER(TRIM(E2437))="A"),"A",IF(OR(LEFT(UPPER(TRIM(E2437)),1)="M",UPPER(TRIM(E2437))="B"),"B",IF(OR(LEFT(UPPER(TRIM(E2437)),2)="SL",UPPER(TRIM(E2437))="C"),"C",IF(OR(LEFT(UPPER(TRIM(E2437)),1)="D",UPPER(TRIM(E2437))="D"),"D","")))))))</f>
        <v/>
      </c>
      <c r="J2437" s="27" t="str">
        <f aca="false">IF(I2437="","",IF(AND(I2437="D",Settings!$B$6&lt;&gt;"Yes"),"",IFERROR(INDEX(Settings!$C$9:$C$12,MATCH(I2437,Settings!$A$9:$A$12,0)),"")))</f>
        <v/>
      </c>
      <c r="K2437" s="27" t="str">
        <f aca="false">IF(J2437="","",COUNTIF($I$2:I2437,I2437))</f>
        <v/>
      </c>
      <c r="L2437" s="27" t="str">
        <f aca="false">IF(J2437="","",CHOOSE(Q2437+1,"Tue","Wed","Thu","Fri"))</f>
        <v/>
      </c>
      <c r="M2437" s="27" t="str">
        <f aca="false">IF(J2437="","",IF(J2437=1,"Every week",R2437+1&amp;" of "&amp;J2437))</f>
        <v/>
      </c>
      <c r="N2437" s="28" t="str">
        <f aca="false">IF(J2437="","",Settings!$B$4+R2437*7+Q2437)</f>
        <v/>
      </c>
      <c r="O2437" s="28" t="str">
        <f aca="true">IF(J2437="","",N2437+MAX(0,ROUNDUP((TODAY()-N2437)/(J2437*7),0))*J2437*7)</f>
        <v/>
      </c>
      <c r="P2437" s="27" t="str">
        <f aca="false">IF(J2437="","",MOD(K2437-1,J2437*4))</f>
        <v/>
      </c>
      <c r="Q2437" s="27" t="str">
        <f aca="false">IF(J2437="","",MOD(P2437,4))</f>
        <v/>
      </c>
      <c r="R2437" s="27" t="str">
        <f aca="false">IF(J2437="","",INT(P2437/4))</f>
        <v/>
      </c>
      <c r="S2437" s="27" t="str">
        <f aca="false">IF(J2437="","",IF(AND('Daily Count Sheet'!$H$3=Q2437,MOD('Daily Count Sheet'!$I$3,J2437)=R2437),1,""))</f>
        <v/>
      </c>
      <c r="T2437" s="27" t="str">
        <f aca="false">IF(S2437=1,COUNTIF($S$2:S2437,1),"")</f>
        <v/>
      </c>
    </row>
    <row r="2438" customFormat="false" ht="15" hidden="false" customHeight="false" outlineLevel="0" collapsed="false">
      <c r="H2438" s="26"/>
      <c r="I2438" s="27" t="str">
        <f aca="false">IF(A2438="","",IF(H2438&lt;&gt;"",UPPER(TRIM(H2438)),IFERROR(CHOOSE(VALUE(E2438)+1,"A","B","C","D"),IF(OR(LEFT(UPPER(TRIM(E2438)),1)="F",UPPER(TRIM(E2438))="A"),"A",IF(OR(LEFT(UPPER(TRIM(E2438)),1)="M",UPPER(TRIM(E2438))="B"),"B",IF(OR(LEFT(UPPER(TRIM(E2438)),2)="SL",UPPER(TRIM(E2438))="C"),"C",IF(OR(LEFT(UPPER(TRIM(E2438)),1)="D",UPPER(TRIM(E2438))="D"),"D","")))))))</f>
        <v/>
      </c>
      <c r="J2438" s="27" t="str">
        <f aca="false">IF(I2438="","",IF(AND(I2438="D",Settings!$B$6&lt;&gt;"Yes"),"",IFERROR(INDEX(Settings!$C$9:$C$12,MATCH(I2438,Settings!$A$9:$A$12,0)),"")))</f>
        <v/>
      </c>
      <c r="K2438" s="27" t="str">
        <f aca="false">IF(J2438="","",COUNTIF($I$2:I2438,I2438))</f>
        <v/>
      </c>
      <c r="L2438" s="27" t="str">
        <f aca="false">IF(J2438="","",CHOOSE(Q2438+1,"Tue","Wed","Thu","Fri"))</f>
        <v/>
      </c>
      <c r="M2438" s="27" t="str">
        <f aca="false">IF(J2438="","",IF(J2438=1,"Every week",R2438+1&amp;" of "&amp;J2438))</f>
        <v/>
      </c>
      <c r="N2438" s="28" t="str">
        <f aca="false">IF(J2438="","",Settings!$B$4+R2438*7+Q2438)</f>
        <v/>
      </c>
      <c r="O2438" s="28" t="str">
        <f aca="true">IF(J2438="","",N2438+MAX(0,ROUNDUP((TODAY()-N2438)/(J2438*7),0))*J2438*7)</f>
        <v/>
      </c>
      <c r="P2438" s="27" t="str">
        <f aca="false">IF(J2438="","",MOD(K2438-1,J2438*4))</f>
        <v/>
      </c>
      <c r="Q2438" s="27" t="str">
        <f aca="false">IF(J2438="","",MOD(P2438,4))</f>
        <v/>
      </c>
      <c r="R2438" s="27" t="str">
        <f aca="false">IF(J2438="","",INT(P2438/4))</f>
        <v/>
      </c>
      <c r="S2438" s="27" t="str">
        <f aca="false">IF(J2438="","",IF(AND('Daily Count Sheet'!$H$3=Q2438,MOD('Daily Count Sheet'!$I$3,J2438)=R2438),1,""))</f>
        <v/>
      </c>
      <c r="T2438" s="27" t="str">
        <f aca="false">IF(S2438=1,COUNTIF($S$2:S2438,1),"")</f>
        <v/>
      </c>
    </row>
    <row r="2439" customFormat="false" ht="15" hidden="false" customHeight="false" outlineLevel="0" collapsed="false">
      <c r="H2439" s="26"/>
      <c r="I2439" s="27" t="str">
        <f aca="false">IF(A2439="","",IF(H2439&lt;&gt;"",UPPER(TRIM(H2439)),IFERROR(CHOOSE(VALUE(E2439)+1,"A","B","C","D"),IF(OR(LEFT(UPPER(TRIM(E2439)),1)="F",UPPER(TRIM(E2439))="A"),"A",IF(OR(LEFT(UPPER(TRIM(E2439)),1)="M",UPPER(TRIM(E2439))="B"),"B",IF(OR(LEFT(UPPER(TRIM(E2439)),2)="SL",UPPER(TRIM(E2439))="C"),"C",IF(OR(LEFT(UPPER(TRIM(E2439)),1)="D",UPPER(TRIM(E2439))="D"),"D","")))))))</f>
        <v/>
      </c>
      <c r="J2439" s="27" t="str">
        <f aca="false">IF(I2439="","",IF(AND(I2439="D",Settings!$B$6&lt;&gt;"Yes"),"",IFERROR(INDEX(Settings!$C$9:$C$12,MATCH(I2439,Settings!$A$9:$A$12,0)),"")))</f>
        <v/>
      </c>
      <c r="K2439" s="27" t="str">
        <f aca="false">IF(J2439="","",COUNTIF($I$2:I2439,I2439))</f>
        <v/>
      </c>
      <c r="L2439" s="27" t="str">
        <f aca="false">IF(J2439="","",CHOOSE(Q2439+1,"Tue","Wed","Thu","Fri"))</f>
        <v/>
      </c>
      <c r="M2439" s="27" t="str">
        <f aca="false">IF(J2439="","",IF(J2439=1,"Every week",R2439+1&amp;" of "&amp;J2439))</f>
        <v/>
      </c>
      <c r="N2439" s="28" t="str">
        <f aca="false">IF(J2439="","",Settings!$B$4+R2439*7+Q2439)</f>
        <v/>
      </c>
      <c r="O2439" s="28" t="str">
        <f aca="true">IF(J2439="","",N2439+MAX(0,ROUNDUP((TODAY()-N2439)/(J2439*7),0))*J2439*7)</f>
        <v/>
      </c>
      <c r="P2439" s="27" t="str">
        <f aca="false">IF(J2439="","",MOD(K2439-1,J2439*4))</f>
        <v/>
      </c>
      <c r="Q2439" s="27" t="str">
        <f aca="false">IF(J2439="","",MOD(P2439,4))</f>
        <v/>
      </c>
      <c r="R2439" s="27" t="str">
        <f aca="false">IF(J2439="","",INT(P2439/4))</f>
        <v/>
      </c>
      <c r="S2439" s="27" t="str">
        <f aca="false">IF(J2439="","",IF(AND('Daily Count Sheet'!$H$3=Q2439,MOD('Daily Count Sheet'!$I$3,J2439)=R2439),1,""))</f>
        <v/>
      </c>
      <c r="T2439" s="27" t="str">
        <f aca="false">IF(S2439=1,COUNTIF($S$2:S2439,1),"")</f>
        <v/>
      </c>
    </row>
    <row r="2440" customFormat="false" ht="15" hidden="false" customHeight="false" outlineLevel="0" collapsed="false">
      <c r="H2440" s="26"/>
      <c r="I2440" s="27" t="str">
        <f aca="false">IF(A2440="","",IF(H2440&lt;&gt;"",UPPER(TRIM(H2440)),IFERROR(CHOOSE(VALUE(E2440)+1,"A","B","C","D"),IF(OR(LEFT(UPPER(TRIM(E2440)),1)="F",UPPER(TRIM(E2440))="A"),"A",IF(OR(LEFT(UPPER(TRIM(E2440)),1)="M",UPPER(TRIM(E2440))="B"),"B",IF(OR(LEFT(UPPER(TRIM(E2440)),2)="SL",UPPER(TRIM(E2440))="C"),"C",IF(OR(LEFT(UPPER(TRIM(E2440)),1)="D",UPPER(TRIM(E2440))="D"),"D","")))))))</f>
        <v/>
      </c>
      <c r="J2440" s="27" t="str">
        <f aca="false">IF(I2440="","",IF(AND(I2440="D",Settings!$B$6&lt;&gt;"Yes"),"",IFERROR(INDEX(Settings!$C$9:$C$12,MATCH(I2440,Settings!$A$9:$A$12,0)),"")))</f>
        <v/>
      </c>
      <c r="K2440" s="27" t="str">
        <f aca="false">IF(J2440="","",COUNTIF($I$2:I2440,I2440))</f>
        <v/>
      </c>
      <c r="L2440" s="27" t="str">
        <f aca="false">IF(J2440="","",CHOOSE(Q2440+1,"Tue","Wed","Thu","Fri"))</f>
        <v/>
      </c>
      <c r="M2440" s="27" t="str">
        <f aca="false">IF(J2440="","",IF(J2440=1,"Every week",R2440+1&amp;" of "&amp;J2440))</f>
        <v/>
      </c>
      <c r="N2440" s="28" t="str">
        <f aca="false">IF(J2440="","",Settings!$B$4+R2440*7+Q2440)</f>
        <v/>
      </c>
      <c r="O2440" s="28" t="str">
        <f aca="true">IF(J2440="","",N2440+MAX(0,ROUNDUP((TODAY()-N2440)/(J2440*7),0))*J2440*7)</f>
        <v/>
      </c>
      <c r="P2440" s="27" t="str">
        <f aca="false">IF(J2440="","",MOD(K2440-1,J2440*4))</f>
        <v/>
      </c>
      <c r="Q2440" s="27" t="str">
        <f aca="false">IF(J2440="","",MOD(P2440,4))</f>
        <v/>
      </c>
      <c r="R2440" s="27" t="str">
        <f aca="false">IF(J2440="","",INT(P2440/4))</f>
        <v/>
      </c>
      <c r="S2440" s="27" t="str">
        <f aca="false">IF(J2440="","",IF(AND('Daily Count Sheet'!$H$3=Q2440,MOD('Daily Count Sheet'!$I$3,J2440)=R2440),1,""))</f>
        <v/>
      </c>
      <c r="T2440" s="27" t="str">
        <f aca="false">IF(S2440=1,COUNTIF($S$2:S2440,1),"")</f>
        <v/>
      </c>
    </row>
    <row r="2441" customFormat="false" ht="15" hidden="false" customHeight="false" outlineLevel="0" collapsed="false">
      <c r="H2441" s="26"/>
      <c r="I2441" s="27" t="str">
        <f aca="false">IF(A2441="","",IF(H2441&lt;&gt;"",UPPER(TRIM(H2441)),IFERROR(CHOOSE(VALUE(E2441)+1,"A","B","C","D"),IF(OR(LEFT(UPPER(TRIM(E2441)),1)="F",UPPER(TRIM(E2441))="A"),"A",IF(OR(LEFT(UPPER(TRIM(E2441)),1)="M",UPPER(TRIM(E2441))="B"),"B",IF(OR(LEFT(UPPER(TRIM(E2441)),2)="SL",UPPER(TRIM(E2441))="C"),"C",IF(OR(LEFT(UPPER(TRIM(E2441)),1)="D",UPPER(TRIM(E2441))="D"),"D","")))))))</f>
        <v/>
      </c>
      <c r="J2441" s="27" t="str">
        <f aca="false">IF(I2441="","",IF(AND(I2441="D",Settings!$B$6&lt;&gt;"Yes"),"",IFERROR(INDEX(Settings!$C$9:$C$12,MATCH(I2441,Settings!$A$9:$A$12,0)),"")))</f>
        <v/>
      </c>
      <c r="K2441" s="27" t="str">
        <f aca="false">IF(J2441="","",COUNTIF($I$2:I2441,I2441))</f>
        <v/>
      </c>
      <c r="L2441" s="27" t="str">
        <f aca="false">IF(J2441="","",CHOOSE(Q2441+1,"Tue","Wed","Thu","Fri"))</f>
        <v/>
      </c>
      <c r="M2441" s="27" t="str">
        <f aca="false">IF(J2441="","",IF(J2441=1,"Every week",R2441+1&amp;" of "&amp;J2441))</f>
        <v/>
      </c>
      <c r="N2441" s="28" t="str">
        <f aca="false">IF(J2441="","",Settings!$B$4+R2441*7+Q2441)</f>
        <v/>
      </c>
      <c r="O2441" s="28" t="str">
        <f aca="true">IF(J2441="","",N2441+MAX(0,ROUNDUP((TODAY()-N2441)/(J2441*7),0))*J2441*7)</f>
        <v/>
      </c>
      <c r="P2441" s="27" t="str">
        <f aca="false">IF(J2441="","",MOD(K2441-1,J2441*4))</f>
        <v/>
      </c>
      <c r="Q2441" s="27" t="str">
        <f aca="false">IF(J2441="","",MOD(P2441,4))</f>
        <v/>
      </c>
      <c r="R2441" s="27" t="str">
        <f aca="false">IF(J2441="","",INT(P2441/4))</f>
        <v/>
      </c>
      <c r="S2441" s="27" t="str">
        <f aca="false">IF(J2441="","",IF(AND('Daily Count Sheet'!$H$3=Q2441,MOD('Daily Count Sheet'!$I$3,J2441)=R2441),1,""))</f>
        <v/>
      </c>
      <c r="T2441" s="27" t="str">
        <f aca="false">IF(S2441=1,COUNTIF($S$2:S2441,1),"")</f>
        <v/>
      </c>
    </row>
    <row r="2442" customFormat="false" ht="15" hidden="false" customHeight="false" outlineLevel="0" collapsed="false">
      <c r="H2442" s="26"/>
      <c r="I2442" s="27" t="str">
        <f aca="false">IF(A2442="","",IF(H2442&lt;&gt;"",UPPER(TRIM(H2442)),IFERROR(CHOOSE(VALUE(E2442)+1,"A","B","C","D"),IF(OR(LEFT(UPPER(TRIM(E2442)),1)="F",UPPER(TRIM(E2442))="A"),"A",IF(OR(LEFT(UPPER(TRIM(E2442)),1)="M",UPPER(TRIM(E2442))="B"),"B",IF(OR(LEFT(UPPER(TRIM(E2442)),2)="SL",UPPER(TRIM(E2442))="C"),"C",IF(OR(LEFT(UPPER(TRIM(E2442)),1)="D",UPPER(TRIM(E2442))="D"),"D","")))))))</f>
        <v/>
      </c>
      <c r="J2442" s="27" t="str">
        <f aca="false">IF(I2442="","",IF(AND(I2442="D",Settings!$B$6&lt;&gt;"Yes"),"",IFERROR(INDEX(Settings!$C$9:$C$12,MATCH(I2442,Settings!$A$9:$A$12,0)),"")))</f>
        <v/>
      </c>
      <c r="K2442" s="27" t="str">
        <f aca="false">IF(J2442="","",COUNTIF($I$2:I2442,I2442))</f>
        <v/>
      </c>
      <c r="L2442" s="27" t="str">
        <f aca="false">IF(J2442="","",CHOOSE(Q2442+1,"Tue","Wed","Thu","Fri"))</f>
        <v/>
      </c>
      <c r="M2442" s="27" t="str">
        <f aca="false">IF(J2442="","",IF(J2442=1,"Every week",R2442+1&amp;" of "&amp;J2442))</f>
        <v/>
      </c>
      <c r="N2442" s="28" t="str">
        <f aca="false">IF(J2442="","",Settings!$B$4+R2442*7+Q2442)</f>
        <v/>
      </c>
      <c r="O2442" s="28" t="str">
        <f aca="true">IF(J2442="","",N2442+MAX(0,ROUNDUP((TODAY()-N2442)/(J2442*7),0))*J2442*7)</f>
        <v/>
      </c>
      <c r="P2442" s="27" t="str">
        <f aca="false">IF(J2442="","",MOD(K2442-1,J2442*4))</f>
        <v/>
      </c>
      <c r="Q2442" s="27" t="str">
        <f aca="false">IF(J2442="","",MOD(P2442,4))</f>
        <v/>
      </c>
      <c r="R2442" s="27" t="str">
        <f aca="false">IF(J2442="","",INT(P2442/4))</f>
        <v/>
      </c>
      <c r="S2442" s="27" t="str">
        <f aca="false">IF(J2442="","",IF(AND('Daily Count Sheet'!$H$3=Q2442,MOD('Daily Count Sheet'!$I$3,J2442)=R2442),1,""))</f>
        <v/>
      </c>
      <c r="T2442" s="27" t="str">
        <f aca="false">IF(S2442=1,COUNTIF($S$2:S2442,1),"")</f>
        <v/>
      </c>
    </row>
    <row r="2443" customFormat="false" ht="15" hidden="false" customHeight="false" outlineLevel="0" collapsed="false">
      <c r="H2443" s="26"/>
      <c r="I2443" s="27" t="str">
        <f aca="false">IF(A2443="","",IF(H2443&lt;&gt;"",UPPER(TRIM(H2443)),IFERROR(CHOOSE(VALUE(E2443)+1,"A","B","C","D"),IF(OR(LEFT(UPPER(TRIM(E2443)),1)="F",UPPER(TRIM(E2443))="A"),"A",IF(OR(LEFT(UPPER(TRIM(E2443)),1)="M",UPPER(TRIM(E2443))="B"),"B",IF(OR(LEFT(UPPER(TRIM(E2443)),2)="SL",UPPER(TRIM(E2443))="C"),"C",IF(OR(LEFT(UPPER(TRIM(E2443)),1)="D",UPPER(TRIM(E2443))="D"),"D","")))))))</f>
        <v/>
      </c>
      <c r="J2443" s="27" t="str">
        <f aca="false">IF(I2443="","",IF(AND(I2443="D",Settings!$B$6&lt;&gt;"Yes"),"",IFERROR(INDEX(Settings!$C$9:$C$12,MATCH(I2443,Settings!$A$9:$A$12,0)),"")))</f>
        <v/>
      </c>
      <c r="K2443" s="27" t="str">
        <f aca="false">IF(J2443="","",COUNTIF($I$2:I2443,I2443))</f>
        <v/>
      </c>
      <c r="L2443" s="27" t="str">
        <f aca="false">IF(J2443="","",CHOOSE(Q2443+1,"Tue","Wed","Thu","Fri"))</f>
        <v/>
      </c>
      <c r="M2443" s="27" t="str">
        <f aca="false">IF(J2443="","",IF(J2443=1,"Every week",R2443+1&amp;" of "&amp;J2443))</f>
        <v/>
      </c>
      <c r="N2443" s="28" t="str">
        <f aca="false">IF(J2443="","",Settings!$B$4+R2443*7+Q2443)</f>
        <v/>
      </c>
      <c r="O2443" s="28" t="str">
        <f aca="true">IF(J2443="","",N2443+MAX(0,ROUNDUP((TODAY()-N2443)/(J2443*7),0))*J2443*7)</f>
        <v/>
      </c>
      <c r="P2443" s="27" t="str">
        <f aca="false">IF(J2443="","",MOD(K2443-1,J2443*4))</f>
        <v/>
      </c>
      <c r="Q2443" s="27" t="str">
        <f aca="false">IF(J2443="","",MOD(P2443,4))</f>
        <v/>
      </c>
      <c r="R2443" s="27" t="str">
        <f aca="false">IF(J2443="","",INT(P2443/4))</f>
        <v/>
      </c>
      <c r="S2443" s="27" t="str">
        <f aca="false">IF(J2443="","",IF(AND('Daily Count Sheet'!$H$3=Q2443,MOD('Daily Count Sheet'!$I$3,J2443)=R2443),1,""))</f>
        <v/>
      </c>
      <c r="T2443" s="27" t="str">
        <f aca="false">IF(S2443=1,COUNTIF($S$2:S2443,1),"")</f>
        <v/>
      </c>
    </row>
    <row r="2444" customFormat="false" ht="15" hidden="false" customHeight="false" outlineLevel="0" collapsed="false">
      <c r="H2444" s="26"/>
      <c r="I2444" s="27" t="str">
        <f aca="false">IF(A2444="","",IF(H2444&lt;&gt;"",UPPER(TRIM(H2444)),IFERROR(CHOOSE(VALUE(E2444)+1,"A","B","C","D"),IF(OR(LEFT(UPPER(TRIM(E2444)),1)="F",UPPER(TRIM(E2444))="A"),"A",IF(OR(LEFT(UPPER(TRIM(E2444)),1)="M",UPPER(TRIM(E2444))="B"),"B",IF(OR(LEFT(UPPER(TRIM(E2444)),2)="SL",UPPER(TRIM(E2444))="C"),"C",IF(OR(LEFT(UPPER(TRIM(E2444)),1)="D",UPPER(TRIM(E2444))="D"),"D","")))))))</f>
        <v/>
      </c>
      <c r="J2444" s="27" t="str">
        <f aca="false">IF(I2444="","",IF(AND(I2444="D",Settings!$B$6&lt;&gt;"Yes"),"",IFERROR(INDEX(Settings!$C$9:$C$12,MATCH(I2444,Settings!$A$9:$A$12,0)),"")))</f>
        <v/>
      </c>
      <c r="K2444" s="27" t="str">
        <f aca="false">IF(J2444="","",COUNTIF($I$2:I2444,I2444))</f>
        <v/>
      </c>
      <c r="L2444" s="27" t="str">
        <f aca="false">IF(J2444="","",CHOOSE(Q2444+1,"Tue","Wed","Thu","Fri"))</f>
        <v/>
      </c>
      <c r="M2444" s="27" t="str">
        <f aca="false">IF(J2444="","",IF(J2444=1,"Every week",R2444+1&amp;" of "&amp;J2444))</f>
        <v/>
      </c>
      <c r="N2444" s="28" t="str">
        <f aca="false">IF(J2444="","",Settings!$B$4+R2444*7+Q2444)</f>
        <v/>
      </c>
      <c r="O2444" s="28" t="str">
        <f aca="true">IF(J2444="","",N2444+MAX(0,ROUNDUP((TODAY()-N2444)/(J2444*7),0))*J2444*7)</f>
        <v/>
      </c>
      <c r="P2444" s="27" t="str">
        <f aca="false">IF(J2444="","",MOD(K2444-1,J2444*4))</f>
        <v/>
      </c>
      <c r="Q2444" s="27" t="str">
        <f aca="false">IF(J2444="","",MOD(P2444,4))</f>
        <v/>
      </c>
      <c r="R2444" s="27" t="str">
        <f aca="false">IF(J2444="","",INT(P2444/4))</f>
        <v/>
      </c>
      <c r="S2444" s="27" t="str">
        <f aca="false">IF(J2444="","",IF(AND('Daily Count Sheet'!$H$3=Q2444,MOD('Daily Count Sheet'!$I$3,J2444)=R2444),1,""))</f>
        <v/>
      </c>
      <c r="T2444" s="27" t="str">
        <f aca="false">IF(S2444=1,COUNTIF($S$2:S2444,1),"")</f>
        <v/>
      </c>
    </row>
    <row r="2445" customFormat="false" ht="15" hidden="false" customHeight="false" outlineLevel="0" collapsed="false">
      <c r="H2445" s="26"/>
      <c r="I2445" s="27" t="str">
        <f aca="false">IF(A2445="","",IF(H2445&lt;&gt;"",UPPER(TRIM(H2445)),IFERROR(CHOOSE(VALUE(E2445)+1,"A","B","C","D"),IF(OR(LEFT(UPPER(TRIM(E2445)),1)="F",UPPER(TRIM(E2445))="A"),"A",IF(OR(LEFT(UPPER(TRIM(E2445)),1)="M",UPPER(TRIM(E2445))="B"),"B",IF(OR(LEFT(UPPER(TRIM(E2445)),2)="SL",UPPER(TRIM(E2445))="C"),"C",IF(OR(LEFT(UPPER(TRIM(E2445)),1)="D",UPPER(TRIM(E2445))="D"),"D","")))))))</f>
        <v/>
      </c>
      <c r="J2445" s="27" t="str">
        <f aca="false">IF(I2445="","",IF(AND(I2445="D",Settings!$B$6&lt;&gt;"Yes"),"",IFERROR(INDEX(Settings!$C$9:$C$12,MATCH(I2445,Settings!$A$9:$A$12,0)),"")))</f>
        <v/>
      </c>
      <c r="K2445" s="27" t="str">
        <f aca="false">IF(J2445="","",COUNTIF($I$2:I2445,I2445))</f>
        <v/>
      </c>
      <c r="L2445" s="27" t="str">
        <f aca="false">IF(J2445="","",CHOOSE(Q2445+1,"Tue","Wed","Thu","Fri"))</f>
        <v/>
      </c>
      <c r="M2445" s="27" t="str">
        <f aca="false">IF(J2445="","",IF(J2445=1,"Every week",R2445+1&amp;" of "&amp;J2445))</f>
        <v/>
      </c>
      <c r="N2445" s="28" t="str">
        <f aca="false">IF(J2445="","",Settings!$B$4+R2445*7+Q2445)</f>
        <v/>
      </c>
      <c r="O2445" s="28" t="str">
        <f aca="true">IF(J2445="","",N2445+MAX(0,ROUNDUP((TODAY()-N2445)/(J2445*7),0))*J2445*7)</f>
        <v/>
      </c>
      <c r="P2445" s="27" t="str">
        <f aca="false">IF(J2445="","",MOD(K2445-1,J2445*4))</f>
        <v/>
      </c>
      <c r="Q2445" s="27" t="str">
        <f aca="false">IF(J2445="","",MOD(P2445,4))</f>
        <v/>
      </c>
      <c r="R2445" s="27" t="str">
        <f aca="false">IF(J2445="","",INT(P2445/4))</f>
        <v/>
      </c>
      <c r="S2445" s="27" t="str">
        <f aca="false">IF(J2445="","",IF(AND('Daily Count Sheet'!$H$3=Q2445,MOD('Daily Count Sheet'!$I$3,J2445)=R2445),1,""))</f>
        <v/>
      </c>
      <c r="T2445" s="27" t="str">
        <f aca="false">IF(S2445=1,COUNTIF($S$2:S2445,1),"")</f>
        <v/>
      </c>
    </row>
    <row r="2446" customFormat="false" ht="15" hidden="false" customHeight="false" outlineLevel="0" collapsed="false">
      <c r="H2446" s="26"/>
      <c r="I2446" s="27" t="str">
        <f aca="false">IF(A2446="","",IF(H2446&lt;&gt;"",UPPER(TRIM(H2446)),IFERROR(CHOOSE(VALUE(E2446)+1,"A","B","C","D"),IF(OR(LEFT(UPPER(TRIM(E2446)),1)="F",UPPER(TRIM(E2446))="A"),"A",IF(OR(LEFT(UPPER(TRIM(E2446)),1)="M",UPPER(TRIM(E2446))="B"),"B",IF(OR(LEFT(UPPER(TRIM(E2446)),2)="SL",UPPER(TRIM(E2446))="C"),"C",IF(OR(LEFT(UPPER(TRIM(E2446)),1)="D",UPPER(TRIM(E2446))="D"),"D","")))))))</f>
        <v/>
      </c>
      <c r="J2446" s="27" t="str">
        <f aca="false">IF(I2446="","",IF(AND(I2446="D",Settings!$B$6&lt;&gt;"Yes"),"",IFERROR(INDEX(Settings!$C$9:$C$12,MATCH(I2446,Settings!$A$9:$A$12,0)),"")))</f>
        <v/>
      </c>
      <c r="K2446" s="27" t="str">
        <f aca="false">IF(J2446="","",COUNTIF($I$2:I2446,I2446))</f>
        <v/>
      </c>
      <c r="L2446" s="27" t="str">
        <f aca="false">IF(J2446="","",CHOOSE(Q2446+1,"Tue","Wed","Thu","Fri"))</f>
        <v/>
      </c>
      <c r="M2446" s="27" t="str">
        <f aca="false">IF(J2446="","",IF(J2446=1,"Every week",R2446+1&amp;" of "&amp;J2446))</f>
        <v/>
      </c>
      <c r="N2446" s="28" t="str">
        <f aca="false">IF(J2446="","",Settings!$B$4+R2446*7+Q2446)</f>
        <v/>
      </c>
      <c r="O2446" s="28" t="str">
        <f aca="true">IF(J2446="","",N2446+MAX(0,ROUNDUP((TODAY()-N2446)/(J2446*7),0))*J2446*7)</f>
        <v/>
      </c>
      <c r="P2446" s="27" t="str">
        <f aca="false">IF(J2446="","",MOD(K2446-1,J2446*4))</f>
        <v/>
      </c>
      <c r="Q2446" s="27" t="str">
        <f aca="false">IF(J2446="","",MOD(P2446,4))</f>
        <v/>
      </c>
      <c r="R2446" s="27" t="str">
        <f aca="false">IF(J2446="","",INT(P2446/4))</f>
        <v/>
      </c>
      <c r="S2446" s="27" t="str">
        <f aca="false">IF(J2446="","",IF(AND('Daily Count Sheet'!$H$3=Q2446,MOD('Daily Count Sheet'!$I$3,J2446)=R2446),1,""))</f>
        <v/>
      </c>
      <c r="T2446" s="27" t="str">
        <f aca="false">IF(S2446=1,COUNTIF($S$2:S2446,1),"")</f>
        <v/>
      </c>
    </row>
    <row r="2447" customFormat="false" ht="15" hidden="false" customHeight="false" outlineLevel="0" collapsed="false">
      <c r="H2447" s="26"/>
      <c r="I2447" s="27" t="str">
        <f aca="false">IF(A2447="","",IF(H2447&lt;&gt;"",UPPER(TRIM(H2447)),IFERROR(CHOOSE(VALUE(E2447)+1,"A","B","C","D"),IF(OR(LEFT(UPPER(TRIM(E2447)),1)="F",UPPER(TRIM(E2447))="A"),"A",IF(OR(LEFT(UPPER(TRIM(E2447)),1)="M",UPPER(TRIM(E2447))="B"),"B",IF(OR(LEFT(UPPER(TRIM(E2447)),2)="SL",UPPER(TRIM(E2447))="C"),"C",IF(OR(LEFT(UPPER(TRIM(E2447)),1)="D",UPPER(TRIM(E2447))="D"),"D","")))))))</f>
        <v/>
      </c>
      <c r="J2447" s="27" t="str">
        <f aca="false">IF(I2447="","",IF(AND(I2447="D",Settings!$B$6&lt;&gt;"Yes"),"",IFERROR(INDEX(Settings!$C$9:$C$12,MATCH(I2447,Settings!$A$9:$A$12,0)),"")))</f>
        <v/>
      </c>
      <c r="K2447" s="27" t="str">
        <f aca="false">IF(J2447="","",COUNTIF($I$2:I2447,I2447))</f>
        <v/>
      </c>
      <c r="L2447" s="27" t="str">
        <f aca="false">IF(J2447="","",CHOOSE(Q2447+1,"Tue","Wed","Thu","Fri"))</f>
        <v/>
      </c>
      <c r="M2447" s="27" t="str">
        <f aca="false">IF(J2447="","",IF(J2447=1,"Every week",R2447+1&amp;" of "&amp;J2447))</f>
        <v/>
      </c>
      <c r="N2447" s="28" t="str">
        <f aca="false">IF(J2447="","",Settings!$B$4+R2447*7+Q2447)</f>
        <v/>
      </c>
      <c r="O2447" s="28" t="str">
        <f aca="true">IF(J2447="","",N2447+MAX(0,ROUNDUP((TODAY()-N2447)/(J2447*7),0))*J2447*7)</f>
        <v/>
      </c>
      <c r="P2447" s="27" t="str">
        <f aca="false">IF(J2447="","",MOD(K2447-1,J2447*4))</f>
        <v/>
      </c>
      <c r="Q2447" s="27" t="str">
        <f aca="false">IF(J2447="","",MOD(P2447,4))</f>
        <v/>
      </c>
      <c r="R2447" s="27" t="str">
        <f aca="false">IF(J2447="","",INT(P2447/4))</f>
        <v/>
      </c>
      <c r="S2447" s="27" t="str">
        <f aca="false">IF(J2447="","",IF(AND('Daily Count Sheet'!$H$3=Q2447,MOD('Daily Count Sheet'!$I$3,J2447)=R2447),1,""))</f>
        <v/>
      </c>
      <c r="T2447" s="27" t="str">
        <f aca="false">IF(S2447=1,COUNTIF($S$2:S2447,1),"")</f>
        <v/>
      </c>
    </row>
    <row r="2448" customFormat="false" ht="15" hidden="false" customHeight="false" outlineLevel="0" collapsed="false">
      <c r="H2448" s="26"/>
      <c r="I2448" s="27" t="str">
        <f aca="false">IF(A2448="","",IF(H2448&lt;&gt;"",UPPER(TRIM(H2448)),IFERROR(CHOOSE(VALUE(E2448)+1,"A","B","C","D"),IF(OR(LEFT(UPPER(TRIM(E2448)),1)="F",UPPER(TRIM(E2448))="A"),"A",IF(OR(LEFT(UPPER(TRIM(E2448)),1)="M",UPPER(TRIM(E2448))="B"),"B",IF(OR(LEFT(UPPER(TRIM(E2448)),2)="SL",UPPER(TRIM(E2448))="C"),"C",IF(OR(LEFT(UPPER(TRIM(E2448)),1)="D",UPPER(TRIM(E2448))="D"),"D","")))))))</f>
        <v/>
      </c>
      <c r="J2448" s="27" t="str">
        <f aca="false">IF(I2448="","",IF(AND(I2448="D",Settings!$B$6&lt;&gt;"Yes"),"",IFERROR(INDEX(Settings!$C$9:$C$12,MATCH(I2448,Settings!$A$9:$A$12,0)),"")))</f>
        <v/>
      </c>
      <c r="K2448" s="27" t="str">
        <f aca="false">IF(J2448="","",COUNTIF($I$2:I2448,I2448))</f>
        <v/>
      </c>
      <c r="L2448" s="27" t="str">
        <f aca="false">IF(J2448="","",CHOOSE(Q2448+1,"Tue","Wed","Thu","Fri"))</f>
        <v/>
      </c>
      <c r="M2448" s="27" t="str">
        <f aca="false">IF(J2448="","",IF(J2448=1,"Every week",R2448+1&amp;" of "&amp;J2448))</f>
        <v/>
      </c>
      <c r="N2448" s="28" t="str">
        <f aca="false">IF(J2448="","",Settings!$B$4+R2448*7+Q2448)</f>
        <v/>
      </c>
      <c r="O2448" s="28" t="str">
        <f aca="true">IF(J2448="","",N2448+MAX(0,ROUNDUP((TODAY()-N2448)/(J2448*7),0))*J2448*7)</f>
        <v/>
      </c>
      <c r="P2448" s="27" t="str">
        <f aca="false">IF(J2448="","",MOD(K2448-1,J2448*4))</f>
        <v/>
      </c>
      <c r="Q2448" s="27" t="str">
        <f aca="false">IF(J2448="","",MOD(P2448,4))</f>
        <v/>
      </c>
      <c r="R2448" s="27" t="str">
        <f aca="false">IF(J2448="","",INT(P2448/4))</f>
        <v/>
      </c>
      <c r="S2448" s="27" t="str">
        <f aca="false">IF(J2448="","",IF(AND('Daily Count Sheet'!$H$3=Q2448,MOD('Daily Count Sheet'!$I$3,J2448)=R2448),1,""))</f>
        <v/>
      </c>
      <c r="T2448" s="27" t="str">
        <f aca="false">IF(S2448=1,COUNTIF($S$2:S2448,1),"")</f>
        <v/>
      </c>
    </row>
    <row r="2449" customFormat="false" ht="15" hidden="false" customHeight="false" outlineLevel="0" collapsed="false">
      <c r="H2449" s="26"/>
      <c r="I2449" s="27" t="str">
        <f aca="false">IF(A2449="","",IF(H2449&lt;&gt;"",UPPER(TRIM(H2449)),IFERROR(CHOOSE(VALUE(E2449)+1,"A","B","C","D"),IF(OR(LEFT(UPPER(TRIM(E2449)),1)="F",UPPER(TRIM(E2449))="A"),"A",IF(OR(LEFT(UPPER(TRIM(E2449)),1)="M",UPPER(TRIM(E2449))="B"),"B",IF(OR(LEFT(UPPER(TRIM(E2449)),2)="SL",UPPER(TRIM(E2449))="C"),"C",IF(OR(LEFT(UPPER(TRIM(E2449)),1)="D",UPPER(TRIM(E2449))="D"),"D","")))))))</f>
        <v/>
      </c>
      <c r="J2449" s="27" t="str">
        <f aca="false">IF(I2449="","",IF(AND(I2449="D",Settings!$B$6&lt;&gt;"Yes"),"",IFERROR(INDEX(Settings!$C$9:$C$12,MATCH(I2449,Settings!$A$9:$A$12,0)),"")))</f>
        <v/>
      </c>
      <c r="K2449" s="27" t="str">
        <f aca="false">IF(J2449="","",COUNTIF($I$2:I2449,I2449))</f>
        <v/>
      </c>
      <c r="L2449" s="27" t="str">
        <f aca="false">IF(J2449="","",CHOOSE(Q2449+1,"Tue","Wed","Thu","Fri"))</f>
        <v/>
      </c>
      <c r="M2449" s="27" t="str">
        <f aca="false">IF(J2449="","",IF(J2449=1,"Every week",R2449+1&amp;" of "&amp;J2449))</f>
        <v/>
      </c>
      <c r="N2449" s="28" t="str">
        <f aca="false">IF(J2449="","",Settings!$B$4+R2449*7+Q2449)</f>
        <v/>
      </c>
      <c r="O2449" s="28" t="str">
        <f aca="true">IF(J2449="","",N2449+MAX(0,ROUNDUP((TODAY()-N2449)/(J2449*7),0))*J2449*7)</f>
        <v/>
      </c>
      <c r="P2449" s="27" t="str">
        <f aca="false">IF(J2449="","",MOD(K2449-1,J2449*4))</f>
        <v/>
      </c>
      <c r="Q2449" s="27" t="str">
        <f aca="false">IF(J2449="","",MOD(P2449,4))</f>
        <v/>
      </c>
      <c r="R2449" s="27" t="str">
        <f aca="false">IF(J2449="","",INT(P2449/4))</f>
        <v/>
      </c>
      <c r="S2449" s="27" t="str">
        <f aca="false">IF(J2449="","",IF(AND('Daily Count Sheet'!$H$3=Q2449,MOD('Daily Count Sheet'!$I$3,J2449)=R2449),1,""))</f>
        <v/>
      </c>
      <c r="T2449" s="27" t="str">
        <f aca="false">IF(S2449=1,COUNTIF($S$2:S2449,1),"")</f>
        <v/>
      </c>
    </row>
    <row r="2450" customFormat="false" ht="15" hidden="false" customHeight="false" outlineLevel="0" collapsed="false">
      <c r="H2450" s="26"/>
      <c r="I2450" s="27" t="str">
        <f aca="false">IF(A2450="","",IF(H2450&lt;&gt;"",UPPER(TRIM(H2450)),IFERROR(CHOOSE(VALUE(E2450)+1,"A","B","C","D"),IF(OR(LEFT(UPPER(TRIM(E2450)),1)="F",UPPER(TRIM(E2450))="A"),"A",IF(OR(LEFT(UPPER(TRIM(E2450)),1)="M",UPPER(TRIM(E2450))="B"),"B",IF(OR(LEFT(UPPER(TRIM(E2450)),2)="SL",UPPER(TRIM(E2450))="C"),"C",IF(OR(LEFT(UPPER(TRIM(E2450)),1)="D",UPPER(TRIM(E2450))="D"),"D","")))))))</f>
        <v/>
      </c>
      <c r="J2450" s="27" t="str">
        <f aca="false">IF(I2450="","",IF(AND(I2450="D",Settings!$B$6&lt;&gt;"Yes"),"",IFERROR(INDEX(Settings!$C$9:$C$12,MATCH(I2450,Settings!$A$9:$A$12,0)),"")))</f>
        <v/>
      </c>
      <c r="K2450" s="27" t="str">
        <f aca="false">IF(J2450="","",COUNTIF($I$2:I2450,I2450))</f>
        <v/>
      </c>
      <c r="L2450" s="27" t="str">
        <f aca="false">IF(J2450="","",CHOOSE(Q2450+1,"Tue","Wed","Thu","Fri"))</f>
        <v/>
      </c>
      <c r="M2450" s="27" t="str">
        <f aca="false">IF(J2450="","",IF(J2450=1,"Every week",R2450+1&amp;" of "&amp;J2450))</f>
        <v/>
      </c>
      <c r="N2450" s="28" t="str">
        <f aca="false">IF(J2450="","",Settings!$B$4+R2450*7+Q2450)</f>
        <v/>
      </c>
      <c r="O2450" s="28" t="str">
        <f aca="true">IF(J2450="","",N2450+MAX(0,ROUNDUP((TODAY()-N2450)/(J2450*7),0))*J2450*7)</f>
        <v/>
      </c>
      <c r="P2450" s="27" t="str">
        <f aca="false">IF(J2450="","",MOD(K2450-1,J2450*4))</f>
        <v/>
      </c>
      <c r="Q2450" s="27" t="str">
        <f aca="false">IF(J2450="","",MOD(P2450,4))</f>
        <v/>
      </c>
      <c r="R2450" s="27" t="str">
        <f aca="false">IF(J2450="","",INT(P2450/4))</f>
        <v/>
      </c>
      <c r="S2450" s="27" t="str">
        <f aca="false">IF(J2450="","",IF(AND('Daily Count Sheet'!$H$3=Q2450,MOD('Daily Count Sheet'!$I$3,J2450)=R2450),1,""))</f>
        <v/>
      </c>
      <c r="T2450" s="27" t="str">
        <f aca="false">IF(S2450=1,COUNTIF($S$2:S2450,1),"")</f>
        <v/>
      </c>
    </row>
    <row r="2451" customFormat="false" ht="15" hidden="false" customHeight="false" outlineLevel="0" collapsed="false">
      <c r="H2451" s="26"/>
      <c r="I2451" s="27" t="str">
        <f aca="false">IF(A2451="","",IF(H2451&lt;&gt;"",UPPER(TRIM(H2451)),IFERROR(CHOOSE(VALUE(E2451)+1,"A","B","C","D"),IF(OR(LEFT(UPPER(TRIM(E2451)),1)="F",UPPER(TRIM(E2451))="A"),"A",IF(OR(LEFT(UPPER(TRIM(E2451)),1)="M",UPPER(TRIM(E2451))="B"),"B",IF(OR(LEFT(UPPER(TRIM(E2451)),2)="SL",UPPER(TRIM(E2451))="C"),"C",IF(OR(LEFT(UPPER(TRIM(E2451)),1)="D",UPPER(TRIM(E2451))="D"),"D","")))))))</f>
        <v/>
      </c>
      <c r="J2451" s="27" t="str">
        <f aca="false">IF(I2451="","",IF(AND(I2451="D",Settings!$B$6&lt;&gt;"Yes"),"",IFERROR(INDEX(Settings!$C$9:$C$12,MATCH(I2451,Settings!$A$9:$A$12,0)),"")))</f>
        <v/>
      </c>
      <c r="K2451" s="27" t="str">
        <f aca="false">IF(J2451="","",COUNTIF($I$2:I2451,I2451))</f>
        <v/>
      </c>
      <c r="L2451" s="27" t="str">
        <f aca="false">IF(J2451="","",CHOOSE(Q2451+1,"Tue","Wed","Thu","Fri"))</f>
        <v/>
      </c>
      <c r="M2451" s="27" t="str">
        <f aca="false">IF(J2451="","",IF(J2451=1,"Every week",R2451+1&amp;" of "&amp;J2451))</f>
        <v/>
      </c>
      <c r="N2451" s="28" t="str">
        <f aca="false">IF(J2451="","",Settings!$B$4+R2451*7+Q2451)</f>
        <v/>
      </c>
      <c r="O2451" s="28" t="str">
        <f aca="true">IF(J2451="","",N2451+MAX(0,ROUNDUP((TODAY()-N2451)/(J2451*7),0))*J2451*7)</f>
        <v/>
      </c>
      <c r="P2451" s="27" t="str">
        <f aca="false">IF(J2451="","",MOD(K2451-1,J2451*4))</f>
        <v/>
      </c>
      <c r="Q2451" s="27" t="str">
        <f aca="false">IF(J2451="","",MOD(P2451,4))</f>
        <v/>
      </c>
      <c r="R2451" s="27" t="str">
        <f aca="false">IF(J2451="","",INT(P2451/4))</f>
        <v/>
      </c>
      <c r="S2451" s="27" t="str">
        <f aca="false">IF(J2451="","",IF(AND('Daily Count Sheet'!$H$3=Q2451,MOD('Daily Count Sheet'!$I$3,J2451)=R2451),1,""))</f>
        <v/>
      </c>
      <c r="T2451" s="27" t="str">
        <f aca="false">IF(S2451=1,COUNTIF($S$2:S2451,1),"")</f>
        <v/>
      </c>
    </row>
    <row r="2452" customFormat="false" ht="15" hidden="false" customHeight="false" outlineLevel="0" collapsed="false">
      <c r="H2452" s="26"/>
      <c r="I2452" s="27" t="str">
        <f aca="false">IF(A2452="","",IF(H2452&lt;&gt;"",UPPER(TRIM(H2452)),IFERROR(CHOOSE(VALUE(E2452)+1,"A","B","C","D"),IF(OR(LEFT(UPPER(TRIM(E2452)),1)="F",UPPER(TRIM(E2452))="A"),"A",IF(OR(LEFT(UPPER(TRIM(E2452)),1)="M",UPPER(TRIM(E2452))="B"),"B",IF(OR(LEFT(UPPER(TRIM(E2452)),2)="SL",UPPER(TRIM(E2452))="C"),"C",IF(OR(LEFT(UPPER(TRIM(E2452)),1)="D",UPPER(TRIM(E2452))="D"),"D","")))))))</f>
        <v/>
      </c>
      <c r="J2452" s="27" t="str">
        <f aca="false">IF(I2452="","",IF(AND(I2452="D",Settings!$B$6&lt;&gt;"Yes"),"",IFERROR(INDEX(Settings!$C$9:$C$12,MATCH(I2452,Settings!$A$9:$A$12,0)),"")))</f>
        <v/>
      </c>
      <c r="K2452" s="27" t="str">
        <f aca="false">IF(J2452="","",COUNTIF($I$2:I2452,I2452))</f>
        <v/>
      </c>
      <c r="L2452" s="27" t="str">
        <f aca="false">IF(J2452="","",CHOOSE(Q2452+1,"Tue","Wed","Thu","Fri"))</f>
        <v/>
      </c>
      <c r="M2452" s="27" t="str">
        <f aca="false">IF(J2452="","",IF(J2452=1,"Every week",R2452+1&amp;" of "&amp;J2452))</f>
        <v/>
      </c>
      <c r="N2452" s="28" t="str">
        <f aca="false">IF(J2452="","",Settings!$B$4+R2452*7+Q2452)</f>
        <v/>
      </c>
      <c r="O2452" s="28" t="str">
        <f aca="true">IF(J2452="","",N2452+MAX(0,ROUNDUP((TODAY()-N2452)/(J2452*7),0))*J2452*7)</f>
        <v/>
      </c>
      <c r="P2452" s="27" t="str">
        <f aca="false">IF(J2452="","",MOD(K2452-1,J2452*4))</f>
        <v/>
      </c>
      <c r="Q2452" s="27" t="str">
        <f aca="false">IF(J2452="","",MOD(P2452,4))</f>
        <v/>
      </c>
      <c r="R2452" s="27" t="str">
        <f aca="false">IF(J2452="","",INT(P2452/4))</f>
        <v/>
      </c>
      <c r="S2452" s="27" t="str">
        <f aca="false">IF(J2452="","",IF(AND('Daily Count Sheet'!$H$3=Q2452,MOD('Daily Count Sheet'!$I$3,J2452)=R2452),1,""))</f>
        <v/>
      </c>
      <c r="T2452" s="27" t="str">
        <f aca="false">IF(S2452=1,COUNTIF($S$2:S2452,1),"")</f>
        <v/>
      </c>
    </row>
    <row r="2453" customFormat="false" ht="15" hidden="false" customHeight="false" outlineLevel="0" collapsed="false">
      <c r="H2453" s="26"/>
      <c r="I2453" s="27" t="str">
        <f aca="false">IF(A2453="","",IF(H2453&lt;&gt;"",UPPER(TRIM(H2453)),IFERROR(CHOOSE(VALUE(E2453)+1,"A","B","C","D"),IF(OR(LEFT(UPPER(TRIM(E2453)),1)="F",UPPER(TRIM(E2453))="A"),"A",IF(OR(LEFT(UPPER(TRIM(E2453)),1)="M",UPPER(TRIM(E2453))="B"),"B",IF(OR(LEFT(UPPER(TRIM(E2453)),2)="SL",UPPER(TRIM(E2453))="C"),"C",IF(OR(LEFT(UPPER(TRIM(E2453)),1)="D",UPPER(TRIM(E2453))="D"),"D","")))))))</f>
        <v/>
      </c>
      <c r="J2453" s="27" t="str">
        <f aca="false">IF(I2453="","",IF(AND(I2453="D",Settings!$B$6&lt;&gt;"Yes"),"",IFERROR(INDEX(Settings!$C$9:$C$12,MATCH(I2453,Settings!$A$9:$A$12,0)),"")))</f>
        <v/>
      </c>
      <c r="K2453" s="27" t="str">
        <f aca="false">IF(J2453="","",COUNTIF($I$2:I2453,I2453))</f>
        <v/>
      </c>
      <c r="L2453" s="27" t="str">
        <f aca="false">IF(J2453="","",CHOOSE(Q2453+1,"Tue","Wed","Thu","Fri"))</f>
        <v/>
      </c>
      <c r="M2453" s="27" t="str">
        <f aca="false">IF(J2453="","",IF(J2453=1,"Every week",R2453+1&amp;" of "&amp;J2453))</f>
        <v/>
      </c>
      <c r="N2453" s="28" t="str">
        <f aca="false">IF(J2453="","",Settings!$B$4+R2453*7+Q2453)</f>
        <v/>
      </c>
      <c r="O2453" s="28" t="str">
        <f aca="true">IF(J2453="","",N2453+MAX(0,ROUNDUP((TODAY()-N2453)/(J2453*7),0))*J2453*7)</f>
        <v/>
      </c>
      <c r="P2453" s="27" t="str">
        <f aca="false">IF(J2453="","",MOD(K2453-1,J2453*4))</f>
        <v/>
      </c>
      <c r="Q2453" s="27" t="str">
        <f aca="false">IF(J2453="","",MOD(P2453,4))</f>
        <v/>
      </c>
      <c r="R2453" s="27" t="str">
        <f aca="false">IF(J2453="","",INT(P2453/4))</f>
        <v/>
      </c>
      <c r="S2453" s="27" t="str">
        <f aca="false">IF(J2453="","",IF(AND('Daily Count Sheet'!$H$3=Q2453,MOD('Daily Count Sheet'!$I$3,J2453)=R2453),1,""))</f>
        <v/>
      </c>
      <c r="T2453" s="27" t="str">
        <f aca="false">IF(S2453=1,COUNTIF($S$2:S2453,1),"")</f>
        <v/>
      </c>
    </row>
    <row r="2454" customFormat="false" ht="15" hidden="false" customHeight="false" outlineLevel="0" collapsed="false">
      <c r="H2454" s="26"/>
      <c r="I2454" s="27" t="str">
        <f aca="false">IF(A2454="","",IF(H2454&lt;&gt;"",UPPER(TRIM(H2454)),IFERROR(CHOOSE(VALUE(E2454)+1,"A","B","C","D"),IF(OR(LEFT(UPPER(TRIM(E2454)),1)="F",UPPER(TRIM(E2454))="A"),"A",IF(OR(LEFT(UPPER(TRIM(E2454)),1)="M",UPPER(TRIM(E2454))="B"),"B",IF(OR(LEFT(UPPER(TRIM(E2454)),2)="SL",UPPER(TRIM(E2454))="C"),"C",IF(OR(LEFT(UPPER(TRIM(E2454)),1)="D",UPPER(TRIM(E2454))="D"),"D","")))))))</f>
        <v/>
      </c>
      <c r="J2454" s="27" t="str">
        <f aca="false">IF(I2454="","",IF(AND(I2454="D",Settings!$B$6&lt;&gt;"Yes"),"",IFERROR(INDEX(Settings!$C$9:$C$12,MATCH(I2454,Settings!$A$9:$A$12,0)),"")))</f>
        <v/>
      </c>
      <c r="K2454" s="27" t="str">
        <f aca="false">IF(J2454="","",COUNTIF($I$2:I2454,I2454))</f>
        <v/>
      </c>
      <c r="L2454" s="27" t="str">
        <f aca="false">IF(J2454="","",CHOOSE(Q2454+1,"Tue","Wed","Thu","Fri"))</f>
        <v/>
      </c>
      <c r="M2454" s="27" t="str">
        <f aca="false">IF(J2454="","",IF(J2454=1,"Every week",R2454+1&amp;" of "&amp;J2454))</f>
        <v/>
      </c>
      <c r="N2454" s="28" t="str">
        <f aca="false">IF(J2454="","",Settings!$B$4+R2454*7+Q2454)</f>
        <v/>
      </c>
      <c r="O2454" s="28" t="str">
        <f aca="true">IF(J2454="","",N2454+MAX(0,ROUNDUP((TODAY()-N2454)/(J2454*7),0))*J2454*7)</f>
        <v/>
      </c>
      <c r="P2454" s="27" t="str">
        <f aca="false">IF(J2454="","",MOD(K2454-1,J2454*4))</f>
        <v/>
      </c>
      <c r="Q2454" s="27" t="str">
        <f aca="false">IF(J2454="","",MOD(P2454,4))</f>
        <v/>
      </c>
      <c r="R2454" s="27" t="str">
        <f aca="false">IF(J2454="","",INT(P2454/4))</f>
        <v/>
      </c>
      <c r="S2454" s="27" t="str">
        <f aca="false">IF(J2454="","",IF(AND('Daily Count Sheet'!$H$3=Q2454,MOD('Daily Count Sheet'!$I$3,J2454)=R2454),1,""))</f>
        <v/>
      </c>
      <c r="T2454" s="27" t="str">
        <f aca="false">IF(S2454=1,COUNTIF($S$2:S2454,1),"")</f>
        <v/>
      </c>
    </row>
    <row r="2455" customFormat="false" ht="15" hidden="false" customHeight="false" outlineLevel="0" collapsed="false">
      <c r="H2455" s="26"/>
      <c r="I2455" s="27" t="str">
        <f aca="false">IF(A2455="","",IF(H2455&lt;&gt;"",UPPER(TRIM(H2455)),IFERROR(CHOOSE(VALUE(E2455)+1,"A","B","C","D"),IF(OR(LEFT(UPPER(TRIM(E2455)),1)="F",UPPER(TRIM(E2455))="A"),"A",IF(OR(LEFT(UPPER(TRIM(E2455)),1)="M",UPPER(TRIM(E2455))="B"),"B",IF(OR(LEFT(UPPER(TRIM(E2455)),2)="SL",UPPER(TRIM(E2455))="C"),"C",IF(OR(LEFT(UPPER(TRIM(E2455)),1)="D",UPPER(TRIM(E2455))="D"),"D","")))))))</f>
        <v/>
      </c>
      <c r="J2455" s="27" t="str">
        <f aca="false">IF(I2455="","",IF(AND(I2455="D",Settings!$B$6&lt;&gt;"Yes"),"",IFERROR(INDEX(Settings!$C$9:$C$12,MATCH(I2455,Settings!$A$9:$A$12,0)),"")))</f>
        <v/>
      </c>
      <c r="K2455" s="27" t="str">
        <f aca="false">IF(J2455="","",COUNTIF($I$2:I2455,I2455))</f>
        <v/>
      </c>
      <c r="L2455" s="27" t="str">
        <f aca="false">IF(J2455="","",CHOOSE(Q2455+1,"Tue","Wed","Thu","Fri"))</f>
        <v/>
      </c>
      <c r="M2455" s="27" t="str">
        <f aca="false">IF(J2455="","",IF(J2455=1,"Every week",R2455+1&amp;" of "&amp;J2455))</f>
        <v/>
      </c>
      <c r="N2455" s="28" t="str">
        <f aca="false">IF(J2455="","",Settings!$B$4+R2455*7+Q2455)</f>
        <v/>
      </c>
      <c r="O2455" s="28" t="str">
        <f aca="true">IF(J2455="","",N2455+MAX(0,ROUNDUP((TODAY()-N2455)/(J2455*7),0))*J2455*7)</f>
        <v/>
      </c>
      <c r="P2455" s="27" t="str">
        <f aca="false">IF(J2455="","",MOD(K2455-1,J2455*4))</f>
        <v/>
      </c>
      <c r="Q2455" s="27" t="str">
        <f aca="false">IF(J2455="","",MOD(P2455,4))</f>
        <v/>
      </c>
      <c r="R2455" s="27" t="str">
        <f aca="false">IF(J2455="","",INT(P2455/4))</f>
        <v/>
      </c>
      <c r="S2455" s="27" t="str">
        <f aca="false">IF(J2455="","",IF(AND('Daily Count Sheet'!$H$3=Q2455,MOD('Daily Count Sheet'!$I$3,J2455)=R2455),1,""))</f>
        <v/>
      </c>
      <c r="T2455" s="27" t="str">
        <f aca="false">IF(S2455=1,COUNTIF($S$2:S2455,1),"")</f>
        <v/>
      </c>
    </row>
    <row r="2456" customFormat="false" ht="15" hidden="false" customHeight="false" outlineLevel="0" collapsed="false">
      <c r="H2456" s="26"/>
      <c r="I2456" s="27" t="str">
        <f aca="false">IF(A2456="","",IF(H2456&lt;&gt;"",UPPER(TRIM(H2456)),IFERROR(CHOOSE(VALUE(E2456)+1,"A","B","C","D"),IF(OR(LEFT(UPPER(TRIM(E2456)),1)="F",UPPER(TRIM(E2456))="A"),"A",IF(OR(LEFT(UPPER(TRIM(E2456)),1)="M",UPPER(TRIM(E2456))="B"),"B",IF(OR(LEFT(UPPER(TRIM(E2456)),2)="SL",UPPER(TRIM(E2456))="C"),"C",IF(OR(LEFT(UPPER(TRIM(E2456)),1)="D",UPPER(TRIM(E2456))="D"),"D","")))))))</f>
        <v/>
      </c>
      <c r="J2456" s="27" t="str">
        <f aca="false">IF(I2456="","",IF(AND(I2456="D",Settings!$B$6&lt;&gt;"Yes"),"",IFERROR(INDEX(Settings!$C$9:$C$12,MATCH(I2456,Settings!$A$9:$A$12,0)),"")))</f>
        <v/>
      </c>
      <c r="K2456" s="27" t="str">
        <f aca="false">IF(J2456="","",COUNTIF($I$2:I2456,I2456))</f>
        <v/>
      </c>
      <c r="L2456" s="27" t="str">
        <f aca="false">IF(J2456="","",CHOOSE(Q2456+1,"Tue","Wed","Thu","Fri"))</f>
        <v/>
      </c>
      <c r="M2456" s="27" t="str">
        <f aca="false">IF(J2456="","",IF(J2456=1,"Every week",R2456+1&amp;" of "&amp;J2456))</f>
        <v/>
      </c>
      <c r="N2456" s="28" t="str">
        <f aca="false">IF(J2456="","",Settings!$B$4+R2456*7+Q2456)</f>
        <v/>
      </c>
      <c r="O2456" s="28" t="str">
        <f aca="true">IF(J2456="","",N2456+MAX(0,ROUNDUP((TODAY()-N2456)/(J2456*7),0))*J2456*7)</f>
        <v/>
      </c>
      <c r="P2456" s="27" t="str">
        <f aca="false">IF(J2456="","",MOD(K2456-1,J2456*4))</f>
        <v/>
      </c>
      <c r="Q2456" s="27" t="str">
        <f aca="false">IF(J2456="","",MOD(P2456,4))</f>
        <v/>
      </c>
      <c r="R2456" s="27" t="str">
        <f aca="false">IF(J2456="","",INT(P2456/4))</f>
        <v/>
      </c>
      <c r="S2456" s="27" t="str">
        <f aca="false">IF(J2456="","",IF(AND('Daily Count Sheet'!$H$3=Q2456,MOD('Daily Count Sheet'!$I$3,J2456)=R2456),1,""))</f>
        <v/>
      </c>
      <c r="T2456" s="27" t="str">
        <f aca="false">IF(S2456=1,COUNTIF($S$2:S2456,1),"")</f>
        <v/>
      </c>
    </row>
    <row r="2457" customFormat="false" ht="15" hidden="false" customHeight="false" outlineLevel="0" collapsed="false">
      <c r="H2457" s="26"/>
      <c r="I2457" s="27" t="str">
        <f aca="false">IF(A2457="","",IF(H2457&lt;&gt;"",UPPER(TRIM(H2457)),IFERROR(CHOOSE(VALUE(E2457)+1,"A","B","C","D"),IF(OR(LEFT(UPPER(TRIM(E2457)),1)="F",UPPER(TRIM(E2457))="A"),"A",IF(OR(LEFT(UPPER(TRIM(E2457)),1)="M",UPPER(TRIM(E2457))="B"),"B",IF(OR(LEFT(UPPER(TRIM(E2457)),2)="SL",UPPER(TRIM(E2457))="C"),"C",IF(OR(LEFT(UPPER(TRIM(E2457)),1)="D",UPPER(TRIM(E2457))="D"),"D","")))))))</f>
        <v/>
      </c>
      <c r="J2457" s="27" t="str">
        <f aca="false">IF(I2457="","",IF(AND(I2457="D",Settings!$B$6&lt;&gt;"Yes"),"",IFERROR(INDEX(Settings!$C$9:$C$12,MATCH(I2457,Settings!$A$9:$A$12,0)),"")))</f>
        <v/>
      </c>
      <c r="K2457" s="27" t="str">
        <f aca="false">IF(J2457="","",COUNTIF($I$2:I2457,I2457))</f>
        <v/>
      </c>
      <c r="L2457" s="27" t="str">
        <f aca="false">IF(J2457="","",CHOOSE(Q2457+1,"Tue","Wed","Thu","Fri"))</f>
        <v/>
      </c>
      <c r="M2457" s="27" t="str">
        <f aca="false">IF(J2457="","",IF(J2457=1,"Every week",R2457+1&amp;" of "&amp;J2457))</f>
        <v/>
      </c>
      <c r="N2457" s="28" t="str">
        <f aca="false">IF(J2457="","",Settings!$B$4+R2457*7+Q2457)</f>
        <v/>
      </c>
      <c r="O2457" s="28" t="str">
        <f aca="true">IF(J2457="","",N2457+MAX(0,ROUNDUP((TODAY()-N2457)/(J2457*7),0))*J2457*7)</f>
        <v/>
      </c>
      <c r="P2457" s="27" t="str">
        <f aca="false">IF(J2457="","",MOD(K2457-1,J2457*4))</f>
        <v/>
      </c>
      <c r="Q2457" s="27" t="str">
        <f aca="false">IF(J2457="","",MOD(P2457,4))</f>
        <v/>
      </c>
      <c r="R2457" s="27" t="str">
        <f aca="false">IF(J2457="","",INT(P2457/4))</f>
        <v/>
      </c>
      <c r="S2457" s="27" t="str">
        <f aca="false">IF(J2457="","",IF(AND('Daily Count Sheet'!$H$3=Q2457,MOD('Daily Count Sheet'!$I$3,J2457)=R2457),1,""))</f>
        <v/>
      </c>
      <c r="T2457" s="27" t="str">
        <f aca="false">IF(S2457=1,COUNTIF($S$2:S2457,1),"")</f>
        <v/>
      </c>
    </row>
    <row r="2458" customFormat="false" ht="15" hidden="false" customHeight="false" outlineLevel="0" collapsed="false">
      <c r="H2458" s="26"/>
      <c r="I2458" s="27" t="str">
        <f aca="false">IF(A2458="","",IF(H2458&lt;&gt;"",UPPER(TRIM(H2458)),IFERROR(CHOOSE(VALUE(E2458)+1,"A","B","C","D"),IF(OR(LEFT(UPPER(TRIM(E2458)),1)="F",UPPER(TRIM(E2458))="A"),"A",IF(OR(LEFT(UPPER(TRIM(E2458)),1)="M",UPPER(TRIM(E2458))="B"),"B",IF(OR(LEFT(UPPER(TRIM(E2458)),2)="SL",UPPER(TRIM(E2458))="C"),"C",IF(OR(LEFT(UPPER(TRIM(E2458)),1)="D",UPPER(TRIM(E2458))="D"),"D","")))))))</f>
        <v/>
      </c>
      <c r="J2458" s="27" t="str">
        <f aca="false">IF(I2458="","",IF(AND(I2458="D",Settings!$B$6&lt;&gt;"Yes"),"",IFERROR(INDEX(Settings!$C$9:$C$12,MATCH(I2458,Settings!$A$9:$A$12,0)),"")))</f>
        <v/>
      </c>
      <c r="K2458" s="27" t="str">
        <f aca="false">IF(J2458="","",COUNTIF($I$2:I2458,I2458))</f>
        <v/>
      </c>
      <c r="L2458" s="27" t="str">
        <f aca="false">IF(J2458="","",CHOOSE(Q2458+1,"Tue","Wed","Thu","Fri"))</f>
        <v/>
      </c>
      <c r="M2458" s="27" t="str">
        <f aca="false">IF(J2458="","",IF(J2458=1,"Every week",R2458+1&amp;" of "&amp;J2458))</f>
        <v/>
      </c>
      <c r="N2458" s="28" t="str">
        <f aca="false">IF(J2458="","",Settings!$B$4+R2458*7+Q2458)</f>
        <v/>
      </c>
      <c r="O2458" s="28" t="str">
        <f aca="true">IF(J2458="","",N2458+MAX(0,ROUNDUP((TODAY()-N2458)/(J2458*7),0))*J2458*7)</f>
        <v/>
      </c>
      <c r="P2458" s="27" t="str">
        <f aca="false">IF(J2458="","",MOD(K2458-1,J2458*4))</f>
        <v/>
      </c>
      <c r="Q2458" s="27" t="str">
        <f aca="false">IF(J2458="","",MOD(P2458,4))</f>
        <v/>
      </c>
      <c r="R2458" s="27" t="str">
        <f aca="false">IF(J2458="","",INT(P2458/4))</f>
        <v/>
      </c>
      <c r="S2458" s="27" t="str">
        <f aca="false">IF(J2458="","",IF(AND('Daily Count Sheet'!$H$3=Q2458,MOD('Daily Count Sheet'!$I$3,J2458)=R2458),1,""))</f>
        <v/>
      </c>
      <c r="T2458" s="27" t="str">
        <f aca="false">IF(S2458=1,COUNTIF($S$2:S2458,1),"")</f>
        <v/>
      </c>
    </row>
    <row r="2459" customFormat="false" ht="15" hidden="false" customHeight="false" outlineLevel="0" collapsed="false">
      <c r="H2459" s="26"/>
      <c r="I2459" s="27" t="str">
        <f aca="false">IF(A2459="","",IF(H2459&lt;&gt;"",UPPER(TRIM(H2459)),IFERROR(CHOOSE(VALUE(E2459)+1,"A","B","C","D"),IF(OR(LEFT(UPPER(TRIM(E2459)),1)="F",UPPER(TRIM(E2459))="A"),"A",IF(OR(LEFT(UPPER(TRIM(E2459)),1)="M",UPPER(TRIM(E2459))="B"),"B",IF(OR(LEFT(UPPER(TRIM(E2459)),2)="SL",UPPER(TRIM(E2459))="C"),"C",IF(OR(LEFT(UPPER(TRIM(E2459)),1)="D",UPPER(TRIM(E2459))="D"),"D","")))))))</f>
        <v/>
      </c>
      <c r="J2459" s="27" t="str">
        <f aca="false">IF(I2459="","",IF(AND(I2459="D",Settings!$B$6&lt;&gt;"Yes"),"",IFERROR(INDEX(Settings!$C$9:$C$12,MATCH(I2459,Settings!$A$9:$A$12,0)),"")))</f>
        <v/>
      </c>
      <c r="K2459" s="27" t="str">
        <f aca="false">IF(J2459="","",COUNTIF($I$2:I2459,I2459))</f>
        <v/>
      </c>
      <c r="L2459" s="27" t="str">
        <f aca="false">IF(J2459="","",CHOOSE(Q2459+1,"Tue","Wed","Thu","Fri"))</f>
        <v/>
      </c>
      <c r="M2459" s="27" t="str">
        <f aca="false">IF(J2459="","",IF(J2459=1,"Every week",R2459+1&amp;" of "&amp;J2459))</f>
        <v/>
      </c>
      <c r="N2459" s="28" t="str">
        <f aca="false">IF(J2459="","",Settings!$B$4+R2459*7+Q2459)</f>
        <v/>
      </c>
      <c r="O2459" s="28" t="str">
        <f aca="true">IF(J2459="","",N2459+MAX(0,ROUNDUP((TODAY()-N2459)/(J2459*7),0))*J2459*7)</f>
        <v/>
      </c>
      <c r="P2459" s="27" t="str">
        <f aca="false">IF(J2459="","",MOD(K2459-1,J2459*4))</f>
        <v/>
      </c>
      <c r="Q2459" s="27" t="str">
        <f aca="false">IF(J2459="","",MOD(P2459,4))</f>
        <v/>
      </c>
      <c r="R2459" s="27" t="str">
        <f aca="false">IF(J2459="","",INT(P2459/4))</f>
        <v/>
      </c>
      <c r="S2459" s="27" t="str">
        <f aca="false">IF(J2459="","",IF(AND('Daily Count Sheet'!$H$3=Q2459,MOD('Daily Count Sheet'!$I$3,J2459)=R2459),1,""))</f>
        <v/>
      </c>
      <c r="T2459" s="27" t="str">
        <f aca="false">IF(S2459=1,COUNTIF($S$2:S2459,1),"")</f>
        <v/>
      </c>
    </row>
    <row r="2460" customFormat="false" ht="15" hidden="false" customHeight="false" outlineLevel="0" collapsed="false">
      <c r="H2460" s="26"/>
      <c r="I2460" s="27" t="str">
        <f aca="false">IF(A2460="","",IF(H2460&lt;&gt;"",UPPER(TRIM(H2460)),IFERROR(CHOOSE(VALUE(E2460)+1,"A","B","C","D"),IF(OR(LEFT(UPPER(TRIM(E2460)),1)="F",UPPER(TRIM(E2460))="A"),"A",IF(OR(LEFT(UPPER(TRIM(E2460)),1)="M",UPPER(TRIM(E2460))="B"),"B",IF(OR(LEFT(UPPER(TRIM(E2460)),2)="SL",UPPER(TRIM(E2460))="C"),"C",IF(OR(LEFT(UPPER(TRIM(E2460)),1)="D",UPPER(TRIM(E2460))="D"),"D","")))))))</f>
        <v/>
      </c>
      <c r="J2460" s="27" t="str">
        <f aca="false">IF(I2460="","",IF(AND(I2460="D",Settings!$B$6&lt;&gt;"Yes"),"",IFERROR(INDEX(Settings!$C$9:$C$12,MATCH(I2460,Settings!$A$9:$A$12,0)),"")))</f>
        <v/>
      </c>
      <c r="K2460" s="27" t="str">
        <f aca="false">IF(J2460="","",COUNTIF($I$2:I2460,I2460))</f>
        <v/>
      </c>
      <c r="L2460" s="27" t="str">
        <f aca="false">IF(J2460="","",CHOOSE(Q2460+1,"Tue","Wed","Thu","Fri"))</f>
        <v/>
      </c>
      <c r="M2460" s="27" t="str">
        <f aca="false">IF(J2460="","",IF(J2460=1,"Every week",R2460+1&amp;" of "&amp;J2460))</f>
        <v/>
      </c>
      <c r="N2460" s="28" t="str">
        <f aca="false">IF(J2460="","",Settings!$B$4+R2460*7+Q2460)</f>
        <v/>
      </c>
      <c r="O2460" s="28" t="str">
        <f aca="true">IF(J2460="","",N2460+MAX(0,ROUNDUP((TODAY()-N2460)/(J2460*7),0))*J2460*7)</f>
        <v/>
      </c>
      <c r="P2460" s="27" t="str">
        <f aca="false">IF(J2460="","",MOD(K2460-1,J2460*4))</f>
        <v/>
      </c>
      <c r="Q2460" s="27" t="str">
        <f aca="false">IF(J2460="","",MOD(P2460,4))</f>
        <v/>
      </c>
      <c r="R2460" s="27" t="str">
        <f aca="false">IF(J2460="","",INT(P2460/4))</f>
        <v/>
      </c>
      <c r="S2460" s="27" t="str">
        <f aca="false">IF(J2460="","",IF(AND('Daily Count Sheet'!$H$3=Q2460,MOD('Daily Count Sheet'!$I$3,J2460)=R2460),1,""))</f>
        <v/>
      </c>
      <c r="T2460" s="27" t="str">
        <f aca="false">IF(S2460=1,COUNTIF($S$2:S2460,1),"")</f>
        <v/>
      </c>
    </row>
    <row r="2461" customFormat="false" ht="15" hidden="false" customHeight="false" outlineLevel="0" collapsed="false">
      <c r="H2461" s="26"/>
      <c r="I2461" s="27" t="str">
        <f aca="false">IF(A2461="","",IF(H2461&lt;&gt;"",UPPER(TRIM(H2461)),IFERROR(CHOOSE(VALUE(E2461)+1,"A","B","C","D"),IF(OR(LEFT(UPPER(TRIM(E2461)),1)="F",UPPER(TRIM(E2461))="A"),"A",IF(OR(LEFT(UPPER(TRIM(E2461)),1)="M",UPPER(TRIM(E2461))="B"),"B",IF(OR(LEFT(UPPER(TRIM(E2461)),2)="SL",UPPER(TRIM(E2461))="C"),"C",IF(OR(LEFT(UPPER(TRIM(E2461)),1)="D",UPPER(TRIM(E2461))="D"),"D","")))))))</f>
        <v/>
      </c>
      <c r="J2461" s="27" t="str">
        <f aca="false">IF(I2461="","",IF(AND(I2461="D",Settings!$B$6&lt;&gt;"Yes"),"",IFERROR(INDEX(Settings!$C$9:$C$12,MATCH(I2461,Settings!$A$9:$A$12,0)),"")))</f>
        <v/>
      </c>
      <c r="K2461" s="27" t="str">
        <f aca="false">IF(J2461="","",COUNTIF($I$2:I2461,I2461))</f>
        <v/>
      </c>
      <c r="L2461" s="27" t="str">
        <f aca="false">IF(J2461="","",CHOOSE(Q2461+1,"Tue","Wed","Thu","Fri"))</f>
        <v/>
      </c>
      <c r="M2461" s="27" t="str">
        <f aca="false">IF(J2461="","",IF(J2461=1,"Every week",R2461+1&amp;" of "&amp;J2461))</f>
        <v/>
      </c>
      <c r="N2461" s="28" t="str">
        <f aca="false">IF(J2461="","",Settings!$B$4+R2461*7+Q2461)</f>
        <v/>
      </c>
      <c r="O2461" s="28" t="str">
        <f aca="true">IF(J2461="","",N2461+MAX(0,ROUNDUP((TODAY()-N2461)/(J2461*7),0))*J2461*7)</f>
        <v/>
      </c>
      <c r="P2461" s="27" t="str">
        <f aca="false">IF(J2461="","",MOD(K2461-1,J2461*4))</f>
        <v/>
      </c>
      <c r="Q2461" s="27" t="str">
        <f aca="false">IF(J2461="","",MOD(P2461,4))</f>
        <v/>
      </c>
      <c r="R2461" s="27" t="str">
        <f aca="false">IF(J2461="","",INT(P2461/4))</f>
        <v/>
      </c>
      <c r="S2461" s="27" t="str">
        <f aca="false">IF(J2461="","",IF(AND('Daily Count Sheet'!$H$3=Q2461,MOD('Daily Count Sheet'!$I$3,J2461)=R2461),1,""))</f>
        <v/>
      </c>
      <c r="T2461" s="27" t="str">
        <f aca="false">IF(S2461=1,COUNTIF($S$2:S2461,1),"")</f>
        <v/>
      </c>
    </row>
    <row r="2462" customFormat="false" ht="15" hidden="false" customHeight="false" outlineLevel="0" collapsed="false">
      <c r="H2462" s="26"/>
      <c r="I2462" s="27" t="str">
        <f aca="false">IF(A2462="","",IF(H2462&lt;&gt;"",UPPER(TRIM(H2462)),IFERROR(CHOOSE(VALUE(E2462)+1,"A","B","C","D"),IF(OR(LEFT(UPPER(TRIM(E2462)),1)="F",UPPER(TRIM(E2462))="A"),"A",IF(OR(LEFT(UPPER(TRIM(E2462)),1)="M",UPPER(TRIM(E2462))="B"),"B",IF(OR(LEFT(UPPER(TRIM(E2462)),2)="SL",UPPER(TRIM(E2462))="C"),"C",IF(OR(LEFT(UPPER(TRIM(E2462)),1)="D",UPPER(TRIM(E2462))="D"),"D","")))))))</f>
        <v/>
      </c>
      <c r="J2462" s="27" t="str">
        <f aca="false">IF(I2462="","",IF(AND(I2462="D",Settings!$B$6&lt;&gt;"Yes"),"",IFERROR(INDEX(Settings!$C$9:$C$12,MATCH(I2462,Settings!$A$9:$A$12,0)),"")))</f>
        <v/>
      </c>
      <c r="K2462" s="27" t="str">
        <f aca="false">IF(J2462="","",COUNTIF($I$2:I2462,I2462))</f>
        <v/>
      </c>
      <c r="L2462" s="27" t="str">
        <f aca="false">IF(J2462="","",CHOOSE(Q2462+1,"Tue","Wed","Thu","Fri"))</f>
        <v/>
      </c>
      <c r="M2462" s="27" t="str">
        <f aca="false">IF(J2462="","",IF(J2462=1,"Every week",R2462+1&amp;" of "&amp;J2462))</f>
        <v/>
      </c>
      <c r="N2462" s="28" t="str">
        <f aca="false">IF(J2462="","",Settings!$B$4+R2462*7+Q2462)</f>
        <v/>
      </c>
      <c r="O2462" s="28" t="str">
        <f aca="true">IF(J2462="","",N2462+MAX(0,ROUNDUP((TODAY()-N2462)/(J2462*7),0))*J2462*7)</f>
        <v/>
      </c>
      <c r="P2462" s="27" t="str">
        <f aca="false">IF(J2462="","",MOD(K2462-1,J2462*4))</f>
        <v/>
      </c>
      <c r="Q2462" s="27" t="str">
        <f aca="false">IF(J2462="","",MOD(P2462,4))</f>
        <v/>
      </c>
      <c r="R2462" s="27" t="str">
        <f aca="false">IF(J2462="","",INT(P2462/4))</f>
        <v/>
      </c>
      <c r="S2462" s="27" t="str">
        <f aca="false">IF(J2462="","",IF(AND('Daily Count Sheet'!$H$3=Q2462,MOD('Daily Count Sheet'!$I$3,J2462)=R2462),1,""))</f>
        <v/>
      </c>
      <c r="T2462" s="27" t="str">
        <f aca="false">IF(S2462=1,COUNTIF($S$2:S2462,1),"")</f>
        <v/>
      </c>
    </row>
    <row r="2463" customFormat="false" ht="15" hidden="false" customHeight="false" outlineLevel="0" collapsed="false">
      <c r="H2463" s="26"/>
      <c r="I2463" s="27" t="str">
        <f aca="false">IF(A2463="","",IF(H2463&lt;&gt;"",UPPER(TRIM(H2463)),IFERROR(CHOOSE(VALUE(E2463)+1,"A","B","C","D"),IF(OR(LEFT(UPPER(TRIM(E2463)),1)="F",UPPER(TRIM(E2463))="A"),"A",IF(OR(LEFT(UPPER(TRIM(E2463)),1)="M",UPPER(TRIM(E2463))="B"),"B",IF(OR(LEFT(UPPER(TRIM(E2463)),2)="SL",UPPER(TRIM(E2463))="C"),"C",IF(OR(LEFT(UPPER(TRIM(E2463)),1)="D",UPPER(TRIM(E2463))="D"),"D","")))))))</f>
        <v/>
      </c>
      <c r="J2463" s="27" t="str">
        <f aca="false">IF(I2463="","",IF(AND(I2463="D",Settings!$B$6&lt;&gt;"Yes"),"",IFERROR(INDEX(Settings!$C$9:$C$12,MATCH(I2463,Settings!$A$9:$A$12,0)),"")))</f>
        <v/>
      </c>
      <c r="K2463" s="27" t="str">
        <f aca="false">IF(J2463="","",COUNTIF($I$2:I2463,I2463))</f>
        <v/>
      </c>
      <c r="L2463" s="27" t="str">
        <f aca="false">IF(J2463="","",CHOOSE(Q2463+1,"Tue","Wed","Thu","Fri"))</f>
        <v/>
      </c>
      <c r="M2463" s="27" t="str">
        <f aca="false">IF(J2463="","",IF(J2463=1,"Every week",R2463+1&amp;" of "&amp;J2463))</f>
        <v/>
      </c>
      <c r="N2463" s="28" t="str">
        <f aca="false">IF(J2463="","",Settings!$B$4+R2463*7+Q2463)</f>
        <v/>
      </c>
      <c r="O2463" s="28" t="str">
        <f aca="true">IF(J2463="","",N2463+MAX(0,ROUNDUP((TODAY()-N2463)/(J2463*7),0))*J2463*7)</f>
        <v/>
      </c>
      <c r="P2463" s="27" t="str">
        <f aca="false">IF(J2463="","",MOD(K2463-1,J2463*4))</f>
        <v/>
      </c>
      <c r="Q2463" s="27" t="str">
        <f aca="false">IF(J2463="","",MOD(P2463,4))</f>
        <v/>
      </c>
      <c r="R2463" s="27" t="str">
        <f aca="false">IF(J2463="","",INT(P2463/4))</f>
        <v/>
      </c>
      <c r="S2463" s="27" t="str">
        <f aca="false">IF(J2463="","",IF(AND('Daily Count Sheet'!$H$3=Q2463,MOD('Daily Count Sheet'!$I$3,J2463)=R2463),1,""))</f>
        <v/>
      </c>
      <c r="T2463" s="27" t="str">
        <f aca="false">IF(S2463=1,COUNTIF($S$2:S2463,1),"")</f>
        <v/>
      </c>
    </row>
    <row r="2464" customFormat="false" ht="15" hidden="false" customHeight="false" outlineLevel="0" collapsed="false">
      <c r="H2464" s="26"/>
      <c r="I2464" s="27" t="str">
        <f aca="false">IF(A2464="","",IF(H2464&lt;&gt;"",UPPER(TRIM(H2464)),IFERROR(CHOOSE(VALUE(E2464)+1,"A","B","C","D"),IF(OR(LEFT(UPPER(TRIM(E2464)),1)="F",UPPER(TRIM(E2464))="A"),"A",IF(OR(LEFT(UPPER(TRIM(E2464)),1)="M",UPPER(TRIM(E2464))="B"),"B",IF(OR(LEFT(UPPER(TRIM(E2464)),2)="SL",UPPER(TRIM(E2464))="C"),"C",IF(OR(LEFT(UPPER(TRIM(E2464)),1)="D",UPPER(TRIM(E2464))="D"),"D","")))))))</f>
        <v/>
      </c>
      <c r="J2464" s="27" t="str">
        <f aca="false">IF(I2464="","",IF(AND(I2464="D",Settings!$B$6&lt;&gt;"Yes"),"",IFERROR(INDEX(Settings!$C$9:$C$12,MATCH(I2464,Settings!$A$9:$A$12,0)),"")))</f>
        <v/>
      </c>
      <c r="K2464" s="27" t="str">
        <f aca="false">IF(J2464="","",COUNTIF($I$2:I2464,I2464))</f>
        <v/>
      </c>
      <c r="L2464" s="27" t="str">
        <f aca="false">IF(J2464="","",CHOOSE(Q2464+1,"Tue","Wed","Thu","Fri"))</f>
        <v/>
      </c>
      <c r="M2464" s="27" t="str">
        <f aca="false">IF(J2464="","",IF(J2464=1,"Every week",R2464+1&amp;" of "&amp;J2464))</f>
        <v/>
      </c>
      <c r="N2464" s="28" t="str">
        <f aca="false">IF(J2464="","",Settings!$B$4+R2464*7+Q2464)</f>
        <v/>
      </c>
      <c r="O2464" s="28" t="str">
        <f aca="true">IF(J2464="","",N2464+MAX(0,ROUNDUP((TODAY()-N2464)/(J2464*7),0))*J2464*7)</f>
        <v/>
      </c>
      <c r="P2464" s="27" t="str">
        <f aca="false">IF(J2464="","",MOD(K2464-1,J2464*4))</f>
        <v/>
      </c>
      <c r="Q2464" s="27" t="str">
        <f aca="false">IF(J2464="","",MOD(P2464,4))</f>
        <v/>
      </c>
      <c r="R2464" s="27" t="str">
        <f aca="false">IF(J2464="","",INT(P2464/4))</f>
        <v/>
      </c>
      <c r="S2464" s="27" t="str">
        <f aca="false">IF(J2464="","",IF(AND('Daily Count Sheet'!$H$3=Q2464,MOD('Daily Count Sheet'!$I$3,J2464)=R2464),1,""))</f>
        <v/>
      </c>
      <c r="T2464" s="27" t="str">
        <f aca="false">IF(S2464=1,COUNTIF($S$2:S2464,1),"")</f>
        <v/>
      </c>
    </row>
    <row r="2465" customFormat="false" ht="15" hidden="false" customHeight="false" outlineLevel="0" collapsed="false">
      <c r="H2465" s="26"/>
      <c r="I2465" s="27" t="str">
        <f aca="false">IF(A2465="","",IF(H2465&lt;&gt;"",UPPER(TRIM(H2465)),IFERROR(CHOOSE(VALUE(E2465)+1,"A","B","C","D"),IF(OR(LEFT(UPPER(TRIM(E2465)),1)="F",UPPER(TRIM(E2465))="A"),"A",IF(OR(LEFT(UPPER(TRIM(E2465)),1)="M",UPPER(TRIM(E2465))="B"),"B",IF(OR(LEFT(UPPER(TRIM(E2465)),2)="SL",UPPER(TRIM(E2465))="C"),"C",IF(OR(LEFT(UPPER(TRIM(E2465)),1)="D",UPPER(TRIM(E2465))="D"),"D","")))))))</f>
        <v/>
      </c>
      <c r="J2465" s="27" t="str">
        <f aca="false">IF(I2465="","",IF(AND(I2465="D",Settings!$B$6&lt;&gt;"Yes"),"",IFERROR(INDEX(Settings!$C$9:$C$12,MATCH(I2465,Settings!$A$9:$A$12,0)),"")))</f>
        <v/>
      </c>
      <c r="K2465" s="27" t="str">
        <f aca="false">IF(J2465="","",COUNTIF($I$2:I2465,I2465))</f>
        <v/>
      </c>
      <c r="L2465" s="27" t="str">
        <f aca="false">IF(J2465="","",CHOOSE(Q2465+1,"Tue","Wed","Thu","Fri"))</f>
        <v/>
      </c>
      <c r="M2465" s="27" t="str">
        <f aca="false">IF(J2465="","",IF(J2465=1,"Every week",R2465+1&amp;" of "&amp;J2465))</f>
        <v/>
      </c>
      <c r="N2465" s="28" t="str">
        <f aca="false">IF(J2465="","",Settings!$B$4+R2465*7+Q2465)</f>
        <v/>
      </c>
      <c r="O2465" s="28" t="str">
        <f aca="true">IF(J2465="","",N2465+MAX(0,ROUNDUP((TODAY()-N2465)/(J2465*7),0))*J2465*7)</f>
        <v/>
      </c>
      <c r="P2465" s="27" t="str">
        <f aca="false">IF(J2465="","",MOD(K2465-1,J2465*4))</f>
        <v/>
      </c>
      <c r="Q2465" s="27" t="str">
        <f aca="false">IF(J2465="","",MOD(P2465,4))</f>
        <v/>
      </c>
      <c r="R2465" s="27" t="str">
        <f aca="false">IF(J2465="","",INT(P2465/4))</f>
        <v/>
      </c>
      <c r="S2465" s="27" t="str">
        <f aca="false">IF(J2465="","",IF(AND('Daily Count Sheet'!$H$3=Q2465,MOD('Daily Count Sheet'!$I$3,J2465)=R2465),1,""))</f>
        <v/>
      </c>
      <c r="T2465" s="27" t="str">
        <f aca="false">IF(S2465=1,COUNTIF($S$2:S2465,1),"")</f>
        <v/>
      </c>
    </row>
    <row r="2466" customFormat="false" ht="15" hidden="false" customHeight="false" outlineLevel="0" collapsed="false">
      <c r="H2466" s="26"/>
      <c r="I2466" s="27" t="str">
        <f aca="false">IF(A2466="","",IF(H2466&lt;&gt;"",UPPER(TRIM(H2466)),IFERROR(CHOOSE(VALUE(E2466)+1,"A","B","C","D"),IF(OR(LEFT(UPPER(TRIM(E2466)),1)="F",UPPER(TRIM(E2466))="A"),"A",IF(OR(LEFT(UPPER(TRIM(E2466)),1)="M",UPPER(TRIM(E2466))="B"),"B",IF(OR(LEFT(UPPER(TRIM(E2466)),2)="SL",UPPER(TRIM(E2466))="C"),"C",IF(OR(LEFT(UPPER(TRIM(E2466)),1)="D",UPPER(TRIM(E2466))="D"),"D","")))))))</f>
        <v/>
      </c>
      <c r="J2466" s="27" t="str">
        <f aca="false">IF(I2466="","",IF(AND(I2466="D",Settings!$B$6&lt;&gt;"Yes"),"",IFERROR(INDEX(Settings!$C$9:$C$12,MATCH(I2466,Settings!$A$9:$A$12,0)),"")))</f>
        <v/>
      </c>
      <c r="K2466" s="27" t="str">
        <f aca="false">IF(J2466="","",COUNTIF($I$2:I2466,I2466))</f>
        <v/>
      </c>
      <c r="L2466" s="27" t="str">
        <f aca="false">IF(J2466="","",CHOOSE(Q2466+1,"Tue","Wed","Thu","Fri"))</f>
        <v/>
      </c>
      <c r="M2466" s="27" t="str">
        <f aca="false">IF(J2466="","",IF(J2466=1,"Every week",R2466+1&amp;" of "&amp;J2466))</f>
        <v/>
      </c>
      <c r="N2466" s="28" t="str">
        <f aca="false">IF(J2466="","",Settings!$B$4+R2466*7+Q2466)</f>
        <v/>
      </c>
      <c r="O2466" s="28" t="str">
        <f aca="true">IF(J2466="","",N2466+MAX(0,ROUNDUP((TODAY()-N2466)/(J2466*7),0))*J2466*7)</f>
        <v/>
      </c>
      <c r="P2466" s="27" t="str">
        <f aca="false">IF(J2466="","",MOD(K2466-1,J2466*4))</f>
        <v/>
      </c>
      <c r="Q2466" s="27" t="str">
        <f aca="false">IF(J2466="","",MOD(P2466,4))</f>
        <v/>
      </c>
      <c r="R2466" s="27" t="str">
        <f aca="false">IF(J2466="","",INT(P2466/4))</f>
        <v/>
      </c>
      <c r="S2466" s="27" t="str">
        <f aca="false">IF(J2466="","",IF(AND('Daily Count Sheet'!$H$3=Q2466,MOD('Daily Count Sheet'!$I$3,J2466)=R2466),1,""))</f>
        <v/>
      </c>
      <c r="T2466" s="27" t="str">
        <f aca="false">IF(S2466=1,COUNTIF($S$2:S2466,1),"")</f>
        <v/>
      </c>
    </row>
    <row r="2467" customFormat="false" ht="15" hidden="false" customHeight="false" outlineLevel="0" collapsed="false">
      <c r="H2467" s="26"/>
      <c r="I2467" s="27" t="str">
        <f aca="false">IF(A2467="","",IF(H2467&lt;&gt;"",UPPER(TRIM(H2467)),IFERROR(CHOOSE(VALUE(E2467)+1,"A","B","C","D"),IF(OR(LEFT(UPPER(TRIM(E2467)),1)="F",UPPER(TRIM(E2467))="A"),"A",IF(OR(LEFT(UPPER(TRIM(E2467)),1)="M",UPPER(TRIM(E2467))="B"),"B",IF(OR(LEFT(UPPER(TRIM(E2467)),2)="SL",UPPER(TRIM(E2467))="C"),"C",IF(OR(LEFT(UPPER(TRIM(E2467)),1)="D",UPPER(TRIM(E2467))="D"),"D","")))))))</f>
        <v/>
      </c>
      <c r="J2467" s="27" t="str">
        <f aca="false">IF(I2467="","",IF(AND(I2467="D",Settings!$B$6&lt;&gt;"Yes"),"",IFERROR(INDEX(Settings!$C$9:$C$12,MATCH(I2467,Settings!$A$9:$A$12,0)),"")))</f>
        <v/>
      </c>
      <c r="K2467" s="27" t="str">
        <f aca="false">IF(J2467="","",COUNTIF($I$2:I2467,I2467))</f>
        <v/>
      </c>
      <c r="L2467" s="27" t="str">
        <f aca="false">IF(J2467="","",CHOOSE(Q2467+1,"Tue","Wed","Thu","Fri"))</f>
        <v/>
      </c>
      <c r="M2467" s="27" t="str">
        <f aca="false">IF(J2467="","",IF(J2467=1,"Every week",R2467+1&amp;" of "&amp;J2467))</f>
        <v/>
      </c>
      <c r="N2467" s="28" t="str">
        <f aca="false">IF(J2467="","",Settings!$B$4+R2467*7+Q2467)</f>
        <v/>
      </c>
      <c r="O2467" s="28" t="str">
        <f aca="true">IF(J2467="","",N2467+MAX(0,ROUNDUP((TODAY()-N2467)/(J2467*7),0))*J2467*7)</f>
        <v/>
      </c>
      <c r="P2467" s="27" t="str">
        <f aca="false">IF(J2467="","",MOD(K2467-1,J2467*4))</f>
        <v/>
      </c>
      <c r="Q2467" s="27" t="str">
        <f aca="false">IF(J2467="","",MOD(P2467,4))</f>
        <v/>
      </c>
      <c r="R2467" s="27" t="str">
        <f aca="false">IF(J2467="","",INT(P2467/4))</f>
        <v/>
      </c>
      <c r="S2467" s="27" t="str">
        <f aca="false">IF(J2467="","",IF(AND('Daily Count Sheet'!$H$3=Q2467,MOD('Daily Count Sheet'!$I$3,J2467)=R2467),1,""))</f>
        <v/>
      </c>
      <c r="T2467" s="27" t="str">
        <f aca="false">IF(S2467=1,COUNTIF($S$2:S2467,1),"")</f>
        <v/>
      </c>
    </row>
    <row r="2468" customFormat="false" ht="15" hidden="false" customHeight="false" outlineLevel="0" collapsed="false">
      <c r="H2468" s="26"/>
      <c r="I2468" s="27" t="str">
        <f aca="false">IF(A2468="","",IF(H2468&lt;&gt;"",UPPER(TRIM(H2468)),IFERROR(CHOOSE(VALUE(E2468)+1,"A","B","C","D"),IF(OR(LEFT(UPPER(TRIM(E2468)),1)="F",UPPER(TRIM(E2468))="A"),"A",IF(OR(LEFT(UPPER(TRIM(E2468)),1)="M",UPPER(TRIM(E2468))="B"),"B",IF(OR(LEFT(UPPER(TRIM(E2468)),2)="SL",UPPER(TRIM(E2468))="C"),"C",IF(OR(LEFT(UPPER(TRIM(E2468)),1)="D",UPPER(TRIM(E2468))="D"),"D","")))))))</f>
        <v/>
      </c>
      <c r="J2468" s="27" t="str">
        <f aca="false">IF(I2468="","",IF(AND(I2468="D",Settings!$B$6&lt;&gt;"Yes"),"",IFERROR(INDEX(Settings!$C$9:$C$12,MATCH(I2468,Settings!$A$9:$A$12,0)),"")))</f>
        <v/>
      </c>
      <c r="K2468" s="27" t="str">
        <f aca="false">IF(J2468="","",COUNTIF($I$2:I2468,I2468))</f>
        <v/>
      </c>
      <c r="L2468" s="27" t="str">
        <f aca="false">IF(J2468="","",CHOOSE(Q2468+1,"Tue","Wed","Thu","Fri"))</f>
        <v/>
      </c>
      <c r="M2468" s="27" t="str">
        <f aca="false">IF(J2468="","",IF(J2468=1,"Every week",R2468+1&amp;" of "&amp;J2468))</f>
        <v/>
      </c>
      <c r="N2468" s="28" t="str">
        <f aca="false">IF(J2468="","",Settings!$B$4+R2468*7+Q2468)</f>
        <v/>
      </c>
      <c r="O2468" s="28" t="str">
        <f aca="true">IF(J2468="","",N2468+MAX(0,ROUNDUP((TODAY()-N2468)/(J2468*7),0))*J2468*7)</f>
        <v/>
      </c>
      <c r="P2468" s="27" t="str">
        <f aca="false">IF(J2468="","",MOD(K2468-1,J2468*4))</f>
        <v/>
      </c>
      <c r="Q2468" s="27" t="str">
        <f aca="false">IF(J2468="","",MOD(P2468,4))</f>
        <v/>
      </c>
      <c r="R2468" s="27" t="str">
        <f aca="false">IF(J2468="","",INT(P2468/4))</f>
        <v/>
      </c>
      <c r="S2468" s="27" t="str">
        <f aca="false">IF(J2468="","",IF(AND('Daily Count Sheet'!$H$3=Q2468,MOD('Daily Count Sheet'!$I$3,J2468)=R2468),1,""))</f>
        <v/>
      </c>
      <c r="T2468" s="27" t="str">
        <f aca="false">IF(S2468=1,COUNTIF($S$2:S2468,1),"")</f>
        <v/>
      </c>
    </row>
    <row r="2469" customFormat="false" ht="15" hidden="false" customHeight="false" outlineLevel="0" collapsed="false">
      <c r="H2469" s="26"/>
      <c r="I2469" s="27" t="str">
        <f aca="false">IF(A2469="","",IF(H2469&lt;&gt;"",UPPER(TRIM(H2469)),IFERROR(CHOOSE(VALUE(E2469)+1,"A","B","C","D"),IF(OR(LEFT(UPPER(TRIM(E2469)),1)="F",UPPER(TRIM(E2469))="A"),"A",IF(OR(LEFT(UPPER(TRIM(E2469)),1)="M",UPPER(TRIM(E2469))="B"),"B",IF(OR(LEFT(UPPER(TRIM(E2469)),2)="SL",UPPER(TRIM(E2469))="C"),"C",IF(OR(LEFT(UPPER(TRIM(E2469)),1)="D",UPPER(TRIM(E2469))="D"),"D","")))))))</f>
        <v/>
      </c>
      <c r="J2469" s="27" t="str">
        <f aca="false">IF(I2469="","",IF(AND(I2469="D",Settings!$B$6&lt;&gt;"Yes"),"",IFERROR(INDEX(Settings!$C$9:$C$12,MATCH(I2469,Settings!$A$9:$A$12,0)),"")))</f>
        <v/>
      </c>
      <c r="K2469" s="27" t="str">
        <f aca="false">IF(J2469="","",COUNTIF($I$2:I2469,I2469))</f>
        <v/>
      </c>
      <c r="L2469" s="27" t="str">
        <f aca="false">IF(J2469="","",CHOOSE(Q2469+1,"Tue","Wed","Thu","Fri"))</f>
        <v/>
      </c>
      <c r="M2469" s="27" t="str">
        <f aca="false">IF(J2469="","",IF(J2469=1,"Every week",R2469+1&amp;" of "&amp;J2469))</f>
        <v/>
      </c>
      <c r="N2469" s="28" t="str">
        <f aca="false">IF(J2469="","",Settings!$B$4+R2469*7+Q2469)</f>
        <v/>
      </c>
      <c r="O2469" s="28" t="str">
        <f aca="true">IF(J2469="","",N2469+MAX(0,ROUNDUP((TODAY()-N2469)/(J2469*7),0))*J2469*7)</f>
        <v/>
      </c>
      <c r="P2469" s="27" t="str">
        <f aca="false">IF(J2469="","",MOD(K2469-1,J2469*4))</f>
        <v/>
      </c>
      <c r="Q2469" s="27" t="str">
        <f aca="false">IF(J2469="","",MOD(P2469,4))</f>
        <v/>
      </c>
      <c r="R2469" s="27" t="str">
        <f aca="false">IF(J2469="","",INT(P2469/4))</f>
        <v/>
      </c>
      <c r="S2469" s="27" t="str">
        <f aca="false">IF(J2469="","",IF(AND('Daily Count Sheet'!$H$3=Q2469,MOD('Daily Count Sheet'!$I$3,J2469)=R2469),1,""))</f>
        <v/>
      </c>
      <c r="T2469" s="27" t="str">
        <f aca="false">IF(S2469=1,COUNTIF($S$2:S2469,1),"")</f>
        <v/>
      </c>
    </row>
    <row r="2470" customFormat="false" ht="15" hidden="false" customHeight="false" outlineLevel="0" collapsed="false">
      <c r="H2470" s="26"/>
      <c r="I2470" s="27" t="str">
        <f aca="false">IF(A2470="","",IF(H2470&lt;&gt;"",UPPER(TRIM(H2470)),IFERROR(CHOOSE(VALUE(E2470)+1,"A","B","C","D"),IF(OR(LEFT(UPPER(TRIM(E2470)),1)="F",UPPER(TRIM(E2470))="A"),"A",IF(OR(LEFT(UPPER(TRIM(E2470)),1)="M",UPPER(TRIM(E2470))="B"),"B",IF(OR(LEFT(UPPER(TRIM(E2470)),2)="SL",UPPER(TRIM(E2470))="C"),"C",IF(OR(LEFT(UPPER(TRIM(E2470)),1)="D",UPPER(TRIM(E2470))="D"),"D","")))))))</f>
        <v/>
      </c>
      <c r="J2470" s="27" t="str">
        <f aca="false">IF(I2470="","",IF(AND(I2470="D",Settings!$B$6&lt;&gt;"Yes"),"",IFERROR(INDEX(Settings!$C$9:$C$12,MATCH(I2470,Settings!$A$9:$A$12,0)),"")))</f>
        <v/>
      </c>
      <c r="K2470" s="27" t="str">
        <f aca="false">IF(J2470="","",COUNTIF($I$2:I2470,I2470))</f>
        <v/>
      </c>
      <c r="L2470" s="27" t="str">
        <f aca="false">IF(J2470="","",CHOOSE(Q2470+1,"Tue","Wed","Thu","Fri"))</f>
        <v/>
      </c>
      <c r="M2470" s="27" t="str">
        <f aca="false">IF(J2470="","",IF(J2470=1,"Every week",R2470+1&amp;" of "&amp;J2470))</f>
        <v/>
      </c>
      <c r="N2470" s="28" t="str">
        <f aca="false">IF(J2470="","",Settings!$B$4+R2470*7+Q2470)</f>
        <v/>
      </c>
      <c r="O2470" s="28" t="str">
        <f aca="true">IF(J2470="","",N2470+MAX(0,ROUNDUP((TODAY()-N2470)/(J2470*7),0))*J2470*7)</f>
        <v/>
      </c>
      <c r="P2470" s="27" t="str">
        <f aca="false">IF(J2470="","",MOD(K2470-1,J2470*4))</f>
        <v/>
      </c>
      <c r="Q2470" s="27" t="str">
        <f aca="false">IF(J2470="","",MOD(P2470,4))</f>
        <v/>
      </c>
      <c r="R2470" s="27" t="str">
        <f aca="false">IF(J2470="","",INT(P2470/4))</f>
        <v/>
      </c>
      <c r="S2470" s="27" t="str">
        <f aca="false">IF(J2470="","",IF(AND('Daily Count Sheet'!$H$3=Q2470,MOD('Daily Count Sheet'!$I$3,J2470)=R2470),1,""))</f>
        <v/>
      </c>
      <c r="T2470" s="27" t="str">
        <f aca="false">IF(S2470=1,COUNTIF($S$2:S2470,1),"")</f>
        <v/>
      </c>
    </row>
    <row r="2471" customFormat="false" ht="15" hidden="false" customHeight="false" outlineLevel="0" collapsed="false">
      <c r="H2471" s="26"/>
      <c r="I2471" s="27" t="str">
        <f aca="false">IF(A2471="","",IF(H2471&lt;&gt;"",UPPER(TRIM(H2471)),IFERROR(CHOOSE(VALUE(E2471)+1,"A","B","C","D"),IF(OR(LEFT(UPPER(TRIM(E2471)),1)="F",UPPER(TRIM(E2471))="A"),"A",IF(OR(LEFT(UPPER(TRIM(E2471)),1)="M",UPPER(TRIM(E2471))="B"),"B",IF(OR(LEFT(UPPER(TRIM(E2471)),2)="SL",UPPER(TRIM(E2471))="C"),"C",IF(OR(LEFT(UPPER(TRIM(E2471)),1)="D",UPPER(TRIM(E2471))="D"),"D","")))))))</f>
        <v/>
      </c>
      <c r="J2471" s="27" t="str">
        <f aca="false">IF(I2471="","",IF(AND(I2471="D",Settings!$B$6&lt;&gt;"Yes"),"",IFERROR(INDEX(Settings!$C$9:$C$12,MATCH(I2471,Settings!$A$9:$A$12,0)),"")))</f>
        <v/>
      </c>
      <c r="K2471" s="27" t="str">
        <f aca="false">IF(J2471="","",COUNTIF($I$2:I2471,I2471))</f>
        <v/>
      </c>
      <c r="L2471" s="27" t="str">
        <f aca="false">IF(J2471="","",CHOOSE(Q2471+1,"Tue","Wed","Thu","Fri"))</f>
        <v/>
      </c>
      <c r="M2471" s="27" t="str">
        <f aca="false">IF(J2471="","",IF(J2471=1,"Every week",R2471+1&amp;" of "&amp;J2471))</f>
        <v/>
      </c>
      <c r="N2471" s="28" t="str">
        <f aca="false">IF(J2471="","",Settings!$B$4+R2471*7+Q2471)</f>
        <v/>
      </c>
      <c r="O2471" s="28" t="str">
        <f aca="true">IF(J2471="","",N2471+MAX(0,ROUNDUP((TODAY()-N2471)/(J2471*7),0))*J2471*7)</f>
        <v/>
      </c>
      <c r="P2471" s="27" t="str">
        <f aca="false">IF(J2471="","",MOD(K2471-1,J2471*4))</f>
        <v/>
      </c>
      <c r="Q2471" s="27" t="str">
        <f aca="false">IF(J2471="","",MOD(P2471,4))</f>
        <v/>
      </c>
      <c r="R2471" s="27" t="str">
        <f aca="false">IF(J2471="","",INT(P2471/4))</f>
        <v/>
      </c>
      <c r="S2471" s="27" t="str">
        <f aca="false">IF(J2471="","",IF(AND('Daily Count Sheet'!$H$3=Q2471,MOD('Daily Count Sheet'!$I$3,J2471)=R2471),1,""))</f>
        <v/>
      </c>
      <c r="T2471" s="27" t="str">
        <f aca="false">IF(S2471=1,COUNTIF($S$2:S2471,1),"")</f>
        <v/>
      </c>
    </row>
    <row r="2472" customFormat="false" ht="15" hidden="false" customHeight="false" outlineLevel="0" collapsed="false">
      <c r="H2472" s="26"/>
      <c r="I2472" s="27" t="str">
        <f aca="false">IF(A2472="","",IF(H2472&lt;&gt;"",UPPER(TRIM(H2472)),IFERROR(CHOOSE(VALUE(E2472)+1,"A","B","C","D"),IF(OR(LEFT(UPPER(TRIM(E2472)),1)="F",UPPER(TRIM(E2472))="A"),"A",IF(OR(LEFT(UPPER(TRIM(E2472)),1)="M",UPPER(TRIM(E2472))="B"),"B",IF(OR(LEFT(UPPER(TRIM(E2472)),2)="SL",UPPER(TRIM(E2472))="C"),"C",IF(OR(LEFT(UPPER(TRIM(E2472)),1)="D",UPPER(TRIM(E2472))="D"),"D","")))))))</f>
        <v/>
      </c>
      <c r="J2472" s="27" t="str">
        <f aca="false">IF(I2472="","",IF(AND(I2472="D",Settings!$B$6&lt;&gt;"Yes"),"",IFERROR(INDEX(Settings!$C$9:$C$12,MATCH(I2472,Settings!$A$9:$A$12,0)),"")))</f>
        <v/>
      </c>
      <c r="K2472" s="27" t="str">
        <f aca="false">IF(J2472="","",COUNTIF($I$2:I2472,I2472))</f>
        <v/>
      </c>
      <c r="L2472" s="27" t="str">
        <f aca="false">IF(J2472="","",CHOOSE(Q2472+1,"Tue","Wed","Thu","Fri"))</f>
        <v/>
      </c>
      <c r="M2472" s="27" t="str">
        <f aca="false">IF(J2472="","",IF(J2472=1,"Every week",R2472+1&amp;" of "&amp;J2472))</f>
        <v/>
      </c>
      <c r="N2472" s="28" t="str">
        <f aca="false">IF(J2472="","",Settings!$B$4+R2472*7+Q2472)</f>
        <v/>
      </c>
      <c r="O2472" s="28" t="str">
        <f aca="true">IF(J2472="","",N2472+MAX(0,ROUNDUP((TODAY()-N2472)/(J2472*7),0))*J2472*7)</f>
        <v/>
      </c>
      <c r="P2472" s="27" t="str">
        <f aca="false">IF(J2472="","",MOD(K2472-1,J2472*4))</f>
        <v/>
      </c>
      <c r="Q2472" s="27" t="str">
        <f aca="false">IF(J2472="","",MOD(P2472,4))</f>
        <v/>
      </c>
      <c r="R2472" s="27" t="str">
        <f aca="false">IF(J2472="","",INT(P2472/4))</f>
        <v/>
      </c>
      <c r="S2472" s="27" t="str">
        <f aca="false">IF(J2472="","",IF(AND('Daily Count Sheet'!$H$3=Q2472,MOD('Daily Count Sheet'!$I$3,J2472)=R2472),1,""))</f>
        <v/>
      </c>
      <c r="T2472" s="27" t="str">
        <f aca="false">IF(S2472=1,COUNTIF($S$2:S2472,1),"")</f>
        <v/>
      </c>
    </row>
    <row r="2473" customFormat="false" ht="15" hidden="false" customHeight="false" outlineLevel="0" collapsed="false">
      <c r="H2473" s="26"/>
      <c r="I2473" s="27" t="str">
        <f aca="false">IF(A2473="","",IF(H2473&lt;&gt;"",UPPER(TRIM(H2473)),IFERROR(CHOOSE(VALUE(E2473)+1,"A","B","C","D"),IF(OR(LEFT(UPPER(TRIM(E2473)),1)="F",UPPER(TRIM(E2473))="A"),"A",IF(OR(LEFT(UPPER(TRIM(E2473)),1)="M",UPPER(TRIM(E2473))="B"),"B",IF(OR(LEFT(UPPER(TRIM(E2473)),2)="SL",UPPER(TRIM(E2473))="C"),"C",IF(OR(LEFT(UPPER(TRIM(E2473)),1)="D",UPPER(TRIM(E2473))="D"),"D","")))))))</f>
        <v/>
      </c>
      <c r="J2473" s="27" t="str">
        <f aca="false">IF(I2473="","",IF(AND(I2473="D",Settings!$B$6&lt;&gt;"Yes"),"",IFERROR(INDEX(Settings!$C$9:$C$12,MATCH(I2473,Settings!$A$9:$A$12,0)),"")))</f>
        <v/>
      </c>
      <c r="K2473" s="27" t="str">
        <f aca="false">IF(J2473="","",COUNTIF($I$2:I2473,I2473))</f>
        <v/>
      </c>
      <c r="L2473" s="27" t="str">
        <f aca="false">IF(J2473="","",CHOOSE(Q2473+1,"Tue","Wed","Thu","Fri"))</f>
        <v/>
      </c>
      <c r="M2473" s="27" t="str">
        <f aca="false">IF(J2473="","",IF(J2473=1,"Every week",R2473+1&amp;" of "&amp;J2473))</f>
        <v/>
      </c>
      <c r="N2473" s="28" t="str">
        <f aca="false">IF(J2473="","",Settings!$B$4+R2473*7+Q2473)</f>
        <v/>
      </c>
      <c r="O2473" s="28" t="str">
        <f aca="true">IF(J2473="","",N2473+MAX(0,ROUNDUP((TODAY()-N2473)/(J2473*7),0))*J2473*7)</f>
        <v/>
      </c>
      <c r="P2473" s="27" t="str">
        <f aca="false">IF(J2473="","",MOD(K2473-1,J2473*4))</f>
        <v/>
      </c>
      <c r="Q2473" s="27" t="str">
        <f aca="false">IF(J2473="","",MOD(P2473,4))</f>
        <v/>
      </c>
      <c r="R2473" s="27" t="str">
        <f aca="false">IF(J2473="","",INT(P2473/4))</f>
        <v/>
      </c>
      <c r="S2473" s="27" t="str">
        <f aca="false">IF(J2473="","",IF(AND('Daily Count Sheet'!$H$3=Q2473,MOD('Daily Count Sheet'!$I$3,J2473)=R2473),1,""))</f>
        <v/>
      </c>
      <c r="T2473" s="27" t="str">
        <f aca="false">IF(S2473=1,COUNTIF($S$2:S2473,1),"")</f>
        <v/>
      </c>
    </row>
    <row r="2474" customFormat="false" ht="15" hidden="false" customHeight="false" outlineLevel="0" collapsed="false">
      <c r="H2474" s="26"/>
      <c r="I2474" s="27" t="str">
        <f aca="false">IF(A2474="","",IF(H2474&lt;&gt;"",UPPER(TRIM(H2474)),IFERROR(CHOOSE(VALUE(E2474)+1,"A","B","C","D"),IF(OR(LEFT(UPPER(TRIM(E2474)),1)="F",UPPER(TRIM(E2474))="A"),"A",IF(OR(LEFT(UPPER(TRIM(E2474)),1)="M",UPPER(TRIM(E2474))="B"),"B",IF(OR(LEFT(UPPER(TRIM(E2474)),2)="SL",UPPER(TRIM(E2474))="C"),"C",IF(OR(LEFT(UPPER(TRIM(E2474)),1)="D",UPPER(TRIM(E2474))="D"),"D","")))))))</f>
        <v/>
      </c>
      <c r="J2474" s="27" t="str">
        <f aca="false">IF(I2474="","",IF(AND(I2474="D",Settings!$B$6&lt;&gt;"Yes"),"",IFERROR(INDEX(Settings!$C$9:$C$12,MATCH(I2474,Settings!$A$9:$A$12,0)),"")))</f>
        <v/>
      </c>
      <c r="K2474" s="27" t="str">
        <f aca="false">IF(J2474="","",COUNTIF($I$2:I2474,I2474))</f>
        <v/>
      </c>
      <c r="L2474" s="27" t="str">
        <f aca="false">IF(J2474="","",CHOOSE(Q2474+1,"Tue","Wed","Thu","Fri"))</f>
        <v/>
      </c>
      <c r="M2474" s="27" t="str">
        <f aca="false">IF(J2474="","",IF(J2474=1,"Every week",R2474+1&amp;" of "&amp;J2474))</f>
        <v/>
      </c>
      <c r="N2474" s="28" t="str">
        <f aca="false">IF(J2474="","",Settings!$B$4+R2474*7+Q2474)</f>
        <v/>
      </c>
      <c r="O2474" s="28" t="str">
        <f aca="true">IF(J2474="","",N2474+MAX(0,ROUNDUP((TODAY()-N2474)/(J2474*7),0))*J2474*7)</f>
        <v/>
      </c>
      <c r="P2474" s="27" t="str">
        <f aca="false">IF(J2474="","",MOD(K2474-1,J2474*4))</f>
        <v/>
      </c>
      <c r="Q2474" s="27" t="str">
        <f aca="false">IF(J2474="","",MOD(P2474,4))</f>
        <v/>
      </c>
      <c r="R2474" s="27" t="str">
        <f aca="false">IF(J2474="","",INT(P2474/4))</f>
        <v/>
      </c>
      <c r="S2474" s="27" t="str">
        <f aca="false">IF(J2474="","",IF(AND('Daily Count Sheet'!$H$3=Q2474,MOD('Daily Count Sheet'!$I$3,J2474)=R2474),1,""))</f>
        <v/>
      </c>
      <c r="T2474" s="27" t="str">
        <f aca="false">IF(S2474=1,COUNTIF($S$2:S2474,1),"")</f>
        <v/>
      </c>
    </row>
    <row r="2475" customFormat="false" ht="15" hidden="false" customHeight="false" outlineLevel="0" collapsed="false">
      <c r="H2475" s="26"/>
      <c r="I2475" s="27" t="str">
        <f aca="false">IF(A2475="","",IF(H2475&lt;&gt;"",UPPER(TRIM(H2475)),IFERROR(CHOOSE(VALUE(E2475)+1,"A","B","C","D"),IF(OR(LEFT(UPPER(TRIM(E2475)),1)="F",UPPER(TRIM(E2475))="A"),"A",IF(OR(LEFT(UPPER(TRIM(E2475)),1)="M",UPPER(TRIM(E2475))="B"),"B",IF(OR(LEFT(UPPER(TRIM(E2475)),2)="SL",UPPER(TRIM(E2475))="C"),"C",IF(OR(LEFT(UPPER(TRIM(E2475)),1)="D",UPPER(TRIM(E2475))="D"),"D","")))))))</f>
        <v/>
      </c>
      <c r="J2475" s="27" t="str">
        <f aca="false">IF(I2475="","",IF(AND(I2475="D",Settings!$B$6&lt;&gt;"Yes"),"",IFERROR(INDEX(Settings!$C$9:$C$12,MATCH(I2475,Settings!$A$9:$A$12,0)),"")))</f>
        <v/>
      </c>
      <c r="K2475" s="27" t="str">
        <f aca="false">IF(J2475="","",COUNTIF($I$2:I2475,I2475))</f>
        <v/>
      </c>
      <c r="L2475" s="27" t="str">
        <f aca="false">IF(J2475="","",CHOOSE(Q2475+1,"Tue","Wed","Thu","Fri"))</f>
        <v/>
      </c>
      <c r="M2475" s="27" t="str">
        <f aca="false">IF(J2475="","",IF(J2475=1,"Every week",R2475+1&amp;" of "&amp;J2475))</f>
        <v/>
      </c>
      <c r="N2475" s="28" t="str">
        <f aca="false">IF(J2475="","",Settings!$B$4+R2475*7+Q2475)</f>
        <v/>
      </c>
      <c r="O2475" s="28" t="str">
        <f aca="true">IF(J2475="","",N2475+MAX(0,ROUNDUP((TODAY()-N2475)/(J2475*7),0))*J2475*7)</f>
        <v/>
      </c>
      <c r="P2475" s="27" t="str">
        <f aca="false">IF(J2475="","",MOD(K2475-1,J2475*4))</f>
        <v/>
      </c>
      <c r="Q2475" s="27" t="str">
        <f aca="false">IF(J2475="","",MOD(P2475,4))</f>
        <v/>
      </c>
      <c r="R2475" s="27" t="str">
        <f aca="false">IF(J2475="","",INT(P2475/4))</f>
        <v/>
      </c>
      <c r="S2475" s="27" t="str">
        <f aca="false">IF(J2475="","",IF(AND('Daily Count Sheet'!$H$3=Q2475,MOD('Daily Count Sheet'!$I$3,J2475)=R2475),1,""))</f>
        <v/>
      </c>
      <c r="T2475" s="27" t="str">
        <f aca="false">IF(S2475=1,COUNTIF($S$2:S2475,1),"")</f>
        <v/>
      </c>
    </row>
    <row r="2476" customFormat="false" ht="15" hidden="false" customHeight="false" outlineLevel="0" collapsed="false">
      <c r="H2476" s="26"/>
      <c r="I2476" s="27" t="str">
        <f aca="false">IF(A2476="","",IF(H2476&lt;&gt;"",UPPER(TRIM(H2476)),IFERROR(CHOOSE(VALUE(E2476)+1,"A","B","C","D"),IF(OR(LEFT(UPPER(TRIM(E2476)),1)="F",UPPER(TRIM(E2476))="A"),"A",IF(OR(LEFT(UPPER(TRIM(E2476)),1)="M",UPPER(TRIM(E2476))="B"),"B",IF(OR(LEFT(UPPER(TRIM(E2476)),2)="SL",UPPER(TRIM(E2476))="C"),"C",IF(OR(LEFT(UPPER(TRIM(E2476)),1)="D",UPPER(TRIM(E2476))="D"),"D","")))))))</f>
        <v/>
      </c>
      <c r="J2476" s="27" t="str">
        <f aca="false">IF(I2476="","",IF(AND(I2476="D",Settings!$B$6&lt;&gt;"Yes"),"",IFERROR(INDEX(Settings!$C$9:$C$12,MATCH(I2476,Settings!$A$9:$A$12,0)),"")))</f>
        <v/>
      </c>
      <c r="K2476" s="27" t="str">
        <f aca="false">IF(J2476="","",COUNTIF($I$2:I2476,I2476))</f>
        <v/>
      </c>
      <c r="L2476" s="27" t="str">
        <f aca="false">IF(J2476="","",CHOOSE(Q2476+1,"Tue","Wed","Thu","Fri"))</f>
        <v/>
      </c>
      <c r="M2476" s="27" t="str">
        <f aca="false">IF(J2476="","",IF(J2476=1,"Every week",R2476+1&amp;" of "&amp;J2476))</f>
        <v/>
      </c>
      <c r="N2476" s="28" t="str">
        <f aca="false">IF(J2476="","",Settings!$B$4+R2476*7+Q2476)</f>
        <v/>
      </c>
      <c r="O2476" s="28" t="str">
        <f aca="true">IF(J2476="","",N2476+MAX(0,ROUNDUP((TODAY()-N2476)/(J2476*7),0))*J2476*7)</f>
        <v/>
      </c>
      <c r="P2476" s="27" t="str">
        <f aca="false">IF(J2476="","",MOD(K2476-1,J2476*4))</f>
        <v/>
      </c>
      <c r="Q2476" s="27" t="str">
        <f aca="false">IF(J2476="","",MOD(P2476,4))</f>
        <v/>
      </c>
      <c r="R2476" s="27" t="str">
        <f aca="false">IF(J2476="","",INT(P2476/4))</f>
        <v/>
      </c>
      <c r="S2476" s="27" t="str">
        <f aca="false">IF(J2476="","",IF(AND('Daily Count Sheet'!$H$3=Q2476,MOD('Daily Count Sheet'!$I$3,J2476)=R2476),1,""))</f>
        <v/>
      </c>
      <c r="T2476" s="27" t="str">
        <f aca="false">IF(S2476=1,COUNTIF($S$2:S2476,1),"")</f>
        <v/>
      </c>
    </row>
    <row r="2477" customFormat="false" ht="15" hidden="false" customHeight="false" outlineLevel="0" collapsed="false">
      <c r="H2477" s="26"/>
      <c r="I2477" s="27" t="str">
        <f aca="false">IF(A2477="","",IF(H2477&lt;&gt;"",UPPER(TRIM(H2477)),IFERROR(CHOOSE(VALUE(E2477)+1,"A","B","C","D"),IF(OR(LEFT(UPPER(TRIM(E2477)),1)="F",UPPER(TRIM(E2477))="A"),"A",IF(OR(LEFT(UPPER(TRIM(E2477)),1)="M",UPPER(TRIM(E2477))="B"),"B",IF(OR(LEFT(UPPER(TRIM(E2477)),2)="SL",UPPER(TRIM(E2477))="C"),"C",IF(OR(LEFT(UPPER(TRIM(E2477)),1)="D",UPPER(TRIM(E2477))="D"),"D","")))))))</f>
        <v/>
      </c>
      <c r="J2477" s="27" t="str">
        <f aca="false">IF(I2477="","",IF(AND(I2477="D",Settings!$B$6&lt;&gt;"Yes"),"",IFERROR(INDEX(Settings!$C$9:$C$12,MATCH(I2477,Settings!$A$9:$A$12,0)),"")))</f>
        <v/>
      </c>
      <c r="K2477" s="27" t="str">
        <f aca="false">IF(J2477="","",COUNTIF($I$2:I2477,I2477))</f>
        <v/>
      </c>
      <c r="L2477" s="27" t="str">
        <f aca="false">IF(J2477="","",CHOOSE(Q2477+1,"Tue","Wed","Thu","Fri"))</f>
        <v/>
      </c>
      <c r="M2477" s="27" t="str">
        <f aca="false">IF(J2477="","",IF(J2477=1,"Every week",R2477+1&amp;" of "&amp;J2477))</f>
        <v/>
      </c>
      <c r="N2477" s="28" t="str">
        <f aca="false">IF(J2477="","",Settings!$B$4+R2477*7+Q2477)</f>
        <v/>
      </c>
      <c r="O2477" s="28" t="str">
        <f aca="true">IF(J2477="","",N2477+MAX(0,ROUNDUP((TODAY()-N2477)/(J2477*7),0))*J2477*7)</f>
        <v/>
      </c>
      <c r="P2477" s="27" t="str">
        <f aca="false">IF(J2477="","",MOD(K2477-1,J2477*4))</f>
        <v/>
      </c>
      <c r="Q2477" s="27" t="str">
        <f aca="false">IF(J2477="","",MOD(P2477,4))</f>
        <v/>
      </c>
      <c r="R2477" s="27" t="str">
        <f aca="false">IF(J2477="","",INT(P2477/4))</f>
        <v/>
      </c>
      <c r="S2477" s="27" t="str">
        <f aca="false">IF(J2477="","",IF(AND('Daily Count Sheet'!$H$3=Q2477,MOD('Daily Count Sheet'!$I$3,J2477)=R2477),1,""))</f>
        <v/>
      </c>
      <c r="T2477" s="27" t="str">
        <f aca="false">IF(S2477=1,COUNTIF($S$2:S2477,1),"")</f>
        <v/>
      </c>
    </row>
    <row r="2478" customFormat="false" ht="15" hidden="false" customHeight="false" outlineLevel="0" collapsed="false">
      <c r="H2478" s="26"/>
      <c r="I2478" s="27" t="str">
        <f aca="false">IF(A2478="","",IF(H2478&lt;&gt;"",UPPER(TRIM(H2478)),IFERROR(CHOOSE(VALUE(E2478)+1,"A","B","C","D"),IF(OR(LEFT(UPPER(TRIM(E2478)),1)="F",UPPER(TRIM(E2478))="A"),"A",IF(OR(LEFT(UPPER(TRIM(E2478)),1)="M",UPPER(TRIM(E2478))="B"),"B",IF(OR(LEFT(UPPER(TRIM(E2478)),2)="SL",UPPER(TRIM(E2478))="C"),"C",IF(OR(LEFT(UPPER(TRIM(E2478)),1)="D",UPPER(TRIM(E2478))="D"),"D","")))))))</f>
        <v/>
      </c>
      <c r="J2478" s="27" t="str">
        <f aca="false">IF(I2478="","",IF(AND(I2478="D",Settings!$B$6&lt;&gt;"Yes"),"",IFERROR(INDEX(Settings!$C$9:$C$12,MATCH(I2478,Settings!$A$9:$A$12,0)),"")))</f>
        <v/>
      </c>
      <c r="K2478" s="27" t="str">
        <f aca="false">IF(J2478="","",COUNTIF($I$2:I2478,I2478))</f>
        <v/>
      </c>
      <c r="L2478" s="27" t="str">
        <f aca="false">IF(J2478="","",CHOOSE(Q2478+1,"Tue","Wed","Thu","Fri"))</f>
        <v/>
      </c>
      <c r="M2478" s="27" t="str">
        <f aca="false">IF(J2478="","",IF(J2478=1,"Every week",R2478+1&amp;" of "&amp;J2478))</f>
        <v/>
      </c>
      <c r="N2478" s="28" t="str">
        <f aca="false">IF(J2478="","",Settings!$B$4+R2478*7+Q2478)</f>
        <v/>
      </c>
      <c r="O2478" s="28" t="str">
        <f aca="true">IF(J2478="","",N2478+MAX(0,ROUNDUP((TODAY()-N2478)/(J2478*7),0))*J2478*7)</f>
        <v/>
      </c>
      <c r="P2478" s="27" t="str">
        <f aca="false">IF(J2478="","",MOD(K2478-1,J2478*4))</f>
        <v/>
      </c>
      <c r="Q2478" s="27" t="str">
        <f aca="false">IF(J2478="","",MOD(P2478,4))</f>
        <v/>
      </c>
      <c r="R2478" s="27" t="str">
        <f aca="false">IF(J2478="","",INT(P2478/4))</f>
        <v/>
      </c>
      <c r="S2478" s="27" t="str">
        <f aca="false">IF(J2478="","",IF(AND('Daily Count Sheet'!$H$3=Q2478,MOD('Daily Count Sheet'!$I$3,J2478)=R2478),1,""))</f>
        <v/>
      </c>
      <c r="T2478" s="27" t="str">
        <f aca="false">IF(S2478=1,COUNTIF($S$2:S2478,1),"")</f>
        <v/>
      </c>
    </row>
    <row r="2479" customFormat="false" ht="15" hidden="false" customHeight="false" outlineLevel="0" collapsed="false">
      <c r="H2479" s="26"/>
      <c r="I2479" s="27" t="str">
        <f aca="false">IF(A2479="","",IF(H2479&lt;&gt;"",UPPER(TRIM(H2479)),IFERROR(CHOOSE(VALUE(E2479)+1,"A","B","C","D"),IF(OR(LEFT(UPPER(TRIM(E2479)),1)="F",UPPER(TRIM(E2479))="A"),"A",IF(OR(LEFT(UPPER(TRIM(E2479)),1)="M",UPPER(TRIM(E2479))="B"),"B",IF(OR(LEFT(UPPER(TRIM(E2479)),2)="SL",UPPER(TRIM(E2479))="C"),"C",IF(OR(LEFT(UPPER(TRIM(E2479)),1)="D",UPPER(TRIM(E2479))="D"),"D","")))))))</f>
        <v/>
      </c>
      <c r="J2479" s="27" t="str">
        <f aca="false">IF(I2479="","",IF(AND(I2479="D",Settings!$B$6&lt;&gt;"Yes"),"",IFERROR(INDEX(Settings!$C$9:$C$12,MATCH(I2479,Settings!$A$9:$A$12,0)),"")))</f>
        <v/>
      </c>
      <c r="K2479" s="27" t="str">
        <f aca="false">IF(J2479="","",COUNTIF($I$2:I2479,I2479))</f>
        <v/>
      </c>
      <c r="L2479" s="27" t="str">
        <f aca="false">IF(J2479="","",CHOOSE(Q2479+1,"Tue","Wed","Thu","Fri"))</f>
        <v/>
      </c>
      <c r="M2479" s="27" t="str">
        <f aca="false">IF(J2479="","",IF(J2479=1,"Every week",R2479+1&amp;" of "&amp;J2479))</f>
        <v/>
      </c>
      <c r="N2479" s="28" t="str">
        <f aca="false">IF(J2479="","",Settings!$B$4+R2479*7+Q2479)</f>
        <v/>
      </c>
      <c r="O2479" s="28" t="str">
        <f aca="true">IF(J2479="","",N2479+MAX(0,ROUNDUP((TODAY()-N2479)/(J2479*7),0))*J2479*7)</f>
        <v/>
      </c>
      <c r="P2479" s="27" t="str">
        <f aca="false">IF(J2479="","",MOD(K2479-1,J2479*4))</f>
        <v/>
      </c>
      <c r="Q2479" s="27" t="str">
        <f aca="false">IF(J2479="","",MOD(P2479,4))</f>
        <v/>
      </c>
      <c r="R2479" s="27" t="str">
        <f aca="false">IF(J2479="","",INT(P2479/4))</f>
        <v/>
      </c>
      <c r="S2479" s="27" t="str">
        <f aca="false">IF(J2479="","",IF(AND('Daily Count Sheet'!$H$3=Q2479,MOD('Daily Count Sheet'!$I$3,J2479)=R2479),1,""))</f>
        <v/>
      </c>
      <c r="T2479" s="27" t="str">
        <f aca="false">IF(S2479=1,COUNTIF($S$2:S2479,1),"")</f>
        <v/>
      </c>
    </row>
    <row r="2480" customFormat="false" ht="15" hidden="false" customHeight="false" outlineLevel="0" collapsed="false">
      <c r="H2480" s="26"/>
      <c r="I2480" s="27" t="str">
        <f aca="false">IF(A2480="","",IF(H2480&lt;&gt;"",UPPER(TRIM(H2480)),IFERROR(CHOOSE(VALUE(E2480)+1,"A","B","C","D"),IF(OR(LEFT(UPPER(TRIM(E2480)),1)="F",UPPER(TRIM(E2480))="A"),"A",IF(OR(LEFT(UPPER(TRIM(E2480)),1)="M",UPPER(TRIM(E2480))="B"),"B",IF(OR(LEFT(UPPER(TRIM(E2480)),2)="SL",UPPER(TRIM(E2480))="C"),"C",IF(OR(LEFT(UPPER(TRIM(E2480)),1)="D",UPPER(TRIM(E2480))="D"),"D","")))))))</f>
        <v/>
      </c>
      <c r="J2480" s="27" t="str">
        <f aca="false">IF(I2480="","",IF(AND(I2480="D",Settings!$B$6&lt;&gt;"Yes"),"",IFERROR(INDEX(Settings!$C$9:$C$12,MATCH(I2480,Settings!$A$9:$A$12,0)),"")))</f>
        <v/>
      </c>
      <c r="K2480" s="27" t="str">
        <f aca="false">IF(J2480="","",COUNTIF($I$2:I2480,I2480))</f>
        <v/>
      </c>
      <c r="L2480" s="27" t="str">
        <f aca="false">IF(J2480="","",CHOOSE(Q2480+1,"Tue","Wed","Thu","Fri"))</f>
        <v/>
      </c>
      <c r="M2480" s="27" t="str">
        <f aca="false">IF(J2480="","",IF(J2480=1,"Every week",R2480+1&amp;" of "&amp;J2480))</f>
        <v/>
      </c>
      <c r="N2480" s="28" t="str">
        <f aca="false">IF(J2480="","",Settings!$B$4+R2480*7+Q2480)</f>
        <v/>
      </c>
      <c r="O2480" s="28" t="str">
        <f aca="true">IF(J2480="","",N2480+MAX(0,ROUNDUP((TODAY()-N2480)/(J2480*7),0))*J2480*7)</f>
        <v/>
      </c>
      <c r="P2480" s="27" t="str">
        <f aca="false">IF(J2480="","",MOD(K2480-1,J2480*4))</f>
        <v/>
      </c>
      <c r="Q2480" s="27" t="str">
        <f aca="false">IF(J2480="","",MOD(P2480,4))</f>
        <v/>
      </c>
      <c r="R2480" s="27" t="str">
        <f aca="false">IF(J2480="","",INT(P2480/4))</f>
        <v/>
      </c>
      <c r="S2480" s="27" t="str">
        <f aca="false">IF(J2480="","",IF(AND('Daily Count Sheet'!$H$3=Q2480,MOD('Daily Count Sheet'!$I$3,J2480)=R2480),1,""))</f>
        <v/>
      </c>
      <c r="T2480" s="27" t="str">
        <f aca="false">IF(S2480=1,COUNTIF($S$2:S2480,1),"")</f>
        <v/>
      </c>
    </row>
    <row r="2481" customFormat="false" ht="15" hidden="false" customHeight="false" outlineLevel="0" collapsed="false">
      <c r="H2481" s="26"/>
      <c r="I2481" s="27" t="str">
        <f aca="false">IF(A2481="","",IF(H2481&lt;&gt;"",UPPER(TRIM(H2481)),IFERROR(CHOOSE(VALUE(E2481)+1,"A","B","C","D"),IF(OR(LEFT(UPPER(TRIM(E2481)),1)="F",UPPER(TRIM(E2481))="A"),"A",IF(OR(LEFT(UPPER(TRIM(E2481)),1)="M",UPPER(TRIM(E2481))="B"),"B",IF(OR(LEFT(UPPER(TRIM(E2481)),2)="SL",UPPER(TRIM(E2481))="C"),"C",IF(OR(LEFT(UPPER(TRIM(E2481)),1)="D",UPPER(TRIM(E2481))="D"),"D","")))))))</f>
        <v/>
      </c>
      <c r="J2481" s="27" t="str">
        <f aca="false">IF(I2481="","",IF(AND(I2481="D",Settings!$B$6&lt;&gt;"Yes"),"",IFERROR(INDEX(Settings!$C$9:$C$12,MATCH(I2481,Settings!$A$9:$A$12,0)),"")))</f>
        <v/>
      </c>
      <c r="K2481" s="27" t="str">
        <f aca="false">IF(J2481="","",COUNTIF($I$2:I2481,I2481))</f>
        <v/>
      </c>
      <c r="L2481" s="27" t="str">
        <f aca="false">IF(J2481="","",CHOOSE(Q2481+1,"Tue","Wed","Thu","Fri"))</f>
        <v/>
      </c>
      <c r="M2481" s="27" t="str">
        <f aca="false">IF(J2481="","",IF(J2481=1,"Every week",R2481+1&amp;" of "&amp;J2481))</f>
        <v/>
      </c>
      <c r="N2481" s="28" t="str">
        <f aca="false">IF(J2481="","",Settings!$B$4+R2481*7+Q2481)</f>
        <v/>
      </c>
      <c r="O2481" s="28" t="str">
        <f aca="true">IF(J2481="","",N2481+MAX(0,ROUNDUP((TODAY()-N2481)/(J2481*7),0))*J2481*7)</f>
        <v/>
      </c>
      <c r="P2481" s="27" t="str">
        <f aca="false">IF(J2481="","",MOD(K2481-1,J2481*4))</f>
        <v/>
      </c>
      <c r="Q2481" s="27" t="str">
        <f aca="false">IF(J2481="","",MOD(P2481,4))</f>
        <v/>
      </c>
      <c r="R2481" s="27" t="str">
        <f aca="false">IF(J2481="","",INT(P2481/4))</f>
        <v/>
      </c>
      <c r="S2481" s="27" t="str">
        <f aca="false">IF(J2481="","",IF(AND('Daily Count Sheet'!$H$3=Q2481,MOD('Daily Count Sheet'!$I$3,J2481)=R2481),1,""))</f>
        <v/>
      </c>
      <c r="T2481" s="27" t="str">
        <f aca="false">IF(S2481=1,COUNTIF($S$2:S2481,1),"")</f>
        <v/>
      </c>
    </row>
    <row r="2482" customFormat="false" ht="15" hidden="false" customHeight="false" outlineLevel="0" collapsed="false">
      <c r="H2482" s="26"/>
      <c r="I2482" s="27" t="str">
        <f aca="false">IF(A2482="","",IF(H2482&lt;&gt;"",UPPER(TRIM(H2482)),IFERROR(CHOOSE(VALUE(E2482)+1,"A","B","C","D"),IF(OR(LEFT(UPPER(TRIM(E2482)),1)="F",UPPER(TRIM(E2482))="A"),"A",IF(OR(LEFT(UPPER(TRIM(E2482)),1)="M",UPPER(TRIM(E2482))="B"),"B",IF(OR(LEFT(UPPER(TRIM(E2482)),2)="SL",UPPER(TRIM(E2482))="C"),"C",IF(OR(LEFT(UPPER(TRIM(E2482)),1)="D",UPPER(TRIM(E2482))="D"),"D","")))))))</f>
        <v/>
      </c>
      <c r="J2482" s="27" t="str">
        <f aca="false">IF(I2482="","",IF(AND(I2482="D",Settings!$B$6&lt;&gt;"Yes"),"",IFERROR(INDEX(Settings!$C$9:$C$12,MATCH(I2482,Settings!$A$9:$A$12,0)),"")))</f>
        <v/>
      </c>
      <c r="K2482" s="27" t="str">
        <f aca="false">IF(J2482="","",COUNTIF($I$2:I2482,I2482))</f>
        <v/>
      </c>
      <c r="L2482" s="27" t="str">
        <f aca="false">IF(J2482="","",CHOOSE(Q2482+1,"Tue","Wed","Thu","Fri"))</f>
        <v/>
      </c>
      <c r="M2482" s="27" t="str">
        <f aca="false">IF(J2482="","",IF(J2482=1,"Every week",R2482+1&amp;" of "&amp;J2482))</f>
        <v/>
      </c>
      <c r="N2482" s="28" t="str">
        <f aca="false">IF(J2482="","",Settings!$B$4+R2482*7+Q2482)</f>
        <v/>
      </c>
      <c r="O2482" s="28" t="str">
        <f aca="true">IF(J2482="","",N2482+MAX(0,ROUNDUP((TODAY()-N2482)/(J2482*7),0))*J2482*7)</f>
        <v/>
      </c>
      <c r="P2482" s="27" t="str">
        <f aca="false">IF(J2482="","",MOD(K2482-1,J2482*4))</f>
        <v/>
      </c>
      <c r="Q2482" s="27" t="str">
        <f aca="false">IF(J2482="","",MOD(P2482,4))</f>
        <v/>
      </c>
      <c r="R2482" s="27" t="str">
        <f aca="false">IF(J2482="","",INT(P2482/4))</f>
        <v/>
      </c>
      <c r="S2482" s="27" t="str">
        <f aca="false">IF(J2482="","",IF(AND('Daily Count Sheet'!$H$3=Q2482,MOD('Daily Count Sheet'!$I$3,J2482)=R2482),1,""))</f>
        <v/>
      </c>
      <c r="T2482" s="27" t="str">
        <f aca="false">IF(S2482=1,COUNTIF($S$2:S2482,1),"")</f>
        <v/>
      </c>
    </row>
    <row r="2483" customFormat="false" ht="15" hidden="false" customHeight="false" outlineLevel="0" collapsed="false">
      <c r="H2483" s="26"/>
      <c r="I2483" s="27" t="str">
        <f aca="false">IF(A2483="","",IF(H2483&lt;&gt;"",UPPER(TRIM(H2483)),IFERROR(CHOOSE(VALUE(E2483)+1,"A","B","C","D"),IF(OR(LEFT(UPPER(TRIM(E2483)),1)="F",UPPER(TRIM(E2483))="A"),"A",IF(OR(LEFT(UPPER(TRIM(E2483)),1)="M",UPPER(TRIM(E2483))="B"),"B",IF(OR(LEFT(UPPER(TRIM(E2483)),2)="SL",UPPER(TRIM(E2483))="C"),"C",IF(OR(LEFT(UPPER(TRIM(E2483)),1)="D",UPPER(TRIM(E2483))="D"),"D","")))))))</f>
        <v/>
      </c>
      <c r="J2483" s="27" t="str">
        <f aca="false">IF(I2483="","",IF(AND(I2483="D",Settings!$B$6&lt;&gt;"Yes"),"",IFERROR(INDEX(Settings!$C$9:$C$12,MATCH(I2483,Settings!$A$9:$A$12,0)),"")))</f>
        <v/>
      </c>
      <c r="K2483" s="27" t="str">
        <f aca="false">IF(J2483="","",COUNTIF($I$2:I2483,I2483))</f>
        <v/>
      </c>
      <c r="L2483" s="27" t="str">
        <f aca="false">IF(J2483="","",CHOOSE(Q2483+1,"Tue","Wed","Thu","Fri"))</f>
        <v/>
      </c>
      <c r="M2483" s="27" t="str">
        <f aca="false">IF(J2483="","",IF(J2483=1,"Every week",R2483+1&amp;" of "&amp;J2483))</f>
        <v/>
      </c>
      <c r="N2483" s="28" t="str">
        <f aca="false">IF(J2483="","",Settings!$B$4+R2483*7+Q2483)</f>
        <v/>
      </c>
      <c r="O2483" s="28" t="str">
        <f aca="true">IF(J2483="","",N2483+MAX(0,ROUNDUP((TODAY()-N2483)/(J2483*7),0))*J2483*7)</f>
        <v/>
      </c>
      <c r="P2483" s="27" t="str">
        <f aca="false">IF(J2483="","",MOD(K2483-1,J2483*4))</f>
        <v/>
      </c>
      <c r="Q2483" s="27" t="str">
        <f aca="false">IF(J2483="","",MOD(P2483,4))</f>
        <v/>
      </c>
      <c r="R2483" s="27" t="str">
        <f aca="false">IF(J2483="","",INT(P2483/4))</f>
        <v/>
      </c>
      <c r="S2483" s="27" t="str">
        <f aca="false">IF(J2483="","",IF(AND('Daily Count Sheet'!$H$3=Q2483,MOD('Daily Count Sheet'!$I$3,J2483)=R2483),1,""))</f>
        <v/>
      </c>
      <c r="T2483" s="27" t="str">
        <f aca="false">IF(S2483=1,COUNTIF($S$2:S2483,1),"")</f>
        <v/>
      </c>
    </row>
    <row r="2484" customFormat="false" ht="15" hidden="false" customHeight="false" outlineLevel="0" collapsed="false">
      <c r="H2484" s="26"/>
      <c r="I2484" s="27" t="str">
        <f aca="false">IF(A2484="","",IF(H2484&lt;&gt;"",UPPER(TRIM(H2484)),IFERROR(CHOOSE(VALUE(E2484)+1,"A","B","C","D"),IF(OR(LEFT(UPPER(TRIM(E2484)),1)="F",UPPER(TRIM(E2484))="A"),"A",IF(OR(LEFT(UPPER(TRIM(E2484)),1)="M",UPPER(TRIM(E2484))="B"),"B",IF(OR(LEFT(UPPER(TRIM(E2484)),2)="SL",UPPER(TRIM(E2484))="C"),"C",IF(OR(LEFT(UPPER(TRIM(E2484)),1)="D",UPPER(TRIM(E2484))="D"),"D","")))))))</f>
        <v/>
      </c>
      <c r="J2484" s="27" t="str">
        <f aca="false">IF(I2484="","",IF(AND(I2484="D",Settings!$B$6&lt;&gt;"Yes"),"",IFERROR(INDEX(Settings!$C$9:$C$12,MATCH(I2484,Settings!$A$9:$A$12,0)),"")))</f>
        <v/>
      </c>
      <c r="K2484" s="27" t="str">
        <f aca="false">IF(J2484="","",COUNTIF($I$2:I2484,I2484))</f>
        <v/>
      </c>
      <c r="L2484" s="27" t="str">
        <f aca="false">IF(J2484="","",CHOOSE(Q2484+1,"Tue","Wed","Thu","Fri"))</f>
        <v/>
      </c>
      <c r="M2484" s="27" t="str">
        <f aca="false">IF(J2484="","",IF(J2484=1,"Every week",R2484+1&amp;" of "&amp;J2484))</f>
        <v/>
      </c>
      <c r="N2484" s="28" t="str">
        <f aca="false">IF(J2484="","",Settings!$B$4+R2484*7+Q2484)</f>
        <v/>
      </c>
      <c r="O2484" s="28" t="str">
        <f aca="true">IF(J2484="","",N2484+MAX(0,ROUNDUP((TODAY()-N2484)/(J2484*7),0))*J2484*7)</f>
        <v/>
      </c>
      <c r="P2484" s="27" t="str">
        <f aca="false">IF(J2484="","",MOD(K2484-1,J2484*4))</f>
        <v/>
      </c>
      <c r="Q2484" s="27" t="str">
        <f aca="false">IF(J2484="","",MOD(P2484,4))</f>
        <v/>
      </c>
      <c r="R2484" s="27" t="str">
        <f aca="false">IF(J2484="","",INT(P2484/4))</f>
        <v/>
      </c>
      <c r="S2484" s="27" t="str">
        <f aca="false">IF(J2484="","",IF(AND('Daily Count Sheet'!$H$3=Q2484,MOD('Daily Count Sheet'!$I$3,J2484)=R2484),1,""))</f>
        <v/>
      </c>
      <c r="T2484" s="27" t="str">
        <f aca="false">IF(S2484=1,COUNTIF($S$2:S2484,1),"")</f>
        <v/>
      </c>
    </row>
    <row r="2485" customFormat="false" ht="15" hidden="false" customHeight="false" outlineLevel="0" collapsed="false">
      <c r="H2485" s="26"/>
      <c r="I2485" s="27" t="str">
        <f aca="false">IF(A2485="","",IF(H2485&lt;&gt;"",UPPER(TRIM(H2485)),IFERROR(CHOOSE(VALUE(E2485)+1,"A","B","C","D"),IF(OR(LEFT(UPPER(TRIM(E2485)),1)="F",UPPER(TRIM(E2485))="A"),"A",IF(OR(LEFT(UPPER(TRIM(E2485)),1)="M",UPPER(TRIM(E2485))="B"),"B",IF(OR(LEFT(UPPER(TRIM(E2485)),2)="SL",UPPER(TRIM(E2485))="C"),"C",IF(OR(LEFT(UPPER(TRIM(E2485)),1)="D",UPPER(TRIM(E2485))="D"),"D","")))))))</f>
        <v/>
      </c>
      <c r="J2485" s="27" t="str">
        <f aca="false">IF(I2485="","",IF(AND(I2485="D",Settings!$B$6&lt;&gt;"Yes"),"",IFERROR(INDEX(Settings!$C$9:$C$12,MATCH(I2485,Settings!$A$9:$A$12,0)),"")))</f>
        <v/>
      </c>
      <c r="K2485" s="27" t="str">
        <f aca="false">IF(J2485="","",COUNTIF($I$2:I2485,I2485))</f>
        <v/>
      </c>
      <c r="L2485" s="27" t="str">
        <f aca="false">IF(J2485="","",CHOOSE(Q2485+1,"Tue","Wed","Thu","Fri"))</f>
        <v/>
      </c>
      <c r="M2485" s="27" t="str">
        <f aca="false">IF(J2485="","",IF(J2485=1,"Every week",R2485+1&amp;" of "&amp;J2485))</f>
        <v/>
      </c>
      <c r="N2485" s="28" t="str">
        <f aca="false">IF(J2485="","",Settings!$B$4+R2485*7+Q2485)</f>
        <v/>
      </c>
      <c r="O2485" s="28" t="str">
        <f aca="true">IF(J2485="","",N2485+MAX(0,ROUNDUP((TODAY()-N2485)/(J2485*7),0))*J2485*7)</f>
        <v/>
      </c>
      <c r="P2485" s="27" t="str">
        <f aca="false">IF(J2485="","",MOD(K2485-1,J2485*4))</f>
        <v/>
      </c>
      <c r="Q2485" s="27" t="str">
        <f aca="false">IF(J2485="","",MOD(P2485,4))</f>
        <v/>
      </c>
      <c r="R2485" s="27" t="str">
        <f aca="false">IF(J2485="","",INT(P2485/4))</f>
        <v/>
      </c>
      <c r="S2485" s="27" t="str">
        <f aca="false">IF(J2485="","",IF(AND('Daily Count Sheet'!$H$3=Q2485,MOD('Daily Count Sheet'!$I$3,J2485)=R2485),1,""))</f>
        <v/>
      </c>
      <c r="T2485" s="27" t="str">
        <f aca="false">IF(S2485=1,COUNTIF($S$2:S2485,1),"")</f>
        <v/>
      </c>
    </row>
    <row r="2486" customFormat="false" ht="15" hidden="false" customHeight="false" outlineLevel="0" collapsed="false">
      <c r="H2486" s="26"/>
      <c r="I2486" s="27" t="str">
        <f aca="false">IF(A2486="","",IF(H2486&lt;&gt;"",UPPER(TRIM(H2486)),IFERROR(CHOOSE(VALUE(E2486)+1,"A","B","C","D"),IF(OR(LEFT(UPPER(TRIM(E2486)),1)="F",UPPER(TRIM(E2486))="A"),"A",IF(OR(LEFT(UPPER(TRIM(E2486)),1)="M",UPPER(TRIM(E2486))="B"),"B",IF(OR(LEFT(UPPER(TRIM(E2486)),2)="SL",UPPER(TRIM(E2486))="C"),"C",IF(OR(LEFT(UPPER(TRIM(E2486)),1)="D",UPPER(TRIM(E2486))="D"),"D","")))))))</f>
        <v/>
      </c>
      <c r="J2486" s="27" t="str">
        <f aca="false">IF(I2486="","",IF(AND(I2486="D",Settings!$B$6&lt;&gt;"Yes"),"",IFERROR(INDEX(Settings!$C$9:$C$12,MATCH(I2486,Settings!$A$9:$A$12,0)),"")))</f>
        <v/>
      </c>
      <c r="K2486" s="27" t="str">
        <f aca="false">IF(J2486="","",COUNTIF($I$2:I2486,I2486))</f>
        <v/>
      </c>
      <c r="L2486" s="27" t="str">
        <f aca="false">IF(J2486="","",CHOOSE(Q2486+1,"Tue","Wed","Thu","Fri"))</f>
        <v/>
      </c>
      <c r="M2486" s="27" t="str">
        <f aca="false">IF(J2486="","",IF(J2486=1,"Every week",R2486+1&amp;" of "&amp;J2486))</f>
        <v/>
      </c>
      <c r="N2486" s="28" t="str">
        <f aca="false">IF(J2486="","",Settings!$B$4+R2486*7+Q2486)</f>
        <v/>
      </c>
      <c r="O2486" s="28" t="str">
        <f aca="true">IF(J2486="","",N2486+MAX(0,ROUNDUP((TODAY()-N2486)/(J2486*7),0))*J2486*7)</f>
        <v/>
      </c>
      <c r="P2486" s="27" t="str">
        <f aca="false">IF(J2486="","",MOD(K2486-1,J2486*4))</f>
        <v/>
      </c>
      <c r="Q2486" s="27" t="str">
        <f aca="false">IF(J2486="","",MOD(P2486,4))</f>
        <v/>
      </c>
      <c r="R2486" s="27" t="str">
        <f aca="false">IF(J2486="","",INT(P2486/4))</f>
        <v/>
      </c>
      <c r="S2486" s="27" t="str">
        <f aca="false">IF(J2486="","",IF(AND('Daily Count Sheet'!$H$3=Q2486,MOD('Daily Count Sheet'!$I$3,J2486)=R2486),1,""))</f>
        <v/>
      </c>
      <c r="T2486" s="27" t="str">
        <f aca="false">IF(S2486=1,COUNTIF($S$2:S2486,1),"")</f>
        <v/>
      </c>
    </row>
    <row r="2487" customFormat="false" ht="15" hidden="false" customHeight="false" outlineLevel="0" collapsed="false">
      <c r="H2487" s="26"/>
      <c r="I2487" s="27" t="str">
        <f aca="false">IF(A2487="","",IF(H2487&lt;&gt;"",UPPER(TRIM(H2487)),IFERROR(CHOOSE(VALUE(E2487)+1,"A","B","C","D"),IF(OR(LEFT(UPPER(TRIM(E2487)),1)="F",UPPER(TRIM(E2487))="A"),"A",IF(OR(LEFT(UPPER(TRIM(E2487)),1)="M",UPPER(TRIM(E2487))="B"),"B",IF(OR(LEFT(UPPER(TRIM(E2487)),2)="SL",UPPER(TRIM(E2487))="C"),"C",IF(OR(LEFT(UPPER(TRIM(E2487)),1)="D",UPPER(TRIM(E2487))="D"),"D","")))))))</f>
        <v/>
      </c>
      <c r="J2487" s="27" t="str">
        <f aca="false">IF(I2487="","",IF(AND(I2487="D",Settings!$B$6&lt;&gt;"Yes"),"",IFERROR(INDEX(Settings!$C$9:$C$12,MATCH(I2487,Settings!$A$9:$A$12,0)),"")))</f>
        <v/>
      </c>
      <c r="K2487" s="27" t="str">
        <f aca="false">IF(J2487="","",COUNTIF($I$2:I2487,I2487))</f>
        <v/>
      </c>
      <c r="L2487" s="27" t="str">
        <f aca="false">IF(J2487="","",CHOOSE(Q2487+1,"Tue","Wed","Thu","Fri"))</f>
        <v/>
      </c>
      <c r="M2487" s="27" t="str">
        <f aca="false">IF(J2487="","",IF(J2487=1,"Every week",R2487+1&amp;" of "&amp;J2487))</f>
        <v/>
      </c>
      <c r="N2487" s="28" t="str">
        <f aca="false">IF(J2487="","",Settings!$B$4+R2487*7+Q2487)</f>
        <v/>
      </c>
      <c r="O2487" s="28" t="str">
        <f aca="true">IF(J2487="","",N2487+MAX(0,ROUNDUP((TODAY()-N2487)/(J2487*7),0))*J2487*7)</f>
        <v/>
      </c>
      <c r="P2487" s="27" t="str">
        <f aca="false">IF(J2487="","",MOD(K2487-1,J2487*4))</f>
        <v/>
      </c>
      <c r="Q2487" s="27" t="str">
        <f aca="false">IF(J2487="","",MOD(P2487,4))</f>
        <v/>
      </c>
      <c r="R2487" s="27" t="str">
        <f aca="false">IF(J2487="","",INT(P2487/4))</f>
        <v/>
      </c>
      <c r="S2487" s="27" t="str">
        <f aca="false">IF(J2487="","",IF(AND('Daily Count Sheet'!$H$3=Q2487,MOD('Daily Count Sheet'!$I$3,J2487)=R2487),1,""))</f>
        <v/>
      </c>
      <c r="T2487" s="27" t="str">
        <f aca="false">IF(S2487=1,COUNTIF($S$2:S2487,1),"")</f>
        <v/>
      </c>
    </row>
    <row r="2488" customFormat="false" ht="15" hidden="false" customHeight="false" outlineLevel="0" collapsed="false">
      <c r="H2488" s="26"/>
      <c r="I2488" s="27" t="str">
        <f aca="false">IF(A2488="","",IF(H2488&lt;&gt;"",UPPER(TRIM(H2488)),IFERROR(CHOOSE(VALUE(E2488)+1,"A","B","C","D"),IF(OR(LEFT(UPPER(TRIM(E2488)),1)="F",UPPER(TRIM(E2488))="A"),"A",IF(OR(LEFT(UPPER(TRIM(E2488)),1)="M",UPPER(TRIM(E2488))="B"),"B",IF(OR(LEFT(UPPER(TRIM(E2488)),2)="SL",UPPER(TRIM(E2488))="C"),"C",IF(OR(LEFT(UPPER(TRIM(E2488)),1)="D",UPPER(TRIM(E2488))="D"),"D","")))))))</f>
        <v/>
      </c>
      <c r="J2488" s="27" t="str">
        <f aca="false">IF(I2488="","",IF(AND(I2488="D",Settings!$B$6&lt;&gt;"Yes"),"",IFERROR(INDEX(Settings!$C$9:$C$12,MATCH(I2488,Settings!$A$9:$A$12,0)),"")))</f>
        <v/>
      </c>
      <c r="K2488" s="27" t="str">
        <f aca="false">IF(J2488="","",COUNTIF($I$2:I2488,I2488))</f>
        <v/>
      </c>
      <c r="L2488" s="27" t="str">
        <f aca="false">IF(J2488="","",CHOOSE(Q2488+1,"Tue","Wed","Thu","Fri"))</f>
        <v/>
      </c>
      <c r="M2488" s="27" t="str">
        <f aca="false">IF(J2488="","",IF(J2488=1,"Every week",R2488+1&amp;" of "&amp;J2488))</f>
        <v/>
      </c>
      <c r="N2488" s="28" t="str">
        <f aca="false">IF(J2488="","",Settings!$B$4+R2488*7+Q2488)</f>
        <v/>
      </c>
      <c r="O2488" s="28" t="str">
        <f aca="true">IF(J2488="","",N2488+MAX(0,ROUNDUP((TODAY()-N2488)/(J2488*7),0))*J2488*7)</f>
        <v/>
      </c>
      <c r="P2488" s="27" t="str">
        <f aca="false">IF(J2488="","",MOD(K2488-1,J2488*4))</f>
        <v/>
      </c>
      <c r="Q2488" s="27" t="str">
        <f aca="false">IF(J2488="","",MOD(P2488,4))</f>
        <v/>
      </c>
      <c r="R2488" s="27" t="str">
        <f aca="false">IF(J2488="","",INT(P2488/4))</f>
        <v/>
      </c>
      <c r="S2488" s="27" t="str">
        <f aca="false">IF(J2488="","",IF(AND('Daily Count Sheet'!$H$3=Q2488,MOD('Daily Count Sheet'!$I$3,J2488)=R2488),1,""))</f>
        <v/>
      </c>
      <c r="T2488" s="27" t="str">
        <f aca="false">IF(S2488=1,COUNTIF($S$2:S2488,1),"")</f>
        <v/>
      </c>
    </row>
    <row r="2489" customFormat="false" ht="15" hidden="false" customHeight="false" outlineLevel="0" collapsed="false">
      <c r="H2489" s="26"/>
      <c r="I2489" s="27" t="str">
        <f aca="false">IF(A2489="","",IF(H2489&lt;&gt;"",UPPER(TRIM(H2489)),IFERROR(CHOOSE(VALUE(E2489)+1,"A","B","C","D"),IF(OR(LEFT(UPPER(TRIM(E2489)),1)="F",UPPER(TRIM(E2489))="A"),"A",IF(OR(LEFT(UPPER(TRIM(E2489)),1)="M",UPPER(TRIM(E2489))="B"),"B",IF(OR(LEFT(UPPER(TRIM(E2489)),2)="SL",UPPER(TRIM(E2489))="C"),"C",IF(OR(LEFT(UPPER(TRIM(E2489)),1)="D",UPPER(TRIM(E2489))="D"),"D","")))))))</f>
        <v/>
      </c>
      <c r="J2489" s="27" t="str">
        <f aca="false">IF(I2489="","",IF(AND(I2489="D",Settings!$B$6&lt;&gt;"Yes"),"",IFERROR(INDEX(Settings!$C$9:$C$12,MATCH(I2489,Settings!$A$9:$A$12,0)),"")))</f>
        <v/>
      </c>
      <c r="K2489" s="27" t="str">
        <f aca="false">IF(J2489="","",COUNTIF($I$2:I2489,I2489))</f>
        <v/>
      </c>
      <c r="L2489" s="27" t="str">
        <f aca="false">IF(J2489="","",CHOOSE(Q2489+1,"Tue","Wed","Thu","Fri"))</f>
        <v/>
      </c>
      <c r="M2489" s="27" t="str">
        <f aca="false">IF(J2489="","",IF(J2489=1,"Every week",R2489+1&amp;" of "&amp;J2489))</f>
        <v/>
      </c>
      <c r="N2489" s="28" t="str">
        <f aca="false">IF(J2489="","",Settings!$B$4+R2489*7+Q2489)</f>
        <v/>
      </c>
      <c r="O2489" s="28" t="str">
        <f aca="true">IF(J2489="","",N2489+MAX(0,ROUNDUP((TODAY()-N2489)/(J2489*7),0))*J2489*7)</f>
        <v/>
      </c>
      <c r="P2489" s="27" t="str">
        <f aca="false">IF(J2489="","",MOD(K2489-1,J2489*4))</f>
        <v/>
      </c>
      <c r="Q2489" s="27" t="str">
        <f aca="false">IF(J2489="","",MOD(P2489,4))</f>
        <v/>
      </c>
      <c r="R2489" s="27" t="str">
        <f aca="false">IF(J2489="","",INT(P2489/4))</f>
        <v/>
      </c>
      <c r="S2489" s="27" t="str">
        <f aca="false">IF(J2489="","",IF(AND('Daily Count Sheet'!$H$3=Q2489,MOD('Daily Count Sheet'!$I$3,J2489)=R2489),1,""))</f>
        <v/>
      </c>
      <c r="T2489" s="27" t="str">
        <f aca="false">IF(S2489=1,COUNTIF($S$2:S2489,1),"")</f>
        <v/>
      </c>
    </row>
    <row r="2490" customFormat="false" ht="15" hidden="false" customHeight="false" outlineLevel="0" collapsed="false">
      <c r="H2490" s="26"/>
      <c r="I2490" s="27" t="str">
        <f aca="false">IF(A2490="","",IF(H2490&lt;&gt;"",UPPER(TRIM(H2490)),IFERROR(CHOOSE(VALUE(E2490)+1,"A","B","C","D"),IF(OR(LEFT(UPPER(TRIM(E2490)),1)="F",UPPER(TRIM(E2490))="A"),"A",IF(OR(LEFT(UPPER(TRIM(E2490)),1)="M",UPPER(TRIM(E2490))="B"),"B",IF(OR(LEFT(UPPER(TRIM(E2490)),2)="SL",UPPER(TRIM(E2490))="C"),"C",IF(OR(LEFT(UPPER(TRIM(E2490)),1)="D",UPPER(TRIM(E2490))="D"),"D","")))))))</f>
        <v/>
      </c>
      <c r="J2490" s="27" t="str">
        <f aca="false">IF(I2490="","",IF(AND(I2490="D",Settings!$B$6&lt;&gt;"Yes"),"",IFERROR(INDEX(Settings!$C$9:$C$12,MATCH(I2490,Settings!$A$9:$A$12,0)),"")))</f>
        <v/>
      </c>
      <c r="K2490" s="27" t="str">
        <f aca="false">IF(J2490="","",COUNTIF($I$2:I2490,I2490))</f>
        <v/>
      </c>
      <c r="L2490" s="27" t="str">
        <f aca="false">IF(J2490="","",CHOOSE(Q2490+1,"Tue","Wed","Thu","Fri"))</f>
        <v/>
      </c>
      <c r="M2490" s="27" t="str">
        <f aca="false">IF(J2490="","",IF(J2490=1,"Every week",R2490+1&amp;" of "&amp;J2490))</f>
        <v/>
      </c>
      <c r="N2490" s="28" t="str">
        <f aca="false">IF(J2490="","",Settings!$B$4+R2490*7+Q2490)</f>
        <v/>
      </c>
      <c r="O2490" s="28" t="str">
        <f aca="true">IF(J2490="","",N2490+MAX(0,ROUNDUP((TODAY()-N2490)/(J2490*7),0))*J2490*7)</f>
        <v/>
      </c>
      <c r="P2490" s="27" t="str">
        <f aca="false">IF(J2490="","",MOD(K2490-1,J2490*4))</f>
        <v/>
      </c>
      <c r="Q2490" s="27" t="str">
        <f aca="false">IF(J2490="","",MOD(P2490,4))</f>
        <v/>
      </c>
      <c r="R2490" s="27" t="str">
        <f aca="false">IF(J2490="","",INT(P2490/4))</f>
        <v/>
      </c>
      <c r="S2490" s="27" t="str">
        <f aca="false">IF(J2490="","",IF(AND('Daily Count Sheet'!$H$3=Q2490,MOD('Daily Count Sheet'!$I$3,J2490)=R2490),1,""))</f>
        <v/>
      </c>
      <c r="T2490" s="27" t="str">
        <f aca="false">IF(S2490=1,COUNTIF($S$2:S2490,1),"")</f>
        <v/>
      </c>
    </row>
    <row r="2491" customFormat="false" ht="15" hidden="false" customHeight="false" outlineLevel="0" collapsed="false">
      <c r="H2491" s="26"/>
      <c r="I2491" s="27" t="str">
        <f aca="false">IF(A2491="","",IF(H2491&lt;&gt;"",UPPER(TRIM(H2491)),IFERROR(CHOOSE(VALUE(E2491)+1,"A","B","C","D"),IF(OR(LEFT(UPPER(TRIM(E2491)),1)="F",UPPER(TRIM(E2491))="A"),"A",IF(OR(LEFT(UPPER(TRIM(E2491)),1)="M",UPPER(TRIM(E2491))="B"),"B",IF(OR(LEFT(UPPER(TRIM(E2491)),2)="SL",UPPER(TRIM(E2491))="C"),"C",IF(OR(LEFT(UPPER(TRIM(E2491)),1)="D",UPPER(TRIM(E2491))="D"),"D","")))))))</f>
        <v/>
      </c>
      <c r="J2491" s="27" t="str">
        <f aca="false">IF(I2491="","",IF(AND(I2491="D",Settings!$B$6&lt;&gt;"Yes"),"",IFERROR(INDEX(Settings!$C$9:$C$12,MATCH(I2491,Settings!$A$9:$A$12,0)),"")))</f>
        <v/>
      </c>
      <c r="K2491" s="27" t="str">
        <f aca="false">IF(J2491="","",COUNTIF($I$2:I2491,I2491))</f>
        <v/>
      </c>
      <c r="L2491" s="27" t="str">
        <f aca="false">IF(J2491="","",CHOOSE(Q2491+1,"Tue","Wed","Thu","Fri"))</f>
        <v/>
      </c>
      <c r="M2491" s="27" t="str">
        <f aca="false">IF(J2491="","",IF(J2491=1,"Every week",R2491+1&amp;" of "&amp;J2491))</f>
        <v/>
      </c>
      <c r="N2491" s="28" t="str">
        <f aca="false">IF(J2491="","",Settings!$B$4+R2491*7+Q2491)</f>
        <v/>
      </c>
      <c r="O2491" s="28" t="str">
        <f aca="true">IF(J2491="","",N2491+MAX(0,ROUNDUP((TODAY()-N2491)/(J2491*7),0))*J2491*7)</f>
        <v/>
      </c>
      <c r="P2491" s="27" t="str">
        <f aca="false">IF(J2491="","",MOD(K2491-1,J2491*4))</f>
        <v/>
      </c>
      <c r="Q2491" s="27" t="str">
        <f aca="false">IF(J2491="","",MOD(P2491,4))</f>
        <v/>
      </c>
      <c r="R2491" s="27" t="str">
        <f aca="false">IF(J2491="","",INT(P2491/4))</f>
        <v/>
      </c>
      <c r="S2491" s="27" t="str">
        <f aca="false">IF(J2491="","",IF(AND('Daily Count Sheet'!$H$3=Q2491,MOD('Daily Count Sheet'!$I$3,J2491)=R2491),1,""))</f>
        <v/>
      </c>
      <c r="T2491" s="27" t="str">
        <f aca="false">IF(S2491=1,COUNTIF($S$2:S2491,1),"")</f>
        <v/>
      </c>
    </row>
    <row r="2492" customFormat="false" ht="15" hidden="false" customHeight="false" outlineLevel="0" collapsed="false">
      <c r="H2492" s="26"/>
      <c r="I2492" s="27" t="str">
        <f aca="false">IF(A2492="","",IF(H2492&lt;&gt;"",UPPER(TRIM(H2492)),IFERROR(CHOOSE(VALUE(E2492)+1,"A","B","C","D"),IF(OR(LEFT(UPPER(TRIM(E2492)),1)="F",UPPER(TRIM(E2492))="A"),"A",IF(OR(LEFT(UPPER(TRIM(E2492)),1)="M",UPPER(TRIM(E2492))="B"),"B",IF(OR(LEFT(UPPER(TRIM(E2492)),2)="SL",UPPER(TRIM(E2492))="C"),"C",IF(OR(LEFT(UPPER(TRIM(E2492)),1)="D",UPPER(TRIM(E2492))="D"),"D","")))))))</f>
        <v/>
      </c>
      <c r="J2492" s="27" t="str">
        <f aca="false">IF(I2492="","",IF(AND(I2492="D",Settings!$B$6&lt;&gt;"Yes"),"",IFERROR(INDEX(Settings!$C$9:$C$12,MATCH(I2492,Settings!$A$9:$A$12,0)),"")))</f>
        <v/>
      </c>
      <c r="K2492" s="27" t="str">
        <f aca="false">IF(J2492="","",COUNTIF($I$2:I2492,I2492))</f>
        <v/>
      </c>
      <c r="L2492" s="27" t="str">
        <f aca="false">IF(J2492="","",CHOOSE(Q2492+1,"Tue","Wed","Thu","Fri"))</f>
        <v/>
      </c>
      <c r="M2492" s="27" t="str">
        <f aca="false">IF(J2492="","",IF(J2492=1,"Every week",R2492+1&amp;" of "&amp;J2492))</f>
        <v/>
      </c>
      <c r="N2492" s="28" t="str">
        <f aca="false">IF(J2492="","",Settings!$B$4+R2492*7+Q2492)</f>
        <v/>
      </c>
      <c r="O2492" s="28" t="str">
        <f aca="true">IF(J2492="","",N2492+MAX(0,ROUNDUP((TODAY()-N2492)/(J2492*7),0))*J2492*7)</f>
        <v/>
      </c>
      <c r="P2492" s="27" t="str">
        <f aca="false">IF(J2492="","",MOD(K2492-1,J2492*4))</f>
        <v/>
      </c>
      <c r="Q2492" s="27" t="str">
        <f aca="false">IF(J2492="","",MOD(P2492,4))</f>
        <v/>
      </c>
      <c r="R2492" s="27" t="str">
        <f aca="false">IF(J2492="","",INT(P2492/4))</f>
        <v/>
      </c>
      <c r="S2492" s="27" t="str">
        <f aca="false">IF(J2492="","",IF(AND('Daily Count Sheet'!$H$3=Q2492,MOD('Daily Count Sheet'!$I$3,J2492)=R2492),1,""))</f>
        <v/>
      </c>
      <c r="T2492" s="27" t="str">
        <f aca="false">IF(S2492=1,COUNTIF($S$2:S2492,1),"")</f>
        <v/>
      </c>
    </row>
    <row r="2493" customFormat="false" ht="15" hidden="false" customHeight="false" outlineLevel="0" collapsed="false">
      <c r="H2493" s="26"/>
      <c r="I2493" s="27" t="str">
        <f aca="false">IF(A2493="","",IF(H2493&lt;&gt;"",UPPER(TRIM(H2493)),IFERROR(CHOOSE(VALUE(E2493)+1,"A","B","C","D"),IF(OR(LEFT(UPPER(TRIM(E2493)),1)="F",UPPER(TRIM(E2493))="A"),"A",IF(OR(LEFT(UPPER(TRIM(E2493)),1)="M",UPPER(TRIM(E2493))="B"),"B",IF(OR(LEFT(UPPER(TRIM(E2493)),2)="SL",UPPER(TRIM(E2493))="C"),"C",IF(OR(LEFT(UPPER(TRIM(E2493)),1)="D",UPPER(TRIM(E2493))="D"),"D","")))))))</f>
        <v/>
      </c>
      <c r="J2493" s="27" t="str">
        <f aca="false">IF(I2493="","",IF(AND(I2493="D",Settings!$B$6&lt;&gt;"Yes"),"",IFERROR(INDEX(Settings!$C$9:$C$12,MATCH(I2493,Settings!$A$9:$A$12,0)),"")))</f>
        <v/>
      </c>
      <c r="K2493" s="27" t="str">
        <f aca="false">IF(J2493="","",COUNTIF($I$2:I2493,I2493))</f>
        <v/>
      </c>
      <c r="L2493" s="27" t="str">
        <f aca="false">IF(J2493="","",CHOOSE(Q2493+1,"Tue","Wed","Thu","Fri"))</f>
        <v/>
      </c>
      <c r="M2493" s="27" t="str">
        <f aca="false">IF(J2493="","",IF(J2493=1,"Every week",R2493+1&amp;" of "&amp;J2493))</f>
        <v/>
      </c>
      <c r="N2493" s="28" t="str">
        <f aca="false">IF(J2493="","",Settings!$B$4+R2493*7+Q2493)</f>
        <v/>
      </c>
      <c r="O2493" s="28" t="str">
        <f aca="true">IF(J2493="","",N2493+MAX(0,ROUNDUP((TODAY()-N2493)/(J2493*7),0))*J2493*7)</f>
        <v/>
      </c>
      <c r="P2493" s="27" t="str">
        <f aca="false">IF(J2493="","",MOD(K2493-1,J2493*4))</f>
        <v/>
      </c>
      <c r="Q2493" s="27" t="str">
        <f aca="false">IF(J2493="","",MOD(P2493,4))</f>
        <v/>
      </c>
      <c r="R2493" s="27" t="str">
        <f aca="false">IF(J2493="","",INT(P2493/4))</f>
        <v/>
      </c>
      <c r="S2493" s="27" t="str">
        <f aca="false">IF(J2493="","",IF(AND('Daily Count Sheet'!$H$3=Q2493,MOD('Daily Count Sheet'!$I$3,J2493)=R2493),1,""))</f>
        <v/>
      </c>
      <c r="T2493" s="27" t="str">
        <f aca="false">IF(S2493=1,COUNTIF($S$2:S2493,1),"")</f>
        <v/>
      </c>
    </row>
    <row r="2494" customFormat="false" ht="15" hidden="false" customHeight="false" outlineLevel="0" collapsed="false">
      <c r="H2494" s="26"/>
      <c r="I2494" s="27" t="str">
        <f aca="false">IF(A2494="","",IF(H2494&lt;&gt;"",UPPER(TRIM(H2494)),IFERROR(CHOOSE(VALUE(E2494)+1,"A","B","C","D"),IF(OR(LEFT(UPPER(TRIM(E2494)),1)="F",UPPER(TRIM(E2494))="A"),"A",IF(OR(LEFT(UPPER(TRIM(E2494)),1)="M",UPPER(TRIM(E2494))="B"),"B",IF(OR(LEFT(UPPER(TRIM(E2494)),2)="SL",UPPER(TRIM(E2494))="C"),"C",IF(OR(LEFT(UPPER(TRIM(E2494)),1)="D",UPPER(TRIM(E2494))="D"),"D","")))))))</f>
        <v/>
      </c>
      <c r="J2494" s="27" t="str">
        <f aca="false">IF(I2494="","",IF(AND(I2494="D",Settings!$B$6&lt;&gt;"Yes"),"",IFERROR(INDEX(Settings!$C$9:$C$12,MATCH(I2494,Settings!$A$9:$A$12,0)),"")))</f>
        <v/>
      </c>
      <c r="K2494" s="27" t="str">
        <f aca="false">IF(J2494="","",COUNTIF($I$2:I2494,I2494))</f>
        <v/>
      </c>
      <c r="L2494" s="27" t="str">
        <f aca="false">IF(J2494="","",CHOOSE(Q2494+1,"Tue","Wed","Thu","Fri"))</f>
        <v/>
      </c>
      <c r="M2494" s="27" t="str">
        <f aca="false">IF(J2494="","",IF(J2494=1,"Every week",R2494+1&amp;" of "&amp;J2494))</f>
        <v/>
      </c>
      <c r="N2494" s="28" t="str">
        <f aca="false">IF(J2494="","",Settings!$B$4+R2494*7+Q2494)</f>
        <v/>
      </c>
      <c r="O2494" s="28" t="str">
        <f aca="true">IF(J2494="","",N2494+MAX(0,ROUNDUP((TODAY()-N2494)/(J2494*7),0))*J2494*7)</f>
        <v/>
      </c>
      <c r="P2494" s="27" t="str">
        <f aca="false">IF(J2494="","",MOD(K2494-1,J2494*4))</f>
        <v/>
      </c>
      <c r="Q2494" s="27" t="str">
        <f aca="false">IF(J2494="","",MOD(P2494,4))</f>
        <v/>
      </c>
      <c r="R2494" s="27" t="str">
        <f aca="false">IF(J2494="","",INT(P2494/4))</f>
        <v/>
      </c>
      <c r="S2494" s="27" t="str">
        <f aca="false">IF(J2494="","",IF(AND('Daily Count Sheet'!$H$3=Q2494,MOD('Daily Count Sheet'!$I$3,J2494)=R2494),1,""))</f>
        <v/>
      </c>
      <c r="T2494" s="27" t="str">
        <f aca="false">IF(S2494=1,COUNTIF($S$2:S2494,1),"")</f>
        <v/>
      </c>
    </row>
    <row r="2495" customFormat="false" ht="15" hidden="false" customHeight="false" outlineLevel="0" collapsed="false">
      <c r="H2495" s="26"/>
      <c r="I2495" s="27" t="str">
        <f aca="false">IF(A2495="","",IF(H2495&lt;&gt;"",UPPER(TRIM(H2495)),IFERROR(CHOOSE(VALUE(E2495)+1,"A","B","C","D"),IF(OR(LEFT(UPPER(TRIM(E2495)),1)="F",UPPER(TRIM(E2495))="A"),"A",IF(OR(LEFT(UPPER(TRIM(E2495)),1)="M",UPPER(TRIM(E2495))="B"),"B",IF(OR(LEFT(UPPER(TRIM(E2495)),2)="SL",UPPER(TRIM(E2495))="C"),"C",IF(OR(LEFT(UPPER(TRIM(E2495)),1)="D",UPPER(TRIM(E2495))="D"),"D","")))))))</f>
        <v/>
      </c>
      <c r="J2495" s="27" t="str">
        <f aca="false">IF(I2495="","",IF(AND(I2495="D",Settings!$B$6&lt;&gt;"Yes"),"",IFERROR(INDEX(Settings!$C$9:$C$12,MATCH(I2495,Settings!$A$9:$A$12,0)),"")))</f>
        <v/>
      </c>
      <c r="K2495" s="27" t="str">
        <f aca="false">IF(J2495="","",COUNTIF($I$2:I2495,I2495))</f>
        <v/>
      </c>
      <c r="L2495" s="27" t="str">
        <f aca="false">IF(J2495="","",CHOOSE(Q2495+1,"Tue","Wed","Thu","Fri"))</f>
        <v/>
      </c>
      <c r="M2495" s="27" t="str">
        <f aca="false">IF(J2495="","",IF(J2495=1,"Every week",R2495+1&amp;" of "&amp;J2495))</f>
        <v/>
      </c>
      <c r="N2495" s="28" t="str">
        <f aca="false">IF(J2495="","",Settings!$B$4+R2495*7+Q2495)</f>
        <v/>
      </c>
      <c r="O2495" s="28" t="str">
        <f aca="true">IF(J2495="","",N2495+MAX(0,ROUNDUP((TODAY()-N2495)/(J2495*7),0))*J2495*7)</f>
        <v/>
      </c>
      <c r="P2495" s="27" t="str">
        <f aca="false">IF(J2495="","",MOD(K2495-1,J2495*4))</f>
        <v/>
      </c>
      <c r="Q2495" s="27" t="str">
        <f aca="false">IF(J2495="","",MOD(P2495,4))</f>
        <v/>
      </c>
      <c r="R2495" s="27" t="str">
        <f aca="false">IF(J2495="","",INT(P2495/4))</f>
        <v/>
      </c>
      <c r="S2495" s="27" t="str">
        <f aca="false">IF(J2495="","",IF(AND('Daily Count Sheet'!$H$3=Q2495,MOD('Daily Count Sheet'!$I$3,J2495)=R2495),1,""))</f>
        <v/>
      </c>
      <c r="T2495" s="27" t="str">
        <f aca="false">IF(S2495=1,COUNTIF($S$2:S2495,1),"")</f>
        <v/>
      </c>
    </row>
    <row r="2496" customFormat="false" ht="15" hidden="false" customHeight="false" outlineLevel="0" collapsed="false">
      <c r="H2496" s="26"/>
      <c r="I2496" s="27" t="str">
        <f aca="false">IF(A2496="","",IF(H2496&lt;&gt;"",UPPER(TRIM(H2496)),IFERROR(CHOOSE(VALUE(E2496)+1,"A","B","C","D"),IF(OR(LEFT(UPPER(TRIM(E2496)),1)="F",UPPER(TRIM(E2496))="A"),"A",IF(OR(LEFT(UPPER(TRIM(E2496)),1)="M",UPPER(TRIM(E2496))="B"),"B",IF(OR(LEFT(UPPER(TRIM(E2496)),2)="SL",UPPER(TRIM(E2496))="C"),"C",IF(OR(LEFT(UPPER(TRIM(E2496)),1)="D",UPPER(TRIM(E2496))="D"),"D","")))))))</f>
        <v/>
      </c>
      <c r="J2496" s="27" t="str">
        <f aca="false">IF(I2496="","",IF(AND(I2496="D",Settings!$B$6&lt;&gt;"Yes"),"",IFERROR(INDEX(Settings!$C$9:$C$12,MATCH(I2496,Settings!$A$9:$A$12,0)),"")))</f>
        <v/>
      </c>
      <c r="K2496" s="27" t="str">
        <f aca="false">IF(J2496="","",COUNTIF($I$2:I2496,I2496))</f>
        <v/>
      </c>
      <c r="L2496" s="27" t="str">
        <f aca="false">IF(J2496="","",CHOOSE(Q2496+1,"Tue","Wed","Thu","Fri"))</f>
        <v/>
      </c>
      <c r="M2496" s="27" t="str">
        <f aca="false">IF(J2496="","",IF(J2496=1,"Every week",R2496+1&amp;" of "&amp;J2496))</f>
        <v/>
      </c>
      <c r="N2496" s="28" t="str">
        <f aca="false">IF(J2496="","",Settings!$B$4+R2496*7+Q2496)</f>
        <v/>
      </c>
      <c r="O2496" s="28" t="str">
        <f aca="true">IF(J2496="","",N2496+MAX(0,ROUNDUP((TODAY()-N2496)/(J2496*7),0))*J2496*7)</f>
        <v/>
      </c>
      <c r="P2496" s="27" t="str">
        <f aca="false">IF(J2496="","",MOD(K2496-1,J2496*4))</f>
        <v/>
      </c>
      <c r="Q2496" s="27" t="str">
        <f aca="false">IF(J2496="","",MOD(P2496,4))</f>
        <v/>
      </c>
      <c r="R2496" s="27" t="str">
        <f aca="false">IF(J2496="","",INT(P2496/4))</f>
        <v/>
      </c>
      <c r="S2496" s="27" t="str">
        <f aca="false">IF(J2496="","",IF(AND('Daily Count Sheet'!$H$3=Q2496,MOD('Daily Count Sheet'!$I$3,J2496)=R2496),1,""))</f>
        <v/>
      </c>
      <c r="T2496" s="27" t="str">
        <f aca="false">IF(S2496=1,COUNTIF($S$2:S2496,1),"")</f>
        <v/>
      </c>
    </row>
    <row r="2497" customFormat="false" ht="15" hidden="false" customHeight="false" outlineLevel="0" collapsed="false">
      <c r="H2497" s="26"/>
      <c r="I2497" s="27" t="str">
        <f aca="false">IF(A2497="","",IF(H2497&lt;&gt;"",UPPER(TRIM(H2497)),IFERROR(CHOOSE(VALUE(E2497)+1,"A","B","C","D"),IF(OR(LEFT(UPPER(TRIM(E2497)),1)="F",UPPER(TRIM(E2497))="A"),"A",IF(OR(LEFT(UPPER(TRIM(E2497)),1)="M",UPPER(TRIM(E2497))="B"),"B",IF(OR(LEFT(UPPER(TRIM(E2497)),2)="SL",UPPER(TRIM(E2497))="C"),"C",IF(OR(LEFT(UPPER(TRIM(E2497)),1)="D",UPPER(TRIM(E2497))="D"),"D","")))))))</f>
        <v/>
      </c>
      <c r="J2497" s="27" t="str">
        <f aca="false">IF(I2497="","",IF(AND(I2497="D",Settings!$B$6&lt;&gt;"Yes"),"",IFERROR(INDEX(Settings!$C$9:$C$12,MATCH(I2497,Settings!$A$9:$A$12,0)),"")))</f>
        <v/>
      </c>
      <c r="K2497" s="27" t="str">
        <f aca="false">IF(J2497="","",COUNTIF($I$2:I2497,I2497))</f>
        <v/>
      </c>
      <c r="L2497" s="27" t="str">
        <f aca="false">IF(J2497="","",CHOOSE(Q2497+1,"Tue","Wed","Thu","Fri"))</f>
        <v/>
      </c>
      <c r="M2497" s="27" t="str">
        <f aca="false">IF(J2497="","",IF(J2497=1,"Every week",R2497+1&amp;" of "&amp;J2497))</f>
        <v/>
      </c>
      <c r="N2497" s="28" t="str">
        <f aca="false">IF(J2497="","",Settings!$B$4+R2497*7+Q2497)</f>
        <v/>
      </c>
      <c r="O2497" s="28" t="str">
        <f aca="true">IF(J2497="","",N2497+MAX(0,ROUNDUP((TODAY()-N2497)/(J2497*7),0))*J2497*7)</f>
        <v/>
      </c>
      <c r="P2497" s="27" t="str">
        <f aca="false">IF(J2497="","",MOD(K2497-1,J2497*4))</f>
        <v/>
      </c>
      <c r="Q2497" s="27" t="str">
        <f aca="false">IF(J2497="","",MOD(P2497,4))</f>
        <v/>
      </c>
      <c r="R2497" s="27" t="str">
        <f aca="false">IF(J2497="","",INT(P2497/4))</f>
        <v/>
      </c>
      <c r="S2497" s="27" t="str">
        <f aca="false">IF(J2497="","",IF(AND('Daily Count Sheet'!$H$3=Q2497,MOD('Daily Count Sheet'!$I$3,J2497)=R2497),1,""))</f>
        <v/>
      </c>
      <c r="T2497" s="27" t="str">
        <f aca="false">IF(S2497=1,COUNTIF($S$2:S2497,1),"")</f>
        <v/>
      </c>
    </row>
    <row r="2498" customFormat="false" ht="15" hidden="false" customHeight="false" outlineLevel="0" collapsed="false">
      <c r="H2498" s="26"/>
      <c r="I2498" s="27" t="str">
        <f aca="false">IF(A2498="","",IF(H2498&lt;&gt;"",UPPER(TRIM(H2498)),IFERROR(CHOOSE(VALUE(E2498)+1,"A","B","C","D"),IF(OR(LEFT(UPPER(TRIM(E2498)),1)="F",UPPER(TRIM(E2498))="A"),"A",IF(OR(LEFT(UPPER(TRIM(E2498)),1)="M",UPPER(TRIM(E2498))="B"),"B",IF(OR(LEFT(UPPER(TRIM(E2498)),2)="SL",UPPER(TRIM(E2498))="C"),"C",IF(OR(LEFT(UPPER(TRIM(E2498)),1)="D",UPPER(TRIM(E2498))="D"),"D","")))))))</f>
        <v/>
      </c>
      <c r="J2498" s="27" t="str">
        <f aca="false">IF(I2498="","",IF(AND(I2498="D",Settings!$B$6&lt;&gt;"Yes"),"",IFERROR(INDEX(Settings!$C$9:$C$12,MATCH(I2498,Settings!$A$9:$A$12,0)),"")))</f>
        <v/>
      </c>
      <c r="K2498" s="27" t="str">
        <f aca="false">IF(J2498="","",COUNTIF($I$2:I2498,I2498))</f>
        <v/>
      </c>
      <c r="L2498" s="27" t="str">
        <f aca="false">IF(J2498="","",CHOOSE(Q2498+1,"Tue","Wed","Thu","Fri"))</f>
        <v/>
      </c>
      <c r="M2498" s="27" t="str">
        <f aca="false">IF(J2498="","",IF(J2498=1,"Every week",R2498+1&amp;" of "&amp;J2498))</f>
        <v/>
      </c>
      <c r="N2498" s="28" t="str">
        <f aca="false">IF(J2498="","",Settings!$B$4+R2498*7+Q2498)</f>
        <v/>
      </c>
      <c r="O2498" s="28" t="str">
        <f aca="true">IF(J2498="","",N2498+MAX(0,ROUNDUP((TODAY()-N2498)/(J2498*7),0))*J2498*7)</f>
        <v/>
      </c>
      <c r="P2498" s="27" t="str">
        <f aca="false">IF(J2498="","",MOD(K2498-1,J2498*4))</f>
        <v/>
      </c>
      <c r="Q2498" s="27" t="str">
        <f aca="false">IF(J2498="","",MOD(P2498,4))</f>
        <v/>
      </c>
      <c r="R2498" s="27" t="str">
        <f aca="false">IF(J2498="","",INT(P2498/4))</f>
        <v/>
      </c>
      <c r="S2498" s="27" t="str">
        <f aca="false">IF(J2498="","",IF(AND('Daily Count Sheet'!$H$3=Q2498,MOD('Daily Count Sheet'!$I$3,J2498)=R2498),1,""))</f>
        <v/>
      </c>
      <c r="T2498" s="27" t="str">
        <f aca="false">IF(S2498=1,COUNTIF($S$2:S2498,1),"")</f>
        <v/>
      </c>
    </row>
    <row r="2499" customFormat="false" ht="15" hidden="false" customHeight="false" outlineLevel="0" collapsed="false">
      <c r="H2499" s="26"/>
      <c r="I2499" s="27" t="str">
        <f aca="false">IF(A2499="","",IF(H2499&lt;&gt;"",UPPER(TRIM(H2499)),IFERROR(CHOOSE(VALUE(E2499)+1,"A","B","C","D"),IF(OR(LEFT(UPPER(TRIM(E2499)),1)="F",UPPER(TRIM(E2499))="A"),"A",IF(OR(LEFT(UPPER(TRIM(E2499)),1)="M",UPPER(TRIM(E2499))="B"),"B",IF(OR(LEFT(UPPER(TRIM(E2499)),2)="SL",UPPER(TRIM(E2499))="C"),"C",IF(OR(LEFT(UPPER(TRIM(E2499)),1)="D",UPPER(TRIM(E2499))="D"),"D","")))))))</f>
        <v/>
      </c>
      <c r="J2499" s="27" t="str">
        <f aca="false">IF(I2499="","",IF(AND(I2499="D",Settings!$B$6&lt;&gt;"Yes"),"",IFERROR(INDEX(Settings!$C$9:$C$12,MATCH(I2499,Settings!$A$9:$A$12,0)),"")))</f>
        <v/>
      </c>
      <c r="K2499" s="27" t="str">
        <f aca="false">IF(J2499="","",COUNTIF($I$2:I2499,I2499))</f>
        <v/>
      </c>
      <c r="L2499" s="27" t="str">
        <f aca="false">IF(J2499="","",CHOOSE(Q2499+1,"Tue","Wed","Thu","Fri"))</f>
        <v/>
      </c>
      <c r="M2499" s="27" t="str">
        <f aca="false">IF(J2499="","",IF(J2499=1,"Every week",R2499+1&amp;" of "&amp;J2499))</f>
        <v/>
      </c>
      <c r="N2499" s="28" t="str">
        <f aca="false">IF(J2499="","",Settings!$B$4+R2499*7+Q2499)</f>
        <v/>
      </c>
      <c r="O2499" s="28" t="str">
        <f aca="true">IF(J2499="","",N2499+MAX(0,ROUNDUP((TODAY()-N2499)/(J2499*7),0))*J2499*7)</f>
        <v/>
      </c>
      <c r="P2499" s="27" t="str">
        <f aca="false">IF(J2499="","",MOD(K2499-1,J2499*4))</f>
        <v/>
      </c>
      <c r="Q2499" s="27" t="str">
        <f aca="false">IF(J2499="","",MOD(P2499,4))</f>
        <v/>
      </c>
      <c r="R2499" s="27" t="str">
        <f aca="false">IF(J2499="","",INT(P2499/4))</f>
        <v/>
      </c>
      <c r="S2499" s="27" t="str">
        <f aca="false">IF(J2499="","",IF(AND('Daily Count Sheet'!$H$3=Q2499,MOD('Daily Count Sheet'!$I$3,J2499)=R2499),1,""))</f>
        <v/>
      </c>
      <c r="T2499" s="27" t="str">
        <f aca="false">IF(S2499=1,COUNTIF($S$2:S2499,1),"")</f>
        <v/>
      </c>
    </row>
    <row r="2500" customFormat="false" ht="15" hidden="false" customHeight="false" outlineLevel="0" collapsed="false">
      <c r="H2500" s="26"/>
      <c r="I2500" s="27" t="str">
        <f aca="false">IF(A2500="","",IF(H2500&lt;&gt;"",UPPER(TRIM(H2500)),IFERROR(CHOOSE(VALUE(E2500)+1,"A","B","C","D"),IF(OR(LEFT(UPPER(TRIM(E2500)),1)="F",UPPER(TRIM(E2500))="A"),"A",IF(OR(LEFT(UPPER(TRIM(E2500)),1)="M",UPPER(TRIM(E2500))="B"),"B",IF(OR(LEFT(UPPER(TRIM(E2500)),2)="SL",UPPER(TRIM(E2500))="C"),"C",IF(OR(LEFT(UPPER(TRIM(E2500)),1)="D",UPPER(TRIM(E2500))="D"),"D","")))))))</f>
        <v/>
      </c>
      <c r="J2500" s="27" t="str">
        <f aca="false">IF(I2500="","",IF(AND(I2500="D",Settings!$B$6&lt;&gt;"Yes"),"",IFERROR(INDEX(Settings!$C$9:$C$12,MATCH(I2500,Settings!$A$9:$A$12,0)),"")))</f>
        <v/>
      </c>
      <c r="K2500" s="27" t="str">
        <f aca="false">IF(J2500="","",COUNTIF($I$2:I2500,I2500))</f>
        <v/>
      </c>
      <c r="L2500" s="27" t="str">
        <f aca="false">IF(J2500="","",CHOOSE(Q2500+1,"Tue","Wed","Thu","Fri"))</f>
        <v/>
      </c>
      <c r="M2500" s="27" t="str">
        <f aca="false">IF(J2500="","",IF(J2500=1,"Every week",R2500+1&amp;" of "&amp;J2500))</f>
        <v/>
      </c>
      <c r="N2500" s="28" t="str">
        <f aca="false">IF(J2500="","",Settings!$B$4+R2500*7+Q2500)</f>
        <v/>
      </c>
      <c r="O2500" s="28" t="str">
        <f aca="true">IF(J2500="","",N2500+MAX(0,ROUNDUP((TODAY()-N2500)/(J2500*7),0))*J2500*7)</f>
        <v/>
      </c>
      <c r="P2500" s="27" t="str">
        <f aca="false">IF(J2500="","",MOD(K2500-1,J2500*4))</f>
        <v/>
      </c>
      <c r="Q2500" s="27" t="str">
        <f aca="false">IF(J2500="","",MOD(P2500,4))</f>
        <v/>
      </c>
      <c r="R2500" s="27" t="str">
        <f aca="false">IF(J2500="","",INT(P2500/4))</f>
        <v/>
      </c>
      <c r="S2500" s="27" t="str">
        <f aca="false">IF(J2500="","",IF(AND('Daily Count Sheet'!$H$3=Q2500,MOD('Daily Count Sheet'!$I$3,J2500)=R2500),1,""))</f>
        <v/>
      </c>
      <c r="T2500" s="27" t="str">
        <f aca="false">IF(S2500=1,COUNTIF($S$2:S2500,1),"")</f>
        <v/>
      </c>
    </row>
    <row r="2501" customFormat="false" ht="15" hidden="false" customHeight="false" outlineLevel="0" collapsed="false">
      <c r="H2501" s="26"/>
      <c r="I2501" s="27" t="str">
        <f aca="false">IF(A2501="","",IF(H2501&lt;&gt;"",UPPER(TRIM(H2501)),IFERROR(CHOOSE(VALUE(E2501)+1,"A","B","C","D"),IF(OR(LEFT(UPPER(TRIM(E2501)),1)="F",UPPER(TRIM(E2501))="A"),"A",IF(OR(LEFT(UPPER(TRIM(E2501)),1)="M",UPPER(TRIM(E2501))="B"),"B",IF(OR(LEFT(UPPER(TRIM(E2501)),2)="SL",UPPER(TRIM(E2501))="C"),"C",IF(OR(LEFT(UPPER(TRIM(E2501)),1)="D",UPPER(TRIM(E2501))="D"),"D","")))))))</f>
        <v/>
      </c>
      <c r="J2501" s="27" t="str">
        <f aca="false">IF(I2501="","",IF(AND(I2501="D",Settings!$B$6&lt;&gt;"Yes"),"",IFERROR(INDEX(Settings!$C$9:$C$12,MATCH(I2501,Settings!$A$9:$A$12,0)),"")))</f>
        <v/>
      </c>
      <c r="K2501" s="27" t="str">
        <f aca="false">IF(J2501="","",COUNTIF($I$2:I2501,I2501))</f>
        <v/>
      </c>
      <c r="L2501" s="27" t="str">
        <f aca="false">IF(J2501="","",CHOOSE(Q2501+1,"Tue","Wed","Thu","Fri"))</f>
        <v/>
      </c>
      <c r="M2501" s="27" t="str">
        <f aca="false">IF(J2501="","",IF(J2501=1,"Every week",R2501+1&amp;" of "&amp;J2501))</f>
        <v/>
      </c>
      <c r="N2501" s="28" t="str">
        <f aca="false">IF(J2501="","",Settings!$B$4+R2501*7+Q2501)</f>
        <v/>
      </c>
      <c r="O2501" s="28" t="str">
        <f aca="true">IF(J2501="","",N2501+MAX(0,ROUNDUP((TODAY()-N2501)/(J2501*7),0))*J2501*7)</f>
        <v/>
      </c>
      <c r="P2501" s="27" t="str">
        <f aca="false">IF(J2501="","",MOD(K2501-1,J2501*4))</f>
        <v/>
      </c>
      <c r="Q2501" s="27" t="str">
        <f aca="false">IF(J2501="","",MOD(P2501,4))</f>
        <v/>
      </c>
      <c r="R2501" s="27" t="str">
        <f aca="false">IF(J2501="","",INT(P2501/4))</f>
        <v/>
      </c>
      <c r="S2501" s="27" t="str">
        <f aca="false">IF(J2501="","",IF(AND('Daily Count Sheet'!$H$3=Q2501,MOD('Daily Count Sheet'!$I$3,J2501)=R2501),1,""))</f>
        <v/>
      </c>
      <c r="T2501" s="27" t="str">
        <f aca="false">IF(S2501=1,COUNTIF($S$2:S2501,1),"")</f>
        <v/>
      </c>
    </row>
    <row r="2502" customFormat="false" ht="15" hidden="false" customHeight="false" outlineLevel="0" collapsed="false">
      <c r="H2502" s="26"/>
      <c r="I2502" s="27" t="str">
        <f aca="false">IF(A2502="","",IF(H2502&lt;&gt;"",UPPER(TRIM(H2502)),IFERROR(CHOOSE(VALUE(E2502)+1,"A","B","C","D"),IF(OR(LEFT(UPPER(TRIM(E2502)),1)="F",UPPER(TRIM(E2502))="A"),"A",IF(OR(LEFT(UPPER(TRIM(E2502)),1)="M",UPPER(TRIM(E2502))="B"),"B",IF(OR(LEFT(UPPER(TRIM(E2502)),2)="SL",UPPER(TRIM(E2502))="C"),"C",IF(OR(LEFT(UPPER(TRIM(E2502)),1)="D",UPPER(TRIM(E2502))="D"),"D","")))))))</f>
        <v/>
      </c>
      <c r="J2502" s="27" t="str">
        <f aca="false">IF(I2502="","",IF(AND(I2502="D",Settings!$B$6&lt;&gt;"Yes"),"",IFERROR(INDEX(Settings!$C$9:$C$12,MATCH(I2502,Settings!$A$9:$A$12,0)),"")))</f>
        <v/>
      </c>
      <c r="K2502" s="27" t="str">
        <f aca="false">IF(J2502="","",COUNTIF($I$2:I2502,I2502))</f>
        <v/>
      </c>
      <c r="L2502" s="27" t="str">
        <f aca="false">IF(J2502="","",CHOOSE(Q2502+1,"Tue","Wed","Thu","Fri"))</f>
        <v/>
      </c>
      <c r="M2502" s="27" t="str">
        <f aca="false">IF(J2502="","",IF(J2502=1,"Every week",R2502+1&amp;" of "&amp;J2502))</f>
        <v/>
      </c>
      <c r="N2502" s="28" t="str">
        <f aca="false">IF(J2502="","",Settings!$B$4+R2502*7+Q2502)</f>
        <v/>
      </c>
      <c r="O2502" s="28" t="str">
        <f aca="true">IF(J2502="","",N2502+MAX(0,ROUNDUP((TODAY()-N2502)/(J2502*7),0))*J2502*7)</f>
        <v/>
      </c>
      <c r="P2502" s="27" t="str">
        <f aca="false">IF(J2502="","",MOD(K2502-1,J2502*4))</f>
        <v/>
      </c>
      <c r="Q2502" s="27" t="str">
        <f aca="false">IF(J2502="","",MOD(P2502,4))</f>
        <v/>
      </c>
      <c r="R2502" s="27" t="str">
        <f aca="false">IF(J2502="","",INT(P2502/4))</f>
        <v/>
      </c>
      <c r="S2502" s="27" t="str">
        <f aca="false">IF(J2502="","",IF(AND('Daily Count Sheet'!$H$3=Q2502,MOD('Daily Count Sheet'!$I$3,J2502)=R2502),1,""))</f>
        <v/>
      </c>
      <c r="T2502" s="27" t="str">
        <f aca="false">IF(S2502=1,COUNTIF($S$2:S2502,1),"")</f>
        <v/>
      </c>
    </row>
    <row r="2503" customFormat="false" ht="15" hidden="false" customHeight="false" outlineLevel="0" collapsed="false">
      <c r="H2503" s="26"/>
      <c r="I2503" s="27" t="str">
        <f aca="false">IF(A2503="","",IF(H2503&lt;&gt;"",UPPER(TRIM(H2503)),IFERROR(CHOOSE(VALUE(E2503)+1,"A","B","C","D"),IF(OR(LEFT(UPPER(TRIM(E2503)),1)="F",UPPER(TRIM(E2503))="A"),"A",IF(OR(LEFT(UPPER(TRIM(E2503)),1)="M",UPPER(TRIM(E2503))="B"),"B",IF(OR(LEFT(UPPER(TRIM(E2503)),2)="SL",UPPER(TRIM(E2503))="C"),"C",IF(OR(LEFT(UPPER(TRIM(E2503)),1)="D",UPPER(TRIM(E2503))="D"),"D","")))))))</f>
        <v/>
      </c>
      <c r="J2503" s="27" t="str">
        <f aca="false">IF(I2503="","",IF(AND(I2503="D",Settings!$B$6&lt;&gt;"Yes"),"",IFERROR(INDEX(Settings!$C$9:$C$12,MATCH(I2503,Settings!$A$9:$A$12,0)),"")))</f>
        <v/>
      </c>
      <c r="K2503" s="27" t="str">
        <f aca="false">IF(J2503="","",COUNTIF($I$2:I2503,I2503))</f>
        <v/>
      </c>
      <c r="L2503" s="27" t="str">
        <f aca="false">IF(J2503="","",CHOOSE(Q2503+1,"Tue","Wed","Thu","Fri"))</f>
        <v/>
      </c>
      <c r="M2503" s="27" t="str">
        <f aca="false">IF(J2503="","",IF(J2503=1,"Every week",R2503+1&amp;" of "&amp;J2503))</f>
        <v/>
      </c>
      <c r="N2503" s="28" t="str">
        <f aca="false">IF(J2503="","",Settings!$B$4+R2503*7+Q2503)</f>
        <v/>
      </c>
      <c r="O2503" s="28" t="str">
        <f aca="true">IF(J2503="","",N2503+MAX(0,ROUNDUP((TODAY()-N2503)/(J2503*7),0))*J2503*7)</f>
        <v/>
      </c>
      <c r="P2503" s="27" t="str">
        <f aca="false">IF(J2503="","",MOD(K2503-1,J2503*4))</f>
        <v/>
      </c>
      <c r="Q2503" s="27" t="str">
        <f aca="false">IF(J2503="","",MOD(P2503,4))</f>
        <v/>
      </c>
      <c r="R2503" s="27" t="str">
        <f aca="false">IF(J2503="","",INT(P2503/4))</f>
        <v/>
      </c>
      <c r="S2503" s="27" t="str">
        <f aca="false">IF(J2503="","",IF(AND('Daily Count Sheet'!$H$3=Q2503,MOD('Daily Count Sheet'!$I$3,J2503)=R2503),1,""))</f>
        <v/>
      </c>
      <c r="T2503" s="27" t="str">
        <f aca="false">IF(S2503=1,COUNTIF($S$2:S2503,1),"")</f>
        <v/>
      </c>
    </row>
    <row r="2504" customFormat="false" ht="15" hidden="false" customHeight="false" outlineLevel="0" collapsed="false">
      <c r="H2504" s="26"/>
      <c r="I2504" s="27" t="str">
        <f aca="false">IF(A2504="","",IF(H2504&lt;&gt;"",UPPER(TRIM(H2504)),IFERROR(CHOOSE(VALUE(E2504)+1,"A","B","C","D"),IF(OR(LEFT(UPPER(TRIM(E2504)),1)="F",UPPER(TRIM(E2504))="A"),"A",IF(OR(LEFT(UPPER(TRIM(E2504)),1)="M",UPPER(TRIM(E2504))="B"),"B",IF(OR(LEFT(UPPER(TRIM(E2504)),2)="SL",UPPER(TRIM(E2504))="C"),"C",IF(OR(LEFT(UPPER(TRIM(E2504)),1)="D",UPPER(TRIM(E2504))="D"),"D","")))))))</f>
        <v/>
      </c>
      <c r="J2504" s="27" t="str">
        <f aca="false">IF(I2504="","",IF(AND(I2504="D",Settings!$B$6&lt;&gt;"Yes"),"",IFERROR(INDEX(Settings!$C$9:$C$12,MATCH(I2504,Settings!$A$9:$A$12,0)),"")))</f>
        <v/>
      </c>
      <c r="K2504" s="27" t="str">
        <f aca="false">IF(J2504="","",COUNTIF($I$2:I2504,I2504))</f>
        <v/>
      </c>
      <c r="L2504" s="27" t="str">
        <f aca="false">IF(J2504="","",CHOOSE(Q2504+1,"Tue","Wed","Thu","Fri"))</f>
        <v/>
      </c>
      <c r="M2504" s="27" t="str">
        <f aca="false">IF(J2504="","",IF(J2504=1,"Every week",R2504+1&amp;" of "&amp;J2504))</f>
        <v/>
      </c>
      <c r="N2504" s="28" t="str">
        <f aca="false">IF(J2504="","",Settings!$B$4+R2504*7+Q2504)</f>
        <v/>
      </c>
      <c r="O2504" s="28" t="str">
        <f aca="true">IF(J2504="","",N2504+MAX(0,ROUNDUP((TODAY()-N2504)/(J2504*7),0))*J2504*7)</f>
        <v/>
      </c>
      <c r="P2504" s="27" t="str">
        <f aca="false">IF(J2504="","",MOD(K2504-1,J2504*4))</f>
        <v/>
      </c>
      <c r="Q2504" s="27" t="str">
        <f aca="false">IF(J2504="","",MOD(P2504,4))</f>
        <v/>
      </c>
      <c r="R2504" s="27" t="str">
        <f aca="false">IF(J2504="","",INT(P2504/4))</f>
        <v/>
      </c>
      <c r="S2504" s="27" t="str">
        <f aca="false">IF(J2504="","",IF(AND('Daily Count Sheet'!$H$3=Q2504,MOD('Daily Count Sheet'!$I$3,J2504)=R2504),1,""))</f>
        <v/>
      </c>
      <c r="T2504" s="27" t="str">
        <f aca="false">IF(S2504=1,COUNTIF($S$2:S2504,1),"")</f>
        <v/>
      </c>
    </row>
    <row r="2505" customFormat="false" ht="15" hidden="false" customHeight="false" outlineLevel="0" collapsed="false">
      <c r="H2505" s="26"/>
      <c r="I2505" s="27" t="str">
        <f aca="false">IF(A2505="","",IF(H2505&lt;&gt;"",UPPER(TRIM(H2505)),IFERROR(CHOOSE(VALUE(E2505)+1,"A","B","C","D"),IF(OR(LEFT(UPPER(TRIM(E2505)),1)="F",UPPER(TRIM(E2505))="A"),"A",IF(OR(LEFT(UPPER(TRIM(E2505)),1)="M",UPPER(TRIM(E2505))="B"),"B",IF(OR(LEFT(UPPER(TRIM(E2505)),2)="SL",UPPER(TRIM(E2505))="C"),"C",IF(OR(LEFT(UPPER(TRIM(E2505)),1)="D",UPPER(TRIM(E2505))="D"),"D","")))))))</f>
        <v/>
      </c>
      <c r="J2505" s="27" t="str">
        <f aca="false">IF(I2505="","",IF(AND(I2505="D",Settings!$B$6&lt;&gt;"Yes"),"",IFERROR(INDEX(Settings!$C$9:$C$12,MATCH(I2505,Settings!$A$9:$A$12,0)),"")))</f>
        <v/>
      </c>
      <c r="K2505" s="27" t="str">
        <f aca="false">IF(J2505="","",COUNTIF($I$2:I2505,I2505))</f>
        <v/>
      </c>
      <c r="L2505" s="27" t="str">
        <f aca="false">IF(J2505="","",CHOOSE(Q2505+1,"Tue","Wed","Thu","Fri"))</f>
        <v/>
      </c>
      <c r="M2505" s="27" t="str">
        <f aca="false">IF(J2505="","",IF(J2505=1,"Every week",R2505+1&amp;" of "&amp;J2505))</f>
        <v/>
      </c>
      <c r="N2505" s="28" t="str">
        <f aca="false">IF(J2505="","",Settings!$B$4+R2505*7+Q2505)</f>
        <v/>
      </c>
      <c r="O2505" s="28" t="str">
        <f aca="true">IF(J2505="","",N2505+MAX(0,ROUNDUP((TODAY()-N2505)/(J2505*7),0))*J2505*7)</f>
        <v/>
      </c>
      <c r="P2505" s="27" t="str">
        <f aca="false">IF(J2505="","",MOD(K2505-1,J2505*4))</f>
        <v/>
      </c>
      <c r="Q2505" s="27" t="str">
        <f aca="false">IF(J2505="","",MOD(P2505,4))</f>
        <v/>
      </c>
      <c r="R2505" s="27" t="str">
        <f aca="false">IF(J2505="","",INT(P2505/4))</f>
        <v/>
      </c>
      <c r="S2505" s="27" t="str">
        <f aca="false">IF(J2505="","",IF(AND('Daily Count Sheet'!$H$3=Q2505,MOD('Daily Count Sheet'!$I$3,J2505)=R2505),1,""))</f>
        <v/>
      </c>
      <c r="T2505" s="27" t="str">
        <f aca="false">IF(S2505=1,COUNTIF($S$2:S2505,1),"")</f>
        <v/>
      </c>
    </row>
    <row r="2506" customFormat="false" ht="15" hidden="false" customHeight="false" outlineLevel="0" collapsed="false">
      <c r="H2506" s="26"/>
      <c r="I2506" s="27" t="str">
        <f aca="false">IF(A2506="","",IF(H2506&lt;&gt;"",UPPER(TRIM(H2506)),IFERROR(CHOOSE(VALUE(E2506)+1,"A","B","C","D"),IF(OR(LEFT(UPPER(TRIM(E2506)),1)="F",UPPER(TRIM(E2506))="A"),"A",IF(OR(LEFT(UPPER(TRIM(E2506)),1)="M",UPPER(TRIM(E2506))="B"),"B",IF(OR(LEFT(UPPER(TRIM(E2506)),2)="SL",UPPER(TRIM(E2506))="C"),"C",IF(OR(LEFT(UPPER(TRIM(E2506)),1)="D",UPPER(TRIM(E2506))="D"),"D","")))))))</f>
        <v/>
      </c>
      <c r="J2506" s="27" t="str">
        <f aca="false">IF(I2506="","",IF(AND(I2506="D",Settings!$B$6&lt;&gt;"Yes"),"",IFERROR(INDEX(Settings!$C$9:$C$12,MATCH(I2506,Settings!$A$9:$A$12,0)),"")))</f>
        <v/>
      </c>
      <c r="K2506" s="27" t="str">
        <f aca="false">IF(J2506="","",COUNTIF($I$2:I2506,I2506))</f>
        <v/>
      </c>
      <c r="L2506" s="27" t="str">
        <f aca="false">IF(J2506="","",CHOOSE(Q2506+1,"Tue","Wed","Thu","Fri"))</f>
        <v/>
      </c>
      <c r="M2506" s="27" t="str">
        <f aca="false">IF(J2506="","",IF(J2506=1,"Every week",R2506+1&amp;" of "&amp;J2506))</f>
        <v/>
      </c>
      <c r="N2506" s="28" t="str">
        <f aca="false">IF(J2506="","",Settings!$B$4+R2506*7+Q2506)</f>
        <v/>
      </c>
      <c r="O2506" s="28" t="str">
        <f aca="true">IF(J2506="","",N2506+MAX(0,ROUNDUP((TODAY()-N2506)/(J2506*7),0))*J2506*7)</f>
        <v/>
      </c>
      <c r="P2506" s="27" t="str">
        <f aca="false">IF(J2506="","",MOD(K2506-1,J2506*4))</f>
        <v/>
      </c>
      <c r="Q2506" s="27" t="str">
        <f aca="false">IF(J2506="","",MOD(P2506,4))</f>
        <v/>
      </c>
      <c r="R2506" s="27" t="str">
        <f aca="false">IF(J2506="","",INT(P2506/4))</f>
        <v/>
      </c>
      <c r="S2506" s="27" t="str">
        <f aca="false">IF(J2506="","",IF(AND('Daily Count Sheet'!$H$3=Q2506,MOD('Daily Count Sheet'!$I$3,J2506)=R2506),1,""))</f>
        <v/>
      </c>
      <c r="T2506" s="27" t="str">
        <f aca="false">IF(S2506=1,COUNTIF($S$2:S2506,1),"")</f>
        <v/>
      </c>
    </row>
    <row r="2507" customFormat="false" ht="15" hidden="false" customHeight="false" outlineLevel="0" collapsed="false">
      <c r="H2507" s="26"/>
      <c r="I2507" s="27" t="str">
        <f aca="false">IF(A2507="","",IF(H2507&lt;&gt;"",UPPER(TRIM(H2507)),IFERROR(CHOOSE(VALUE(E2507)+1,"A","B","C","D"),IF(OR(LEFT(UPPER(TRIM(E2507)),1)="F",UPPER(TRIM(E2507))="A"),"A",IF(OR(LEFT(UPPER(TRIM(E2507)),1)="M",UPPER(TRIM(E2507))="B"),"B",IF(OR(LEFT(UPPER(TRIM(E2507)),2)="SL",UPPER(TRIM(E2507))="C"),"C",IF(OR(LEFT(UPPER(TRIM(E2507)),1)="D",UPPER(TRIM(E2507))="D"),"D","")))))))</f>
        <v/>
      </c>
      <c r="J2507" s="27" t="str">
        <f aca="false">IF(I2507="","",IF(AND(I2507="D",Settings!$B$6&lt;&gt;"Yes"),"",IFERROR(INDEX(Settings!$C$9:$C$12,MATCH(I2507,Settings!$A$9:$A$12,0)),"")))</f>
        <v/>
      </c>
      <c r="K2507" s="27" t="str">
        <f aca="false">IF(J2507="","",COUNTIF($I$2:I2507,I2507))</f>
        <v/>
      </c>
      <c r="L2507" s="27" t="str">
        <f aca="false">IF(J2507="","",CHOOSE(Q2507+1,"Tue","Wed","Thu","Fri"))</f>
        <v/>
      </c>
      <c r="M2507" s="27" t="str">
        <f aca="false">IF(J2507="","",IF(J2507=1,"Every week",R2507+1&amp;" of "&amp;J2507))</f>
        <v/>
      </c>
      <c r="N2507" s="28" t="str">
        <f aca="false">IF(J2507="","",Settings!$B$4+R2507*7+Q2507)</f>
        <v/>
      </c>
      <c r="O2507" s="28" t="str">
        <f aca="true">IF(J2507="","",N2507+MAX(0,ROUNDUP((TODAY()-N2507)/(J2507*7),0))*J2507*7)</f>
        <v/>
      </c>
      <c r="P2507" s="27" t="str">
        <f aca="false">IF(J2507="","",MOD(K2507-1,J2507*4))</f>
        <v/>
      </c>
      <c r="Q2507" s="27" t="str">
        <f aca="false">IF(J2507="","",MOD(P2507,4))</f>
        <v/>
      </c>
      <c r="R2507" s="27" t="str">
        <f aca="false">IF(J2507="","",INT(P2507/4))</f>
        <v/>
      </c>
      <c r="S2507" s="27" t="str">
        <f aca="false">IF(J2507="","",IF(AND('Daily Count Sheet'!$H$3=Q2507,MOD('Daily Count Sheet'!$I$3,J2507)=R2507),1,""))</f>
        <v/>
      </c>
      <c r="T2507" s="27" t="str">
        <f aca="false">IF(S2507=1,COUNTIF($S$2:S2507,1),"")</f>
        <v/>
      </c>
    </row>
    <row r="2508" customFormat="false" ht="15" hidden="false" customHeight="false" outlineLevel="0" collapsed="false">
      <c r="H2508" s="26"/>
      <c r="I2508" s="27" t="str">
        <f aca="false">IF(A2508="","",IF(H2508&lt;&gt;"",UPPER(TRIM(H2508)),IFERROR(CHOOSE(VALUE(E2508)+1,"A","B","C","D"),IF(OR(LEFT(UPPER(TRIM(E2508)),1)="F",UPPER(TRIM(E2508))="A"),"A",IF(OR(LEFT(UPPER(TRIM(E2508)),1)="M",UPPER(TRIM(E2508))="B"),"B",IF(OR(LEFT(UPPER(TRIM(E2508)),2)="SL",UPPER(TRIM(E2508))="C"),"C",IF(OR(LEFT(UPPER(TRIM(E2508)),1)="D",UPPER(TRIM(E2508))="D"),"D","")))))))</f>
        <v/>
      </c>
      <c r="J2508" s="27" t="str">
        <f aca="false">IF(I2508="","",IF(AND(I2508="D",Settings!$B$6&lt;&gt;"Yes"),"",IFERROR(INDEX(Settings!$C$9:$C$12,MATCH(I2508,Settings!$A$9:$A$12,0)),"")))</f>
        <v/>
      </c>
      <c r="K2508" s="27" t="str">
        <f aca="false">IF(J2508="","",COUNTIF($I$2:I2508,I2508))</f>
        <v/>
      </c>
      <c r="L2508" s="27" t="str">
        <f aca="false">IF(J2508="","",CHOOSE(Q2508+1,"Tue","Wed","Thu","Fri"))</f>
        <v/>
      </c>
      <c r="M2508" s="27" t="str">
        <f aca="false">IF(J2508="","",IF(J2508=1,"Every week",R2508+1&amp;" of "&amp;J2508))</f>
        <v/>
      </c>
      <c r="N2508" s="28" t="str">
        <f aca="false">IF(J2508="","",Settings!$B$4+R2508*7+Q2508)</f>
        <v/>
      </c>
      <c r="O2508" s="28" t="str">
        <f aca="true">IF(J2508="","",N2508+MAX(0,ROUNDUP((TODAY()-N2508)/(J2508*7),0))*J2508*7)</f>
        <v/>
      </c>
      <c r="P2508" s="27" t="str">
        <f aca="false">IF(J2508="","",MOD(K2508-1,J2508*4))</f>
        <v/>
      </c>
      <c r="Q2508" s="27" t="str">
        <f aca="false">IF(J2508="","",MOD(P2508,4))</f>
        <v/>
      </c>
      <c r="R2508" s="27" t="str">
        <f aca="false">IF(J2508="","",INT(P2508/4))</f>
        <v/>
      </c>
      <c r="S2508" s="27" t="str">
        <f aca="false">IF(J2508="","",IF(AND('Daily Count Sheet'!$H$3=Q2508,MOD('Daily Count Sheet'!$I$3,J2508)=R2508),1,""))</f>
        <v/>
      </c>
      <c r="T2508" s="27" t="str">
        <f aca="false">IF(S2508=1,COUNTIF($S$2:S2508,1),"")</f>
        <v/>
      </c>
    </row>
    <row r="2509" customFormat="false" ht="15" hidden="false" customHeight="false" outlineLevel="0" collapsed="false">
      <c r="H2509" s="26"/>
      <c r="I2509" s="27" t="str">
        <f aca="false">IF(A2509="","",IF(H2509&lt;&gt;"",UPPER(TRIM(H2509)),IFERROR(CHOOSE(VALUE(E2509)+1,"A","B","C","D"),IF(OR(LEFT(UPPER(TRIM(E2509)),1)="F",UPPER(TRIM(E2509))="A"),"A",IF(OR(LEFT(UPPER(TRIM(E2509)),1)="M",UPPER(TRIM(E2509))="B"),"B",IF(OR(LEFT(UPPER(TRIM(E2509)),2)="SL",UPPER(TRIM(E2509))="C"),"C",IF(OR(LEFT(UPPER(TRIM(E2509)),1)="D",UPPER(TRIM(E2509))="D"),"D","")))))))</f>
        <v/>
      </c>
      <c r="J2509" s="27" t="str">
        <f aca="false">IF(I2509="","",IF(AND(I2509="D",Settings!$B$6&lt;&gt;"Yes"),"",IFERROR(INDEX(Settings!$C$9:$C$12,MATCH(I2509,Settings!$A$9:$A$12,0)),"")))</f>
        <v/>
      </c>
      <c r="K2509" s="27" t="str">
        <f aca="false">IF(J2509="","",COUNTIF($I$2:I2509,I2509))</f>
        <v/>
      </c>
      <c r="L2509" s="27" t="str">
        <f aca="false">IF(J2509="","",CHOOSE(Q2509+1,"Tue","Wed","Thu","Fri"))</f>
        <v/>
      </c>
      <c r="M2509" s="27" t="str">
        <f aca="false">IF(J2509="","",IF(J2509=1,"Every week",R2509+1&amp;" of "&amp;J2509))</f>
        <v/>
      </c>
      <c r="N2509" s="28" t="str">
        <f aca="false">IF(J2509="","",Settings!$B$4+R2509*7+Q2509)</f>
        <v/>
      </c>
      <c r="O2509" s="28" t="str">
        <f aca="true">IF(J2509="","",N2509+MAX(0,ROUNDUP((TODAY()-N2509)/(J2509*7),0))*J2509*7)</f>
        <v/>
      </c>
      <c r="P2509" s="27" t="str">
        <f aca="false">IF(J2509="","",MOD(K2509-1,J2509*4))</f>
        <v/>
      </c>
      <c r="Q2509" s="27" t="str">
        <f aca="false">IF(J2509="","",MOD(P2509,4))</f>
        <v/>
      </c>
      <c r="R2509" s="27" t="str">
        <f aca="false">IF(J2509="","",INT(P2509/4))</f>
        <v/>
      </c>
      <c r="S2509" s="27" t="str">
        <f aca="false">IF(J2509="","",IF(AND('Daily Count Sheet'!$H$3=Q2509,MOD('Daily Count Sheet'!$I$3,J2509)=R2509),1,""))</f>
        <v/>
      </c>
      <c r="T2509" s="27" t="str">
        <f aca="false">IF(S2509=1,COUNTIF($S$2:S2509,1),"")</f>
        <v/>
      </c>
    </row>
    <row r="2510" customFormat="false" ht="15" hidden="false" customHeight="false" outlineLevel="0" collapsed="false">
      <c r="H2510" s="26"/>
      <c r="I2510" s="27" t="str">
        <f aca="false">IF(A2510="","",IF(H2510&lt;&gt;"",UPPER(TRIM(H2510)),IFERROR(CHOOSE(VALUE(E2510)+1,"A","B","C","D"),IF(OR(LEFT(UPPER(TRIM(E2510)),1)="F",UPPER(TRIM(E2510))="A"),"A",IF(OR(LEFT(UPPER(TRIM(E2510)),1)="M",UPPER(TRIM(E2510))="B"),"B",IF(OR(LEFT(UPPER(TRIM(E2510)),2)="SL",UPPER(TRIM(E2510))="C"),"C",IF(OR(LEFT(UPPER(TRIM(E2510)),1)="D",UPPER(TRIM(E2510))="D"),"D","")))))))</f>
        <v/>
      </c>
      <c r="J2510" s="27" t="str">
        <f aca="false">IF(I2510="","",IF(AND(I2510="D",Settings!$B$6&lt;&gt;"Yes"),"",IFERROR(INDEX(Settings!$C$9:$C$12,MATCH(I2510,Settings!$A$9:$A$12,0)),"")))</f>
        <v/>
      </c>
      <c r="K2510" s="27" t="str">
        <f aca="false">IF(J2510="","",COUNTIF($I$2:I2510,I2510))</f>
        <v/>
      </c>
      <c r="L2510" s="27" t="str">
        <f aca="false">IF(J2510="","",CHOOSE(Q2510+1,"Tue","Wed","Thu","Fri"))</f>
        <v/>
      </c>
      <c r="M2510" s="27" t="str">
        <f aca="false">IF(J2510="","",IF(J2510=1,"Every week",R2510+1&amp;" of "&amp;J2510))</f>
        <v/>
      </c>
      <c r="N2510" s="28" t="str">
        <f aca="false">IF(J2510="","",Settings!$B$4+R2510*7+Q2510)</f>
        <v/>
      </c>
      <c r="O2510" s="28" t="str">
        <f aca="true">IF(J2510="","",N2510+MAX(0,ROUNDUP((TODAY()-N2510)/(J2510*7),0))*J2510*7)</f>
        <v/>
      </c>
      <c r="P2510" s="27" t="str">
        <f aca="false">IF(J2510="","",MOD(K2510-1,J2510*4))</f>
        <v/>
      </c>
      <c r="Q2510" s="27" t="str">
        <f aca="false">IF(J2510="","",MOD(P2510,4))</f>
        <v/>
      </c>
      <c r="R2510" s="27" t="str">
        <f aca="false">IF(J2510="","",INT(P2510/4))</f>
        <v/>
      </c>
      <c r="S2510" s="27" t="str">
        <f aca="false">IF(J2510="","",IF(AND('Daily Count Sheet'!$H$3=Q2510,MOD('Daily Count Sheet'!$I$3,J2510)=R2510),1,""))</f>
        <v/>
      </c>
      <c r="T2510" s="27" t="str">
        <f aca="false">IF(S2510=1,COUNTIF($S$2:S2510,1),"")</f>
        <v/>
      </c>
    </row>
    <row r="2511" customFormat="false" ht="15" hidden="false" customHeight="false" outlineLevel="0" collapsed="false">
      <c r="H2511" s="26"/>
      <c r="I2511" s="27" t="str">
        <f aca="false">IF(A2511="","",IF(H2511&lt;&gt;"",UPPER(TRIM(H2511)),IFERROR(CHOOSE(VALUE(E2511)+1,"A","B","C","D"),IF(OR(LEFT(UPPER(TRIM(E2511)),1)="F",UPPER(TRIM(E2511))="A"),"A",IF(OR(LEFT(UPPER(TRIM(E2511)),1)="M",UPPER(TRIM(E2511))="B"),"B",IF(OR(LEFT(UPPER(TRIM(E2511)),2)="SL",UPPER(TRIM(E2511))="C"),"C",IF(OR(LEFT(UPPER(TRIM(E2511)),1)="D",UPPER(TRIM(E2511))="D"),"D","")))))))</f>
        <v/>
      </c>
      <c r="J2511" s="27" t="str">
        <f aca="false">IF(I2511="","",IF(AND(I2511="D",Settings!$B$6&lt;&gt;"Yes"),"",IFERROR(INDEX(Settings!$C$9:$C$12,MATCH(I2511,Settings!$A$9:$A$12,0)),"")))</f>
        <v/>
      </c>
      <c r="K2511" s="27" t="str">
        <f aca="false">IF(J2511="","",COUNTIF($I$2:I2511,I2511))</f>
        <v/>
      </c>
      <c r="L2511" s="27" t="str">
        <f aca="false">IF(J2511="","",CHOOSE(Q2511+1,"Tue","Wed","Thu","Fri"))</f>
        <v/>
      </c>
      <c r="M2511" s="27" t="str">
        <f aca="false">IF(J2511="","",IF(J2511=1,"Every week",R2511+1&amp;" of "&amp;J2511))</f>
        <v/>
      </c>
      <c r="N2511" s="28" t="str">
        <f aca="false">IF(J2511="","",Settings!$B$4+R2511*7+Q2511)</f>
        <v/>
      </c>
      <c r="O2511" s="28" t="str">
        <f aca="true">IF(J2511="","",N2511+MAX(0,ROUNDUP((TODAY()-N2511)/(J2511*7),0))*J2511*7)</f>
        <v/>
      </c>
      <c r="P2511" s="27" t="str">
        <f aca="false">IF(J2511="","",MOD(K2511-1,J2511*4))</f>
        <v/>
      </c>
      <c r="Q2511" s="27" t="str">
        <f aca="false">IF(J2511="","",MOD(P2511,4))</f>
        <v/>
      </c>
      <c r="R2511" s="27" t="str">
        <f aca="false">IF(J2511="","",INT(P2511/4))</f>
        <v/>
      </c>
      <c r="S2511" s="27" t="str">
        <f aca="false">IF(J2511="","",IF(AND('Daily Count Sheet'!$H$3=Q2511,MOD('Daily Count Sheet'!$I$3,J2511)=R2511),1,""))</f>
        <v/>
      </c>
      <c r="T2511" s="27" t="str">
        <f aca="false">IF(S2511=1,COUNTIF($S$2:S2511,1),"")</f>
        <v/>
      </c>
    </row>
    <row r="2512" customFormat="false" ht="15" hidden="false" customHeight="false" outlineLevel="0" collapsed="false">
      <c r="H2512" s="26"/>
      <c r="I2512" s="27" t="str">
        <f aca="false">IF(A2512="","",IF(H2512&lt;&gt;"",UPPER(TRIM(H2512)),IFERROR(CHOOSE(VALUE(E2512)+1,"A","B","C","D"),IF(OR(LEFT(UPPER(TRIM(E2512)),1)="F",UPPER(TRIM(E2512))="A"),"A",IF(OR(LEFT(UPPER(TRIM(E2512)),1)="M",UPPER(TRIM(E2512))="B"),"B",IF(OR(LEFT(UPPER(TRIM(E2512)),2)="SL",UPPER(TRIM(E2512))="C"),"C",IF(OR(LEFT(UPPER(TRIM(E2512)),1)="D",UPPER(TRIM(E2512))="D"),"D","")))))))</f>
        <v/>
      </c>
      <c r="J2512" s="27" t="str">
        <f aca="false">IF(I2512="","",IF(AND(I2512="D",Settings!$B$6&lt;&gt;"Yes"),"",IFERROR(INDEX(Settings!$C$9:$C$12,MATCH(I2512,Settings!$A$9:$A$12,0)),"")))</f>
        <v/>
      </c>
      <c r="K2512" s="27" t="str">
        <f aca="false">IF(J2512="","",COUNTIF($I$2:I2512,I2512))</f>
        <v/>
      </c>
      <c r="L2512" s="27" t="str">
        <f aca="false">IF(J2512="","",CHOOSE(Q2512+1,"Tue","Wed","Thu","Fri"))</f>
        <v/>
      </c>
      <c r="M2512" s="27" t="str">
        <f aca="false">IF(J2512="","",IF(J2512=1,"Every week",R2512+1&amp;" of "&amp;J2512))</f>
        <v/>
      </c>
      <c r="N2512" s="28" t="str">
        <f aca="false">IF(J2512="","",Settings!$B$4+R2512*7+Q2512)</f>
        <v/>
      </c>
      <c r="O2512" s="28" t="str">
        <f aca="true">IF(J2512="","",N2512+MAX(0,ROUNDUP((TODAY()-N2512)/(J2512*7),0))*J2512*7)</f>
        <v/>
      </c>
      <c r="P2512" s="27" t="str">
        <f aca="false">IF(J2512="","",MOD(K2512-1,J2512*4))</f>
        <v/>
      </c>
      <c r="Q2512" s="27" t="str">
        <f aca="false">IF(J2512="","",MOD(P2512,4))</f>
        <v/>
      </c>
      <c r="R2512" s="27" t="str">
        <f aca="false">IF(J2512="","",INT(P2512/4))</f>
        <v/>
      </c>
      <c r="S2512" s="27" t="str">
        <f aca="false">IF(J2512="","",IF(AND('Daily Count Sheet'!$H$3=Q2512,MOD('Daily Count Sheet'!$I$3,J2512)=R2512),1,""))</f>
        <v/>
      </c>
      <c r="T2512" s="27" t="str">
        <f aca="false">IF(S2512=1,COUNTIF($S$2:S2512,1),"")</f>
        <v/>
      </c>
    </row>
    <row r="2513" customFormat="false" ht="15" hidden="false" customHeight="false" outlineLevel="0" collapsed="false">
      <c r="H2513" s="26"/>
      <c r="I2513" s="27" t="str">
        <f aca="false">IF(A2513="","",IF(H2513&lt;&gt;"",UPPER(TRIM(H2513)),IFERROR(CHOOSE(VALUE(E2513)+1,"A","B","C","D"),IF(OR(LEFT(UPPER(TRIM(E2513)),1)="F",UPPER(TRIM(E2513))="A"),"A",IF(OR(LEFT(UPPER(TRIM(E2513)),1)="M",UPPER(TRIM(E2513))="B"),"B",IF(OR(LEFT(UPPER(TRIM(E2513)),2)="SL",UPPER(TRIM(E2513))="C"),"C",IF(OR(LEFT(UPPER(TRIM(E2513)),1)="D",UPPER(TRIM(E2513))="D"),"D","")))))))</f>
        <v/>
      </c>
      <c r="J2513" s="27" t="str">
        <f aca="false">IF(I2513="","",IF(AND(I2513="D",Settings!$B$6&lt;&gt;"Yes"),"",IFERROR(INDEX(Settings!$C$9:$C$12,MATCH(I2513,Settings!$A$9:$A$12,0)),"")))</f>
        <v/>
      </c>
      <c r="K2513" s="27" t="str">
        <f aca="false">IF(J2513="","",COUNTIF($I$2:I2513,I2513))</f>
        <v/>
      </c>
      <c r="L2513" s="27" t="str">
        <f aca="false">IF(J2513="","",CHOOSE(Q2513+1,"Tue","Wed","Thu","Fri"))</f>
        <v/>
      </c>
      <c r="M2513" s="27" t="str">
        <f aca="false">IF(J2513="","",IF(J2513=1,"Every week",R2513+1&amp;" of "&amp;J2513))</f>
        <v/>
      </c>
      <c r="N2513" s="28" t="str">
        <f aca="false">IF(J2513="","",Settings!$B$4+R2513*7+Q2513)</f>
        <v/>
      </c>
      <c r="O2513" s="28" t="str">
        <f aca="true">IF(J2513="","",N2513+MAX(0,ROUNDUP((TODAY()-N2513)/(J2513*7),0))*J2513*7)</f>
        <v/>
      </c>
      <c r="P2513" s="27" t="str">
        <f aca="false">IF(J2513="","",MOD(K2513-1,J2513*4))</f>
        <v/>
      </c>
      <c r="Q2513" s="27" t="str">
        <f aca="false">IF(J2513="","",MOD(P2513,4))</f>
        <v/>
      </c>
      <c r="R2513" s="27" t="str">
        <f aca="false">IF(J2513="","",INT(P2513/4))</f>
        <v/>
      </c>
      <c r="S2513" s="27" t="str">
        <f aca="false">IF(J2513="","",IF(AND('Daily Count Sheet'!$H$3=Q2513,MOD('Daily Count Sheet'!$I$3,J2513)=R2513),1,""))</f>
        <v/>
      </c>
      <c r="T2513" s="27" t="str">
        <f aca="false">IF(S2513=1,COUNTIF($S$2:S2513,1),"")</f>
        <v/>
      </c>
    </row>
    <row r="2514" customFormat="false" ht="15" hidden="false" customHeight="false" outlineLevel="0" collapsed="false">
      <c r="H2514" s="26"/>
      <c r="I2514" s="27" t="str">
        <f aca="false">IF(A2514="","",IF(H2514&lt;&gt;"",UPPER(TRIM(H2514)),IFERROR(CHOOSE(VALUE(E2514)+1,"A","B","C","D"),IF(OR(LEFT(UPPER(TRIM(E2514)),1)="F",UPPER(TRIM(E2514))="A"),"A",IF(OR(LEFT(UPPER(TRIM(E2514)),1)="M",UPPER(TRIM(E2514))="B"),"B",IF(OR(LEFT(UPPER(TRIM(E2514)),2)="SL",UPPER(TRIM(E2514))="C"),"C",IF(OR(LEFT(UPPER(TRIM(E2514)),1)="D",UPPER(TRIM(E2514))="D"),"D","")))))))</f>
        <v/>
      </c>
      <c r="J2514" s="27" t="str">
        <f aca="false">IF(I2514="","",IF(AND(I2514="D",Settings!$B$6&lt;&gt;"Yes"),"",IFERROR(INDEX(Settings!$C$9:$C$12,MATCH(I2514,Settings!$A$9:$A$12,0)),"")))</f>
        <v/>
      </c>
      <c r="K2514" s="27" t="str">
        <f aca="false">IF(J2514="","",COUNTIF($I$2:I2514,I2514))</f>
        <v/>
      </c>
      <c r="L2514" s="27" t="str">
        <f aca="false">IF(J2514="","",CHOOSE(Q2514+1,"Tue","Wed","Thu","Fri"))</f>
        <v/>
      </c>
      <c r="M2514" s="27" t="str">
        <f aca="false">IF(J2514="","",IF(J2514=1,"Every week",R2514+1&amp;" of "&amp;J2514))</f>
        <v/>
      </c>
      <c r="N2514" s="28" t="str">
        <f aca="false">IF(J2514="","",Settings!$B$4+R2514*7+Q2514)</f>
        <v/>
      </c>
      <c r="O2514" s="28" t="str">
        <f aca="true">IF(J2514="","",N2514+MAX(0,ROUNDUP((TODAY()-N2514)/(J2514*7),0))*J2514*7)</f>
        <v/>
      </c>
      <c r="P2514" s="27" t="str">
        <f aca="false">IF(J2514="","",MOD(K2514-1,J2514*4))</f>
        <v/>
      </c>
      <c r="Q2514" s="27" t="str">
        <f aca="false">IF(J2514="","",MOD(P2514,4))</f>
        <v/>
      </c>
      <c r="R2514" s="27" t="str">
        <f aca="false">IF(J2514="","",INT(P2514/4))</f>
        <v/>
      </c>
      <c r="S2514" s="27" t="str">
        <f aca="false">IF(J2514="","",IF(AND('Daily Count Sheet'!$H$3=Q2514,MOD('Daily Count Sheet'!$I$3,J2514)=R2514),1,""))</f>
        <v/>
      </c>
      <c r="T2514" s="27" t="str">
        <f aca="false">IF(S2514=1,COUNTIF($S$2:S2514,1),"")</f>
        <v/>
      </c>
    </row>
    <row r="2515" customFormat="false" ht="15" hidden="false" customHeight="false" outlineLevel="0" collapsed="false">
      <c r="H2515" s="26"/>
      <c r="I2515" s="27" t="str">
        <f aca="false">IF(A2515="","",IF(H2515&lt;&gt;"",UPPER(TRIM(H2515)),IFERROR(CHOOSE(VALUE(E2515)+1,"A","B","C","D"),IF(OR(LEFT(UPPER(TRIM(E2515)),1)="F",UPPER(TRIM(E2515))="A"),"A",IF(OR(LEFT(UPPER(TRIM(E2515)),1)="M",UPPER(TRIM(E2515))="B"),"B",IF(OR(LEFT(UPPER(TRIM(E2515)),2)="SL",UPPER(TRIM(E2515))="C"),"C",IF(OR(LEFT(UPPER(TRIM(E2515)),1)="D",UPPER(TRIM(E2515))="D"),"D","")))))))</f>
        <v/>
      </c>
      <c r="J2515" s="27" t="str">
        <f aca="false">IF(I2515="","",IF(AND(I2515="D",Settings!$B$6&lt;&gt;"Yes"),"",IFERROR(INDEX(Settings!$C$9:$C$12,MATCH(I2515,Settings!$A$9:$A$12,0)),"")))</f>
        <v/>
      </c>
      <c r="K2515" s="27" t="str">
        <f aca="false">IF(J2515="","",COUNTIF($I$2:I2515,I2515))</f>
        <v/>
      </c>
      <c r="L2515" s="27" t="str">
        <f aca="false">IF(J2515="","",CHOOSE(Q2515+1,"Tue","Wed","Thu","Fri"))</f>
        <v/>
      </c>
      <c r="M2515" s="27" t="str">
        <f aca="false">IF(J2515="","",IF(J2515=1,"Every week",R2515+1&amp;" of "&amp;J2515))</f>
        <v/>
      </c>
      <c r="N2515" s="28" t="str">
        <f aca="false">IF(J2515="","",Settings!$B$4+R2515*7+Q2515)</f>
        <v/>
      </c>
      <c r="O2515" s="28" t="str">
        <f aca="true">IF(J2515="","",N2515+MAX(0,ROUNDUP((TODAY()-N2515)/(J2515*7),0))*J2515*7)</f>
        <v/>
      </c>
      <c r="P2515" s="27" t="str">
        <f aca="false">IF(J2515="","",MOD(K2515-1,J2515*4))</f>
        <v/>
      </c>
      <c r="Q2515" s="27" t="str">
        <f aca="false">IF(J2515="","",MOD(P2515,4))</f>
        <v/>
      </c>
      <c r="R2515" s="27" t="str">
        <f aca="false">IF(J2515="","",INT(P2515/4))</f>
        <v/>
      </c>
      <c r="S2515" s="27" t="str">
        <f aca="false">IF(J2515="","",IF(AND('Daily Count Sheet'!$H$3=Q2515,MOD('Daily Count Sheet'!$I$3,J2515)=R2515),1,""))</f>
        <v/>
      </c>
      <c r="T2515" s="27" t="str">
        <f aca="false">IF(S2515=1,COUNTIF($S$2:S2515,1),"")</f>
        <v/>
      </c>
    </row>
    <row r="2516" customFormat="false" ht="15" hidden="false" customHeight="false" outlineLevel="0" collapsed="false">
      <c r="H2516" s="26"/>
      <c r="I2516" s="27" t="str">
        <f aca="false">IF(A2516="","",IF(H2516&lt;&gt;"",UPPER(TRIM(H2516)),IFERROR(CHOOSE(VALUE(E2516)+1,"A","B","C","D"),IF(OR(LEFT(UPPER(TRIM(E2516)),1)="F",UPPER(TRIM(E2516))="A"),"A",IF(OR(LEFT(UPPER(TRIM(E2516)),1)="M",UPPER(TRIM(E2516))="B"),"B",IF(OR(LEFT(UPPER(TRIM(E2516)),2)="SL",UPPER(TRIM(E2516))="C"),"C",IF(OR(LEFT(UPPER(TRIM(E2516)),1)="D",UPPER(TRIM(E2516))="D"),"D","")))))))</f>
        <v/>
      </c>
      <c r="J2516" s="27" t="str">
        <f aca="false">IF(I2516="","",IF(AND(I2516="D",Settings!$B$6&lt;&gt;"Yes"),"",IFERROR(INDEX(Settings!$C$9:$C$12,MATCH(I2516,Settings!$A$9:$A$12,0)),"")))</f>
        <v/>
      </c>
      <c r="K2516" s="27" t="str">
        <f aca="false">IF(J2516="","",COUNTIF($I$2:I2516,I2516))</f>
        <v/>
      </c>
      <c r="L2516" s="27" t="str">
        <f aca="false">IF(J2516="","",CHOOSE(Q2516+1,"Tue","Wed","Thu","Fri"))</f>
        <v/>
      </c>
      <c r="M2516" s="27" t="str">
        <f aca="false">IF(J2516="","",IF(J2516=1,"Every week",R2516+1&amp;" of "&amp;J2516))</f>
        <v/>
      </c>
      <c r="N2516" s="28" t="str">
        <f aca="false">IF(J2516="","",Settings!$B$4+R2516*7+Q2516)</f>
        <v/>
      </c>
      <c r="O2516" s="28" t="str">
        <f aca="true">IF(J2516="","",N2516+MAX(0,ROUNDUP((TODAY()-N2516)/(J2516*7),0))*J2516*7)</f>
        <v/>
      </c>
      <c r="P2516" s="27" t="str">
        <f aca="false">IF(J2516="","",MOD(K2516-1,J2516*4))</f>
        <v/>
      </c>
      <c r="Q2516" s="27" t="str">
        <f aca="false">IF(J2516="","",MOD(P2516,4))</f>
        <v/>
      </c>
      <c r="R2516" s="27" t="str">
        <f aca="false">IF(J2516="","",INT(P2516/4))</f>
        <v/>
      </c>
      <c r="S2516" s="27" t="str">
        <f aca="false">IF(J2516="","",IF(AND('Daily Count Sheet'!$H$3=Q2516,MOD('Daily Count Sheet'!$I$3,J2516)=R2516),1,""))</f>
        <v/>
      </c>
      <c r="T2516" s="27" t="str">
        <f aca="false">IF(S2516=1,COUNTIF($S$2:S2516,1),"")</f>
        <v/>
      </c>
    </row>
    <row r="2517" customFormat="false" ht="15" hidden="false" customHeight="false" outlineLevel="0" collapsed="false">
      <c r="H2517" s="26"/>
      <c r="I2517" s="27" t="str">
        <f aca="false">IF(A2517="","",IF(H2517&lt;&gt;"",UPPER(TRIM(H2517)),IFERROR(CHOOSE(VALUE(E2517)+1,"A","B","C","D"),IF(OR(LEFT(UPPER(TRIM(E2517)),1)="F",UPPER(TRIM(E2517))="A"),"A",IF(OR(LEFT(UPPER(TRIM(E2517)),1)="M",UPPER(TRIM(E2517))="B"),"B",IF(OR(LEFT(UPPER(TRIM(E2517)),2)="SL",UPPER(TRIM(E2517))="C"),"C",IF(OR(LEFT(UPPER(TRIM(E2517)),1)="D",UPPER(TRIM(E2517))="D"),"D","")))))))</f>
        <v/>
      </c>
      <c r="J2517" s="27" t="str">
        <f aca="false">IF(I2517="","",IF(AND(I2517="D",Settings!$B$6&lt;&gt;"Yes"),"",IFERROR(INDEX(Settings!$C$9:$C$12,MATCH(I2517,Settings!$A$9:$A$12,0)),"")))</f>
        <v/>
      </c>
      <c r="K2517" s="27" t="str">
        <f aca="false">IF(J2517="","",COUNTIF($I$2:I2517,I2517))</f>
        <v/>
      </c>
      <c r="L2517" s="27" t="str">
        <f aca="false">IF(J2517="","",CHOOSE(Q2517+1,"Tue","Wed","Thu","Fri"))</f>
        <v/>
      </c>
      <c r="M2517" s="27" t="str">
        <f aca="false">IF(J2517="","",IF(J2517=1,"Every week",R2517+1&amp;" of "&amp;J2517))</f>
        <v/>
      </c>
      <c r="N2517" s="28" t="str">
        <f aca="false">IF(J2517="","",Settings!$B$4+R2517*7+Q2517)</f>
        <v/>
      </c>
      <c r="O2517" s="28" t="str">
        <f aca="true">IF(J2517="","",N2517+MAX(0,ROUNDUP((TODAY()-N2517)/(J2517*7),0))*J2517*7)</f>
        <v/>
      </c>
      <c r="P2517" s="27" t="str">
        <f aca="false">IF(J2517="","",MOD(K2517-1,J2517*4))</f>
        <v/>
      </c>
      <c r="Q2517" s="27" t="str">
        <f aca="false">IF(J2517="","",MOD(P2517,4))</f>
        <v/>
      </c>
      <c r="R2517" s="27" t="str">
        <f aca="false">IF(J2517="","",INT(P2517/4))</f>
        <v/>
      </c>
      <c r="S2517" s="27" t="str">
        <f aca="false">IF(J2517="","",IF(AND('Daily Count Sheet'!$H$3=Q2517,MOD('Daily Count Sheet'!$I$3,J2517)=R2517),1,""))</f>
        <v/>
      </c>
      <c r="T2517" s="27" t="str">
        <f aca="false">IF(S2517=1,COUNTIF($S$2:S2517,1),"")</f>
        <v/>
      </c>
    </row>
    <row r="2518" customFormat="false" ht="15" hidden="false" customHeight="false" outlineLevel="0" collapsed="false">
      <c r="H2518" s="26"/>
      <c r="I2518" s="27" t="str">
        <f aca="false">IF(A2518="","",IF(H2518&lt;&gt;"",UPPER(TRIM(H2518)),IFERROR(CHOOSE(VALUE(E2518)+1,"A","B","C","D"),IF(OR(LEFT(UPPER(TRIM(E2518)),1)="F",UPPER(TRIM(E2518))="A"),"A",IF(OR(LEFT(UPPER(TRIM(E2518)),1)="M",UPPER(TRIM(E2518))="B"),"B",IF(OR(LEFT(UPPER(TRIM(E2518)),2)="SL",UPPER(TRIM(E2518))="C"),"C",IF(OR(LEFT(UPPER(TRIM(E2518)),1)="D",UPPER(TRIM(E2518))="D"),"D","")))))))</f>
        <v/>
      </c>
      <c r="J2518" s="27" t="str">
        <f aca="false">IF(I2518="","",IF(AND(I2518="D",Settings!$B$6&lt;&gt;"Yes"),"",IFERROR(INDEX(Settings!$C$9:$C$12,MATCH(I2518,Settings!$A$9:$A$12,0)),"")))</f>
        <v/>
      </c>
      <c r="K2518" s="27" t="str">
        <f aca="false">IF(J2518="","",COUNTIF($I$2:I2518,I2518))</f>
        <v/>
      </c>
      <c r="L2518" s="27" t="str">
        <f aca="false">IF(J2518="","",CHOOSE(Q2518+1,"Tue","Wed","Thu","Fri"))</f>
        <v/>
      </c>
      <c r="M2518" s="27" t="str">
        <f aca="false">IF(J2518="","",IF(J2518=1,"Every week",R2518+1&amp;" of "&amp;J2518))</f>
        <v/>
      </c>
      <c r="N2518" s="28" t="str">
        <f aca="false">IF(J2518="","",Settings!$B$4+R2518*7+Q2518)</f>
        <v/>
      </c>
      <c r="O2518" s="28" t="str">
        <f aca="true">IF(J2518="","",N2518+MAX(0,ROUNDUP((TODAY()-N2518)/(J2518*7),0))*J2518*7)</f>
        <v/>
      </c>
      <c r="P2518" s="27" t="str">
        <f aca="false">IF(J2518="","",MOD(K2518-1,J2518*4))</f>
        <v/>
      </c>
      <c r="Q2518" s="27" t="str">
        <f aca="false">IF(J2518="","",MOD(P2518,4))</f>
        <v/>
      </c>
      <c r="R2518" s="27" t="str">
        <f aca="false">IF(J2518="","",INT(P2518/4))</f>
        <v/>
      </c>
      <c r="S2518" s="27" t="str">
        <f aca="false">IF(J2518="","",IF(AND('Daily Count Sheet'!$H$3=Q2518,MOD('Daily Count Sheet'!$I$3,J2518)=R2518),1,""))</f>
        <v/>
      </c>
      <c r="T2518" s="27" t="str">
        <f aca="false">IF(S2518=1,COUNTIF($S$2:S2518,1),"")</f>
        <v/>
      </c>
    </row>
    <row r="2519" customFormat="false" ht="15" hidden="false" customHeight="false" outlineLevel="0" collapsed="false">
      <c r="H2519" s="26"/>
      <c r="I2519" s="27" t="str">
        <f aca="false">IF(A2519="","",IF(H2519&lt;&gt;"",UPPER(TRIM(H2519)),IFERROR(CHOOSE(VALUE(E2519)+1,"A","B","C","D"),IF(OR(LEFT(UPPER(TRIM(E2519)),1)="F",UPPER(TRIM(E2519))="A"),"A",IF(OR(LEFT(UPPER(TRIM(E2519)),1)="M",UPPER(TRIM(E2519))="B"),"B",IF(OR(LEFT(UPPER(TRIM(E2519)),2)="SL",UPPER(TRIM(E2519))="C"),"C",IF(OR(LEFT(UPPER(TRIM(E2519)),1)="D",UPPER(TRIM(E2519))="D"),"D","")))))))</f>
        <v/>
      </c>
      <c r="J2519" s="27" t="str">
        <f aca="false">IF(I2519="","",IF(AND(I2519="D",Settings!$B$6&lt;&gt;"Yes"),"",IFERROR(INDEX(Settings!$C$9:$C$12,MATCH(I2519,Settings!$A$9:$A$12,0)),"")))</f>
        <v/>
      </c>
      <c r="K2519" s="27" t="str">
        <f aca="false">IF(J2519="","",COUNTIF($I$2:I2519,I2519))</f>
        <v/>
      </c>
      <c r="L2519" s="27" t="str">
        <f aca="false">IF(J2519="","",CHOOSE(Q2519+1,"Tue","Wed","Thu","Fri"))</f>
        <v/>
      </c>
      <c r="M2519" s="27" t="str">
        <f aca="false">IF(J2519="","",IF(J2519=1,"Every week",R2519+1&amp;" of "&amp;J2519))</f>
        <v/>
      </c>
      <c r="N2519" s="28" t="str">
        <f aca="false">IF(J2519="","",Settings!$B$4+R2519*7+Q2519)</f>
        <v/>
      </c>
      <c r="O2519" s="28" t="str">
        <f aca="true">IF(J2519="","",N2519+MAX(0,ROUNDUP((TODAY()-N2519)/(J2519*7),0))*J2519*7)</f>
        <v/>
      </c>
      <c r="P2519" s="27" t="str">
        <f aca="false">IF(J2519="","",MOD(K2519-1,J2519*4))</f>
        <v/>
      </c>
      <c r="Q2519" s="27" t="str">
        <f aca="false">IF(J2519="","",MOD(P2519,4))</f>
        <v/>
      </c>
      <c r="R2519" s="27" t="str">
        <f aca="false">IF(J2519="","",INT(P2519/4))</f>
        <v/>
      </c>
      <c r="S2519" s="27" t="str">
        <f aca="false">IF(J2519="","",IF(AND('Daily Count Sheet'!$H$3=Q2519,MOD('Daily Count Sheet'!$I$3,J2519)=R2519),1,""))</f>
        <v/>
      </c>
      <c r="T2519" s="27" t="str">
        <f aca="false">IF(S2519=1,COUNTIF($S$2:S2519,1),"")</f>
        <v/>
      </c>
    </row>
    <row r="2520" customFormat="false" ht="15" hidden="false" customHeight="false" outlineLevel="0" collapsed="false">
      <c r="H2520" s="26"/>
      <c r="I2520" s="27" t="str">
        <f aca="false">IF(A2520="","",IF(H2520&lt;&gt;"",UPPER(TRIM(H2520)),IFERROR(CHOOSE(VALUE(E2520)+1,"A","B","C","D"),IF(OR(LEFT(UPPER(TRIM(E2520)),1)="F",UPPER(TRIM(E2520))="A"),"A",IF(OR(LEFT(UPPER(TRIM(E2520)),1)="M",UPPER(TRIM(E2520))="B"),"B",IF(OR(LEFT(UPPER(TRIM(E2520)),2)="SL",UPPER(TRIM(E2520))="C"),"C",IF(OR(LEFT(UPPER(TRIM(E2520)),1)="D",UPPER(TRIM(E2520))="D"),"D","")))))))</f>
        <v/>
      </c>
      <c r="J2520" s="27" t="str">
        <f aca="false">IF(I2520="","",IF(AND(I2520="D",Settings!$B$6&lt;&gt;"Yes"),"",IFERROR(INDEX(Settings!$C$9:$C$12,MATCH(I2520,Settings!$A$9:$A$12,0)),"")))</f>
        <v/>
      </c>
      <c r="K2520" s="27" t="str">
        <f aca="false">IF(J2520="","",COUNTIF($I$2:I2520,I2520))</f>
        <v/>
      </c>
      <c r="L2520" s="27" t="str">
        <f aca="false">IF(J2520="","",CHOOSE(Q2520+1,"Tue","Wed","Thu","Fri"))</f>
        <v/>
      </c>
      <c r="M2520" s="27" t="str">
        <f aca="false">IF(J2520="","",IF(J2520=1,"Every week",R2520+1&amp;" of "&amp;J2520))</f>
        <v/>
      </c>
      <c r="N2520" s="28" t="str">
        <f aca="false">IF(J2520="","",Settings!$B$4+R2520*7+Q2520)</f>
        <v/>
      </c>
      <c r="O2520" s="28" t="str">
        <f aca="true">IF(J2520="","",N2520+MAX(0,ROUNDUP((TODAY()-N2520)/(J2520*7),0))*J2520*7)</f>
        <v/>
      </c>
      <c r="P2520" s="27" t="str">
        <f aca="false">IF(J2520="","",MOD(K2520-1,J2520*4))</f>
        <v/>
      </c>
      <c r="Q2520" s="27" t="str">
        <f aca="false">IF(J2520="","",MOD(P2520,4))</f>
        <v/>
      </c>
      <c r="R2520" s="27" t="str">
        <f aca="false">IF(J2520="","",INT(P2520/4))</f>
        <v/>
      </c>
      <c r="S2520" s="27" t="str">
        <f aca="false">IF(J2520="","",IF(AND('Daily Count Sheet'!$H$3=Q2520,MOD('Daily Count Sheet'!$I$3,J2520)=R2520),1,""))</f>
        <v/>
      </c>
      <c r="T2520" s="27" t="str">
        <f aca="false">IF(S2520=1,COUNTIF($S$2:S2520,1),"")</f>
        <v/>
      </c>
    </row>
    <row r="2521" customFormat="false" ht="15" hidden="false" customHeight="false" outlineLevel="0" collapsed="false">
      <c r="H2521" s="26"/>
      <c r="I2521" s="27" t="str">
        <f aca="false">IF(A2521="","",IF(H2521&lt;&gt;"",UPPER(TRIM(H2521)),IFERROR(CHOOSE(VALUE(E2521)+1,"A","B","C","D"),IF(OR(LEFT(UPPER(TRIM(E2521)),1)="F",UPPER(TRIM(E2521))="A"),"A",IF(OR(LEFT(UPPER(TRIM(E2521)),1)="M",UPPER(TRIM(E2521))="B"),"B",IF(OR(LEFT(UPPER(TRIM(E2521)),2)="SL",UPPER(TRIM(E2521))="C"),"C",IF(OR(LEFT(UPPER(TRIM(E2521)),1)="D",UPPER(TRIM(E2521))="D"),"D","")))))))</f>
        <v/>
      </c>
      <c r="J2521" s="27" t="str">
        <f aca="false">IF(I2521="","",IF(AND(I2521="D",Settings!$B$6&lt;&gt;"Yes"),"",IFERROR(INDEX(Settings!$C$9:$C$12,MATCH(I2521,Settings!$A$9:$A$12,0)),"")))</f>
        <v/>
      </c>
      <c r="K2521" s="27" t="str">
        <f aca="false">IF(J2521="","",COUNTIF($I$2:I2521,I2521))</f>
        <v/>
      </c>
      <c r="L2521" s="27" t="str">
        <f aca="false">IF(J2521="","",CHOOSE(Q2521+1,"Tue","Wed","Thu","Fri"))</f>
        <v/>
      </c>
      <c r="M2521" s="27" t="str">
        <f aca="false">IF(J2521="","",IF(J2521=1,"Every week",R2521+1&amp;" of "&amp;J2521))</f>
        <v/>
      </c>
      <c r="N2521" s="28" t="str">
        <f aca="false">IF(J2521="","",Settings!$B$4+R2521*7+Q2521)</f>
        <v/>
      </c>
      <c r="O2521" s="28" t="str">
        <f aca="true">IF(J2521="","",N2521+MAX(0,ROUNDUP((TODAY()-N2521)/(J2521*7),0))*J2521*7)</f>
        <v/>
      </c>
      <c r="P2521" s="27" t="str">
        <f aca="false">IF(J2521="","",MOD(K2521-1,J2521*4))</f>
        <v/>
      </c>
      <c r="Q2521" s="27" t="str">
        <f aca="false">IF(J2521="","",MOD(P2521,4))</f>
        <v/>
      </c>
      <c r="R2521" s="27" t="str">
        <f aca="false">IF(J2521="","",INT(P2521/4))</f>
        <v/>
      </c>
      <c r="S2521" s="27" t="str">
        <f aca="false">IF(J2521="","",IF(AND('Daily Count Sheet'!$H$3=Q2521,MOD('Daily Count Sheet'!$I$3,J2521)=R2521),1,""))</f>
        <v/>
      </c>
      <c r="T2521" s="27" t="str">
        <f aca="false">IF(S2521=1,COUNTIF($S$2:S2521,1),"")</f>
        <v/>
      </c>
    </row>
    <row r="2522" customFormat="false" ht="15" hidden="false" customHeight="false" outlineLevel="0" collapsed="false">
      <c r="H2522" s="26"/>
      <c r="I2522" s="27" t="str">
        <f aca="false">IF(A2522="","",IF(H2522&lt;&gt;"",UPPER(TRIM(H2522)),IFERROR(CHOOSE(VALUE(E2522)+1,"A","B","C","D"),IF(OR(LEFT(UPPER(TRIM(E2522)),1)="F",UPPER(TRIM(E2522))="A"),"A",IF(OR(LEFT(UPPER(TRIM(E2522)),1)="M",UPPER(TRIM(E2522))="B"),"B",IF(OR(LEFT(UPPER(TRIM(E2522)),2)="SL",UPPER(TRIM(E2522))="C"),"C",IF(OR(LEFT(UPPER(TRIM(E2522)),1)="D",UPPER(TRIM(E2522))="D"),"D","")))))))</f>
        <v/>
      </c>
      <c r="J2522" s="27" t="str">
        <f aca="false">IF(I2522="","",IF(AND(I2522="D",Settings!$B$6&lt;&gt;"Yes"),"",IFERROR(INDEX(Settings!$C$9:$C$12,MATCH(I2522,Settings!$A$9:$A$12,0)),"")))</f>
        <v/>
      </c>
      <c r="K2522" s="27" t="str">
        <f aca="false">IF(J2522="","",COUNTIF($I$2:I2522,I2522))</f>
        <v/>
      </c>
      <c r="L2522" s="27" t="str">
        <f aca="false">IF(J2522="","",CHOOSE(Q2522+1,"Tue","Wed","Thu","Fri"))</f>
        <v/>
      </c>
      <c r="M2522" s="27" t="str">
        <f aca="false">IF(J2522="","",IF(J2522=1,"Every week",R2522+1&amp;" of "&amp;J2522))</f>
        <v/>
      </c>
      <c r="N2522" s="28" t="str">
        <f aca="false">IF(J2522="","",Settings!$B$4+R2522*7+Q2522)</f>
        <v/>
      </c>
      <c r="O2522" s="28" t="str">
        <f aca="true">IF(J2522="","",N2522+MAX(0,ROUNDUP((TODAY()-N2522)/(J2522*7),0))*J2522*7)</f>
        <v/>
      </c>
      <c r="P2522" s="27" t="str">
        <f aca="false">IF(J2522="","",MOD(K2522-1,J2522*4))</f>
        <v/>
      </c>
      <c r="Q2522" s="27" t="str">
        <f aca="false">IF(J2522="","",MOD(P2522,4))</f>
        <v/>
      </c>
      <c r="R2522" s="27" t="str">
        <f aca="false">IF(J2522="","",INT(P2522/4))</f>
        <v/>
      </c>
      <c r="S2522" s="27" t="str">
        <f aca="false">IF(J2522="","",IF(AND('Daily Count Sheet'!$H$3=Q2522,MOD('Daily Count Sheet'!$I$3,J2522)=R2522),1,""))</f>
        <v/>
      </c>
      <c r="T2522" s="27" t="str">
        <f aca="false">IF(S2522=1,COUNTIF($S$2:S2522,1),"")</f>
        <v/>
      </c>
    </row>
    <row r="2523" customFormat="false" ht="15" hidden="false" customHeight="false" outlineLevel="0" collapsed="false">
      <c r="H2523" s="26"/>
      <c r="I2523" s="27" t="str">
        <f aca="false">IF(A2523="","",IF(H2523&lt;&gt;"",UPPER(TRIM(H2523)),IFERROR(CHOOSE(VALUE(E2523)+1,"A","B","C","D"),IF(OR(LEFT(UPPER(TRIM(E2523)),1)="F",UPPER(TRIM(E2523))="A"),"A",IF(OR(LEFT(UPPER(TRIM(E2523)),1)="M",UPPER(TRIM(E2523))="B"),"B",IF(OR(LEFT(UPPER(TRIM(E2523)),2)="SL",UPPER(TRIM(E2523))="C"),"C",IF(OR(LEFT(UPPER(TRIM(E2523)),1)="D",UPPER(TRIM(E2523))="D"),"D","")))))))</f>
        <v/>
      </c>
      <c r="J2523" s="27" t="str">
        <f aca="false">IF(I2523="","",IF(AND(I2523="D",Settings!$B$6&lt;&gt;"Yes"),"",IFERROR(INDEX(Settings!$C$9:$C$12,MATCH(I2523,Settings!$A$9:$A$12,0)),"")))</f>
        <v/>
      </c>
      <c r="K2523" s="27" t="str">
        <f aca="false">IF(J2523="","",COUNTIF($I$2:I2523,I2523))</f>
        <v/>
      </c>
      <c r="L2523" s="27" t="str">
        <f aca="false">IF(J2523="","",CHOOSE(Q2523+1,"Tue","Wed","Thu","Fri"))</f>
        <v/>
      </c>
      <c r="M2523" s="27" t="str">
        <f aca="false">IF(J2523="","",IF(J2523=1,"Every week",R2523+1&amp;" of "&amp;J2523))</f>
        <v/>
      </c>
      <c r="N2523" s="28" t="str">
        <f aca="false">IF(J2523="","",Settings!$B$4+R2523*7+Q2523)</f>
        <v/>
      </c>
      <c r="O2523" s="28" t="str">
        <f aca="true">IF(J2523="","",N2523+MAX(0,ROUNDUP((TODAY()-N2523)/(J2523*7),0))*J2523*7)</f>
        <v/>
      </c>
      <c r="P2523" s="27" t="str">
        <f aca="false">IF(J2523="","",MOD(K2523-1,J2523*4))</f>
        <v/>
      </c>
      <c r="Q2523" s="27" t="str">
        <f aca="false">IF(J2523="","",MOD(P2523,4))</f>
        <v/>
      </c>
      <c r="R2523" s="27" t="str">
        <f aca="false">IF(J2523="","",INT(P2523/4))</f>
        <v/>
      </c>
      <c r="S2523" s="27" t="str">
        <f aca="false">IF(J2523="","",IF(AND('Daily Count Sheet'!$H$3=Q2523,MOD('Daily Count Sheet'!$I$3,J2523)=R2523),1,""))</f>
        <v/>
      </c>
      <c r="T2523" s="27" t="str">
        <f aca="false">IF(S2523=1,COUNTIF($S$2:S2523,1),"")</f>
        <v/>
      </c>
    </row>
    <row r="2524" customFormat="false" ht="15" hidden="false" customHeight="false" outlineLevel="0" collapsed="false">
      <c r="H2524" s="26"/>
      <c r="I2524" s="27" t="str">
        <f aca="false">IF(A2524="","",IF(H2524&lt;&gt;"",UPPER(TRIM(H2524)),IFERROR(CHOOSE(VALUE(E2524)+1,"A","B","C","D"),IF(OR(LEFT(UPPER(TRIM(E2524)),1)="F",UPPER(TRIM(E2524))="A"),"A",IF(OR(LEFT(UPPER(TRIM(E2524)),1)="M",UPPER(TRIM(E2524))="B"),"B",IF(OR(LEFT(UPPER(TRIM(E2524)),2)="SL",UPPER(TRIM(E2524))="C"),"C",IF(OR(LEFT(UPPER(TRIM(E2524)),1)="D",UPPER(TRIM(E2524))="D"),"D","")))))))</f>
        <v/>
      </c>
      <c r="J2524" s="27" t="str">
        <f aca="false">IF(I2524="","",IF(AND(I2524="D",Settings!$B$6&lt;&gt;"Yes"),"",IFERROR(INDEX(Settings!$C$9:$C$12,MATCH(I2524,Settings!$A$9:$A$12,0)),"")))</f>
        <v/>
      </c>
      <c r="K2524" s="27" t="str">
        <f aca="false">IF(J2524="","",COUNTIF($I$2:I2524,I2524))</f>
        <v/>
      </c>
      <c r="L2524" s="27" t="str">
        <f aca="false">IF(J2524="","",CHOOSE(Q2524+1,"Tue","Wed","Thu","Fri"))</f>
        <v/>
      </c>
      <c r="M2524" s="27" t="str">
        <f aca="false">IF(J2524="","",IF(J2524=1,"Every week",R2524+1&amp;" of "&amp;J2524))</f>
        <v/>
      </c>
      <c r="N2524" s="28" t="str">
        <f aca="false">IF(J2524="","",Settings!$B$4+R2524*7+Q2524)</f>
        <v/>
      </c>
      <c r="O2524" s="28" t="str">
        <f aca="true">IF(J2524="","",N2524+MAX(0,ROUNDUP((TODAY()-N2524)/(J2524*7),0))*J2524*7)</f>
        <v/>
      </c>
      <c r="P2524" s="27" t="str">
        <f aca="false">IF(J2524="","",MOD(K2524-1,J2524*4))</f>
        <v/>
      </c>
      <c r="Q2524" s="27" t="str">
        <f aca="false">IF(J2524="","",MOD(P2524,4))</f>
        <v/>
      </c>
      <c r="R2524" s="27" t="str">
        <f aca="false">IF(J2524="","",INT(P2524/4))</f>
        <v/>
      </c>
      <c r="S2524" s="27" t="str">
        <f aca="false">IF(J2524="","",IF(AND('Daily Count Sheet'!$H$3=Q2524,MOD('Daily Count Sheet'!$I$3,J2524)=R2524),1,""))</f>
        <v/>
      </c>
      <c r="T2524" s="27" t="str">
        <f aca="false">IF(S2524=1,COUNTIF($S$2:S2524,1),"")</f>
        <v/>
      </c>
    </row>
    <row r="2525" customFormat="false" ht="15" hidden="false" customHeight="false" outlineLevel="0" collapsed="false">
      <c r="H2525" s="26"/>
      <c r="I2525" s="27" t="str">
        <f aca="false">IF(A2525="","",IF(H2525&lt;&gt;"",UPPER(TRIM(H2525)),IFERROR(CHOOSE(VALUE(E2525)+1,"A","B","C","D"),IF(OR(LEFT(UPPER(TRIM(E2525)),1)="F",UPPER(TRIM(E2525))="A"),"A",IF(OR(LEFT(UPPER(TRIM(E2525)),1)="M",UPPER(TRIM(E2525))="B"),"B",IF(OR(LEFT(UPPER(TRIM(E2525)),2)="SL",UPPER(TRIM(E2525))="C"),"C",IF(OR(LEFT(UPPER(TRIM(E2525)),1)="D",UPPER(TRIM(E2525))="D"),"D","")))))))</f>
        <v/>
      </c>
      <c r="J2525" s="27" t="str">
        <f aca="false">IF(I2525="","",IF(AND(I2525="D",Settings!$B$6&lt;&gt;"Yes"),"",IFERROR(INDEX(Settings!$C$9:$C$12,MATCH(I2525,Settings!$A$9:$A$12,0)),"")))</f>
        <v/>
      </c>
      <c r="K2525" s="27" t="str">
        <f aca="false">IF(J2525="","",COUNTIF($I$2:I2525,I2525))</f>
        <v/>
      </c>
      <c r="L2525" s="27" t="str">
        <f aca="false">IF(J2525="","",CHOOSE(Q2525+1,"Tue","Wed","Thu","Fri"))</f>
        <v/>
      </c>
      <c r="M2525" s="27" t="str">
        <f aca="false">IF(J2525="","",IF(J2525=1,"Every week",R2525+1&amp;" of "&amp;J2525))</f>
        <v/>
      </c>
      <c r="N2525" s="28" t="str">
        <f aca="false">IF(J2525="","",Settings!$B$4+R2525*7+Q2525)</f>
        <v/>
      </c>
      <c r="O2525" s="28" t="str">
        <f aca="true">IF(J2525="","",N2525+MAX(0,ROUNDUP((TODAY()-N2525)/(J2525*7),0))*J2525*7)</f>
        <v/>
      </c>
      <c r="P2525" s="27" t="str">
        <f aca="false">IF(J2525="","",MOD(K2525-1,J2525*4))</f>
        <v/>
      </c>
      <c r="Q2525" s="27" t="str">
        <f aca="false">IF(J2525="","",MOD(P2525,4))</f>
        <v/>
      </c>
      <c r="R2525" s="27" t="str">
        <f aca="false">IF(J2525="","",INT(P2525/4))</f>
        <v/>
      </c>
      <c r="S2525" s="27" t="str">
        <f aca="false">IF(J2525="","",IF(AND('Daily Count Sheet'!$H$3=Q2525,MOD('Daily Count Sheet'!$I$3,J2525)=R2525),1,""))</f>
        <v/>
      </c>
      <c r="T2525" s="27" t="str">
        <f aca="false">IF(S2525=1,COUNTIF($S$2:S2525,1),"")</f>
        <v/>
      </c>
    </row>
    <row r="2526" customFormat="false" ht="15" hidden="false" customHeight="false" outlineLevel="0" collapsed="false">
      <c r="H2526" s="26"/>
      <c r="I2526" s="27" t="str">
        <f aca="false">IF(A2526="","",IF(H2526&lt;&gt;"",UPPER(TRIM(H2526)),IFERROR(CHOOSE(VALUE(E2526)+1,"A","B","C","D"),IF(OR(LEFT(UPPER(TRIM(E2526)),1)="F",UPPER(TRIM(E2526))="A"),"A",IF(OR(LEFT(UPPER(TRIM(E2526)),1)="M",UPPER(TRIM(E2526))="B"),"B",IF(OR(LEFT(UPPER(TRIM(E2526)),2)="SL",UPPER(TRIM(E2526))="C"),"C",IF(OR(LEFT(UPPER(TRIM(E2526)),1)="D",UPPER(TRIM(E2526))="D"),"D","")))))))</f>
        <v/>
      </c>
      <c r="J2526" s="27" t="str">
        <f aca="false">IF(I2526="","",IF(AND(I2526="D",Settings!$B$6&lt;&gt;"Yes"),"",IFERROR(INDEX(Settings!$C$9:$C$12,MATCH(I2526,Settings!$A$9:$A$12,0)),"")))</f>
        <v/>
      </c>
      <c r="K2526" s="27" t="str">
        <f aca="false">IF(J2526="","",COUNTIF($I$2:I2526,I2526))</f>
        <v/>
      </c>
      <c r="L2526" s="27" t="str">
        <f aca="false">IF(J2526="","",CHOOSE(Q2526+1,"Tue","Wed","Thu","Fri"))</f>
        <v/>
      </c>
      <c r="M2526" s="27" t="str">
        <f aca="false">IF(J2526="","",IF(J2526=1,"Every week",R2526+1&amp;" of "&amp;J2526))</f>
        <v/>
      </c>
      <c r="N2526" s="28" t="str">
        <f aca="false">IF(J2526="","",Settings!$B$4+R2526*7+Q2526)</f>
        <v/>
      </c>
      <c r="O2526" s="28" t="str">
        <f aca="true">IF(J2526="","",N2526+MAX(0,ROUNDUP((TODAY()-N2526)/(J2526*7),0))*J2526*7)</f>
        <v/>
      </c>
      <c r="P2526" s="27" t="str">
        <f aca="false">IF(J2526="","",MOD(K2526-1,J2526*4))</f>
        <v/>
      </c>
      <c r="Q2526" s="27" t="str">
        <f aca="false">IF(J2526="","",MOD(P2526,4))</f>
        <v/>
      </c>
      <c r="R2526" s="27" t="str">
        <f aca="false">IF(J2526="","",INT(P2526/4))</f>
        <v/>
      </c>
      <c r="S2526" s="27" t="str">
        <f aca="false">IF(J2526="","",IF(AND('Daily Count Sheet'!$H$3=Q2526,MOD('Daily Count Sheet'!$I$3,J2526)=R2526),1,""))</f>
        <v/>
      </c>
      <c r="T2526" s="27" t="str">
        <f aca="false">IF(S2526=1,COUNTIF($S$2:S2526,1),"")</f>
        <v/>
      </c>
    </row>
    <row r="2527" customFormat="false" ht="15" hidden="false" customHeight="false" outlineLevel="0" collapsed="false">
      <c r="H2527" s="26"/>
      <c r="I2527" s="27" t="str">
        <f aca="false">IF(A2527="","",IF(H2527&lt;&gt;"",UPPER(TRIM(H2527)),IFERROR(CHOOSE(VALUE(E2527)+1,"A","B","C","D"),IF(OR(LEFT(UPPER(TRIM(E2527)),1)="F",UPPER(TRIM(E2527))="A"),"A",IF(OR(LEFT(UPPER(TRIM(E2527)),1)="M",UPPER(TRIM(E2527))="B"),"B",IF(OR(LEFT(UPPER(TRIM(E2527)),2)="SL",UPPER(TRIM(E2527))="C"),"C",IF(OR(LEFT(UPPER(TRIM(E2527)),1)="D",UPPER(TRIM(E2527))="D"),"D","")))))))</f>
        <v/>
      </c>
      <c r="J2527" s="27" t="str">
        <f aca="false">IF(I2527="","",IF(AND(I2527="D",Settings!$B$6&lt;&gt;"Yes"),"",IFERROR(INDEX(Settings!$C$9:$C$12,MATCH(I2527,Settings!$A$9:$A$12,0)),"")))</f>
        <v/>
      </c>
      <c r="K2527" s="27" t="str">
        <f aca="false">IF(J2527="","",COUNTIF($I$2:I2527,I2527))</f>
        <v/>
      </c>
      <c r="L2527" s="27" t="str">
        <f aca="false">IF(J2527="","",CHOOSE(Q2527+1,"Tue","Wed","Thu","Fri"))</f>
        <v/>
      </c>
      <c r="M2527" s="27" t="str">
        <f aca="false">IF(J2527="","",IF(J2527=1,"Every week",R2527+1&amp;" of "&amp;J2527))</f>
        <v/>
      </c>
      <c r="N2527" s="28" t="str">
        <f aca="false">IF(J2527="","",Settings!$B$4+R2527*7+Q2527)</f>
        <v/>
      </c>
      <c r="O2527" s="28" t="str">
        <f aca="true">IF(J2527="","",N2527+MAX(0,ROUNDUP((TODAY()-N2527)/(J2527*7),0))*J2527*7)</f>
        <v/>
      </c>
      <c r="P2527" s="27" t="str">
        <f aca="false">IF(J2527="","",MOD(K2527-1,J2527*4))</f>
        <v/>
      </c>
      <c r="Q2527" s="27" t="str">
        <f aca="false">IF(J2527="","",MOD(P2527,4))</f>
        <v/>
      </c>
      <c r="R2527" s="27" t="str">
        <f aca="false">IF(J2527="","",INT(P2527/4))</f>
        <v/>
      </c>
      <c r="S2527" s="27" t="str">
        <f aca="false">IF(J2527="","",IF(AND('Daily Count Sheet'!$H$3=Q2527,MOD('Daily Count Sheet'!$I$3,J2527)=R2527),1,""))</f>
        <v/>
      </c>
      <c r="T2527" s="27" t="str">
        <f aca="false">IF(S2527=1,COUNTIF($S$2:S2527,1),"")</f>
        <v/>
      </c>
    </row>
    <row r="2528" customFormat="false" ht="15" hidden="false" customHeight="false" outlineLevel="0" collapsed="false">
      <c r="H2528" s="26"/>
      <c r="I2528" s="27" t="str">
        <f aca="false">IF(A2528="","",IF(H2528&lt;&gt;"",UPPER(TRIM(H2528)),IFERROR(CHOOSE(VALUE(E2528)+1,"A","B","C","D"),IF(OR(LEFT(UPPER(TRIM(E2528)),1)="F",UPPER(TRIM(E2528))="A"),"A",IF(OR(LEFT(UPPER(TRIM(E2528)),1)="M",UPPER(TRIM(E2528))="B"),"B",IF(OR(LEFT(UPPER(TRIM(E2528)),2)="SL",UPPER(TRIM(E2528))="C"),"C",IF(OR(LEFT(UPPER(TRIM(E2528)),1)="D",UPPER(TRIM(E2528))="D"),"D","")))))))</f>
        <v/>
      </c>
      <c r="J2528" s="27" t="str">
        <f aca="false">IF(I2528="","",IF(AND(I2528="D",Settings!$B$6&lt;&gt;"Yes"),"",IFERROR(INDEX(Settings!$C$9:$C$12,MATCH(I2528,Settings!$A$9:$A$12,0)),"")))</f>
        <v/>
      </c>
      <c r="K2528" s="27" t="str">
        <f aca="false">IF(J2528="","",COUNTIF($I$2:I2528,I2528))</f>
        <v/>
      </c>
      <c r="L2528" s="27" t="str">
        <f aca="false">IF(J2528="","",CHOOSE(Q2528+1,"Tue","Wed","Thu","Fri"))</f>
        <v/>
      </c>
      <c r="M2528" s="27" t="str">
        <f aca="false">IF(J2528="","",IF(J2528=1,"Every week",R2528+1&amp;" of "&amp;J2528))</f>
        <v/>
      </c>
      <c r="N2528" s="28" t="str">
        <f aca="false">IF(J2528="","",Settings!$B$4+R2528*7+Q2528)</f>
        <v/>
      </c>
      <c r="O2528" s="28" t="str">
        <f aca="true">IF(J2528="","",N2528+MAX(0,ROUNDUP((TODAY()-N2528)/(J2528*7),0))*J2528*7)</f>
        <v/>
      </c>
      <c r="P2528" s="27" t="str">
        <f aca="false">IF(J2528="","",MOD(K2528-1,J2528*4))</f>
        <v/>
      </c>
      <c r="Q2528" s="27" t="str">
        <f aca="false">IF(J2528="","",MOD(P2528,4))</f>
        <v/>
      </c>
      <c r="R2528" s="27" t="str">
        <f aca="false">IF(J2528="","",INT(P2528/4))</f>
        <v/>
      </c>
      <c r="S2528" s="27" t="str">
        <f aca="false">IF(J2528="","",IF(AND('Daily Count Sheet'!$H$3=Q2528,MOD('Daily Count Sheet'!$I$3,J2528)=R2528),1,""))</f>
        <v/>
      </c>
      <c r="T2528" s="27" t="str">
        <f aca="false">IF(S2528=1,COUNTIF($S$2:S2528,1),"")</f>
        <v/>
      </c>
    </row>
    <row r="2529" customFormat="false" ht="15" hidden="false" customHeight="false" outlineLevel="0" collapsed="false">
      <c r="H2529" s="26"/>
      <c r="I2529" s="27" t="str">
        <f aca="false">IF(A2529="","",IF(H2529&lt;&gt;"",UPPER(TRIM(H2529)),IFERROR(CHOOSE(VALUE(E2529)+1,"A","B","C","D"),IF(OR(LEFT(UPPER(TRIM(E2529)),1)="F",UPPER(TRIM(E2529))="A"),"A",IF(OR(LEFT(UPPER(TRIM(E2529)),1)="M",UPPER(TRIM(E2529))="B"),"B",IF(OR(LEFT(UPPER(TRIM(E2529)),2)="SL",UPPER(TRIM(E2529))="C"),"C",IF(OR(LEFT(UPPER(TRIM(E2529)),1)="D",UPPER(TRIM(E2529))="D"),"D","")))))))</f>
        <v/>
      </c>
      <c r="J2529" s="27" t="str">
        <f aca="false">IF(I2529="","",IF(AND(I2529="D",Settings!$B$6&lt;&gt;"Yes"),"",IFERROR(INDEX(Settings!$C$9:$C$12,MATCH(I2529,Settings!$A$9:$A$12,0)),"")))</f>
        <v/>
      </c>
      <c r="K2529" s="27" t="str">
        <f aca="false">IF(J2529="","",COUNTIF($I$2:I2529,I2529))</f>
        <v/>
      </c>
      <c r="L2529" s="27" t="str">
        <f aca="false">IF(J2529="","",CHOOSE(Q2529+1,"Tue","Wed","Thu","Fri"))</f>
        <v/>
      </c>
      <c r="M2529" s="27" t="str">
        <f aca="false">IF(J2529="","",IF(J2529=1,"Every week",R2529+1&amp;" of "&amp;J2529))</f>
        <v/>
      </c>
      <c r="N2529" s="28" t="str">
        <f aca="false">IF(J2529="","",Settings!$B$4+R2529*7+Q2529)</f>
        <v/>
      </c>
      <c r="O2529" s="28" t="str">
        <f aca="true">IF(J2529="","",N2529+MAX(0,ROUNDUP((TODAY()-N2529)/(J2529*7),0))*J2529*7)</f>
        <v/>
      </c>
      <c r="P2529" s="27" t="str">
        <f aca="false">IF(J2529="","",MOD(K2529-1,J2529*4))</f>
        <v/>
      </c>
      <c r="Q2529" s="27" t="str">
        <f aca="false">IF(J2529="","",MOD(P2529,4))</f>
        <v/>
      </c>
      <c r="R2529" s="27" t="str">
        <f aca="false">IF(J2529="","",INT(P2529/4))</f>
        <v/>
      </c>
      <c r="S2529" s="27" t="str">
        <f aca="false">IF(J2529="","",IF(AND('Daily Count Sheet'!$H$3=Q2529,MOD('Daily Count Sheet'!$I$3,J2529)=R2529),1,""))</f>
        <v/>
      </c>
      <c r="T2529" s="27" t="str">
        <f aca="false">IF(S2529=1,COUNTIF($S$2:S2529,1),"")</f>
        <v/>
      </c>
    </row>
    <row r="2530" customFormat="false" ht="15" hidden="false" customHeight="false" outlineLevel="0" collapsed="false">
      <c r="H2530" s="26"/>
      <c r="I2530" s="27" t="str">
        <f aca="false">IF(A2530="","",IF(H2530&lt;&gt;"",UPPER(TRIM(H2530)),IFERROR(CHOOSE(VALUE(E2530)+1,"A","B","C","D"),IF(OR(LEFT(UPPER(TRIM(E2530)),1)="F",UPPER(TRIM(E2530))="A"),"A",IF(OR(LEFT(UPPER(TRIM(E2530)),1)="M",UPPER(TRIM(E2530))="B"),"B",IF(OR(LEFT(UPPER(TRIM(E2530)),2)="SL",UPPER(TRIM(E2530))="C"),"C",IF(OR(LEFT(UPPER(TRIM(E2530)),1)="D",UPPER(TRIM(E2530))="D"),"D","")))))))</f>
        <v/>
      </c>
      <c r="J2530" s="27" t="str">
        <f aca="false">IF(I2530="","",IF(AND(I2530="D",Settings!$B$6&lt;&gt;"Yes"),"",IFERROR(INDEX(Settings!$C$9:$C$12,MATCH(I2530,Settings!$A$9:$A$12,0)),"")))</f>
        <v/>
      </c>
      <c r="K2530" s="27" t="str">
        <f aca="false">IF(J2530="","",COUNTIF($I$2:I2530,I2530))</f>
        <v/>
      </c>
      <c r="L2530" s="27" t="str">
        <f aca="false">IF(J2530="","",CHOOSE(Q2530+1,"Tue","Wed","Thu","Fri"))</f>
        <v/>
      </c>
      <c r="M2530" s="27" t="str">
        <f aca="false">IF(J2530="","",IF(J2530=1,"Every week",R2530+1&amp;" of "&amp;J2530))</f>
        <v/>
      </c>
      <c r="N2530" s="28" t="str">
        <f aca="false">IF(J2530="","",Settings!$B$4+R2530*7+Q2530)</f>
        <v/>
      </c>
      <c r="O2530" s="28" t="str">
        <f aca="true">IF(J2530="","",N2530+MAX(0,ROUNDUP((TODAY()-N2530)/(J2530*7),0))*J2530*7)</f>
        <v/>
      </c>
      <c r="P2530" s="27" t="str">
        <f aca="false">IF(J2530="","",MOD(K2530-1,J2530*4))</f>
        <v/>
      </c>
      <c r="Q2530" s="27" t="str">
        <f aca="false">IF(J2530="","",MOD(P2530,4))</f>
        <v/>
      </c>
      <c r="R2530" s="27" t="str">
        <f aca="false">IF(J2530="","",INT(P2530/4))</f>
        <v/>
      </c>
      <c r="S2530" s="27" t="str">
        <f aca="false">IF(J2530="","",IF(AND('Daily Count Sheet'!$H$3=Q2530,MOD('Daily Count Sheet'!$I$3,J2530)=R2530),1,""))</f>
        <v/>
      </c>
      <c r="T2530" s="27" t="str">
        <f aca="false">IF(S2530=1,COUNTIF($S$2:S2530,1),"")</f>
        <v/>
      </c>
    </row>
    <row r="2531" customFormat="false" ht="15" hidden="false" customHeight="false" outlineLevel="0" collapsed="false">
      <c r="H2531" s="26"/>
      <c r="I2531" s="27" t="str">
        <f aca="false">IF(A2531="","",IF(H2531&lt;&gt;"",UPPER(TRIM(H2531)),IFERROR(CHOOSE(VALUE(E2531)+1,"A","B","C","D"),IF(OR(LEFT(UPPER(TRIM(E2531)),1)="F",UPPER(TRIM(E2531))="A"),"A",IF(OR(LEFT(UPPER(TRIM(E2531)),1)="M",UPPER(TRIM(E2531))="B"),"B",IF(OR(LEFT(UPPER(TRIM(E2531)),2)="SL",UPPER(TRIM(E2531))="C"),"C",IF(OR(LEFT(UPPER(TRIM(E2531)),1)="D",UPPER(TRIM(E2531))="D"),"D","")))))))</f>
        <v/>
      </c>
      <c r="J2531" s="27" t="str">
        <f aca="false">IF(I2531="","",IF(AND(I2531="D",Settings!$B$6&lt;&gt;"Yes"),"",IFERROR(INDEX(Settings!$C$9:$C$12,MATCH(I2531,Settings!$A$9:$A$12,0)),"")))</f>
        <v/>
      </c>
      <c r="K2531" s="27" t="str">
        <f aca="false">IF(J2531="","",COUNTIF($I$2:I2531,I2531))</f>
        <v/>
      </c>
      <c r="L2531" s="27" t="str">
        <f aca="false">IF(J2531="","",CHOOSE(Q2531+1,"Tue","Wed","Thu","Fri"))</f>
        <v/>
      </c>
      <c r="M2531" s="27" t="str">
        <f aca="false">IF(J2531="","",IF(J2531=1,"Every week",R2531+1&amp;" of "&amp;J2531))</f>
        <v/>
      </c>
      <c r="N2531" s="28" t="str">
        <f aca="false">IF(J2531="","",Settings!$B$4+R2531*7+Q2531)</f>
        <v/>
      </c>
      <c r="O2531" s="28" t="str">
        <f aca="true">IF(J2531="","",N2531+MAX(0,ROUNDUP((TODAY()-N2531)/(J2531*7),0))*J2531*7)</f>
        <v/>
      </c>
      <c r="P2531" s="27" t="str">
        <f aca="false">IF(J2531="","",MOD(K2531-1,J2531*4))</f>
        <v/>
      </c>
      <c r="Q2531" s="27" t="str">
        <f aca="false">IF(J2531="","",MOD(P2531,4))</f>
        <v/>
      </c>
      <c r="R2531" s="27" t="str">
        <f aca="false">IF(J2531="","",INT(P2531/4))</f>
        <v/>
      </c>
      <c r="S2531" s="27" t="str">
        <f aca="false">IF(J2531="","",IF(AND('Daily Count Sheet'!$H$3=Q2531,MOD('Daily Count Sheet'!$I$3,J2531)=R2531),1,""))</f>
        <v/>
      </c>
      <c r="T2531" s="27" t="str">
        <f aca="false">IF(S2531=1,COUNTIF($S$2:S2531,1),"")</f>
        <v/>
      </c>
    </row>
    <row r="2532" customFormat="false" ht="15" hidden="false" customHeight="false" outlineLevel="0" collapsed="false">
      <c r="H2532" s="26"/>
      <c r="I2532" s="27" t="str">
        <f aca="false">IF(A2532="","",IF(H2532&lt;&gt;"",UPPER(TRIM(H2532)),IFERROR(CHOOSE(VALUE(E2532)+1,"A","B","C","D"),IF(OR(LEFT(UPPER(TRIM(E2532)),1)="F",UPPER(TRIM(E2532))="A"),"A",IF(OR(LEFT(UPPER(TRIM(E2532)),1)="M",UPPER(TRIM(E2532))="B"),"B",IF(OR(LEFT(UPPER(TRIM(E2532)),2)="SL",UPPER(TRIM(E2532))="C"),"C",IF(OR(LEFT(UPPER(TRIM(E2532)),1)="D",UPPER(TRIM(E2532))="D"),"D","")))))))</f>
        <v/>
      </c>
      <c r="J2532" s="27" t="str">
        <f aca="false">IF(I2532="","",IF(AND(I2532="D",Settings!$B$6&lt;&gt;"Yes"),"",IFERROR(INDEX(Settings!$C$9:$C$12,MATCH(I2532,Settings!$A$9:$A$12,0)),"")))</f>
        <v/>
      </c>
      <c r="K2532" s="27" t="str">
        <f aca="false">IF(J2532="","",COUNTIF($I$2:I2532,I2532))</f>
        <v/>
      </c>
      <c r="L2532" s="27" t="str">
        <f aca="false">IF(J2532="","",CHOOSE(Q2532+1,"Tue","Wed","Thu","Fri"))</f>
        <v/>
      </c>
      <c r="M2532" s="27" t="str">
        <f aca="false">IF(J2532="","",IF(J2532=1,"Every week",R2532+1&amp;" of "&amp;J2532))</f>
        <v/>
      </c>
      <c r="N2532" s="28" t="str">
        <f aca="false">IF(J2532="","",Settings!$B$4+R2532*7+Q2532)</f>
        <v/>
      </c>
      <c r="O2532" s="28" t="str">
        <f aca="true">IF(J2532="","",N2532+MAX(0,ROUNDUP((TODAY()-N2532)/(J2532*7),0))*J2532*7)</f>
        <v/>
      </c>
      <c r="P2532" s="27" t="str">
        <f aca="false">IF(J2532="","",MOD(K2532-1,J2532*4))</f>
        <v/>
      </c>
      <c r="Q2532" s="27" t="str">
        <f aca="false">IF(J2532="","",MOD(P2532,4))</f>
        <v/>
      </c>
      <c r="R2532" s="27" t="str">
        <f aca="false">IF(J2532="","",INT(P2532/4))</f>
        <v/>
      </c>
      <c r="S2532" s="27" t="str">
        <f aca="false">IF(J2532="","",IF(AND('Daily Count Sheet'!$H$3=Q2532,MOD('Daily Count Sheet'!$I$3,J2532)=R2532),1,""))</f>
        <v/>
      </c>
      <c r="T2532" s="27" t="str">
        <f aca="false">IF(S2532=1,COUNTIF($S$2:S2532,1),"")</f>
        <v/>
      </c>
    </row>
    <row r="2533" customFormat="false" ht="15" hidden="false" customHeight="false" outlineLevel="0" collapsed="false">
      <c r="H2533" s="26"/>
      <c r="I2533" s="27" t="str">
        <f aca="false">IF(A2533="","",IF(H2533&lt;&gt;"",UPPER(TRIM(H2533)),IFERROR(CHOOSE(VALUE(E2533)+1,"A","B","C","D"),IF(OR(LEFT(UPPER(TRIM(E2533)),1)="F",UPPER(TRIM(E2533))="A"),"A",IF(OR(LEFT(UPPER(TRIM(E2533)),1)="M",UPPER(TRIM(E2533))="B"),"B",IF(OR(LEFT(UPPER(TRIM(E2533)),2)="SL",UPPER(TRIM(E2533))="C"),"C",IF(OR(LEFT(UPPER(TRIM(E2533)),1)="D",UPPER(TRIM(E2533))="D"),"D","")))))))</f>
        <v/>
      </c>
      <c r="J2533" s="27" t="str">
        <f aca="false">IF(I2533="","",IF(AND(I2533="D",Settings!$B$6&lt;&gt;"Yes"),"",IFERROR(INDEX(Settings!$C$9:$C$12,MATCH(I2533,Settings!$A$9:$A$12,0)),"")))</f>
        <v/>
      </c>
      <c r="K2533" s="27" t="str">
        <f aca="false">IF(J2533="","",COUNTIF($I$2:I2533,I2533))</f>
        <v/>
      </c>
      <c r="L2533" s="27" t="str">
        <f aca="false">IF(J2533="","",CHOOSE(Q2533+1,"Tue","Wed","Thu","Fri"))</f>
        <v/>
      </c>
      <c r="M2533" s="27" t="str">
        <f aca="false">IF(J2533="","",IF(J2533=1,"Every week",R2533+1&amp;" of "&amp;J2533))</f>
        <v/>
      </c>
      <c r="N2533" s="28" t="str">
        <f aca="false">IF(J2533="","",Settings!$B$4+R2533*7+Q2533)</f>
        <v/>
      </c>
      <c r="O2533" s="28" t="str">
        <f aca="true">IF(J2533="","",N2533+MAX(0,ROUNDUP((TODAY()-N2533)/(J2533*7),0))*J2533*7)</f>
        <v/>
      </c>
      <c r="P2533" s="27" t="str">
        <f aca="false">IF(J2533="","",MOD(K2533-1,J2533*4))</f>
        <v/>
      </c>
      <c r="Q2533" s="27" t="str">
        <f aca="false">IF(J2533="","",MOD(P2533,4))</f>
        <v/>
      </c>
      <c r="R2533" s="27" t="str">
        <f aca="false">IF(J2533="","",INT(P2533/4))</f>
        <v/>
      </c>
      <c r="S2533" s="27" t="str">
        <f aca="false">IF(J2533="","",IF(AND('Daily Count Sheet'!$H$3=Q2533,MOD('Daily Count Sheet'!$I$3,J2533)=R2533),1,""))</f>
        <v/>
      </c>
      <c r="T2533" s="27" t="str">
        <f aca="false">IF(S2533=1,COUNTIF($S$2:S2533,1),"")</f>
        <v/>
      </c>
    </row>
    <row r="2534" customFormat="false" ht="15" hidden="false" customHeight="false" outlineLevel="0" collapsed="false">
      <c r="H2534" s="26"/>
      <c r="I2534" s="27" t="str">
        <f aca="false">IF(A2534="","",IF(H2534&lt;&gt;"",UPPER(TRIM(H2534)),IFERROR(CHOOSE(VALUE(E2534)+1,"A","B","C","D"),IF(OR(LEFT(UPPER(TRIM(E2534)),1)="F",UPPER(TRIM(E2534))="A"),"A",IF(OR(LEFT(UPPER(TRIM(E2534)),1)="M",UPPER(TRIM(E2534))="B"),"B",IF(OR(LEFT(UPPER(TRIM(E2534)),2)="SL",UPPER(TRIM(E2534))="C"),"C",IF(OR(LEFT(UPPER(TRIM(E2534)),1)="D",UPPER(TRIM(E2534))="D"),"D","")))))))</f>
        <v/>
      </c>
      <c r="J2534" s="27" t="str">
        <f aca="false">IF(I2534="","",IF(AND(I2534="D",Settings!$B$6&lt;&gt;"Yes"),"",IFERROR(INDEX(Settings!$C$9:$C$12,MATCH(I2534,Settings!$A$9:$A$12,0)),"")))</f>
        <v/>
      </c>
      <c r="K2534" s="27" t="str">
        <f aca="false">IF(J2534="","",COUNTIF($I$2:I2534,I2534))</f>
        <v/>
      </c>
      <c r="L2534" s="27" t="str">
        <f aca="false">IF(J2534="","",CHOOSE(Q2534+1,"Tue","Wed","Thu","Fri"))</f>
        <v/>
      </c>
      <c r="M2534" s="27" t="str">
        <f aca="false">IF(J2534="","",IF(J2534=1,"Every week",R2534+1&amp;" of "&amp;J2534))</f>
        <v/>
      </c>
      <c r="N2534" s="28" t="str">
        <f aca="false">IF(J2534="","",Settings!$B$4+R2534*7+Q2534)</f>
        <v/>
      </c>
      <c r="O2534" s="28" t="str">
        <f aca="true">IF(J2534="","",N2534+MAX(0,ROUNDUP((TODAY()-N2534)/(J2534*7),0))*J2534*7)</f>
        <v/>
      </c>
      <c r="P2534" s="27" t="str">
        <f aca="false">IF(J2534="","",MOD(K2534-1,J2534*4))</f>
        <v/>
      </c>
      <c r="Q2534" s="27" t="str">
        <f aca="false">IF(J2534="","",MOD(P2534,4))</f>
        <v/>
      </c>
      <c r="R2534" s="27" t="str">
        <f aca="false">IF(J2534="","",INT(P2534/4))</f>
        <v/>
      </c>
      <c r="S2534" s="27" t="str">
        <f aca="false">IF(J2534="","",IF(AND('Daily Count Sheet'!$H$3=Q2534,MOD('Daily Count Sheet'!$I$3,J2534)=R2534),1,""))</f>
        <v/>
      </c>
      <c r="T2534" s="27" t="str">
        <f aca="false">IF(S2534=1,COUNTIF($S$2:S2534,1),"")</f>
        <v/>
      </c>
    </row>
    <row r="2535" customFormat="false" ht="15" hidden="false" customHeight="false" outlineLevel="0" collapsed="false">
      <c r="H2535" s="26"/>
      <c r="I2535" s="27" t="str">
        <f aca="false">IF(A2535="","",IF(H2535&lt;&gt;"",UPPER(TRIM(H2535)),IFERROR(CHOOSE(VALUE(E2535)+1,"A","B","C","D"),IF(OR(LEFT(UPPER(TRIM(E2535)),1)="F",UPPER(TRIM(E2535))="A"),"A",IF(OR(LEFT(UPPER(TRIM(E2535)),1)="M",UPPER(TRIM(E2535))="B"),"B",IF(OR(LEFT(UPPER(TRIM(E2535)),2)="SL",UPPER(TRIM(E2535))="C"),"C",IF(OR(LEFT(UPPER(TRIM(E2535)),1)="D",UPPER(TRIM(E2535))="D"),"D","")))))))</f>
        <v/>
      </c>
      <c r="J2535" s="27" t="str">
        <f aca="false">IF(I2535="","",IF(AND(I2535="D",Settings!$B$6&lt;&gt;"Yes"),"",IFERROR(INDEX(Settings!$C$9:$C$12,MATCH(I2535,Settings!$A$9:$A$12,0)),"")))</f>
        <v/>
      </c>
      <c r="K2535" s="27" t="str">
        <f aca="false">IF(J2535="","",COUNTIF($I$2:I2535,I2535))</f>
        <v/>
      </c>
      <c r="L2535" s="27" t="str">
        <f aca="false">IF(J2535="","",CHOOSE(Q2535+1,"Tue","Wed","Thu","Fri"))</f>
        <v/>
      </c>
      <c r="M2535" s="27" t="str">
        <f aca="false">IF(J2535="","",IF(J2535=1,"Every week",R2535+1&amp;" of "&amp;J2535))</f>
        <v/>
      </c>
      <c r="N2535" s="28" t="str">
        <f aca="false">IF(J2535="","",Settings!$B$4+R2535*7+Q2535)</f>
        <v/>
      </c>
      <c r="O2535" s="28" t="str">
        <f aca="true">IF(J2535="","",N2535+MAX(0,ROUNDUP((TODAY()-N2535)/(J2535*7),0))*J2535*7)</f>
        <v/>
      </c>
      <c r="P2535" s="27" t="str">
        <f aca="false">IF(J2535="","",MOD(K2535-1,J2535*4))</f>
        <v/>
      </c>
      <c r="Q2535" s="27" t="str">
        <f aca="false">IF(J2535="","",MOD(P2535,4))</f>
        <v/>
      </c>
      <c r="R2535" s="27" t="str">
        <f aca="false">IF(J2535="","",INT(P2535/4))</f>
        <v/>
      </c>
      <c r="S2535" s="27" t="str">
        <f aca="false">IF(J2535="","",IF(AND('Daily Count Sheet'!$H$3=Q2535,MOD('Daily Count Sheet'!$I$3,J2535)=R2535),1,""))</f>
        <v/>
      </c>
      <c r="T2535" s="27" t="str">
        <f aca="false">IF(S2535=1,COUNTIF($S$2:S2535,1),"")</f>
        <v/>
      </c>
    </row>
    <row r="2536" customFormat="false" ht="15" hidden="false" customHeight="false" outlineLevel="0" collapsed="false">
      <c r="H2536" s="26"/>
      <c r="I2536" s="27" t="str">
        <f aca="false">IF(A2536="","",IF(H2536&lt;&gt;"",UPPER(TRIM(H2536)),IFERROR(CHOOSE(VALUE(E2536)+1,"A","B","C","D"),IF(OR(LEFT(UPPER(TRIM(E2536)),1)="F",UPPER(TRIM(E2536))="A"),"A",IF(OR(LEFT(UPPER(TRIM(E2536)),1)="M",UPPER(TRIM(E2536))="B"),"B",IF(OR(LEFT(UPPER(TRIM(E2536)),2)="SL",UPPER(TRIM(E2536))="C"),"C",IF(OR(LEFT(UPPER(TRIM(E2536)),1)="D",UPPER(TRIM(E2536))="D"),"D","")))))))</f>
        <v/>
      </c>
      <c r="J2536" s="27" t="str">
        <f aca="false">IF(I2536="","",IF(AND(I2536="D",Settings!$B$6&lt;&gt;"Yes"),"",IFERROR(INDEX(Settings!$C$9:$C$12,MATCH(I2536,Settings!$A$9:$A$12,0)),"")))</f>
        <v/>
      </c>
      <c r="K2536" s="27" t="str">
        <f aca="false">IF(J2536="","",COUNTIF($I$2:I2536,I2536))</f>
        <v/>
      </c>
      <c r="L2536" s="27" t="str">
        <f aca="false">IF(J2536="","",CHOOSE(Q2536+1,"Tue","Wed","Thu","Fri"))</f>
        <v/>
      </c>
      <c r="M2536" s="27" t="str">
        <f aca="false">IF(J2536="","",IF(J2536=1,"Every week",R2536+1&amp;" of "&amp;J2536))</f>
        <v/>
      </c>
      <c r="N2536" s="28" t="str">
        <f aca="false">IF(J2536="","",Settings!$B$4+R2536*7+Q2536)</f>
        <v/>
      </c>
      <c r="O2536" s="28" t="str">
        <f aca="true">IF(J2536="","",N2536+MAX(0,ROUNDUP((TODAY()-N2536)/(J2536*7),0))*J2536*7)</f>
        <v/>
      </c>
      <c r="P2536" s="27" t="str">
        <f aca="false">IF(J2536="","",MOD(K2536-1,J2536*4))</f>
        <v/>
      </c>
      <c r="Q2536" s="27" t="str">
        <f aca="false">IF(J2536="","",MOD(P2536,4))</f>
        <v/>
      </c>
      <c r="R2536" s="27" t="str">
        <f aca="false">IF(J2536="","",INT(P2536/4))</f>
        <v/>
      </c>
      <c r="S2536" s="27" t="str">
        <f aca="false">IF(J2536="","",IF(AND('Daily Count Sheet'!$H$3=Q2536,MOD('Daily Count Sheet'!$I$3,J2536)=R2536),1,""))</f>
        <v/>
      </c>
      <c r="T2536" s="27" t="str">
        <f aca="false">IF(S2536=1,COUNTIF($S$2:S2536,1),"")</f>
        <v/>
      </c>
    </row>
    <row r="2537" customFormat="false" ht="15" hidden="false" customHeight="false" outlineLevel="0" collapsed="false">
      <c r="H2537" s="26"/>
      <c r="I2537" s="27" t="str">
        <f aca="false">IF(A2537="","",IF(H2537&lt;&gt;"",UPPER(TRIM(H2537)),IFERROR(CHOOSE(VALUE(E2537)+1,"A","B","C","D"),IF(OR(LEFT(UPPER(TRIM(E2537)),1)="F",UPPER(TRIM(E2537))="A"),"A",IF(OR(LEFT(UPPER(TRIM(E2537)),1)="M",UPPER(TRIM(E2537))="B"),"B",IF(OR(LEFT(UPPER(TRIM(E2537)),2)="SL",UPPER(TRIM(E2537))="C"),"C",IF(OR(LEFT(UPPER(TRIM(E2537)),1)="D",UPPER(TRIM(E2537))="D"),"D","")))))))</f>
        <v/>
      </c>
      <c r="J2537" s="27" t="str">
        <f aca="false">IF(I2537="","",IF(AND(I2537="D",Settings!$B$6&lt;&gt;"Yes"),"",IFERROR(INDEX(Settings!$C$9:$C$12,MATCH(I2537,Settings!$A$9:$A$12,0)),"")))</f>
        <v/>
      </c>
      <c r="K2537" s="27" t="str">
        <f aca="false">IF(J2537="","",COUNTIF($I$2:I2537,I2537))</f>
        <v/>
      </c>
      <c r="L2537" s="27" t="str">
        <f aca="false">IF(J2537="","",CHOOSE(Q2537+1,"Tue","Wed","Thu","Fri"))</f>
        <v/>
      </c>
      <c r="M2537" s="27" t="str">
        <f aca="false">IF(J2537="","",IF(J2537=1,"Every week",R2537+1&amp;" of "&amp;J2537))</f>
        <v/>
      </c>
      <c r="N2537" s="28" t="str">
        <f aca="false">IF(J2537="","",Settings!$B$4+R2537*7+Q2537)</f>
        <v/>
      </c>
      <c r="O2537" s="28" t="str">
        <f aca="true">IF(J2537="","",N2537+MAX(0,ROUNDUP((TODAY()-N2537)/(J2537*7),0))*J2537*7)</f>
        <v/>
      </c>
      <c r="P2537" s="27" t="str">
        <f aca="false">IF(J2537="","",MOD(K2537-1,J2537*4))</f>
        <v/>
      </c>
      <c r="Q2537" s="27" t="str">
        <f aca="false">IF(J2537="","",MOD(P2537,4))</f>
        <v/>
      </c>
      <c r="R2537" s="27" t="str">
        <f aca="false">IF(J2537="","",INT(P2537/4))</f>
        <v/>
      </c>
      <c r="S2537" s="27" t="str">
        <f aca="false">IF(J2537="","",IF(AND('Daily Count Sheet'!$H$3=Q2537,MOD('Daily Count Sheet'!$I$3,J2537)=R2537),1,""))</f>
        <v/>
      </c>
      <c r="T2537" s="27" t="str">
        <f aca="false">IF(S2537=1,COUNTIF($S$2:S2537,1),"")</f>
        <v/>
      </c>
    </row>
    <row r="2538" customFormat="false" ht="15" hidden="false" customHeight="false" outlineLevel="0" collapsed="false">
      <c r="H2538" s="26"/>
      <c r="I2538" s="27" t="str">
        <f aca="false">IF(A2538="","",IF(H2538&lt;&gt;"",UPPER(TRIM(H2538)),IFERROR(CHOOSE(VALUE(E2538)+1,"A","B","C","D"),IF(OR(LEFT(UPPER(TRIM(E2538)),1)="F",UPPER(TRIM(E2538))="A"),"A",IF(OR(LEFT(UPPER(TRIM(E2538)),1)="M",UPPER(TRIM(E2538))="B"),"B",IF(OR(LEFT(UPPER(TRIM(E2538)),2)="SL",UPPER(TRIM(E2538))="C"),"C",IF(OR(LEFT(UPPER(TRIM(E2538)),1)="D",UPPER(TRIM(E2538))="D"),"D","")))))))</f>
        <v/>
      </c>
      <c r="J2538" s="27" t="str">
        <f aca="false">IF(I2538="","",IF(AND(I2538="D",Settings!$B$6&lt;&gt;"Yes"),"",IFERROR(INDEX(Settings!$C$9:$C$12,MATCH(I2538,Settings!$A$9:$A$12,0)),"")))</f>
        <v/>
      </c>
      <c r="K2538" s="27" t="str">
        <f aca="false">IF(J2538="","",COUNTIF($I$2:I2538,I2538))</f>
        <v/>
      </c>
      <c r="L2538" s="27" t="str">
        <f aca="false">IF(J2538="","",CHOOSE(Q2538+1,"Tue","Wed","Thu","Fri"))</f>
        <v/>
      </c>
      <c r="M2538" s="27" t="str">
        <f aca="false">IF(J2538="","",IF(J2538=1,"Every week",R2538+1&amp;" of "&amp;J2538))</f>
        <v/>
      </c>
      <c r="N2538" s="28" t="str">
        <f aca="false">IF(J2538="","",Settings!$B$4+R2538*7+Q2538)</f>
        <v/>
      </c>
      <c r="O2538" s="28" t="str">
        <f aca="true">IF(J2538="","",N2538+MAX(0,ROUNDUP((TODAY()-N2538)/(J2538*7),0))*J2538*7)</f>
        <v/>
      </c>
      <c r="P2538" s="27" t="str">
        <f aca="false">IF(J2538="","",MOD(K2538-1,J2538*4))</f>
        <v/>
      </c>
      <c r="Q2538" s="27" t="str">
        <f aca="false">IF(J2538="","",MOD(P2538,4))</f>
        <v/>
      </c>
      <c r="R2538" s="27" t="str">
        <f aca="false">IF(J2538="","",INT(P2538/4))</f>
        <v/>
      </c>
      <c r="S2538" s="27" t="str">
        <f aca="false">IF(J2538="","",IF(AND('Daily Count Sheet'!$H$3=Q2538,MOD('Daily Count Sheet'!$I$3,J2538)=R2538),1,""))</f>
        <v/>
      </c>
      <c r="T2538" s="27" t="str">
        <f aca="false">IF(S2538=1,COUNTIF($S$2:S2538,1),"")</f>
        <v/>
      </c>
    </row>
    <row r="2539" customFormat="false" ht="15" hidden="false" customHeight="false" outlineLevel="0" collapsed="false">
      <c r="H2539" s="26"/>
      <c r="I2539" s="27" t="str">
        <f aca="false">IF(A2539="","",IF(H2539&lt;&gt;"",UPPER(TRIM(H2539)),IFERROR(CHOOSE(VALUE(E2539)+1,"A","B","C","D"),IF(OR(LEFT(UPPER(TRIM(E2539)),1)="F",UPPER(TRIM(E2539))="A"),"A",IF(OR(LEFT(UPPER(TRIM(E2539)),1)="M",UPPER(TRIM(E2539))="B"),"B",IF(OR(LEFT(UPPER(TRIM(E2539)),2)="SL",UPPER(TRIM(E2539))="C"),"C",IF(OR(LEFT(UPPER(TRIM(E2539)),1)="D",UPPER(TRIM(E2539))="D"),"D","")))))))</f>
        <v/>
      </c>
      <c r="J2539" s="27" t="str">
        <f aca="false">IF(I2539="","",IF(AND(I2539="D",Settings!$B$6&lt;&gt;"Yes"),"",IFERROR(INDEX(Settings!$C$9:$C$12,MATCH(I2539,Settings!$A$9:$A$12,0)),"")))</f>
        <v/>
      </c>
      <c r="K2539" s="27" t="str">
        <f aca="false">IF(J2539="","",COUNTIF($I$2:I2539,I2539))</f>
        <v/>
      </c>
      <c r="L2539" s="27" t="str">
        <f aca="false">IF(J2539="","",CHOOSE(Q2539+1,"Tue","Wed","Thu","Fri"))</f>
        <v/>
      </c>
      <c r="M2539" s="27" t="str">
        <f aca="false">IF(J2539="","",IF(J2539=1,"Every week",R2539+1&amp;" of "&amp;J2539))</f>
        <v/>
      </c>
      <c r="N2539" s="28" t="str">
        <f aca="false">IF(J2539="","",Settings!$B$4+R2539*7+Q2539)</f>
        <v/>
      </c>
      <c r="O2539" s="28" t="str">
        <f aca="true">IF(J2539="","",N2539+MAX(0,ROUNDUP((TODAY()-N2539)/(J2539*7),0))*J2539*7)</f>
        <v/>
      </c>
      <c r="P2539" s="27" t="str">
        <f aca="false">IF(J2539="","",MOD(K2539-1,J2539*4))</f>
        <v/>
      </c>
      <c r="Q2539" s="27" t="str">
        <f aca="false">IF(J2539="","",MOD(P2539,4))</f>
        <v/>
      </c>
      <c r="R2539" s="27" t="str">
        <f aca="false">IF(J2539="","",INT(P2539/4))</f>
        <v/>
      </c>
      <c r="S2539" s="27" t="str">
        <f aca="false">IF(J2539="","",IF(AND('Daily Count Sheet'!$H$3=Q2539,MOD('Daily Count Sheet'!$I$3,J2539)=R2539),1,""))</f>
        <v/>
      </c>
      <c r="T2539" s="27" t="str">
        <f aca="false">IF(S2539=1,COUNTIF($S$2:S2539,1),"")</f>
        <v/>
      </c>
    </row>
    <row r="2540" customFormat="false" ht="15" hidden="false" customHeight="false" outlineLevel="0" collapsed="false">
      <c r="H2540" s="26"/>
      <c r="I2540" s="27" t="str">
        <f aca="false">IF(A2540="","",IF(H2540&lt;&gt;"",UPPER(TRIM(H2540)),IFERROR(CHOOSE(VALUE(E2540)+1,"A","B","C","D"),IF(OR(LEFT(UPPER(TRIM(E2540)),1)="F",UPPER(TRIM(E2540))="A"),"A",IF(OR(LEFT(UPPER(TRIM(E2540)),1)="M",UPPER(TRIM(E2540))="B"),"B",IF(OR(LEFT(UPPER(TRIM(E2540)),2)="SL",UPPER(TRIM(E2540))="C"),"C",IF(OR(LEFT(UPPER(TRIM(E2540)),1)="D",UPPER(TRIM(E2540))="D"),"D","")))))))</f>
        <v/>
      </c>
      <c r="J2540" s="27" t="str">
        <f aca="false">IF(I2540="","",IF(AND(I2540="D",Settings!$B$6&lt;&gt;"Yes"),"",IFERROR(INDEX(Settings!$C$9:$C$12,MATCH(I2540,Settings!$A$9:$A$12,0)),"")))</f>
        <v/>
      </c>
      <c r="K2540" s="27" t="str">
        <f aca="false">IF(J2540="","",COUNTIF($I$2:I2540,I2540))</f>
        <v/>
      </c>
      <c r="L2540" s="27" t="str">
        <f aca="false">IF(J2540="","",CHOOSE(Q2540+1,"Tue","Wed","Thu","Fri"))</f>
        <v/>
      </c>
      <c r="M2540" s="27" t="str">
        <f aca="false">IF(J2540="","",IF(J2540=1,"Every week",R2540+1&amp;" of "&amp;J2540))</f>
        <v/>
      </c>
      <c r="N2540" s="28" t="str">
        <f aca="false">IF(J2540="","",Settings!$B$4+R2540*7+Q2540)</f>
        <v/>
      </c>
      <c r="O2540" s="28" t="str">
        <f aca="true">IF(J2540="","",N2540+MAX(0,ROUNDUP((TODAY()-N2540)/(J2540*7),0))*J2540*7)</f>
        <v/>
      </c>
      <c r="P2540" s="27" t="str">
        <f aca="false">IF(J2540="","",MOD(K2540-1,J2540*4))</f>
        <v/>
      </c>
      <c r="Q2540" s="27" t="str">
        <f aca="false">IF(J2540="","",MOD(P2540,4))</f>
        <v/>
      </c>
      <c r="R2540" s="27" t="str">
        <f aca="false">IF(J2540="","",INT(P2540/4))</f>
        <v/>
      </c>
      <c r="S2540" s="27" t="str">
        <f aca="false">IF(J2540="","",IF(AND('Daily Count Sheet'!$H$3=Q2540,MOD('Daily Count Sheet'!$I$3,J2540)=R2540),1,""))</f>
        <v/>
      </c>
      <c r="T2540" s="27" t="str">
        <f aca="false">IF(S2540=1,COUNTIF($S$2:S2540,1),"")</f>
        <v/>
      </c>
    </row>
    <row r="2541" customFormat="false" ht="15" hidden="false" customHeight="false" outlineLevel="0" collapsed="false">
      <c r="H2541" s="26"/>
      <c r="I2541" s="27" t="str">
        <f aca="false">IF(A2541="","",IF(H2541&lt;&gt;"",UPPER(TRIM(H2541)),IFERROR(CHOOSE(VALUE(E2541)+1,"A","B","C","D"),IF(OR(LEFT(UPPER(TRIM(E2541)),1)="F",UPPER(TRIM(E2541))="A"),"A",IF(OR(LEFT(UPPER(TRIM(E2541)),1)="M",UPPER(TRIM(E2541))="B"),"B",IF(OR(LEFT(UPPER(TRIM(E2541)),2)="SL",UPPER(TRIM(E2541))="C"),"C",IF(OR(LEFT(UPPER(TRIM(E2541)),1)="D",UPPER(TRIM(E2541))="D"),"D","")))))))</f>
        <v/>
      </c>
      <c r="J2541" s="27" t="str">
        <f aca="false">IF(I2541="","",IF(AND(I2541="D",Settings!$B$6&lt;&gt;"Yes"),"",IFERROR(INDEX(Settings!$C$9:$C$12,MATCH(I2541,Settings!$A$9:$A$12,0)),"")))</f>
        <v/>
      </c>
      <c r="K2541" s="27" t="str">
        <f aca="false">IF(J2541="","",COUNTIF($I$2:I2541,I2541))</f>
        <v/>
      </c>
      <c r="L2541" s="27" t="str">
        <f aca="false">IF(J2541="","",CHOOSE(Q2541+1,"Tue","Wed","Thu","Fri"))</f>
        <v/>
      </c>
      <c r="M2541" s="27" t="str">
        <f aca="false">IF(J2541="","",IF(J2541=1,"Every week",R2541+1&amp;" of "&amp;J2541))</f>
        <v/>
      </c>
      <c r="N2541" s="28" t="str">
        <f aca="false">IF(J2541="","",Settings!$B$4+R2541*7+Q2541)</f>
        <v/>
      </c>
      <c r="O2541" s="28" t="str">
        <f aca="true">IF(J2541="","",N2541+MAX(0,ROUNDUP((TODAY()-N2541)/(J2541*7),0))*J2541*7)</f>
        <v/>
      </c>
      <c r="P2541" s="27" t="str">
        <f aca="false">IF(J2541="","",MOD(K2541-1,J2541*4))</f>
        <v/>
      </c>
      <c r="Q2541" s="27" t="str">
        <f aca="false">IF(J2541="","",MOD(P2541,4))</f>
        <v/>
      </c>
      <c r="R2541" s="27" t="str">
        <f aca="false">IF(J2541="","",INT(P2541/4))</f>
        <v/>
      </c>
      <c r="S2541" s="27" t="str">
        <f aca="false">IF(J2541="","",IF(AND('Daily Count Sheet'!$H$3=Q2541,MOD('Daily Count Sheet'!$I$3,J2541)=R2541),1,""))</f>
        <v/>
      </c>
      <c r="T2541" s="27" t="str">
        <f aca="false">IF(S2541=1,COUNTIF($S$2:S2541,1),"")</f>
        <v/>
      </c>
    </row>
    <row r="2542" customFormat="false" ht="15" hidden="false" customHeight="false" outlineLevel="0" collapsed="false">
      <c r="H2542" s="26"/>
      <c r="I2542" s="27" t="str">
        <f aca="false">IF(A2542="","",IF(H2542&lt;&gt;"",UPPER(TRIM(H2542)),IFERROR(CHOOSE(VALUE(E2542)+1,"A","B","C","D"),IF(OR(LEFT(UPPER(TRIM(E2542)),1)="F",UPPER(TRIM(E2542))="A"),"A",IF(OR(LEFT(UPPER(TRIM(E2542)),1)="M",UPPER(TRIM(E2542))="B"),"B",IF(OR(LEFT(UPPER(TRIM(E2542)),2)="SL",UPPER(TRIM(E2542))="C"),"C",IF(OR(LEFT(UPPER(TRIM(E2542)),1)="D",UPPER(TRIM(E2542))="D"),"D","")))))))</f>
        <v/>
      </c>
      <c r="J2542" s="27" t="str">
        <f aca="false">IF(I2542="","",IF(AND(I2542="D",Settings!$B$6&lt;&gt;"Yes"),"",IFERROR(INDEX(Settings!$C$9:$C$12,MATCH(I2542,Settings!$A$9:$A$12,0)),"")))</f>
        <v/>
      </c>
      <c r="K2542" s="27" t="str">
        <f aca="false">IF(J2542="","",COUNTIF($I$2:I2542,I2542))</f>
        <v/>
      </c>
      <c r="L2542" s="27" t="str">
        <f aca="false">IF(J2542="","",CHOOSE(Q2542+1,"Tue","Wed","Thu","Fri"))</f>
        <v/>
      </c>
      <c r="M2542" s="27" t="str">
        <f aca="false">IF(J2542="","",IF(J2542=1,"Every week",R2542+1&amp;" of "&amp;J2542))</f>
        <v/>
      </c>
      <c r="N2542" s="28" t="str">
        <f aca="false">IF(J2542="","",Settings!$B$4+R2542*7+Q2542)</f>
        <v/>
      </c>
      <c r="O2542" s="28" t="str">
        <f aca="true">IF(J2542="","",N2542+MAX(0,ROUNDUP((TODAY()-N2542)/(J2542*7),0))*J2542*7)</f>
        <v/>
      </c>
      <c r="P2542" s="27" t="str">
        <f aca="false">IF(J2542="","",MOD(K2542-1,J2542*4))</f>
        <v/>
      </c>
      <c r="Q2542" s="27" t="str">
        <f aca="false">IF(J2542="","",MOD(P2542,4))</f>
        <v/>
      </c>
      <c r="R2542" s="27" t="str">
        <f aca="false">IF(J2542="","",INT(P2542/4))</f>
        <v/>
      </c>
      <c r="S2542" s="27" t="str">
        <f aca="false">IF(J2542="","",IF(AND('Daily Count Sheet'!$H$3=Q2542,MOD('Daily Count Sheet'!$I$3,J2542)=R2542),1,""))</f>
        <v/>
      </c>
      <c r="T2542" s="27" t="str">
        <f aca="false">IF(S2542=1,COUNTIF($S$2:S2542,1),"")</f>
        <v/>
      </c>
    </row>
    <row r="2543" customFormat="false" ht="15" hidden="false" customHeight="false" outlineLevel="0" collapsed="false">
      <c r="H2543" s="26"/>
      <c r="I2543" s="27" t="str">
        <f aca="false">IF(A2543="","",IF(H2543&lt;&gt;"",UPPER(TRIM(H2543)),IFERROR(CHOOSE(VALUE(E2543)+1,"A","B","C","D"),IF(OR(LEFT(UPPER(TRIM(E2543)),1)="F",UPPER(TRIM(E2543))="A"),"A",IF(OR(LEFT(UPPER(TRIM(E2543)),1)="M",UPPER(TRIM(E2543))="B"),"B",IF(OR(LEFT(UPPER(TRIM(E2543)),2)="SL",UPPER(TRIM(E2543))="C"),"C",IF(OR(LEFT(UPPER(TRIM(E2543)),1)="D",UPPER(TRIM(E2543))="D"),"D","")))))))</f>
        <v/>
      </c>
      <c r="J2543" s="27" t="str">
        <f aca="false">IF(I2543="","",IF(AND(I2543="D",Settings!$B$6&lt;&gt;"Yes"),"",IFERROR(INDEX(Settings!$C$9:$C$12,MATCH(I2543,Settings!$A$9:$A$12,0)),"")))</f>
        <v/>
      </c>
      <c r="K2543" s="27" t="str">
        <f aca="false">IF(J2543="","",COUNTIF($I$2:I2543,I2543))</f>
        <v/>
      </c>
      <c r="L2543" s="27" t="str">
        <f aca="false">IF(J2543="","",CHOOSE(Q2543+1,"Tue","Wed","Thu","Fri"))</f>
        <v/>
      </c>
      <c r="M2543" s="27" t="str">
        <f aca="false">IF(J2543="","",IF(J2543=1,"Every week",R2543+1&amp;" of "&amp;J2543))</f>
        <v/>
      </c>
      <c r="N2543" s="28" t="str">
        <f aca="false">IF(J2543="","",Settings!$B$4+R2543*7+Q2543)</f>
        <v/>
      </c>
      <c r="O2543" s="28" t="str">
        <f aca="true">IF(J2543="","",N2543+MAX(0,ROUNDUP((TODAY()-N2543)/(J2543*7),0))*J2543*7)</f>
        <v/>
      </c>
      <c r="P2543" s="27" t="str">
        <f aca="false">IF(J2543="","",MOD(K2543-1,J2543*4))</f>
        <v/>
      </c>
      <c r="Q2543" s="27" t="str">
        <f aca="false">IF(J2543="","",MOD(P2543,4))</f>
        <v/>
      </c>
      <c r="R2543" s="27" t="str">
        <f aca="false">IF(J2543="","",INT(P2543/4))</f>
        <v/>
      </c>
      <c r="S2543" s="27" t="str">
        <f aca="false">IF(J2543="","",IF(AND('Daily Count Sheet'!$H$3=Q2543,MOD('Daily Count Sheet'!$I$3,J2543)=R2543),1,""))</f>
        <v/>
      </c>
      <c r="T2543" s="27" t="str">
        <f aca="false">IF(S2543=1,COUNTIF($S$2:S2543,1),"")</f>
        <v/>
      </c>
    </row>
    <row r="2544" customFormat="false" ht="15" hidden="false" customHeight="false" outlineLevel="0" collapsed="false">
      <c r="H2544" s="26"/>
      <c r="I2544" s="27" t="str">
        <f aca="false">IF(A2544="","",IF(H2544&lt;&gt;"",UPPER(TRIM(H2544)),IFERROR(CHOOSE(VALUE(E2544)+1,"A","B","C","D"),IF(OR(LEFT(UPPER(TRIM(E2544)),1)="F",UPPER(TRIM(E2544))="A"),"A",IF(OR(LEFT(UPPER(TRIM(E2544)),1)="M",UPPER(TRIM(E2544))="B"),"B",IF(OR(LEFT(UPPER(TRIM(E2544)),2)="SL",UPPER(TRIM(E2544))="C"),"C",IF(OR(LEFT(UPPER(TRIM(E2544)),1)="D",UPPER(TRIM(E2544))="D"),"D","")))))))</f>
        <v/>
      </c>
      <c r="J2544" s="27" t="str">
        <f aca="false">IF(I2544="","",IF(AND(I2544="D",Settings!$B$6&lt;&gt;"Yes"),"",IFERROR(INDEX(Settings!$C$9:$C$12,MATCH(I2544,Settings!$A$9:$A$12,0)),"")))</f>
        <v/>
      </c>
      <c r="K2544" s="27" t="str">
        <f aca="false">IF(J2544="","",COUNTIF($I$2:I2544,I2544))</f>
        <v/>
      </c>
      <c r="L2544" s="27" t="str">
        <f aca="false">IF(J2544="","",CHOOSE(Q2544+1,"Tue","Wed","Thu","Fri"))</f>
        <v/>
      </c>
      <c r="M2544" s="27" t="str">
        <f aca="false">IF(J2544="","",IF(J2544=1,"Every week",R2544+1&amp;" of "&amp;J2544))</f>
        <v/>
      </c>
      <c r="N2544" s="28" t="str">
        <f aca="false">IF(J2544="","",Settings!$B$4+R2544*7+Q2544)</f>
        <v/>
      </c>
      <c r="O2544" s="28" t="str">
        <f aca="true">IF(J2544="","",N2544+MAX(0,ROUNDUP((TODAY()-N2544)/(J2544*7),0))*J2544*7)</f>
        <v/>
      </c>
      <c r="P2544" s="27" t="str">
        <f aca="false">IF(J2544="","",MOD(K2544-1,J2544*4))</f>
        <v/>
      </c>
      <c r="Q2544" s="27" t="str">
        <f aca="false">IF(J2544="","",MOD(P2544,4))</f>
        <v/>
      </c>
      <c r="R2544" s="27" t="str">
        <f aca="false">IF(J2544="","",INT(P2544/4))</f>
        <v/>
      </c>
      <c r="S2544" s="27" t="str">
        <f aca="false">IF(J2544="","",IF(AND('Daily Count Sheet'!$H$3=Q2544,MOD('Daily Count Sheet'!$I$3,J2544)=R2544),1,""))</f>
        <v/>
      </c>
      <c r="T2544" s="27" t="str">
        <f aca="false">IF(S2544=1,COUNTIF($S$2:S2544,1),"")</f>
        <v/>
      </c>
    </row>
    <row r="2545" customFormat="false" ht="15" hidden="false" customHeight="false" outlineLevel="0" collapsed="false">
      <c r="H2545" s="26"/>
      <c r="I2545" s="27" t="str">
        <f aca="false">IF(A2545="","",IF(H2545&lt;&gt;"",UPPER(TRIM(H2545)),IFERROR(CHOOSE(VALUE(E2545)+1,"A","B","C","D"),IF(OR(LEFT(UPPER(TRIM(E2545)),1)="F",UPPER(TRIM(E2545))="A"),"A",IF(OR(LEFT(UPPER(TRIM(E2545)),1)="M",UPPER(TRIM(E2545))="B"),"B",IF(OR(LEFT(UPPER(TRIM(E2545)),2)="SL",UPPER(TRIM(E2545))="C"),"C",IF(OR(LEFT(UPPER(TRIM(E2545)),1)="D",UPPER(TRIM(E2545))="D"),"D","")))))))</f>
        <v/>
      </c>
      <c r="J2545" s="27" t="str">
        <f aca="false">IF(I2545="","",IF(AND(I2545="D",Settings!$B$6&lt;&gt;"Yes"),"",IFERROR(INDEX(Settings!$C$9:$C$12,MATCH(I2545,Settings!$A$9:$A$12,0)),"")))</f>
        <v/>
      </c>
      <c r="K2545" s="27" t="str">
        <f aca="false">IF(J2545="","",COUNTIF($I$2:I2545,I2545))</f>
        <v/>
      </c>
      <c r="L2545" s="27" t="str">
        <f aca="false">IF(J2545="","",CHOOSE(Q2545+1,"Tue","Wed","Thu","Fri"))</f>
        <v/>
      </c>
      <c r="M2545" s="27" t="str">
        <f aca="false">IF(J2545="","",IF(J2545=1,"Every week",R2545+1&amp;" of "&amp;J2545))</f>
        <v/>
      </c>
      <c r="N2545" s="28" t="str">
        <f aca="false">IF(J2545="","",Settings!$B$4+R2545*7+Q2545)</f>
        <v/>
      </c>
      <c r="O2545" s="28" t="str">
        <f aca="true">IF(J2545="","",N2545+MAX(0,ROUNDUP((TODAY()-N2545)/(J2545*7),0))*J2545*7)</f>
        <v/>
      </c>
      <c r="P2545" s="27" t="str">
        <f aca="false">IF(J2545="","",MOD(K2545-1,J2545*4))</f>
        <v/>
      </c>
      <c r="Q2545" s="27" t="str">
        <f aca="false">IF(J2545="","",MOD(P2545,4))</f>
        <v/>
      </c>
      <c r="R2545" s="27" t="str">
        <f aca="false">IF(J2545="","",INT(P2545/4))</f>
        <v/>
      </c>
      <c r="S2545" s="27" t="str">
        <f aca="false">IF(J2545="","",IF(AND('Daily Count Sheet'!$H$3=Q2545,MOD('Daily Count Sheet'!$I$3,J2545)=R2545),1,""))</f>
        <v/>
      </c>
      <c r="T2545" s="27" t="str">
        <f aca="false">IF(S2545=1,COUNTIF($S$2:S2545,1),"")</f>
        <v/>
      </c>
    </row>
    <row r="2546" customFormat="false" ht="15" hidden="false" customHeight="false" outlineLevel="0" collapsed="false">
      <c r="H2546" s="26"/>
      <c r="I2546" s="27" t="str">
        <f aca="false">IF(A2546="","",IF(H2546&lt;&gt;"",UPPER(TRIM(H2546)),IFERROR(CHOOSE(VALUE(E2546)+1,"A","B","C","D"),IF(OR(LEFT(UPPER(TRIM(E2546)),1)="F",UPPER(TRIM(E2546))="A"),"A",IF(OR(LEFT(UPPER(TRIM(E2546)),1)="M",UPPER(TRIM(E2546))="B"),"B",IF(OR(LEFT(UPPER(TRIM(E2546)),2)="SL",UPPER(TRIM(E2546))="C"),"C",IF(OR(LEFT(UPPER(TRIM(E2546)),1)="D",UPPER(TRIM(E2546))="D"),"D","")))))))</f>
        <v/>
      </c>
      <c r="J2546" s="27" t="str">
        <f aca="false">IF(I2546="","",IF(AND(I2546="D",Settings!$B$6&lt;&gt;"Yes"),"",IFERROR(INDEX(Settings!$C$9:$C$12,MATCH(I2546,Settings!$A$9:$A$12,0)),"")))</f>
        <v/>
      </c>
      <c r="K2546" s="27" t="str">
        <f aca="false">IF(J2546="","",COUNTIF($I$2:I2546,I2546))</f>
        <v/>
      </c>
      <c r="L2546" s="27" t="str">
        <f aca="false">IF(J2546="","",CHOOSE(Q2546+1,"Tue","Wed","Thu","Fri"))</f>
        <v/>
      </c>
      <c r="M2546" s="27" t="str">
        <f aca="false">IF(J2546="","",IF(J2546=1,"Every week",R2546+1&amp;" of "&amp;J2546))</f>
        <v/>
      </c>
      <c r="N2546" s="28" t="str">
        <f aca="false">IF(J2546="","",Settings!$B$4+R2546*7+Q2546)</f>
        <v/>
      </c>
      <c r="O2546" s="28" t="str">
        <f aca="true">IF(J2546="","",N2546+MAX(0,ROUNDUP((TODAY()-N2546)/(J2546*7),0))*J2546*7)</f>
        <v/>
      </c>
      <c r="P2546" s="27" t="str">
        <f aca="false">IF(J2546="","",MOD(K2546-1,J2546*4))</f>
        <v/>
      </c>
      <c r="Q2546" s="27" t="str">
        <f aca="false">IF(J2546="","",MOD(P2546,4))</f>
        <v/>
      </c>
      <c r="R2546" s="27" t="str">
        <f aca="false">IF(J2546="","",INT(P2546/4))</f>
        <v/>
      </c>
      <c r="S2546" s="27" t="str">
        <f aca="false">IF(J2546="","",IF(AND('Daily Count Sheet'!$H$3=Q2546,MOD('Daily Count Sheet'!$I$3,J2546)=R2546),1,""))</f>
        <v/>
      </c>
      <c r="T2546" s="27" t="str">
        <f aca="false">IF(S2546=1,COUNTIF($S$2:S2546,1),"")</f>
        <v/>
      </c>
    </row>
    <row r="2547" customFormat="false" ht="15" hidden="false" customHeight="false" outlineLevel="0" collapsed="false">
      <c r="H2547" s="26"/>
      <c r="I2547" s="27" t="str">
        <f aca="false">IF(A2547="","",IF(H2547&lt;&gt;"",UPPER(TRIM(H2547)),IFERROR(CHOOSE(VALUE(E2547)+1,"A","B","C","D"),IF(OR(LEFT(UPPER(TRIM(E2547)),1)="F",UPPER(TRIM(E2547))="A"),"A",IF(OR(LEFT(UPPER(TRIM(E2547)),1)="M",UPPER(TRIM(E2547))="B"),"B",IF(OR(LEFT(UPPER(TRIM(E2547)),2)="SL",UPPER(TRIM(E2547))="C"),"C",IF(OR(LEFT(UPPER(TRIM(E2547)),1)="D",UPPER(TRIM(E2547))="D"),"D","")))))))</f>
        <v/>
      </c>
      <c r="J2547" s="27" t="str">
        <f aca="false">IF(I2547="","",IF(AND(I2547="D",Settings!$B$6&lt;&gt;"Yes"),"",IFERROR(INDEX(Settings!$C$9:$C$12,MATCH(I2547,Settings!$A$9:$A$12,0)),"")))</f>
        <v/>
      </c>
      <c r="K2547" s="27" t="str">
        <f aca="false">IF(J2547="","",COUNTIF($I$2:I2547,I2547))</f>
        <v/>
      </c>
      <c r="L2547" s="27" t="str">
        <f aca="false">IF(J2547="","",CHOOSE(Q2547+1,"Tue","Wed","Thu","Fri"))</f>
        <v/>
      </c>
      <c r="M2547" s="27" t="str">
        <f aca="false">IF(J2547="","",IF(J2547=1,"Every week",R2547+1&amp;" of "&amp;J2547))</f>
        <v/>
      </c>
      <c r="N2547" s="28" t="str">
        <f aca="false">IF(J2547="","",Settings!$B$4+R2547*7+Q2547)</f>
        <v/>
      </c>
      <c r="O2547" s="28" t="str">
        <f aca="true">IF(J2547="","",N2547+MAX(0,ROUNDUP((TODAY()-N2547)/(J2547*7),0))*J2547*7)</f>
        <v/>
      </c>
      <c r="P2547" s="27" t="str">
        <f aca="false">IF(J2547="","",MOD(K2547-1,J2547*4))</f>
        <v/>
      </c>
      <c r="Q2547" s="27" t="str">
        <f aca="false">IF(J2547="","",MOD(P2547,4))</f>
        <v/>
      </c>
      <c r="R2547" s="27" t="str">
        <f aca="false">IF(J2547="","",INT(P2547/4))</f>
        <v/>
      </c>
      <c r="S2547" s="27" t="str">
        <f aca="false">IF(J2547="","",IF(AND('Daily Count Sheet'!$H$3=Q2547,MOD('Daily Count Sheet'!$I$3,J2547)=R2547),1,""))</f>
        <v/>
      </c>
      <c r="T2547" s="27" t="str">
        <f aca="false">IF(S2547=1,COUNTIF($S$2:S2547,1),"")</f>
        <v/>
      </c>
    </row>
    <row r="2548" customFormat="false" ht="15" hidden="false" customHeight="false" outlineLevel="0" collapsed="false">
      <c r="H2548" s="26"/>
      <c r="I2548" s="27" t="str">
        <f aca="false">IF(A2548="","",IF(H2548&lt;&gt;"",UPPER(TRIM(H2548)),IFERROR(CHOOSE(VALUE(E2548)+1,"A","B","C","D"),IF(OR(LEFT(UPPER(TRIM(E2548)),1)="F",UPPER(TRIM(E2548))="A"),"A",IF(OR(LEFT(UPPER(TRIM(E2548)),1)="M",UPPER(TRIM(E2548))="B"),"B",IF(OR(LEFT(UPPER(TRIM(E2548)),2)="SL",UPPER(TRIM(E2548))="C"),"C",IF(OR(LEFT(UPPER(TRIM(E2548)),1)="D",UPPER(TRIM(E2548))="D"),"D","")))))))</f>
        <v/>
      </c>
      <c r="J2548" s="27" t="str">
        <f aca="false">IF(I2548="","",IF(AND(I2548="D",Settings!$B$6&lt;&gt;"Yes"),"",IFERROR(INDEX(Settings!$C$9:$C$12,MATCH(I2548,Settings!$A$9:$A$12,0)),"")))</f>
        <v/>
      </c>
      <c r="K2548" s="27" t="str">
        <f aca="false">IF(J2548="","",COUNTIF($I$2:I2548,I2548))</f>
        <v/>
      </c>
      <c r="L2548" s="27" t="str">
        <f aca="false">IF(J2548="","",CHOOSE(Q2548+1,"Tue","Wed","Thu","Fri"))</f>
        <v/>
      </c>
      <c r="M2548" s="27" t="str">
        <f aca="false">IF(J2548="","",IF(J2548=1,"Every week",R2548+1&amp;" of "&amp;J2548))</f>
        <v/>
      </c>
      <c r="N2548" s="28" t="str">
        <f aca="false">IF(J2548="","",Settings!$B$4+R2548*7+Q2548)</f>
        <v/>
      </c>
      <c r="O2548" s="28" t="str">
        <f aca="true">IF(J2548="","",N2548+MAX(0,ROUNDUP((TODAY()-N2548)/(J2548*7),0))*J2548*7)</f>
        <v/>
      </c>
      <c r="P2548" s="27" t="str">
        <f aca="false">IF(J2548="","",MOD(K2548-1,J2548*4))</f>
        <v/>
      </c>
      <c r="Q2548" s="27" t="str">
        <f aca="false">IF(J2548="","",MOD(P2548,4))</f>
        <v/>
      </c>
      <c r="R2548" s="27" t="str">
        <f aca="false">IF(J2548="","",INT(P2548/4))</f>
        <v/>
      </c>
      <c r="S2548" s="27" t="str">
        <f aca="false">IF(J2548="","",IF(AND('Daily Count Sheet'!$H$3=Q2548,MOD('Daily Count Sheet'!$I$3,J2548)=R2548),1,""))</f>
        <v/>
      </c>
      <c r="T2548" s="27" t="str">
        <f aca="false">IF(S2548=1,COUNTIF($S$2:S2548,1),"")</f>
        <v/>
      </c>
    </row>
    <row r="2549" customFormat="false" ht="15" hidden="false" customHeight="false" outlineLevel="0" collapsed="false">
      <c r="H2549" s="26"/>
      <c r="I2549" s="27" t="str">
        <f aca="false">IF(A2549="","",IF(H2549&lt;&gt;"",UPPER(TRIM(H2549)),IFERROR(CHOOSE(VALUE(E2549)+1,"A","B","C","D"),IF(OR(LEFT(UPPER(TRIM(E2549)),1)="F",UPPER(TRIM(E2549))="A"),"A",IF(OR(LEFT(UPPER(TRIM(E2549)),1)="M",UPPER(TRIM(E2549))="B"),"B",IF(OR(LEFT(UPPER(TRIM(E2549)),2)="SL",UPPER(TRIM(E2549))="C"),"C",IF(OR(LEFT(UPPER(TRIM(E2549)),1)="D",UPPER(TRIM(E2549))="D"),"D","")))))))</f>
        <v/>
      </c>
      <c r="J2549" s="27" t="str">
        <f aca="false">IF(I2549="","",IF(AND(I2549="D",Settings!$B$6&lt;&gt;"Yes"),"",IFERROR(INDEX(Settings!$C$9:$C$12,MATCH(I2549,Settings!$A$9:$A$12,0)),"")))</f>
        <v/>
      </c>
      <c r="K2549" s="27" t="str">
        <f aca="false">IF(J2549="","",COUNTIF($I$2:I2549,I2549))</f>
        <v/>
      </c>
      <c r="L2549" s="27" t="str">
        <f aca="false">IF(J2549="","",CHOOSE(Q2549+1,"Tue","Wed","Thu","Fri"))</f>
        <v/>
      </c>
      <c r="M2549" s="27" t="str">
        <f aca="false">IF(J2549="","",IF(J2549=1,"Every week",R2549+1&amp;" of "&amp;J2549))</f>
        <v/>
      </c>
      <c r="N2549" s="28" t="str">
        <f aca="false">IF(J2549="","",Settings!$B$4+R2549*7+Q2549)</f>
        <v/>
      </c>
      <c r="O2549" s="28" t="str">
        <f aca="true">IF(J2549="","",N2549+MAX(0,ROUNDUP((TODAY()-N2549)/(J2549*7),0))*J2549*7)</f>
        <v/>
      </c>
      <c r="P2549" s="27" t="str">
        <f aca="false">IF(J2549="","",MOD(K2549-1,J2549*4))</f>
        <v/>
      </c>
      <c r="Q2549" s="27" t="str">
        <f aca="false">IF(J2549="","",MOD(P2549,4))</f>
        <v/>
      </c>
      <c r="R2549" s="27" t="str">
        <f aca="false">IF(J2549="","",INT(P2549/4))</f>
        <v/>
      </c>
      <c r="S2549" s="27" t="str">
        <f aca="false">IF(J2549="","",IF(AND('Daily Count Sheet'!$H$3=Q2549,MOD('Daily Count Sheet'!$I$3,J2549)=R2549),1,""))</f>
        <v/>
      </c>
      <c r="T2549" s="27" t="str">
        <f aca="false">IF(S2549=1,COUNTIF($S$2:S2549,1),"")</f>
        <v/>
      </c>
    </row>
    <row r="2550" customFormat="false" ht="15" hidden="false" customHeight="false" outlineLevel="0" collapsed="false">
      <c r="H2550" s="26"/>
      <c r="I2550" s="27" t="str">
        <f aca="false">IF(A2550="","",IF(H2550&lt;&gt;"",UPPER(TRIM(H2550)),IFERROR(CHOOSE(VALUE(E2550)+1,"A","B","C","D"),IF(OR(LEFT(UPPER(TRIM(E2550)),1)="F",UPPER(TRIM(E2550))="A"),"A",IF(OR(LEFT(UPPER(TRIM(E2550)),1)="M",UPPER(TRIM(E2550))="B"),"B",IF(OR(LEFT(UPPER(TRIM(E2550)),2)="SL",UPPER(TRIM(E2550))="C"),"C",IF(OR(LEFT(UPPER(TRIM(E2550)),1)="D",UPPER(TRIM(E2550))="D"),"D","")))))))</f>
        <v/>
      </c>
      <c r="J2550" s="27" t="str">
        <f aca="false">IF(I2550="","",IF(AND(I2550="D",Settings!$B$6&lt;&gt;"Yes"),"",IFERROR(INDEX(Settings!$C$9:$C$12,MATCH(I2550,Settings!$A$9:$A$12,0)),"")))</f>
        <v/>
      </c>
      <c r="K2550" s="27" t="str">
        <f aca="false">IF(J2550="","",COUNTIF($I$2:I2550,I2550))</f>
        <v/>
      </c>
      <c r="L2550" s="27" t="str">
        <f aca="false">IF(J2550="","",CHOOSE(Q2550+1,"Tue","Wed","Thu","Fri"))</f>
        <v/>
      </c>
      <c r="M2550" s="27" t="str">
        <f aca="false">IF(J2550="","",IF(J2550=1,"Every week",R2550+1&amp;" of "&amp;J2550))</f>
        <v/>
      </c>
      <c r="N2550" s="28" t="str">
        <f aca="false">IF(J2550="","",Settings!$B$4+R2550*7+Q2550)</f>
        <v/>
      </c>
      <c r="O2550" s="28" t="str">
        <f aca="true">IF(J2550="","",N2550+MAX(0,ROUNDUP((TODAY()-N2550)/(J2550*7),0))*J2550*7)</f>
        <v/>
      </c>
      <c r="P2550" s="27" t="str">
        <f aca="false">IF(J2550="","",MOD(K2550-1,J2550*4))</f>
        <v/>
      </c>
      <c r="Q2550" s="27" t="str">
        <f aca="false">IF(J2550="","",MOD(P2550,4))</f>
        <v/>
      </c>
      <c r="R2550" s="27" t="str">
        <f aca="false">IF(J2550="","",INT(P2550/4))</f>
        <v/>
      </c>
      <c r="S2550" s="27" t="str">
        <f aca="false">IF(J2550="","",IF(AND('Daily Count Sheet'!$H$3=Q2550,MOD('Daily Count Sheet'!$I$3,J2550)=R2550),1,""))</f>
        <v/>
      </c>
      <c r="T2550" s="27" t="str">
        <f aca="false">IF(S2550=1,COUNTIF($S$2:S2550,1),"")</f>
        <v/>
      </c>
    </row>
    <row r="2551" customFormat="false" ht="15" hidden="false" customHeight="false" outlineLevel="0" collapsed="false">
      <c r="H2551" s="26"/>
      <c r="I2551" s="27" t="str">
        <f aca="false">IF(A2551="","",IF(H2551&lt;&gt;"",UPPER(TRIM(H2551)),IFERROR(CHOOSE(VALUE(E2551)+1,"A","B","C","D"),IF(OR(LEFT(UPPER(TRIM(E2551)),1)="F",UPPER(TRIM(E2551))="A"),"A",IF(OR(LEFT(UPPER(TRIM(E2551)),1)="M",UPPER(TRIM(E2551))="B"),"B",IF(OR(LEFT(UPPER(TRIM(E2551)),2)="SL",UPPER(TRIM(E2551))="C"),"C",IF(OR(LEFT(UPPER(TRIM(E2551)),1)="D",UPPER(TRIM(E2551))="D"),"D","")))))))</f>
        <v/>
      </c>
      <c r="J2551" s="27" t="str">
        <f aca="false">IF(I2551="","",IF(AND(I2551="D",Settings!$B$6&lt;&gt;"Yes"),"",IFERROR(INDEX(Settings!$C$9:$C$12,MATCH(I2551,Settings!$A$9:$A$12,0)),"")))</f>
        <v/>
      </c>
      <c r="K2551" s="27" t="str">
        <f aca="false">IF(J2551="","",COUNTIF($I$2:I2551,I2551))</f>
        <v/>
      </c>
      <c r="L2551" s="27" t="str">
        <f aca="false">IF(J2551="","",CHOOSE(Q2551+1,"Tue","Wed","Thu","Fri"))</f>
        <v/>
      </c>
      <c r="M2551" s="27" t="str">
        <f aca="false">IF(J2551="","",IF(J2551=1,"Every week",R2551+1&amp;" of "&amp;J2551))</f>
        <v/>
      </c>
      <c r="N2551" s="28" t="str">
        <f aca="false">IF(J2551="","",Settings!$B$4+R2551*7+Q2551)</f>
        <v/>
      </c>
      <c r="O2551" s="28" t="str">
        <f aca="true">IF(J2551="","",N2551+MAX(0,ROUNDUP((TODAY()-N2551)/(J2551*7),0))*J2551*7)</f>
        <v/>
      </c>
      <c r="P2551" s="27" t="str">
        <f aca="false">IF(J2551="","",MOD(K2551-1,J2551*4))</f>
        <v/>
      </c>
      <c r="Q2551" s="27" t="str">
        <f aca="false">IF(J2551="","",MOD(P2551,4))</f>
        <v/>
      </c>
      <c r="R2551" s="27" t="str">
        <f aca="false">IF(J2551="","",INT(P2551/4))</f>
        <v/>
      </c>
      <c r="S2551" s="27" t="str">
        <f aca="false">IF(J2551="","",IF(AND('Daily Count Sheet'!$H$3=Q2551,MOD('Daily Count Sheet'!$I$3,J2551)=R2551),1,""))</f>
        <v/>
      </c>
      <c r="T2551" s="27" t="str">
        <f aca="false">IF(S2551=1,COUNTIF($S$2:S2551,1),"")</f>
        <v/>
      </c>
    </row>
    <row r="2552" customFormat="false" ht="15" hidden="false" customHeight="false" outlineLevel="0" collapsed="false">
      <c r="H2552" s="26"/>
      <c r="I2552" s="27" t="str">
        <f aca="false">IF(A2552="","",IF(H2552&lt;&gt;"",UPPER(TRIM(H2552)),IFERROR(CHOOSE(VALUE(E2552)+1,"A","B","C","D"),IF(OR(LEFT(UPPER(TRIM(E2552)),1)="F",UPPER(TRIM(E2552))="A"),"A",IF(OR(LEFT(UPPER(TRIM(E2552)),1)="M",UPPER(TRIM(E2552))="B"),"B",IF(OR(LEFT(UPPER(TRIM(E2552)),2)="SL",UPPER(TRIM(E2552))="C"),"C",IF(OR(LEFT(UPPER(TRIM(E2552)),1)="D",UPPER(TRIM(E2552))="D"),"D","")))))))</f>
        <v/>
      </c>
      <c r="J2552" s="27" t="str">
        <f aca="false">IF(I2552="","",IF(AND(I2552="D",Settings!$B$6&lt;&gt;"Yes"),"",IFERROR(INDEX(Settings!$C$9:$C$12,MATCH(I2552,Settings!$A$9:$A$12,0)),"")))</f>
        <v/>
      </c>
      <c r="K2552" s="27" t="str">
        <f aca="false">IF(J2552="","",COUNTIF($I$2:I2552,I2552))</f>
        <v/>
      </c>
      <c r="L2552" s="27" t="str">
        <f aca="false">IF(J2552="","",CHOOSE(Q2552+1,"Tue","Wed","Thu","Fri"))</f>
        <v/>
      </c>
      <c r="M2552" s="27" t="str">
        <f aca="false">IF(J2552="","",IF(J2552=1,"Every week",R2552+1&amp;" of "&amp;J2552))</f>
        <v/>
      </c>
      <c r="N2552" s="28" t="str">
        <f aca="false">IF(J2552="","",Settings!$B$4+R2552*7+Q2552)</f>
        <v/>
      </c>
      <c r="O2552" s="28" t="str">
        <f aca="true">IF(J2552="","",N2552+MAX(0,ROUNDUP((TODAY()-N2552)/(J2552*7),0))*J2552*7)</f>
        <v/>
      </c>
      <c r="P2552" s="27" t="str">
        <f aca="false">IF(J2552="","",MOD(K2552-1,J2552*4))</f>
        <v/>
      </c>
      <c r="Q2552" s="27" t="str">
        <f aca="false">IF(J2552="","",MOD(P2552,4))</f>
        <v/>
      </c>
      <c r="R2552" s="27" t="str">
        <f aca="false">IF(J2552="","",INT(P2552/4))</f>
        <v/>
      </c>
      <c r="S2552" s="27" t="str">
        <f aca="false">IF(J2552="","",IF(AND('Daily Count Sheet'!$H$3=Q2552,MOD('Daily Count Sheet'!$I$3,J2552)=R2552),1,""))</f>
        <v/>
      </c>
      <c r="T2552" s="27" t="str">
        <f aca="false">IF(S2552=1,COUNTIF($S$2:S2552,1),"")</f>
        <v/>
      </c>
    </row>
    <row r="2553" customFormat="false" ht="15" hidden="false" customHeight="false" outlineLevel="0" collapsed="false">
      <c r="H2553" s="26"/>
      <c r="I2553" s="27" t="str">
        <f aca="false">IF(A2553="","",IF(H2553&lt;&gt;"",UPPER(TRIM(H2553)),IFERROR(CHOOSE(VALUE(E2553)+1,"A","B","C","D"),IF(OR(LEFT(UPPER(TRIM(E2553)),1)="F",UPPER(TRIM(E2553))="A"),"A",IF(OR(LEFT(UPPER(TRIM(E2553)),1)="M",UPPER(TRIM(E2553))="B"),"B",IF(OR(LEFT(UPPER(TRIM(E2553)),2)="SL",UPPER(TRIM(E2553))="C"),"C",IF(OR(LEFT(UPPER(TRIM(E2553)),1)="D",UPPER(TRIM(E2553))="D"),"D","")))))))</f>
        <v/>
      </c>
      <c r="J2553" s="27" t="str">
        <f aca="false">IF(I2553="","",IF(AND(I2553="D",Settings!$B$6&lt;&gt;"Yes"),"",IFERROR(INDEX(Settings!$C$9:$C$12,MATCH(I2553,Settings!$A$9:$A$12,0)),"")))</f>
        <v/>
      </c>
      <c r="K2553" s="27" t="str">
        <f aca="false">IF(J2553="","",COUNTIF($I$2:I2553,I2553))</f>
        <v/>
      </c>
      <c r="L2553" s="27" t="str">
        <f aca="false">IF(J2553="","",CHOOSE(Q2553+1,"Tue","Wed","Thu","Fri"))</f>
        <v/>
      </c>
      <c r="M2553" s="27" t="str">
        <f aca="false">IF(J2553="","",IF(J2553=1,"Every week",R2553+1&amp;" of "&amp;J2553))</f>
        <v/>
      </c>
      <c r="N2553" s="28" t="str">
        <f aca="false">IF(J2553="","",Settings!$B$4+R2553*7+Q2553)</f>
        <v/>
      </c>
      <c r="O2553" s="28" t="str">
        <f aca="true">IF(J2553="","",N2553+MAX(0,ROUNDUP((TODAY()-N2553)/(J2553*7),0))*J2553*7)</f>
        <v/>
      </c>
      <c r="P2553" s="27" t="str">
        <f aca="false">IF(J2553="","",MOD(K2553-1,J2553*4))</f>
        <v/>
      </c>
      <c r="Q2553" s="27" t="str">
        <f aca="false">IF(J2553="","",MOD(P2553,4))</f>
        <v/>
      </c>
      <c r="R2553" s="27" t="str">
        <f aca="false">IF(J2553="","",INT(P2553/4))</f>
        <v/>
      </c>
      <c r="S2553" s="27" t="str">
        <f aca="false">IF(J2553="","",IF(AND('Daily Count Sheet'!$H$3=Q2553,MOD('Daily Count Sheet'!$I$3,J2553)=R2553),1,""))</f>
        <v/>
      </c>
      <c r="T2553" s="27" t="str">
        <f aca="false">IF(S2553=1,COUNTIF($S$2:S2553,1),"")</f>
        <v/>
      </c>
    </row>
    <row r="2554" customFormat="false" ht="15" hidden="false" customHeight="false" outlineLevel="0" collapsed="false">
      <c r="H2554" s="26"/>
      <c r="I2554" s="27" t="str">
        <f aca="false">IF(A2554="","",IF(H2554&lt;&gt;"",UPPER(TRIM(H2554)),IFERROR(CHOOSE(VALUE(E2554)+1,"A","B","C","D"),IF(OR(LEFT(UPPER(TRIM(E2554)),1)="F",UPPER(TRIM(E2554))="A"),"A",IF(OR(LEFT(UPPER(TRIM(E2554)),1)="M",UPPER(TRIM(E2554))="B"),"B",IF(OR(LEFT(UPPER(TRIM(E2554)),2)="SL",UPPER(TRIM(E2554))="C"),"C",IF(OR(LEFT(UPPER(TRIM(E2554)),1)="D",UPPER(TRIM(E2554))="D"),"D","")))))))</f>
        <v/>
      </c>
      <c r="J2554" s="27" t="str">
        <f aca="false">IF(I2554="","",IF(AND(I2554="D",Settings!$B$6&lt;&gt;"Yes"),"",IFERROR(INDEX(Settings!$C$9:$C$12,MATCH(I2554,Settings!$A$9:$A$12,0)),"")))</f>
        <v/>
      </c>
      <c r="K2554" s="27" t="str">
        <f aca="false">IF(J2554="","",COUNTIF($I$2:I2554,I2554))</f>
        <v/>
      </c>
      <c r="L2554" s="27" t="str">
        <f aca="false">IF(J2554="","",CHOOSE(Q2554+1,"Tue","Wed","Thu","Fri"))</f>
        <v/>
      </c>
      <c r="M2554" s="27" t="str">
        <f aca="false">IF(J2554="","",IF(J2554=1,"Every week",R2554+1&amp;" of "&amp;J2554))</f>
        <v/>
      </c>
      <c r="N2554" s="28" t="str">
        <f aca="false">IF(J2554="","",Settings!$B$4+R2554*7+Q2554)</f>
        <v/>
      </c>
      <c r="O2554" s="28" t="str">
        <f aca="true">IF(J2554="","",N2554+MAX(0,ROUNDUP((TODAY()-N2554)/(J2554*7),0))*J2554*7)</f>
        <v/>
      </c>
      <c r="P2554" s="27" t="str">
        <f aca="false">IF(J2554="","",MOD(K2554-1,J2554*4))</f>
        <v/>
      </c>
      <c r="Q2554" s="27" t="str">
        <f aca="false">IF(J2554="","",MOD(P2554,4))</f>
        <v/>
      </c>
      <c r="R2554" s="27" t="str">
        <f aca="false">IF(J2554="","",INT(P2554/4))</f>
        <v/>
      </c>
      <c r="S2554" s="27" t="str">
        <f aca="false">IF(J2554="","",IF(AND('Daily Count Sheet'!$H$3=Q2554,MOD('Daily Count Sheet'!$I$3,J2554)=R2554),1,""))</f>
        <v/>
      </c>
      <c r="T2554" s="27" t="str">
        <f aca="false">IF(S2554=1,COUNTIF($S$2:S2554,1),"")</f>
        <v/>
      </c>
    </row>
    <row r="2555" customFormat="false" ht="15" hidden="false" customHeight="false" outlineLevel="0" collapsed="false">
      <c r="H2555" s="26"/>
      <c r="I2555" s="27" t="str">
        <f aca="false">IF(A2555="","",IF(H2555&lt;&gt;"",UPPER(TRIM(H2555)),IFERROR(CHOOSE(VALUE(E2555)+1,"A","B","C","D"),IF(OR(LEFT(UPPER(TRIM(E2555)),1)="F",UPPER(TRIM(E2555))="A"),"A",IF(OR(LEFT(UPPER(TRIM(E2555)),1)="M",UPPER(TRIM(E2555))="B"),"B",IF(OR(LEFT(UPPER(TRIM(E2555)),2)="SL",UPPER(TRIM(E2555))="C"),"C",IF(OR(LEFT(UPPER(TRIM(E2555)),1)="D",UPPER(TRIM(E2555))="D"),"D","")))))))</f>
        <v/>
      </c>
      <c r="J2555" s="27" t="str">
        <f aca="false">IF(I2555="","",IF(AND(I2555="D",Settings!$B$6&lt;&gt;"Yes"),"",IFERROR(INDEX(Settings!$C$9:$C$12,MATCH(I2555,Settings!$A$9:$A$12,0)),"")))</f>
        <v/>
      </c>
      <c r="K2555" s="27" t="str">
        <f aca="false">IF(J2555="","",COUNTIF($I$2:I2555,I2555))</f>
        <v/>
      </c>
      <c r="L2555" s="27" t="str">
        <f aca="false">IF(J2555="","",CHOOSE(Q2555+1,"Tue","Wed","Thu","Fri"))</f>
        <v/>
      </c>
      <c r="M2555" s="27" t="str">
        <f aca="false">IF(J2555="","",IF(J2555=1,"Every week",R2555+1&amp;" of "&amp;J2555))</f>
        <v/>
      </c>
      <c r="N2555" s="28" t="str">
        <f aca="false">IF(J2555="","",Settings!$B$4+R2555*7+Q2555)</f>
        <v/>
      </c>
      <c r="O2555" s="28" t="str">
        <f aca="true">IF(J2555="","",N2555+MAX(0,ROUNDUP((TODAY()-N2555)/(J2555*7),0))*J2555*7)</f>
        <v/>
      </c>
      <c r="P2555" s="27" t="str">
        <f aca="false">IF(J2555="","",MOD(K2555-1,J2555*4))</f>
        <v/>
      </c>
      <c r="Q2555" s="27" t="str">
        <f aca="false">IF(J2555="","",MOD(P2555,4))</f>
        <v/>
      </c>
      <c r="R2555" s="27" t="str">
        <f aca="false">IF(J2555="","",INT(P2555/4))</f>
        <v/>
      </c>
      <c r="S2555" s="27" t="str">
        <f aca="false">IF(J2555="","",IF(AND('Daily Count Sheet'!$H$3=Q2555,MOD('Daily Count Sheet'!$I$3,J2555)=R2555),1,""))</f>
        <v/>
      </c>
      <c r="T2555" s="27" t="str">
        <f aca="false">IF(S2555=1,COUNTIF($S$2:S2555,1),"")</f>
        <v/>
      </c>
    </row>
    <row r="2556" customFormat="false" ht="15" hidden="false" customHeight="false" outlineLevel="0" collapsed="false">
      <c r="H2556" s="26"/>
      <c r="I2556" s="27" t="str">
        <f aca="false">IF(A2556="","",IF(H2556&lt;&gt;"",UPPER(TRIM(H2556)),IFERROR(CHOOSE(VALUE(E2556)+1,"A","B","C","D"),IF(OR(LEFT(UPPER(TRIM(E2556)),1)="F",UPPER(TRIM(E2556))="A"),"A",IF(OR(LEFT(UPPER(TRIM(E2556)),1)="M",UPPER(TRIM(E2556))="B"),"B",IF(OR(LEFT(UPPER(TRIM(E2556)),2)="SL",UPPER(TRIM(E2556))="C"),"C",IF(OR(LEFT(UPPER(TRIM(E2556)),1)="D",UPPER(TRIM(E2556))="D"),"D","")))))))</f>
        <v/>
      </c>
      <c r="J2556" s="27" t="str">
        <f aca="false">IF(I2556="","",IF(AND(I2556="D",Settings!$B$6&lt;&gt;"Yes"),"",IFERROR(INDEX(Settings!$C$9:$C$12,MATCH(I2556,Settings!$A$9:$A$12,0)),"")))</f>
        <v/>
      </c>
      <c r="K2556" s="27" t="str">
        <f aca="false">IF(J2556="","",COUNTIF($I$2:I2556,I2556))</f>
        <v/>
      </c>
      <c r="L2556" s="27" t="str">
        <f aca="false">IF(J2556="","",CHOOSE(Q2556+1,"Tue","Wed","Thu","Fri"))</f>
        <v/>
      </c>
      <c r="M2556" s="27" t="str">
        <f aca="false">IF(J2556="","",IF(J2556=1,"Every week",R2556+1&amp;" of "&amp;J2556))</f>
        <v/>
      </c>
      <c r="N2556" s="28" t="str">
        <f aca="false">IF(J2556="","",Settings!$B$4+R2556*7+Q2556)</f>
        <v/>
      </c>
      <c r="O2556" s="28" t="str">
        <f aca="true">IF(J2556="","",N2556+MAX(0,ROUNDUP((TODAY()-N2556)/(J2556*7),0))*J2556*7)</f>
        <v/>
      </c>
      <c r="P2556" s="27" t="str">
        <f aca="false">IF(J2556="","",MOD(K2556-1,J2556*4))</f>
        <v/>
      </c>
      <c r="Q2556" s="27" t="str">
        <f aca="false">IF(J2556="","",MOD(P2556,4))</f>
        <v/>
      </c>
      <c r="R2556" s="27" t="str">
        <f aca="false">IF(J2556="","",INT(P2556/4))</f>
        <v/>
      </c>
      <c r="S2556" s="27" t="str">
        <f aca="false">IF(J2556="","",IF(AND('Daily Count Sheet'!$H$3=Q2556,MOD('Daily Count Sheet'!$I$3,J2556)=R2556),1,""))</f>
        <v/>
      </c>
      <c r="T2556" s="27" t="str">
        <f aca="false">IF(S2556=1,COUNTIF($S$2:S2556,1),"")</f>
        <v/>
      </c>
    </row>
    <row r="2557" customFormat="false" ht="15" hidden="false" customHeight="false" outlineLevel="0" collapsed="false">
      <c r="H2557" s="26"/>
      <c r="I2557" s="27" t="str">
        <f aca="false">IF(A2557="","",IF(H2557&lt;&gt;"",UPPER(TRIM(H2557)),IFERROR(CHOOSE(VALUE(E2557)+1,"A","B","C","D"),IF(OR(LEFT(UPPER(TRIM(E2557)),1)="F",UPPER(TRIM(E2557))="A"),"A",IF(OR(LEFT(UPPER(TRIM(E2557)),1)="M",UPPER(TRIM(E2557))="B"),"B",IF(OR(LEFT(UPPER(TRIM(E2557)),2)="SL",UPPER(TRIM(E2557))="C"),"C",IF(OR(LEFT(UPPER(TRIM(E2557)),1)="D",UPPER(TRIM(E2557))="D"),"D","")))))))</f>
        <v/>
      </c>
      <c r="J2557" s="27" t="str">
        <f aca="false">IF(I2557="","",IF(AND(I2557="D",Settings!$B$6&lt;&gt;"Yes"),"",IFERROR(INDEX(Settings!$C$9:$C$12,MATCH(I2557,Settings!$A$9:$A$12,0)),"")))</f>
        <v/>
      </c>
      <c r="K2557" s="27" t="str">
        <f aca="false">IF(J2557="","",COUNTIF($I$2:I2557,I2557))</f>
        <v/>
      </c>
      <c r="L2557" s="27" t="str">
        <f aca="false">IF(J2557="","",CHOOSE(Q2557+1,"Tue","Wed","Thu","Fri"))</f>
        <v/>
      </c>
      <c r="M2557" s="27" t="str">
        <f aca="false">IF(J2557="","",IF(J2557=1,"Every week",R2557+1&amp;" of "&amp;J2557))</f>
        <v/>
      </c>
      <c r="N2557" s="28" t="str">
        <f aca="false">IF(J2557="","",Settings!$B$4+R2557*7+Q2557)</f>
        <v/>
      </c>
      <c r="O2557" s="28" t="str">
        <f aca="true">IF(J2557="","",N2557+MAX(0,ROUNDUP((TODAY()-N2557)/(J2557*7),0))*J2557*7)</f>
        <v/>
      </c>
      <c r="P2557" s="27" t="str">
        <f aca="false">IF(J2557="","",MOD(K2557-1,J2557*4))</f>
        <v/>
      </c>
      <c r="Q2557" s="27" t="str">
        <f aca="false">IF(J2557="","",MOD(P2557,4))</f>
        <v/>
      </c>
      <c r="R2557" s="27" t="str">
        <f aca="false">IF(J2557="","",INT(P2557/4))</f>
        <v/>
      </c>
      <c r="S2557" s="27" t="str">
        <f aca="false">IF(J2557="","",IF(AND('Daily Count Sheet'!$H$3=Q2557,MOD('Daily Count Sheet'!$I$3,J2557)=R2557),1,""))</f>
        <v/>
      </c>
      <c r="T2557" s="27" t="str">
        <f aca="false">IF(S2557=1,COUNTIF($S$2:S2557,1),"")</f>
        <v/>
      </c>
    </row>
    <row r="2558" customFormat="false" ht="15" hidden="false" customHeight="false" outlineLevel="0" collapsed="false">
      <c r="H2558" s="26"/>
      <c r="I2558" s="27" t="str">
        <f aca="false">IF(A2558="","",IF(H2558&lt;&gt;"",UPPER(TRIM(H2558)),IFERROR(CHOOSE(VALUE(E2558)+1,"A","B","C","D"),IF(OR(LEFT(UPPER(TRIM(E2558)),1)="F",UPPER(TRIM(E2558))="A"),"A",IF(OR(LEFT(UPPER(TRIM(E2558)),1)="M",UPPER(TRIM(E2558))="B"),"B",IF(OR(LEFT(UPPER(TRIM(E2558)),2)="SL",UPPER(TRIM(E2558))="C"),"C",IF(OR(LEFT(UPPER(TRIM(E2558)),1)="D",UPPER(TRIM(E2558))="D"),"D","")))))))</f>
        <v/>
      </c>
      <c r="J2558" s="27" t="str">
        <f aca="false">IF(I2558="","",IF(AND(I2558="D",Settings!$B$6&lt;&gt;"Yes"),"",IFERROR(INDEX(Settings!$C$9:$C$12,MATCH(I2558,Settings!$A$9:$A$12,0)),"")))</f>
        <v/>
      </c>
      <c r="K2558" s="27" t="str">
        <f aca="false">IF(J2558="","",COUNTIF($I$2:I2558,I2558))</f>
        <v/>
      </c>
      <c r="L2558" s="27" t="str">
        <f aca="false">IF(J2558="","",CHOOSE(Q2558+1,"Tue","Wed","Thu","Fri"))</f>
        <v/>
      </c>
      <c r="M2558" s="27" t="str">
        <f aca="false">IF(J2558="","",IF(J2558=1,"Every week",R2558+1&amp;" of "&amp;J2558))</f>
        <v/>
      </c>
      <c r="N2558" s="28" t="str">
        <f aca="false">IF(J2558="","",Settings!$B$4+R2558*7+Q2558)</f>
        <v/>
      </c>
      <c r="O2558" s="28" t="str">
        <f aca="true">IF(J2558="","",N2558+MAX(0,ROUNDUP((TODAY()-N2558)/(J2558*7),0))*J2558*7)</f>
        <v/>
      </c>
      <c r="P2558" s="27" t="str">
        <f aca="false">IF(J2558="","",MOD(K2558-1,J2558*4))</f>
        <v/>
      </c>
      <c r="Q2558" s="27" t="str">
        <f aca="false">IF(J2558="","",MOD(P2558,4))</f>
        <v/>
      </c>
      <c r="R2558" s="27" t="str">
        <f aca="false">IF(J2558="","",INT(P2558/4))</f>
        <v/>
      </c>
      <c r="S2558" s="27" t="str">
        <f aca="false">IF(J2558="","",IF(AND('Daily Count Sheet'!$H$3=Q2558,MOD('Daily Count Sheet'!$I$3,J2558)=R2558),1,""))</f>
        <v/>
      </c>
      <c r="T2558" s="27" t="str">
        <f aca="false">IF(S2558=1,COUNTIF($S$2:S2558,1),"")</f>
        <v/>
      </c>
    </row>
    <row r="2559" customFormat="false" ht="15" hidden="false" customHeight="false" outlineLevel="0" collapsed="false">
      <c r="H2559" s="26"/>
      <c r="I2559" s="27" t="str">
        <f aca="false">IF(A2559="","",IF(H2559&lt;&gt;"",UPPER(TRIM(H2559)),IFERROR(CHOOSE(VALUE(E2559)+1,"A","B","C","D"),IF(OR(LEFT(UPPER(TRIM(E2559)),1)="F",UPPER(TRIM(E2559))="A"),"A",IF(OR(LEFT(UPPER(TRIM(E2559)),1)="M",UPPER(TRIM(E2559))="B"),"B",IF(OR(LEFT(UPPER(TRIM(E2559)),2)="SL",UPPER(TRIM(E2559))="C"),"C",IF(OR(LEFT(UPPER(TRIM(E2559)),1)="D",UPPER(TRIM(E2559))="D"),"D","")))))))</f>
        <v/>
      </c>
      <c r="J2559" s="27" t="str">
        <f aca="false">IF(I2559="","",IF(AND(I2559="D",Settings!$B$6&lt;&gt;"Yes"),"",IFERROR(INDEX(Settings!$C$9:$C$12,MATCH(I2559,Settings!$A$9:$A$12,0)),"")))</f>
        <v/>
      </c>
      <c r="K2559" s="27" t="str">
        <f aca="false">IF(J2559="","",COUNTIF($I$2:I2559,I2559))</f>
        <v/>
      </c>
      <c r="L2559" s="27" t="str">
        <f aca="false">IF(J2559="","",CHOOSE(Q2559+1,"Tue","Wed","Thu","Fri"))</f>
        <v/>
      </c>
      <c r="M2559" s="27" t="str">
        <f aca="false">IF(J2559="","",IF(J2559=1,"Every week",R2559+1&amp;" of "&amp;J2559))</f>
        <v/>
      </c>
      <c r="N2559" s="28" t="str">
        <f aca="false">IF(J2559="","",Settings!$B$4+R2559*7+Q2559)</f>
        <v/>
      </c>
      <c r="O2559" s="28" t="str">
        <f aca="true">IF(J2559="","",N2559+MAX(0,ROUNDUP((TODAY()-N2559)/(J2559*7),0))*J2559*7)</f>
        <v/>
      </c>
      <c r="P2559" s="27" t="str">
        <f aca="false">IF(J2559="","",MOD(K2559-1,J2559*4))</f>
        <v/>
      </c>
      <c r="Q2559" s="27" t="str">
        <f aca="false">IF(J2559="","",MOD(P2559,4))</f>
        <v/>
      </c>
      <c r="R2559" s="27" t="str">
        <f aca="false">IF(J2559="","",INT(P2559/4))</f>
        <v/>
      </c>
      <c r="S2559" s="27" t="str">
        <f aca="false">IF(J2559="","",IF(AND('Daily Count Sheet'!$H$3=Q2559,MOD('Daily Count Sheet'!$I$3,J2559)=R2559),1,""))</f>
        <v/>
      </c>
      <c r="T2559" s="27" t="str">
        <f aca="false">IF(S2559=1,COUNTIF($S$2:S2559,1),"")</f>
        <v/>
      </c>
    </row>
    <row r="2560" customFormat="false" ht="15" hidden="false" customHeight="false" outlineLevel="0" collapsed="false">
      <c r="H2560" s="26"/>
      <c r="I2560" s="27" t="str">
        <f aca="false">IF(A2560="","",IF(H2560&lt;&gt;"",UPPER(TRIM(H2560)),IFERROR(CHOOSE(VALUE(E2560)+1,"A","B","C","D"),IF(OR(LEFT(UPPER(TRIM(E2560)),1)="F",UPPER(TRIM(E2560))="A"),"A",IF(OR(LEFT(UPPER(TRIM(E2560)),1)="M",UPPER(TRIM(E2560))="B"),"B",IF(OR(LEFT(UPPER(TRIM(E2560)),2)="SL",UPPER(TRIM(E2560))="C"),"C",IF(OR(LEFT(UPPER(TRIM(E2560)),1)="D",UPPER(TRIM(E2560))="D"),"D","")))))))</f>
        <v/>
      </c>
      <c r="J2560" s="27" t="str">
        <f aca="false">IF(I2560="","",IF(AND(I2560="D",Settings!$B$6&lt;&gt;"Yes"),"",IFERROR(INDEX(Settings!$C$9:$C$12,MATCH(I2560,Settings!$A$9:$A$12,0)),"")))</f>
        <v/>
      </c>
      <c r="K2560" s="27" t="str">
        <f aca="false">IF(J2560="","",COUNTIF($I$2:I2560,I2560))</f>
        <v/>
      </c>
      <c r="L2560" s="27" t="str">
        <f aca="false">IF(J2560="","",CHOOSE(Q2560+1,"Tue","Wed","Thu","Fri"))</f>
        <v/>
      </c>
      <c r="M2560" s="27" t="str">
        <f aca="false">IF(J2560="","",IF(J2560=1,"Every week",R2560+1&amp;" of "&amp;J2560))</f>
        <v/>
      </c>
      <c r="N2560" s="28" t="str">
        <f aca="false">IF(J2560="","",Settings!$B$4+R2560*7+Q2560)</f>
        <v/>
      </c>
      <c r="O2560" s="28" t="str">
        <f aca="true">IF(J2560="","",N2560+MAX(0,ROUNDUP((TODAY()-N2560)/(J2560*7),0))*J2560*7)</f>
        <v/>
      </c>
      <c r="P2560" s="27" t="str">
        <f aca="false">IF(J2560="","",MOD(K2560-1,J2560*4))</f>
        <v/>
      </c>
      <c r="Q2560" s="27" t="str">
        <f aca="false">IF(J2560="","",MOD(P2560,4))</f>
        <v/>
      </c>
      <c r="R2560" s="27" t="str">
        <f aca="false">IF(J2560="","",INT(P2560/4))</f>
        <v/>
      </c>
      <c r="S2560" s="27" t="str">
        <f aca="false">IF(J2560="","",IF(AND('Daily Count Sheet'!$H$3=Q2560,MOD('Daily Count Sheet'!$I$3,J2560)=R2560),1,""))</f>
        <v/>
      </c>
      <c r="T2560" s="27" t="str">
        <f aca="false">IF(S2560=1,COUNTIF($S$2:S2560,1),"")</f>
        <v/>
      </c>
    </row>
    <row r="2561" customFormat="false" ht="15" hidden="false" customHeight="false" outlineLevel="0" collapsed="false">
      <c r="H2561" s="26"/>
      <c r="I2561" s="27" t="str">
        <f aca="false">IF(A2561="","",IF(H2561&lt;&gt;"",UPPER(TRIM(H2561)),IFERROR(CHOOSE(VALUE(E2561)+1,"A","B","C","D"),IF(OR(LEFT(UPPER(TRIM(E2561)),1)="F",UPPER(TRIM(E2561))="A"),"A",IF(OR(LEFT(UPPER(TRIM(E2561)),1)="M",UPPER(TRIM(E2561))="B"),"B",IF(OR(LEFT(UPPER(TRIM(E2561)),2)="SL",UPPER(TRIM(E2561))="C"),"C",IF(OR(LEFT(UPPER(TRIM(E2561)),1)="D",UPPER(TRIM(E2561))="D"),"D","")))))))</f>
        <v/>
      </c>
      <c r="J2561" s="27" t="str">
        <f aca="false">IF(I2561="","",IF(AND(I2561="D",Settings!$B$6&lt;&gt;"Yes"),"",IFERROR(INDEX(Settings!$C$9:$C$12,MATCH(I2561,Settings!$A$9:$A$12,0)),"")))</f>
        <v/>
      </c>
      <c r="K2561" s="27" t="str">
        <f aca="false">IF(J2561="","",COUNTIF($I$2:I2561,I2561))</f>
        <v/>
      </c>
      <c r="L2561" s="27" t="str">
        <f aca="false">IF(J2561="","",CHOOSE(Q2561+1,"Tue","Wed","Thu","Fri"))</f>
        <v/>
      </c>
      <c r="M2561" s="27" t="str">
        <f aca="false">IF(J2561="","",IF(J2561=1,"Every week",R2561+1&amp;" of "&amp;J2561))</f>
        <v/>
      </c>
      <c r="N2561" s="28" t="str">
        <f aca="false">IF(J2561="","",Settings!$B$4+R2561*7+Q2561)</f>
        <v/>
      </c>
      <c r="O2561" s="28" t="str">
        <f aca="true">IF(J2561="","",N2561+MAX(0,ROUNDUP((TODAY()-N2561)/(J2561*7),0))*J2561*7)</f>
        <v/>
      </c>
      <c r="P2561" s="27" t="str">
        <f aca="false">IF(J2561="","",MOD(K2561-1,J2561*4))</f>
        <v/>
      </c>
      <c r="Q2561" s="27" t="str">
        <f aca="false">IF(J2561="","",MOD(P2561,4))</f>
        <v/>
      </c>
      <c r="R2561" s="27" t="str">
        <f aca="false">IF(J2561="","",INT(P2561/4))</f>
        <v/>
      </c>
      <c r="S2561" s="27" t="str">
        <f aca="false">IF(J2561="","",IF(AND('Daily Count Sheet'!$H$3=Q2561,MOD('Daily Count Sheet'!$I$3,J2561)=R2561),1,""))</f>
        <v/>
      </c>
      <c r="T2561" s="27" t="str">
        <f aca="false">IF(S2561=1,COUNTIF($S$2:S2561,1),"")</f>
        <v/>
      </c>
    </row>
    <row r="2562" customFormat="false" ht="15" hidden="false" customHeight="false" outlineLevel="0" collapsed="false">
      <c r="H2562" s="26"/>
      <c r="I2562" s="27" t="str">
        <f aca="false">IF(A2562="","",IF(H2562&lt;&gt;"",UPPER(TRIM(H2562)),IFERROR(CHOOSE(VALUE(E2562)+1,"A","B","C","D"),IF(OR(LEFT(UPPER(TRIM(E2562)),1)="F",UPPER(TRIM(E2562))="A"),"A",IF(OR(LEFT(UPPER(TRIM(E2562)),1)="M",UPPER(TRIM(E2562))="B"),"B",IF(OR(LEFT(UPPER(TRIM(E2562)),2)="SL",UPPER(TRIM(E2562))="C"),"C",IF(OR(LEFT(UPPER(TRIM(E2562)),1)="D",UPPER(TRIM(E2562))="D"),"D","")))))))</f>
        <v/>
      </c>
      <c r="J2562" s="27" t="str">
        <f aca="false">IF(I2562="","",IF(AND(I2562="D",Settings!$B$6&lt;&gt;"Yes"),"",IFERROR(INDEX(Settings!$C$9:$C$12,MATCH(I2562,Settings!$A$9:$A$12,0)),"")))</f>
        <v/>
      </c>
      <c r="K2562" s="27" t="str">
        <f aca="false">IF(J2562="","",COUNTIF($I$2:I2562,I2562))</f>
        <v/>
      </c>
      <c r="L2562" s="27" t="str">
        <f aca="false">IF(J2562="","",CHOOSE(Q2562+1,"Tue","Wed","Thu","Fri"))</f>
        <v/>
      </c>
      <c r="M2562" s="27" t="str">
        <f aca="false">IF(J2562="","",IF(J2562=1,"Every week",R2562+1&amp;" of "&amp;J2562))</f>
        <v/>
      </c>
      <c r="N2562" s="28" t="str">
        <f aca="false">IF(J2562="","",Settings!$B$4+R2562*7+Q2562)</f>
        <v/>
      </c>
      <c r="O2562" s="28" t="str">
        <f aca="true">IF(J2562="","",N2562+MAX(0,ROUNDUP((TODAY()-N2562)/(J2562*7),0))*J2562*7)</f>
        <v/>
      </c>
      <c r="P2562" s="27" t="str">
        <f aca="false">IF(J2562="","",MOD(K2562-1,J2562*4))</f>
        <v/>
      </c>
      <c r="Q2562" s="27" t="str">
        <f aca="false">IF(J2562="","",MOD(P2562,4))</f>
        <v/>
      </c>
      <c r="R2562" s="27" t="str">
        <f aca="false">IF(J2562="","",INT(P2562/4))</f>
        <v/>
      </c>
      <c r="S2562" s="27" t="str">
        <f aca="false">IF(J2562="","",IF(AND('Daily Count Sheet'!$H$3=Q2562,MOD('Daily Count Sheet'!$I$3,J2562)=R2562),1,""))</f>
        <v/>
      </c>
      <c r="T2562" s="27" t="str">
        <f aca="false">IF(S2562=1,COUNTIF($S$2:S2562,1),"")</f>
        <v/>
      </c>
    </row>
    <row r="2563" customFormat="false" ht="15" hidden="false" customHeight="false" outlineLevel="0" collapsed="false">
      <c r="H2563" s="26"/>
      <c r="I2563" s="27" t="str">
        <f aca="false">IF(A2563="","",IF(H2563&lt;&gt;"",UPPER(TRIM(H2563)),IFERROR(CHOOSE(VALUE(E2563)+1,"A","B","C","D"),IF(OR(LEFT(UPPER(TRIM(E2563)),1)="F",UPPER(TRIM(E2563))="A"),"A",IF(OR(LEFT(UPPER(TRIM(E2563)),1)="M",UPPER(TRIM(E2563))="B"),"B",IF(OR(LEFT(UPPER(TRIM(E2563)),2)="SL",UPPER(TRIM(E2563))="C"),"C",IF(OR(LEFT(UPPER(TRIM(E2563)),1)="D",UPPER(TRIM(E2563))="D"),"D","")))))))</f>
        <v/>
      </c>
      <c r="J2563" s="27" t="str">
        <f aca="false">IF(I2563="","",IF(AND(I2563="D",Settings!$B$6&lt;&gt;"Yes"),"",IFERROR(INDEX(Settings!$C$9:$C$12,MATCH(I2563,Settings!$A$9:$A$12,0)),"")))</f>
        <v/>
      </c>
      <c r="K2563" s="27" t="str">
        <f aca="false">IF(J2563="","",COUNTIF($I$2:I2563,I2563))</f>
        <v/>
      </c>
      <c r="L2563" s="27" t="str">
        <f aca="false">IF(J2563="","",CHOOSE(Q2563+1,"Tue","Wed","Thu","Fri"))</f>
        <v/>
      </c>
      <c r="M2563" s="27" t="str">
        <f aca="false">IF(J2563="","",IF(J2563=1,"Every week",R2563+1&amp;" of "&amp;J2563))</f>
        <v/>
      </c>
      <c r="N2563" s="28" t="str">
        <f aca="false">IF(J2563="","",Settings!$B$4+R2563*7+Q2563)</f>
        <v/>
      </c>
      <c r="O2563" s="28" t="str">
        <f aca="true">IF(J2563="","",N2563+MAX(0,ROUNDUP((TODAY()-N2563)/(J2563*7),0))*J2563*7)</f>
        <v/>
      </c>
      <c r="P2563" s="27" t="str">
        <f aca="false">IF(J2563="","",MOD(K2563-1,J2563*4))</f>
        <v/>
      </c>
      <c r="Q2563" s="27" t="str">
        <f aca="false">IF(J2563="","",MOD(P2563,4))</f>
        <v/>
      </c>
      <c r="R2563" s="27" t="str">
        <f aca="false">IF(J2563="","",INT(P2563/4))</f>
        <v/>
      </c>
      <c r="S2563" s="27" t="str">
        <f aca="false">IF(J2563="","",IF(AND('Daily Count Sheet'!$H$3=Q2563,MOD('Daily Count Sheet'!$I$3,J2563)=R2563),1,""))</f>
        <v/>
      </c>
      <c r="T2563" s="27" t="str">
        <f aca="false">IF(S2563=1,COUNTIF($S$2:S2563,1),"")</f>
        <v/>
      </c>
    </row>
    <row r="2564" customFormat="false" ht="15" hidden="false" customHeight="false" outlineLevel="0" collapsed="false">
      <c r="H2564" s="26"/>
      <c r="I2564" s="27" t="str">
        <f aca="false">IF(A2564="","",IF(H2564&lt;&gt;"",UPPER(TRIM(H2564)),IFERROR(CHOOSE(VALUE(E2564)+1,"A","B","C","D"),IF(OR(LEFT(UPPER(TRIM(E2564)),1)="F",UPPER(TRIM(E2564))="A"),"A",IF(OR(LEFT(UPPER(TRIM(E2564)),1)="M",UPPER(TRIM(E2564))="B"),"B",IF(OR(LEFT(UPPER(TRIM(E2564)),2)="SL",UPPER(TRIM(E2564))="C"),"C",IF(OR(LEFT(UPPER(TRIM(E2564)),1)="D",UPPER(TRIM(E2564))="D"),"D","")))))))</f>
        <v/>
      </c>
      <c r="J2564" s="27" t="str">
        <f aca="false">IF(I2564="","",IF(AND(I2564="D",Settings!$B$6&lt;&gt;"Yes"),"",IFERROR(INDEX(Settings!$C$9:$C$12,MATCH(I2564,Settings!$A$9:$A$12,0)),"")))</f>
        <v/>
      </c>
      <c r="K2564" s="27" t="str">
        <f aca="false">IF(J2564="","",COUNTIF($I$2:I2564,I2564))</f>
        <v/>
      </c>
      <c r="L2564" s="27" t="str">
        <f aca="false">IF(J2564="","",CHOOSE(Q2564+1,"Tue","Wed","Thu","Fri"))</f>
        <v/>
      </c>
      <c r="M2564" s="27" t="str">
        <f aca="false">IF(J2564="","",IF(J2564=1,"Every week",R2564+1&amp;" of "&amp;J2564))</f>
        <v/>
      </c>
      <c r="N2564" s="28" t="str">
        <f aca="false">IF(J2564="","",Settings!$B$4+R2564*7+Q2564)</f>
        <v/>
      </c>
      <c r="O2564" s="28" t="str">
        <f aca="true">IF(J2564="","",N2564+MAX(0,ROUNDUP((TODAY()-N2564)/(J2564*7),0))*J2564*7)</f>
        <v/>
      </c>
      <c r="P2564" s="27" t="str">
        <f aca="false">IF(J2564="","",MOD(K2564-1,J2564*4))</f>
        <v/>
      </c>
      <c r="Q2564" s="27" t="str">
        <f aca="false">IF(J2564="","",MOD(P2564,4))</f>
        <v/>
      </c>
      <c r="R2564" s="27" t="str">
        <f aca="false">IF(J2564="","",INT(P2564/4))</f>
        <v/>
      </c>
      <c r="S2564" s="27" t="str">
        <f aca="false">IF(J2564="","",IF(AND('Daily Count Sheet'!$H$3=Q2564,MOD('Daily Count Sheet'!$I$3,J2564)=R2564),1,""))</f>
        <v/>
      </c>
      <c r="T2564" s="27" t="str">
        <f aca="false">IF(S2564=1,COUNTIF($S$2:S2564,1),"")</f>
        <v/>
      </c>
    </row>
    <row r="2565" customFormat="false" ht="15" hidden="false" customHeight="false" outlineLevel="0" collapsed="false">
      <c r="H2565" s="26"/>
      <c r="I2565" s="27" t="str">
        <f aca="false">IF(A2565="","",IF(H2565&lt;&gt;"",UPPER(TRIM(H2565)),IFERROR(CHOOSE(VALUE(E2565)+1,"A","B","C","D"),IF(OR(LEFT(UPPER(TRIM(E2565)),1)="F",UPPER(TRIM(E2565))="A"),"A",IF(OR(LEFT(UPPER(TRIM(E2565)),1)="M",UPPER(TRIM(E2565))="B"),"B",IF(OR(LEFT(UPPER(TRIM(E2565)),2)="SL",UPPER(TRIM(E2565))="C"),"C",IF(OR(LEFT(UPPER(TRIM(E2565)),1)="D",UPPER(TRIM(E2565))="D"),"D","")))))))</f>
        <v/>
      </c>
      <c r="J2565" s="27" t="str">
        <f aca="false">IF(I2565="","",IF(AND(I2565="D",Settings!$B$6&lt;&gt;"Yes"),"",IFERROR(INDEX(Settings!$C$9:$C$12,MATCH(I2565,Settings!$A$9:$A$12,0)),"")))</f>
        <v/>
      </c>
      <c r="K2565" s="27" t="str">
        <f aca="false">IF(J2565="","",COUNTIF($I$2:I2565,I2565))</f>
        <v/>
      </c>
      <c r="L2565" s="27" t="str">
        <f aca="false">IF(J2565="","",CHOOSE(Q2565+1,"Tue","Wed","Thu","Fri"))</f>
        <v/>
      </c>
      <c r="M2565" s="27" t="str">
        <f aca="false">IF(J2565="","",IF(J2565=1,"Every week",R2565+1&amp;" of "&amp;J2565))</f>
        <v/>
      </c>
      <c r="N2565" s="28" t="str">
        <f aca="false">IF(J2565="","",Settings!$B$4+R2565*7+Q2565)</f>
        <v/>
      </c>
      <c r="O2565" s="28" t="str">
        <f aca="true">IF(J2565="","",N2565+MAX(0,ROUNDUP((TODAY()-N2565)/(J2565*7),0))*J2565*7)</f>
        <v/>
      </c>
      <c r="P2565" s="27" t="str">
        <f aca="false">IF(J2565="","",MOD(K2565-1,J2565*4))</f>
        <v/>
      </c>
      <c r="Q2565" s="27" t="str">
        <f aca="false">IF(J2565="","",MOD(P2565,4))</f>
        <v/>
      </c>
      <c r="R2565" s="27" t="str">
        <f aca="false">IF(J2565="","",INT(P2565/4))</f>
        <v/>
      </c>
      <c r="S2565" s="27" t="str">
        <f aca="false">IF(J2565="","",IF(AND('Daily Count Sheet'!$H$3=Q2565,MOD('Daily Count Sheet'!$I$3,J2565)=R2565),1,""))</f>
        <v/>
      </c>
      <c r="T2565" s="27" t="str">
        <f aca="false">IF(S2565=1,COUNTIF($S$2:S2565,1),"")</f>
        <v/>
      </c>
    </row>
    <row r="2566" customFormat="false" ht="15" hidden="false" customHeight="false" outlineLevel="0" collapsed="false">
      <c r="H2566" s="26"/>
      <c r="I2566" s="27" t="str">
        <f aca="false">IF(A2566="","",IF(H2566&lt;&gt;"",UPPER(TRIM(H2566)),IFERROR(CHOOSE(VALUE(E2566)+1,"A","B","C","D"),IF(OR(LEFT(UPPER(TRIM(E2566)),1)="F",UPPER(TRIM(E2566))="A"),"A",IF(OR(LEFT(UPPER(TRIM(E2566)),1)="M",UPPER(TRIM(E2566))="B"),"B",IF(OR(LEFT(UPPER(TRIM(E2566)),2)="SL",UPPER(TRIM(E2566))="C"),"C",IF(OR(LEFT(UPPER(TRIM(E2566)),1)="D",UPPER(TRIM(E2566))="D"),"D","")))))))</f>
        <v/>
      </c>
      <c r="J2566" s="27" t="str">
        <f aca="false">IF(I2566="","",IF(AND(I2566="D",Settings!$B$6&lt;&gt;"Yes"),"",IFERROR(INDEX(Settings!$C$9:$C$12,MATCH(I2566,Settings!$A$9:$A$12,0)),"")))</f>
        <v/>
      </c>
      <c r="K2566" s="27" t="str">
        <f aca="false">IF(J2566="","",COUNTIF($I$2:I2566,I2566))</f>
        <v/>
      </c>
      <c r="L2566" s="27" t="str">
        <f aca="false">IF(J2566="","",CHOOSE(Q2566+1,"Tue","Wed","Thu","Fri"))</f>
        <v/>
      </c>
      <c r="M2566" s="27" t="str">
        <f aca="false">IF(J2566="","",IF(J2566=1,"Every week",R2566+1&amp;" of "&amp;J2566))</f>
        <v/>
      </c>
      <c r="N2566" s="28" t="str">
        <f aca="false">IF(J2566="","",Settings!$B$4+R2566*7+Q2566)</f>
        <v/>
      </c>
      <c r="O2566" s="28" t="str">
        <f aca="true">IF(J2566="","",N2566+MAX(0,ROUNDUP((TODAY()-N2566)/(J2566*7),0))*J2566*7)</f>
        <v/>
      </c>
      <c r="P2566" s="27" t="str">
        <f aca="false">IF(J2566="","",MOD(K2566-1,J2566*4))</f>
        <v/>
      </c>
      <c r="Q2566" s="27" t="str">
        <f aca="false">IF(J2566="","",MOD(P2566,4))</f>
        <v/>
      </c>
      <c r="R2566" s="27" t="str">
        <f aca="false">IF(J2566="","",INT(P2566/4))</f>
        <v/>
      </c>
      <c r="S2566" s="27" t="str">
        <f aca="false">IF(J2566="","",IF(AND('Daily Count Sheet'!$H$3=Q2566,MOD('Daily Count Sheet'!$I$3,J2566)=R2566),1,""))</f>
        <v/>
      </c>
      <c r="T2566" s="27" t="str">
        <f aca="false">IF(S2566=1,COUNTIF($S$2:S2566,1),"")</f>
        <v/>
      </c>
    </row>
    <row r="2567" customFormat="false" ht="15" hidden="false" customHeight="false" outlineLevel="0" collapsed="false">
      <c r="H2567" s="26"/>
      <c r="I2567" s="27" t="str">
        <f aca="false">IF(A2567="","",IF(H2567&lt;&gt;"",UPPER(TRIM(H2567)),IFERROR(CHOOSE(VALUE(E2567)+1,"A","B","C","D"),IF(OR(LEFT(UPPER(TRIM(E2567)),1)="F",UPPER(TRIM(E2567))="A"),"A",IF(OR(LEFT(UPPER(TRIM(E2567)),1)="M",UPPER(TRIM(E2567))="B"),"B",IF(OR(LEFT(UPPER(TRIM(E2567)),2)="SL",UPPER(TRIM(E2567))="C"),"C",IF(OR(LEFT(UPPER(TRIM(E2567)),1)="D",UPPER(TRIM(E2567))="D"),"D","")))))))</f>
        <v/>
      </c>
      <c r="J2567" s="27" t="str">
        <f aca="false">IF(I2567="","",IF(AND(I2567="D",Settings!$B$6&lt;&gt;"Yes"),"",IFERROR(INDEX(Settings!$C$9:$C$12,MATCH(I2567,Settings!$A$9:$A$12,0)),"")))</f>
        <v/>
      </c>
      <c r="K2567" s="27" t="str">
        <f aca="false">IF(J2567="","",COUNTIF($I$2:I2567,I2567))</f>
        <v/>
      </c>
      <c r="L2567" s="27" t="str">
        <f aca="false">IF(J2567="","",CHOOSE(Q2567+1,"Tue","Wed","Thu","Fri"))</f>
        <v/>
      </c>
      <c r="M2567" s="27" t="str">
        <f aca="false">IF(J2567="","",IF(J2567=1,"Every week",R2567+1&amp;" of "&amp;J2567))</f>
        <v/>
      </c>
      <c r="N2567" s="28" t="str">
        <f aca="false">IF(J2567="","",Settings!$B$4+R2567*7+Q2567)</f>
        <v/>
      </c>
      <c r="O2567" s="28" t="str">
        <f aca="true">IF(J2567="","",N2567+MAX(0,ROUNDUP((TODAY()-N2567)/(J2567*7),0))*J2567*7)</f>
        <v/>
      </c>
      <c r="P2567" s="27" t="str">
        <f aca="false">IF(J2567="","",MOD(K2567-1,J2567*4))</f>
        <v/>
      </c>
      <c r="Q2567" s="27" t="str">
        <f aca="false">IF(J2567="","",MOD(P2567,4))</f>
        <v/>
      </c>
      <c r="R2567" s="27" t="str">
        <f aca="false">IF(J2567="","",INT(P2567/4))</f>
        <v/>
      </c>
      <c r="S2567" s="27" t="str">
        <f aca="false">IF(J2567="","",IF(AND('Daily Count Sheet'!$H$3=Q2567,MOD('Daily Count Sheet'!$I$3,J2567)=R2567),1,""))</f>
        <v/>
      </c>
      <c r="T2567" s="27" t="str">
        <f aca="false">IF(S2567=1,COUNTIF($S$2:S2567,1),"")</f>
        <v/>
      </c>
    </row>
    <row r="2568" customFormat="false" ht="15" hidden="false" customHeight="false" outlineLevel="0" collapsed="false">
      <c r="H2568" s="26"/>
      <c r="I2568" s="27" t="str">
        <f aca="false">IF(A2568="","",IF(H2568&lt;&gt;"",UPPER(TRIM(H2568)),IFERROR(CHOOSE(VALUE(E2568)+1,"A","B","C","D"),IF(OR(LEFT(UPPER(TRIM(E2568)),1)="F",UPPER(TRIM(E2568))="A"),"A",IF(OR(LEFT(UPPER(TRIM(E2568)),1)="M",UPPER(TRIM(E2568))="B"),"B",IF(OR(LEFT(UPPER(TRIM(E2568)),2)="SL",UPPER(TRIM(E2568))="C"),"C",IF(OR(LEFT(UPPER(TRIM(E2568)),1)="D",UPPER(TRIM(E2568))="D"),"D","")))))))</f>
        <v/>
      </c>
      <c r="J2568" s="27" t="str">
        <f aca="false">IF(I2568="","",IF(AND(I2568="D",Settings!$B$6&lt;&gt;"Yes"),"",IFERROR(INDEX(Settings!$C$9:$C$12,MATCH(I2568,Settings!$A$9:$A$12,0)),"")))</f>
        <v/>
      </c>
      <c r="K2568" s="27" t="str">
        <f aca="false">IF(J2568="","",COUNTIF($I$2:I2568,I2568))</f>
        <v/>
      </c>
      <c r="L2568" s="27" t="str">
        <f aca="false">IF(J2568="","",CHOOSE(Q2568+1,"Tue","Wed","Thu","Fri"))</f>
        <v/>
      </c>
      <c r="M2568" s="27" t="str">
        <f aca="false">IF(J2568="","",IF(J2568=1,"Every week",R2568+1&amp;" of "&amp;J2568))</f>
        <v/>
      </c>
      <c r="N2568" s="28" t="str">
        <f aca="false">IF(J2568="","",Settings!$B$4+R2568*7+Q2568)</f>
        <v/>
      </c>
      <c r="O2568" s="28" t="str">
        <f aca="true">IF(J2568="","",N2568+MAX(0,ROUNDUP((TODAY()-N2568)/(J2568*7),0))*J2568*7)</f>
        <v/>
      </c>
      <c r="P2568" s="27" t="str">
        <f aca="false">IF(J2568="","",MOD(K2568-1,J2568*4))</f>
        <v/>
      </c>
      <c r="Q2568" s="27" t="str">
        <f aca="false">IF(J2568="","",MOD(P2568,4))</f>
        <v/>
      </c>
      <c r="R2568" s="27" t="str">
        <f aca="false">IF(J2568="","",INT(P2568/4))</f>
        <v/>
      </c>
      <c r="S2568" s="27" t="str">
        <f aca="false">IF(J2568="","",IF(AND('Daily Count Sheet'!$H$3=Q2568,MOD('Daily Count Sheet'!$I$3,J2568)=R2568),1,""))</f>
        <v/>
      </c>
      <c r="T2568" s="27" t="str">
        <f aca="false">IF(S2568=1,COUNTIF($S$2:S2568,1),"")</f>
        <v/>
      </c>
    </row>
    <row r="2569" customFormat="false" ht="15" hidden="false" customHeight="false" outlineLevel="0" collapsed="false">
      <c r="H2569" s="26"/>
      <c r="I2569" s="27" t="str">
        <f aca="false">IF(A2569="","",IF(H2569&lt;&gt;"",UPPER(TRIM(H2569)),IFERROR(CHOOSE(VALUE(E2569)+1,"A","B","C","D"),IF(OR(LEFT(UPPER(TRIM(E2569)),1)="F",UPPER(TRIM(E2569))="A"),"A",IF(OR(LEFT(UPPER(TRIM(E2569)),1)="M",UPPER(TRIM(E2569))="B"),"B",IF(OR(LEFT(UPPER(TRIM(E2569)),2)="SL",UPPER(TRIM(E2569))="C"),"C",IF(OR(LEFT(UPPER(TRIM(E2569)),1)="D",UPPER(TRIM(E2569))="D"),"D","")))))))</f>
        <v/>
      </c>
      <c r="J2569" s="27" t="str">
        <f aca="false">IF(I2569="","",IF(AND(I2569="D",Settings!$B$6&lt;&gt;"Yes"),"",IFERROR(INDEX(Settings!$C$9:$C$12,MATCH(I2569,Settings!$A$9:$A$12,0)),"")))</f>
        <v/>
      </c>
      <c r="K2569" s="27" t="str">
        <f aca="false">IF(J2569="","",COUNTIF($I$2:I2569,I2569))</f>
        <v/>
      </c>
      <c r="L2569" s="27" t="str">
        <f aca="false">IF(J2569="","",CHOOSE(Q2569+1,"Tue","Wed","Thu","Fri"))</f>
        <v/>
      </c>
      <c r="M2569" s="27" t="str">
        <f aca="false">IF(J2569="","",IF(J2569=1,"Every week",R2569+1&amp;" of "&amp;J2569))</f>
        <v/>
      </c>
      <c r="N2569" s="28" t="str">
        <f aca="false">IF(J2569="","",Settings!$B$4+R2569*7+Q2569)</f>
        <v/>
      </c>
      <c r="O2569" s="28" t="str">
        <f aca="true">IF(J2569="","",N2569+MAX(0,ROUNDUP((TODAY()-N2569)/(J2569*7),0))*J2569*7)</f>
        <v/>
      </c>
      <c r="P2569" s="27" t="str">
        <f aca="false">IF(J2569="","",MOD(K2569-1,J2569*4))</f>
        <v/>
      </c>
      <c r="Q2569" s="27" t="str">
        <f aca="false">IF(J2569="","",MOD(P2569,4))</f>
        <v/>
      </c>
      <c r="R2569" s="27" t="str">
        <f aca="false">IF(J2569="","",INT(P2569/4))</f>
        <v/>
      </c>
      <c r="S2569" s="27" t="str">
        <f aca="false">IF(J2569="","",IF(AND('Daily Count Sheet'!$H$3=Q2569,MOD('Daily Count Sheet'!$I$3,J2569)=R2569),1,""))</f>
        <v/>
      </c>
      <c r="T2569" s="27" t="str">
        <f aca="false">IF(S2569=1,COUNTIF($S$2:S2569,1),"")</f>
        <v/>
      </c>
    </row>
    <row r="2570" customFormat="false" ht="15" hidden="false" customHeight="false" outlineLevel="0" collapsed="false">
      <c r="H2570" s="26"/>
      <c r="I2570" s="27" t="str">
        <f aca="false">IF(A2570="","",IF(H2570&lt;&gt;"",UPPER(TRIM(H2570)),IFERROR(CHOOSE(VALUE(E2570)+1,"A","B","C","D"),IF(OR(LEFT(UPPER(TRIM(E2570)),1)="F",UPPER(TRIM(E2570))="A"),"A",IF(OR(LEFT(UPPER(TRIM(E2570)),1)="M",UPPER(TRIM(E2570))="B"),"B",IF(OR(LEFT(UPPER(TRIM(E2570)),2)="SL",UPPER(TRIM(E2570))="C"),"C",IF(OR(LEFT(UPPER(TRIM(E2570)),1)="D",UPPER(TRIM(E2570))="D"),"D","")))))))</f>
        <v/>
      </c>
      <c r="J2570" s="27" t="str">
        <f aca="false">IF(I2570="","",IF(AND(I2570="D",Settings!$B$6&lt;&gt;"Yes"),"",IFERROR(INDEX(Settings!$C$9:$C$12,MATCH(I2570,Settings!$A$9:$A$12,0)),"")))</f>
        <v/>
      </c>
      <c r="K2570" s="27" t="str">
        <f aca="false">IF(J2570="","",COUNTIF($I$2:I2570,I2570))</f>
        <v/>
      </c>
      <c r="L2570" s="27" t="str">
        <f aca="false">IF(J2570="","",CHOOSE(Q2570+1,"Tue","Wed","Thu","Fri"))</f>
        <v/>
      </c>
      <c r="M2570" s="27" t="str">
        <f aca="false">IF(J2570="","",IF(J2570=1,"Every week",R2570+1&amp;" of "&amp;J2570))</f>
        <v/>
      </c>
      <c r="N2570" s="28" t="str">
        <f aca="false">IF(J2570="","",Settings!$B$4+R2570*7+Q2570)</f>
        <v/>
      </c>
      <c r="O2570" s="28" t="str">
        <f aca="true">IF(J2570="","",N2570+MAX(0,ROUNDUP((TODAY()-N2570)/(J2570*7),0))*J2570*7)</f>
        <v/>
      </c>
      <c r="P2570" s="27" t="str">
        <f aca="false">IF(J2570="","",MOD(K2570-1,J2570*4))</f>
        <v/>
      </c>
      <c r="Q2570" s="27" t="str">
        <f aca="false">IF(J2570="","",MOD(P2570,4))</f>
        <v/>
      </c>
      <c r="R2570" s="27" t="str">
        <f aca="false">IF(J2570="","",INT(P2570/4))</f>
        <v/>
      </c>
      <c r="S2570" s="27" t="str">
        <f aca="false">IF(J2570="","",IF(AND('Daily Count Sheet'!$H$3=Q2570,MOD('Daily Count Sheet'!$I$3,J2570)=R2570),1,""))</f>
        <v/>
      </c>
      <c r="T2570" s="27" t="str">
        <f aca="false">IF(S2570=1,COUNTIF($S$2:S2570,1),"")</f>
        <v/>
      </c>
    </row>
    <row r="2571" customFormat="false" ht="15" hidden="false" customHeight="false" outlineLevel="0" collapsed="false">
      <c r="H2571" s="26"/>
      <c r="I2571" s="27" t="str">
        <f aca="false">IF(A2571="","",IF(H2571&lt;&gt;"",UPPER(TRIM(H2571)),IFERROR(CHOOSE(VALUE(E2571)+1,"A","B","C","D"),IF(OR(LEFT(UPPER(TRIM(E2571)),1)="F",UPPER(TRIM(E2571))="A"),"A",IF(OR(LEFT(UPPER(TRIM(E2571)),1)="M",UPPER(TRIM(E2571))="B"),"B",IF(OR(LEFT(UPPER(TRIM(E2571)),2)="SL",UPPER(TRIM(E2571))="C"),"C",IF(OR(LEFT(UPPER(TRIM(E2571)),1)="D",UPPER(TRIM(E2571))="D"),"D","")))))))</f>
        <v/>
      </c>
      <c r="J2571" s="27" t="str">
        <f aca="false">IF(I2571="","",IF(AND(I2571="D",Settings!$B$6&lt;&gt;"Yes"),"",IFERROR(INDEX(Settings!$C$9:$C$12,MATCH(I2571,Settings!$A$9:$A$12,0)),"")))</f>
        <v/>
      </c>
      <c r="K2571" s="27" t="str">
        <f aca="false">IF(J2571="","",COUNTIF($I$2:I2571,I2571))</f>
        <v/>
      </c>
      <c r="L2571" s="27" t="str">
        <f aca="false">IF(J2571="","",CHOOSE(Q2571+1,"Tue","Wed","Thu","Fri"))</f>
        <v/>
      </c>
      <c r="M2571" s="27" t="str">
        <f aca="false">IF(J2571="","",IF(J2571=1,"Every week",R2571+1&amp;" of "&amp;J2571))</f>
        <v/>
      </c>
      <c r="N2571" s="28" t="str">
        <f aca="false">IF(J2571="","",Settings!$B$4+R2571*7+Q2571)</f>
        <v/>
      </c>
      <c r="O2571" s="28" t="str">
        <f aca="true">IF(J2571="","",N2571+MAX(0,ROUNDUP((TODAY()-N2571)/(J2571*7),0))*J2571*7)</f>
        <v/>
      </c>
      <c r="P2571" s="27" t="str">
        <f aca="false">IF(J2571="","",MOD(K2571-1,J2571*4))</f>
        <v/>
      </c>
      <c r="Q2571" s="27" t="str">
        <f aca="false">IF(J2571="","",MOD(P2571,4))</f>
        <v/>
      </c>
      <c r="R2571" s="27" t="str">
        <f aca="false">IF(J2571="","",INT(P2571/4))</f>
        <v/>
      </c>
      <c r="S2571" s="27" t="str">
        <f aca="false">IF(J2571="","",IF(AND('Daily Count Sheet'!$H$3=Q2571,MOD('Daily Count Sheet'!$I$3,J2571)=R2571),1,""))</f>
        <v/>
      </c>
      <c r="T2571" s="27" t="str">
        <f aca="false">IF(S2571=1,COUNTIF($S$2:S2571,1),"")</f>
        <v/>
      </c>
    </row>
    <row r="2572" customFormat="false" ht="15" hidden="false" customHeight="false" outlineLevel="0" collapsed="false">
      <c r="H2572" s="26"/>
      <c r="I2572" s="27" t="str">
        <f aca="false">IF(A2572="","",IF(H2572&lt;&gt;"",UPPER(TRIM(H2572)),IFERROR(CHOOSE(VALUE(E2572)+1,"A","B","C","D"),IF(OR(LEFT(UPPER(TRIM(E2572)),1)="F",UPPER(TRIM(E2572))="A"),"A",IF(OR(LEFT(UPPER(TRIM(E2572)),1)="M",UPPER(TRIM(E2572))="B"),"B",IF(OR(LEFT(UPPER(TRIM(E2572)),2)="SL",UPPER(TRIM(E2572))="C"),"C",IF(OR(LEFT(UPPER(TRIM(E2572)),1)="D",UPPER(TRIM(E2572))="D"),"D","")))))))</f>
        <v/>
      </c>
      <c r="J2572" s="27" t="str">
        <f aca="false">IF(I2572="","",IF(AND(I2572="D",Settings!$B$6&lt;&gt;"Yes"),"",IFERROR(INDEX(Settings!$C$9:$C$12,MATCH(I2572,Settings!$A$9:$A$12,0)),"")))</f>
        <v/>
      </c>
      <c r="K2572" s="27" t="str">
        <f aca="false">IF(J2572="","",COUNTIF($I$2:I2572,I2572))</f>
        <v/>
      </c>
      <c r="L2572" s="27" t="str">
        <f aca="false">IF(J2572="","",CHOOSE(Q2572+1,"Tue","Wed","Thu","Fri"))</f>
        <v/>
      </c>
      <c r="M2572" s="27" t="str">
        <f aca="false">IF(J2572="","",IF(J2572=1,"Every week",R2572+1&amp;" of "&amp;J2572))</f>
        <v/>
      </c>
      <c r="N2572" s="28" t="str">
        <f aca="false">IF(J2572="","",Settings!$B$4+R2572*7+Q2572)</f>
        <v/>
      </c>
      <c r="O2572" s="28" t="str">
        <f aca="true">IF(J2572="","",N2572+MAX(0,ROUNDUP((TODAY()-N2572)/(J2572*7),0))*J2572*7)</f>
        <v/>
      </c>
      <c r="P2572" s="27" t="str">
        <f aca="false">IF(J2572="","",MOD(K2572-1,J2572*4))</f>
        <v/>
      </c>
      <c r="Q2572" s="27" t="str">
        <f aca="false">IF(J2572="","",MOD(P2572,4))</f>
        <v/>
      </c>
      <c r="R2572" s="27" t="str">
        <f aca="false">IF(J2572="","",INT(P2572/4))</f>
        <v/>
      </c>
      <c r="S2572" s="27" t="str">
        <f aca="false">IF(J2572="","",IF(AND('Daily Count Sheet'!$H$3=Q2572,MOD('Daily Count Sheet'!$I$3,J2572)=R2572),1,""))</f>
        <v/>
      </c>
      <c r="T2572" s="27" t="str">
        <f aca="false">IF(S2572=1,COUNTIF($S$2:S2572,1),"")</f>
        <v/>
      </c>
    </row>
    <row r="2573" customFormat="false" ht="15" hidden="false" customHeight="false" outlineLevel="0" collapsed="false">
      <c r="H2573" s="26"/>
      <c r="I2573" s="27" t="str">
        <f aca="false">IF(A2573="","",IF(H2573&lt;&gt;"",UPPER(TRIM(H2573)),IFERROR(CHOOSE(VALUE(E2573)+1,"A","B","C","D"),IF(OR(LEFT(UPPER(TRIM(E2573)),1)="F",UPPER(TRIM(E2573))="A"),"A",IF(OR(LEFT(UPPER(TRIM(E2573)),1)="M",UPPER(TRIM(E2573))="B"),"B",IF(OR(LEFT(UPPER(TRIM(E2573)),2)="SL",UPPER(TRIM(E2573))="C"),"C",IF(OR(LEFT(UPPER(TRIM(E2573)),1)="D",UPPER(TRIM(E2573))="D"),"D","")))))))</f>
        <v/>
      </c>
      <c r="J2573" s="27" t="str">
        <f aca="false">IF(I2573="","",IF(AND(I2573="D",Settings!$B$6&lt;&gt;"Yes"),"",IFERROR(INDEX(Settings!$C$9:$C$12,MATCH(I2573,Settings!$A$9:$A$12,0)),"")))</f>
        <v/>
      </c>
      <c r="K2573" s="27" t="str">
        <f aca="false">IF(J2573="","",COUNTIF($I$2:I2573,I2573))</f>
        <v/>
      </c>
      <c r="L2573" s="27" t="str">
        <f aca="false">IF(J2573="","",CHOOSE(Q2573+1,"Tue","Wed","Thu","Fri"))</f>
        <v/>
      </c>
      <c r="M2573" s="27" t="str">
        <f aca="false">IF(J2573="","",IF(J2573=1,"Every week",R2573+1&amp;" of "&amp;J2573))</f>
        <v/>
      </c>
      <c r="N2573" s="28" t="str">
        <f aca="false">IF(J2573="","",Settings!$B$4+R2573*7+Q2573)</f>
        <v/>
      </c>
      <c r="O2573" s="28" t="str">
        <f aca="true">IF(J2573="","",N2573+MAX(0,ROUNDUP((TODAY()-N2573)/(J2573*7),0))*J2573*7)</f>
        <v/>
      </c>
      <c r="P2573" s="27" t="str">
        <f aca="false">IF(J2573="","",MOD(K2573-1,J2573*4))</f>
        <v/>
      </c>
      <c r="Q2573" s="27" t="str">
        <f aca="false">IF(J2573="","",MOD(P2573,4))</f>
        <v/>
      </c>
      <c r="R2573" s="27" t="str">
        <f aca="false">IF(J2573="","",INT(P2573/4))</f>
        <v/>
      </c>
      <c r="S2573" s="27" t="str">
        <f aca="false">IF(J2573="","",IF(AND('Daily Count Sheet'!$H$3=Q2573,MOD('Daily Count Sheet'!$I$3,J2573)=R2573),1,""))</f>
        <v/>
      </c>
      <c r="T2573" s="27" t="str">
        <f aca="false">IF(S2573=1,COUNTIF($S$2:S2573,1),"")</f>
        <v/>
      </c>
    </row>
    <row r="2574" customFormat="false" ht="15" hidden="false" customHeight="false" outlineLevel="0" collapsed="false">
      <c r="H2574" s="26"/>
      <c r="I2574" s="27" t="str">
        <f aca="false">IF(A2574="","",IF(H2574&lt;&gt;"",UPPER(TRIM(H2574)),IFERROR(CHOOSE(VALUE(E2574)+1,"A","B","C","D"),IF(OR(LEFT(UPPER(TRIM(E2574)),1)="F",UPPER(TRIM(E2574))="A"),"A",IF(OR(LEFT(UPPER(TRIM(E2574)),1)="M",UPPER(TRIM(E2574))="B"),"B",IF(OR(LEFT(UPPER(TRIM(E2574)),2)="SL",UPPER(TRIM(E2574))="C"),"C",IF(OR(LEFT(UPPER(TRIM(E2574)),1)="D",UPPER(TRIM(E2574))="D"),"D","")))))))</f>
        <v/>
      </c>
      <c r="J2574" s="27" t="str">
        <f aca="false">IF(I2574="","",IF(AND(I2574="D",Settings!$B$6&lt;&gt;"Yes"),"",IFERROR(INDEX(Settings!$C$9:$C$12,MATCH(I2574,Settings!$A$9:$A$12,0)),"")))</f>
        <v/>
      </c>
      <c r="K2574" s="27" t="str">
        <f aca="false">IF(J2574="","",COUNTIF($I$2:I2574,I2574))</f>
        <v/>
      </c>
      <c r="L2574" s="27" t="str">
        <f aca="false">IF(J2574="","",CHOOSE(Q2574+1,"Tue","Wed","Thu","Fri"))</f>
        <v/>
      </c>
      <c r="M2574" s="27" t="str">
        <f aca="false">IF(J2574="","",IF(J2574=1,"Every week",R2574+1&amp;" of "&amp;J2574))</f>
        <v/>
      </c>
      <c r="N2574" s="28" t="str">
        <f aca="false">IF(J2574="","",Settings!$B$4+R2574*7+Q2574)</f>
        <v/>
      </c>
      <c r="O2574" s="28" t="str">
        <f aca="true">IF(J2574="","",N2574+MAX(0,ROUNDUP((TODAY()-N2574)/(J2574*7),0))*J2574*7)</f>
        <v/>
      </c>
      <c r="P2574" s="27" t="str">
        <f aca="false">IF(J2574="","",MOD(K2574-1,J2574*4))</f>
        <v/>
      </c>
      <c r="Q2574" s="27" t="str">
        <f aca="false">IF(J2574="","",MOD(P2574,4))</f>
        <v/>
      </c>
      <c r="R2574" s="27" t="str">
        <f aca="false">IF(J2574="","",INT(P2574/4))</f>
        <v/>
      </c>
      <c r="S2574" s="27" t="str">
        <f aca="false">IF(J2574="","",IF(AND('Daily Count Sheet'!$H$3=Q2574,MOD('Daily Count Sheet'!$I$3,J2574)=R2574),1,""))</f>
        <v/>
      </c>
      <c r="T2574" s="27" t="str">
        <f aca="false">IF(S2574=1,COUNTIF($S$2:S2574,1),"")</f>
        <v/>
      </c>
    </row>
    <row r="2575" customFormat="false" ht="15" hidden="false" customHeight="false" outlineLevel="0" collapsed="false">
      <c r="H2575" s="26"/>
      <c r="I2575" s="27" t="str">
        <f aca="false">IF(A2575="","",IF(H2575&lt;&gt;"",UPPER(TRIM(H2575)),IFERROR(CHOOSE(VALUE(E2575)+1,"A","B","C","D"),IF(OR(LEFT(UPPER(TRIM(E2575)),1)="F",UPPER(TRIM(E2575))="A"),"A",IF(OR(LEFT(UPPER(TRIM(E2575)),1)="M",UPPER(TRIM(E2575))="B"),"B",IF(OR(LEFT(UPPER(TRIM(E2575)),2)="SL",UPPER(TRIM(E2575))="C"),"C",IF(OR(LEFT(UPPER(TRIM(E2575)),1)="D",UPPER(TRIM(E2575))="D"),"D","")))))))</f>
        <v/>
      </c>
      <c r="J2575" s="27" t="str">
        <f aca="false">IF(I2575="","",IF(AND(I2575="D",Settings!$B$6&lt;&gt;"Yes"),"",IFERROR(INDEX(Settings!$C$9:$C$12,MATCH(I2575,Settings!$A$9:$A$12,0)),"")))</f>
        <v/>
      </c>
      <c r="K2575" s="27" t="str">
        <f aca="false">IF(J2575="","",COUNTIF($I$2:I2575,I2575))</f>
        <v/>
      </c>
      <c r="L2575" s="27" t="str">
        <f aca="false">IF(J2575="","",CHOOSE(Q2575+1,"Tue","Wed","Thu","Fri"))</f>
        <v/>
      </c>
      <c r="M2575" s="27" t="str">
        <f aca="false">IF(J2575="","",IF(J2575=1,"Every week",R2575+1&amp;" of "&amp;J2575))</f>
        <v/>
      </c>
      <c r="N2575" s="28" t="str">
        <f aca="false">IF(J2575="","",Settings!$B$4+R2575*7+Q2575)</f>
        <v/>
      </c>
      <c r="O2575" s="28" t="str">
        <f aca="true">IF(J2575="","",N2575+MAX(0,ROUNDUP((TODAY()-N2575)/(J2575*7),0))*J2575*7)</f>
        <v/>
      </c>
      <c r="P2575" s="27" t="str">
        <f aca="false">IF(J2575="","",MOD(K2575-1,J2575*4))</f>
        <v/>
      </c>
      <c r="Q2575" s="27" t="str">
        <f aca="false">IF(J2575="","",MOD(P2575,4))</f>
        <v/>
      </c>
      <c r="R2575" s="27" t="str">
        <f aca="false">IF(J2575="","",INT(P2575/4))</f>
        <v/>
      </c>
      <c r="S2575" s="27" t="str">
        <f aca="false">IF(J2575="","",IF(AND('Daily Count Sheet'!$H$3=Q2575,MOD('Daily Count Sheet'!$I$3,J2575)=R2575),1,""))</f>
        <v/>
      </c>
      <c r="T2575" s="27" t="str">
        <f aca="false">IF(S2575=1,COUNTIF($S$2:S2575,1),"")</f>
        <v/>
      </c>
    </row>
    <row r="2576" customFormat="false" ht="15" hidden="false" customHeight="false" outlineLevel="0" collapsed="false">
      <c r="H2576" s="26"/>
      <c r="I2576" s="27" t="str">
        <f aca="false">IF(A2576="","",IF(H2576&lt;&gt;"",UPPER(TRIM(H2576)),IFERROR(CHOOSE(VALUE(E2576)+1,"A","B","C","D"),IF(OR(LEFT(UPPER(TRIM(E2576)),1)="F",UPPER(TRIM(E2576))="A"),"A",IF(OR(LEFT(UPPER(TRIM(E2576)),1)="M",UPPER(TRIM(E2576))="B"),"B",IF(OR(LEFT(UPPER(TRIM(E2576)),2)="SL",UPPER(TRIM(E2576))="C"),"C",IF(OR(LEFT(UPPER(TRIM(E2576)),1)="D",UPPER(TRIM(E2576))="D"),"D","")))))))</f>
        <v/>
      </c>
      <c r="J2576" s="27" t="str">
        <f aca="false">IF(I2576="","",IF(AND(I2576="D",Settings!$B$6&lt;&gt;"Yes"),"",IFERROR(INDEX(Settings!$C$9:$C$12,MATCH(I2576,Settings!$A$9:$A$12,0)),"")))</f>
        <v/>
      </c>
      <c r="K2576" s="27" t="str">
        <f aca="false">IF(J2576="","",COUNTIF($I$2:I2576,I2576))</f>
        <v/>
      </c>
      <c r="L2576" s="27" t="str">
        <f aca="false">IF(J2576="","",CHOOSE(Q2576+1,"Tue","Wed","Thu","Fri"))</f>
        <v/>
      </c>
      <c r="M2576" s="27" t="str">
        <f aca="false">IF(J2576="","",IF(J2576=1,"Every week",R2576+1&amp;" of "&amp;J2576))</f>
        <v/>
      </c>
      <c r="N2576" s="28" t="str">
        <f aca="false">IF(J2576="","",Settings!$B$4+R2576*7+Q2576)</f>
        <v/>
      </c>
      <c r="O2576" s="28" t="str">
        <f aca="true">IF(J2576="","",N2576+MAX(0,ROUNDUP((TODAY()-N2576)/(J2576*7),0))*J2576*7)</f>
        <v/>
      </c>
      <c r="P2576" s="27" t="str">
        <f aca="false">IF(J2576="","",MOD(K2576-1,J2576*4))</f>
        <v/>
      </c>
      <c r="Q2576" s="27" t="str">
        <f aca="false">IF(J2576="","",MOD(P2576,4))</f>
        <v/>
      </c>
      <c r="R2576" s="27" t="str">
        <f aca="false">IF(J2576="","",INT(P2576/4))</f>
        <v/>
      </c>
      <c r="S2576" s="27" t="str">
        <f aca="false">IF(J2576="","",IF(AND('Daily Count Sheet'!$H$3=Q2576,MOD('Daily Count Sheet'!$I$3,J2576)=R2576),1,""))</f>
        <v/>
      </c>
      <c r="T2576" s="27" t="str">
        <f aca="false">IF(S2576=1,COUNTIF($S$2:S2576,1),"")</f>
        <v/>
      </c>
    </row>
    <row r="2577" customFormat="false" ht="15" hidden="false" customHeight="false" outlineLevel="0" collapsed="false">
      <c r="H2577" s="26"/>
      <c r="I2577" s="27" t="str">
        <f aca="false">IF(A2577="","",IF(H2577&lt;&gt;"",UPPER(TRIM(H2577)),IFERROR(CHOOSE(VALUE(E2577)+1,"A","B","C","D"),IF(OR(LEFT(UPPER(TRIM(E2577)),1)="F",UPPER(TRIM(E2577))="A"),"A",IF(OR(LEFT(UPPER(TRIM(E2577)),1)="M",UPPER(TRIM(E2577))="B"),"B",IF(OR(LEFT(UPPER(TRIM(E2577)),2)="SL",UPPER(TRIM(E2577))="C"),"C",IF(OR(LEFT(UPPER(TRIM(E2577)),1)="D",UPPER(TRIM(E2577))="D"),"D","")))))))</f>
        <v/>
      </c>
      <c r="J2577" s="27" t="str">
        <f aca="false">IF(I2577="","",IF(AND(I2577="D",Settings!$B$6&lt;&gt;"Yes"),"",IFERROR(INDEX(Settings!$C$9:$C$12,MATCH(I2577,Settings!$A$9:$A$12,0)),"")))</f>
        <v/>
      </c>
      <c r="K2577" s="27" t="str">
        <f aca="false">IF(J2577="","",COUNTIF($I$2:I2577,I2577))</f>
        <v/>
      </c>
      <c r="L2577" s="27" t="str">
        <f aca="false">IF(J2577="","",CHOOSE(Q2577+1,"Tue","Wed","Thu","Fri"))</f>
        <v/>
      </c>
      <c r="M2577" s="27" t="str">
        <f aca="false">IF(J2577="","",IF(J2577=1,"Every week",R2577+1&amp;" of "&amp;J2577))</f>
        <v/>
      </c>
      <c r="N2577" s="28" t="str">
        <f aca="false">IF(J2577="","",Settings!$B$4+R2577*7+Q2577)</f>
        <v/>
      </c>
      <c r="O2577" s="28" t="str">
        <f aca="true">IF(J2577="","",N2577+MAX(0,ROUNDUP((TODAY()-N2577)/(J2577*7),0))*J2577*7)</f>
        <v/>
      </c>
      <c r="P2577" s="27" t="str">
        <f aca="false">IF(J2577="","",MOD(K2577-1,J2577*4))</f>
        <v/>
      </c>
      <c r="Q2577" s="27" t="str">
        <f aca="false">IF(J2577="","",MOD(P2577,4))</f>
        <v/>
      </c>
      <c r="R2577" s="27" t="str">
        <f aca="false">IF(J2577="","",INT(P2577/4))</f>
        <v/>
      </c>
      <c r="S2577" s="27" t="str">
        <f aca="false">IF(J2577="","",IF(AND('Daily Count Sheet'!$H$3=Q2577,MOD('Daily Count Sheet'!$I$3,J2577)=R2577),1,""))</f>
        <v/>
      </c>
      <c r="T2577" s="27" t="str">
        <f aca="false">IF(S2577=1,COUNTIF($S$2:S2577,1),"")</f>
        <v/>
      </c>
    </row>
    <row r="2578" customFormat="false" ht="15" hidden="false" customHeight="false" outlineLevel="0" collapsed="false">
      <c r="H2578" s="26"/>
      <c r="I2578" s="27" t="str">
        <f aca="false">IF(A2578="","",IF(H2578&lt;&gt;"",UPPER(TRIM(H2578)),IFERROR(CHOOSE(VALUE(E2578)+1,"A","B","C","D"),IF(OR(LEFT(UPPER(TRIM(E2578)),1)="F",UPPER(TRIM(E2578))="A"),"A",IF(OR(LEFT(UPPER(TRIM(E2578)),1)="M",UPPER(TRIM(E2578))="B"),"B",IF(OR(LEFT(UPPER(TRIM(E2578)),2)="SL",UPPER(TRIM(E2578))="C"),"C",IF(OR(LEFT(UPPER(TRIM(E2578)),1)="D",UPPER(TRIM(E2578))="D"),"D","")))))))</f>
        <v/>
      </c>
      <c r="J2578" s="27" t="str">
        <f aca="false">IF(I2578="","",IF(AND(I2578="D",Settings!$B$6&lt;&gt;"Yes"),"",IFERROR(INDEX(Settings!$C$9:$C$12,MATCH(I2578,Settings!$A$9:$A$12,0)),"")))</f>
        <v/>
      </c>
      <c r="K2578" s="27" t="str">
        <f aca="false">IF(J2578="","",COUNTIF($I$2:I2578,I2578))</f>
        <v/>
      </c>
      <c r="L2578" s="27" t="str">
        <f aca="false">IF(J2578="","",CHOOSE(Q2578+1,"Tue","Wed","Thu","Fri"))</f>
        <v/>
      </c>
      <c r="M2578" s="27" t="str">
        <f aca="false">IF(J2578="","",IF(J2578=1,"Every week",R2578+1&amp;" of "&amp;J2578))</f>
        <v/>
      </c>
      <c r="N2578" s="28" t="str">
        <f aca="false">IF(J2578="","",Settings!$B$4+R2578*7+Q2578)</f>
        <v/>
      </c>
      <c r="O2578" s="28" t="str">
        <f aca="true">IF(J2578="","",N2578+MAX(0,ROUNDUP((TODAY()-N2578)/(J2578*7),0))*J2578*7)</f>
        <v/>
      </c>
      <c r="P2578" s="27" t="str">
        <f aca="false">IF(J2578="","",MOD(K2578-1,J2578*4))</f>
        <v/>
      </c>
      <c r="Q2578" s="27" t="str">
        <f aca="false">IF(J2578="","",MOD(P2578,4))</f>
        <v/>
      </c>
      <c r="R2578" s="27" t="str">
        <f aca="false">IF(J2578="","",INT(P2578/4))</f>
        <v/>
      </c>
      <c r="S2578" s="27" t="str">
        <f aca="false">IF(J2578="","",IF(AND('Daily Count Sheet'!$H$3=Q2578,MOD('Daily Count Sheet'!$I$3,J2578)=R2578),1,""))</f>
        <v/>
      </c>
      <c r="T2578" s="27" t="str">
        <f aca="false">IF(S2578=1,COUNTIF($S$2:S2578,1),"")</f>
        <v/>
      </c>
    </row>
    <row r="2579" customFormat="false" ht="15" hidden="false" customHeight="false" outlineLevel="0" collapsed="false">
      <c r="H2579" s="26"/>
      <c r="I2579" s="27" t="str">
        <f aca="false">IF(A2579="","",IF(H2579&lt;&gt;"",UPPER(TRIM(H2579)),IFERROR(CHOOSE(VALUE(E2579)+1,"A","B","C","D"),IF(OR(LEFT(UPPER(TRIM(E2579)),1)="F",UPPER(TRIM(E2579))="A"),"A",IF(OR(LEFT(UPPER(TRIM(E2579)),1)="M",UPPER(TRIM(E2579))="B"),"B",IF(OR(LEFT(UPPER(TRIM(E2579)),2)="SL",UPPER(TRIM(E2579))="C"),"C",IF(OR(LEFT(UPPER(TRIM(E2579)),1)="D",UPPER(TRIM(E2579))="D"),"D","")))))))</f>
        <v/>
      </c>
      <c r="J2579" s="27" t="str">
        <f aca="false">IF(I2579="","",IF(AND(I2579="D",Settings!$B$6&lt;&gt;"Yes"),"",IFERROR(INDEX(Settings!$C$9:$C$12,MATCH(I2579,Settings!$A$9:$A$12,0)),"")))</f>
        <v/>
      </c>
      <c r="K2579" s="27" t="str">
        <f aca="false">IF(J2579="","",COUNTIF($I$2:I2579,I2579))</f>
        <v/>
      </c>
      <c r="L2579" s="27" t="str">
        <f aca="false">IF(J2579="","",CHOOSE(Q2579+1,"Tue","Wed","Thu","Fri"))</f>
        <v/>
      </c>
      <c r="M2579" s="27" t="str">
        <f aca="false">IF(J2579="","",IF(J2579=1,"Every week",R2579+1&amp;" of "&amp;J2579))</f>
        <v/>
      </c>
      <c r="N2579" s="28" t="str">
        <f aca="false">IF(J2579="","",Settings!$B$4+R2579*7+Q2579)</f>
        <v/>
      </c>
      <c r="O2579" s="28" t="str">
        <f aca="true">IF(J2579="","",N2579+MAX(0,ROUNDUP((TODAY()-N2579)/(J2579*7),0))*J2579*7)</f>
        <v/>
      </c>
      <c r="P2579" s="27" t="str">
        <f aca="false">IF(J2579="","",MOD(K2579-1,J2579*4))</f>
        <v/>
      </c>
      <c r="Q2579" s="27" t="str">
        <f aca="false">IF(J2579="","",MOD(P2579,4))</f>
        <v/>
      </c>
      <c r="R2579" s="27" t="str">
        <f aca="false">IF(J2579="","",INT(P2579/4))</f>
        <v/>
      </c>
      <c r="S2579" s="27" t="str">
        <f aca="false">IF(J2579="","",IF(AND('Daily Count Sheet'!$H$3=Q2579,MOD('Daily Count Sheet'!$I$3,J2579)=R2579),1,""))</f>
        <v/>
      </c>
      <c r="T2579" s="27" t="str">
        <f aca="false">IF(S2579=1,COUNTIF($S$2:S2579,1),"")</f>
        <v/>
      </c>
    </row>
    <row r="2580" customFormat="false" ht="15" hidden="false" customHeight="false" outlineLevel="0" collapsed="false">
      <c r="H2580" s="26"/>
      <c r="I2580" s="27" t="str">
        <f aca="false">IF(A2580="","",IF(H2580&lt;&gt;"",UPPER(TRIM(H2580)),IFERROR(CHOOSE(VALUE(E2580)+1,"A","B","C","D"),IF(OR(LEFT(UPPER(TRIM(E2580)),1)="F",UPPER(TRIM(E2580))="A"),"A",IF(OR(LEFT(UPPER(TRIM(E2580)),1)="M",UPPER(TRIM(E2580))="B"),"B",IF(OR(LEFT(UPPER(TRIM(E2580)),2)="SL",UPPER(TRIM(E2580))="C"),"C",IF(OR(LEFT(UPPER(TRIM(E2580)),1)="D",UPPER(TRIM(E2580))="D"),"D","")))))))</f>
        <v/>
      </c>
      <c r="J2580" s="27" t="str">
        <f aca="false">IF(I2580="","",IF(AND(I2580="D",Settings!$B$6&lt;&gt;"Yes"),"",IFERROR(INDEX(Settings!$C$9:$C$12,MATCH(I2580,Settings!$A$9:$A$12,0)),"")))</f>
        <v/>
      </c>
      <c r="K2580" s="27" t="str">
        <f aca="false">IF(J2580="","",COUNTIF($I$2:I2580,I2580))</f>
        <v/>
      </c>
      <c r="L2580" s="27" t="str">
        <f aca="false">IF(J2580="","",CHOOSE(Q2580+1,"Tue","Wed","Thu","Fri"))</f>
        <v/>
      </c>
      <c r="M2580" s="27" t="str">
        <f aca="false">IF(J2580="","",IF(J2580=1,"Every week",R2580+1&amp;" of "&amp;J2580))</f>
        <v/>
      </c>
      <c r="N2580" s="28" t="str">
        <f aca="false">IF(J2580="","",Settings!$B$4+R2580*7+Q2580)</f>
        <v/>
      </c>
      <c r="O2580" s="28" t="str">
        <f aca="true">IF(J2580="","",N2580+MAX(0,ROUNDUP((TODAY()-N2580)/(J2580*7),0))*J2580*7)</f>
        <v/>
      </c>
      <c r="P2580" s="27" t="str">
        <f aca="false">IF(J2580="","",MOD(K2580-1,J2580*4))</f>
        <v/>
      </c>
      <c r="Q2580" s="27" t="str">
        <f aca="false">IF(J2580="","",MOD(P2580,4))</f>
        <v/>
      </c>
      <c r="R2580" s="27" t="str">
        <f aca="false">IF(J2580="","",INT(P2580/4))</f>
        <v/>
      </c>
      <c r="S2580" s="27" t="str">
        <f aca="false">IF(J2580="","",IF(AND('Daily Count Sheet'!$H$3=Q2580,MOD('Daily Count Sheet'!$I$3,J2580)=R2580),1,""))</f>
        <v/>
      </c>
      <c r="T2580" s="27" t="str">
        <f aca="false">IF(S2580=1,COUNTIF($S$2:S2580,1),"")</f>
        <v/>
      </c>
    </row>
    <row r="2581" customFormat="false" ht="15" hidden="false" customHeight="false" outlineLevel="0" collapsed="false">
      <c r="H2581" s="26"/>
      <c r="I2581" s="27" t="str">
        <f aca="false">IF(A2581="","",IF(H2581&lt;&gt;"",UPPER(TRIM(H2581)),IFERROR(CHOOSE(VALUE(E2581)+1,"A","B","C","D"),IF(OR(LEFT(UPPER(TRIM(E2581)),1)="F",UPPER(TRIM(E2581))="A"),"A",IF(OR(LEFT(UPPER(TRIM(E2581)),1)="M",UPPER(TRIM(E2581))="B"),"B",IF(OR(LEFT(UPPER(TRIM(E2581)),2)="SL",UPPER(TRIM(E2581))="C"),"C",IF(OR(LEFT(UPPER(TRIM(E2581)),1)="D",UPPER(TRIM(E2581))="D"),"D","")))))))</f>
        <v/>
      </c>
      <c r="J2581" s="27" t="str">
        <f aca="false">IF(I2581="","",IF(AND(I2581="D",Settings!$B$6&lt;&gt;"Yes"),"",IFERROR(INDEX(Settings!$C$9:$C$12,MATCH(I2581,Settings!$A$9:$A$12,0)),"")))</f>
        <v/>
      </c>
      <c r="K2581" s="27" t="str">
        <f aca="false">IF(J2581="","",COUNTIF($I$2:I2581,I2581))</f>
        <v/>
      </c>
      <c r="L2581" s="27" t="str">
        <f aca="false">IF(J2581="","",CHOOSE(Q2581+1,"Tue","Wed","Thu","Fri"))</f>
        <v/>
      </c>
      <c r="M2581" s="27" t="str">
        <f aca="false">IF(J2581="","",IF(J2581=1,"Every week",R2581+1&amp;" of "&amp;J2581))</f>
        <v/>
      </c>
      <c r="N2581" s="28" t="str">
        <f aca="false">IF(J2581="","",Settings!$B$4+R2581*7+Q2581)</f>
        <v/>
      </c>
      <c r="O2581" s="28" t="str">
        <f aca="true">IF(J2581="","",N2581+MAX(0,ROUNDUP((TODAY()-N2581)/(J2581*7),0))*J2581*7)</f>
        <v/>
      </c>
      <c r="P2581" s="27" t="str">
        <f aca="false">IF(J2581="","",MOD(K2581-1,J2581*4))</f>
        <v/>
      </c>
      <c r="Q2581" s="27" t="str">
        <f aca="false">IF(J2581="","",MOD(P2581,4))</f>
        <v/>
      </c>
      <c r="R2581" s="27" t="str">
        <f aca="false">IF(J2581="","",INT(P2581/4))</f>
        <v/>
      </c>
      <c r="S2581" s="27" t="str">
        <f aca="false">IF(J2581="","",IF(AND('Daily Count Sheet'!$H$3=Q2581,MOD('Daily Count Sheet'!$I$3,J2581)=R2581),1,""))</f>
        <v/>
      </c>
      <c r="T2581" s="27" t="str">
        <f aca="false">IF(S2581=1,COUNTIF($S$2:S2581,1),"")</f>
        <v/>
      </c>
    </row>
    <row r="2582" customFormat="false" ht="15" hidden="false" customHeight="false" outlineLevel="0" collapsed="false">
      <c r="H2582" s="26"/>
      <c r="I2582" s="27" t="str">
        <f aca="false">IF(A2582="","",IF(H2582&lt;&gt;"",UPPER(TRIM(H2582)),IFERROR(CHOOSE(VALUE(E2582)+1,"A","B","C","D"),IF(OR(LEFT(UPPER(TRIM(E2582)),1)="F",UPPER(TRIM(E2582))="A"),"A",IF(OR(LEFT(UPPER(TRIM(E2582)),1)="M",UPPER(TRIM(E2582))="B"),"B",IF(OR(LEFT(UPPER(TRIM(E2582)),2)="SL",UPPER(TRIM(E2582))="C"),"C",IF(OR(LEFT(UPPER(TRIM(E2582)),1)="D",UPPER(TRIM(E2582))="D"),"D","")))))))</f>
        <v/>
      </c>
      <c r="J2582" s="27" t="str">
        <f aca="false">IF(I2582="","",IF(AND(I2582="D",Settings!$B$6&lt;&gt;"Yes"),"",IFERROR(INDEX(Settings!$C$9:$C$12,MATCH(I2582,Settings!$A$9:$A$12,0)),"")))</f>
        <v/>
      </c>
      <c r="K2582" s="27" t="str">
        <f aca="false">IF(J2582="","",COUNTIF($I$2:I2582,I2582))</f>
        <v/>
      </c>
      <c r="L2582" s="27" t="str">
        <f aca="false">IF(J2582="","",CHOOSE(Q2582+1,"Tue","Wed","Thu","Fri"))</f>
        <v/>
      </c>
      <c r="M2582" s="27" t="str">
        <f aca="false">IF(J2582="","",IF(J2582=1,"Every week",R2582+1&amp;" of "&amp;J2582))</f>
        <v/>
      </c>
      <c r="N2582" s="28" t="str">
        <f aca="false">IF(J2582="","",Settings!$B$4+R2582*7+Q2582)</f>
        <v/>
      </c>
      <c r="O2582" s="28" t="str">
        <f aca="true">IF(J2582="","",N2582+MAX(0,ROUNDUP((TODAY()-N2582)/(J2582*7),0))*J2582*7)</f>
        <v/>
      </c>
      <c r="P2582" s="27" t="str">
        <f aca="false">IF(J2582="","",MOD(K2582-1,J2582*4))</f>
        <v/>
      </c>
      <c r="Q2582" s="27" t="str">
        <f aca="false">IF(J2582="","",MOD(P2582,4))</f>
        <v/>
      </c>
      <c r="R2582" s="27" t="str">
        <f aca="false">IF(J2582="","",INT(P2582/4))</f>
        <v/>
      </c>
      <c r="S2582" s="27" t="str">
        <f aca="false">IF(J2582="","",IF(AND('Daily Count Sheet'!$H$3=Q2582,MOD('Daily Count Sheet'!$I$3,J2582)=R2582),1,""))</f>
        <v/>
      </c>
      <c r="T2582" s="27" t="str">
        <f aca="false">IF(S2582=1,COUNTIF($S$2:S2582,1),"")</f>
        <v/>
      </c>
    </row>
    <row r="2583" customFormat="false" ht="15" hidden="false" customHeight="false" outlineLevel="0" collapsed="false">
      <c r="H2583" s="26"/>
      <c r="I2583" s="27" t="str">
        <f aca="false">IF(A2583="","",IF(H2583&lt;&gt;"",UPPER(TRIM(H2583)),IFERROR(CHOOSE(VALUE(E2583)+1,"A","B","C","D"),IF(OR(LEFT(UPPER(TRIM(E2583)),1)="F",UPPER(TRIM(E2583))="A"),"A",IF(OR(LEFT(UPPER(TRIM(E2583)),1)="M",UPPER(TRIM(E2583))="B"),"B",IF(OR(LEFT(UPPER(TRIM(E2583)),2)="SL",UPPER(TRIM(E2583))="C"),"C",IF(OR(LEFT(UPPER(TRIM(E2583)),1)="D",UPPER(TRIM(E2583))="D"),"D","")))))))</f>
        <v/>
      </c>
      <c r="J2583" s="27" t="str">
        <f aca="false">IF(I2583="","",IF(AND(I2583="D",Settings!$B$6&lt;&gt;"Yes"),"",IFERROR(INDEX(Settings!$C$9:$C$12,MATCH(I2583,Settings!$A$9:$A$12,0)),"")))</f>
        <v/>
      </c>
      <c r="K2583" s="27" t="str">
        <f aca="false">IF(J2583="","",COUNTIF($I$2:I2583,I2583))</f>
        <v/>
      </c>
      <c r="L2583" s="27" t="str">
        <f aca="false">IF(J2583="","",CHOOSE(Q2583+1,"Tue","Wed","Thu","Fri"))</f>
        <v/>
      </c>
      <c r="M2583" s="27" t="str">
        <f aca="false">IF(J2583="","",IF(J2583=1,"Every week",R2583+1&amp;" of "&amp;J2583))</f>
        <v/>
      </c>
      <c r="N2583" s="28" t="str">
        <f aca="false">IF(J2583="","",Settings!$B$4+R2583*7+Q2583)</f>
        <v/>
      </c>
      <c r="O2583" s="28" t="str">
        <f aca="true">IF(J2583="","",N2583+MAX(0,ROUNDUP((TODAY()-N2583)/(J2583*7),0))*J2583*7)</f>
        <v/>
      </c>
      <c r="P2583" s="27" t="str">
        <f aca="false">IF(J2583="","",MOD(K2583-1,J2583*4))</f>
        <v/>
      </c>
      <c r="Q2583" s="27" t="str">
        <f aca="false">IF(J2583="","",MOD(P2583,4))</f>
        <v/>
      </c>
      <c r="R2583" s="27" t="str">
        <f aca="false">IF(J2583="","",INT(P2583/4))</f>
        <v/>
      </c>
      <c r="S2583" s="27" t="str">
        <f aca="false">IF(J2583="","",IF(AND('Daily Count Sheet'!$H$3=Q2583,MOD('Daily Count Sheet'!$I$3,J2583)=R2583),1,""))</f>
        <v/>
      </c>
      <c r="T2583" s="27" t="str">
        <f aca="false">IF(S2583=1,COUNTIF($S$2:S2583,1),"")</f>
        <v/>
      </c>
    </row>
    <row r="2584" customFormat="false" ht="15" hidden="false" customHeight="false" outlineLevel="0" collapsed="false">
      <c r="H2584" s="26"/>
      <c r="I2584" s="27" t="str">
        <f aca="false">IF(A2584="","",IF(H2584&lt;&gt;"",UPPER(TRIM(H2584)),IFERROR(CHOOSE(VALUE(E2584)+1,"A","B","C","D"),IF(OR(LEFT(UPPER(TRIM(E2584)),1)="F",UPPER(TRIM(E2584))="A"),"A",IF(OR(LEFT(UPPER(TRIM(E2584)),1)="M",UPPER(TRIM(E2584))="B"),"B",IF(OR(LEFT(UPPER(TRIM(E2584)),2)="SL",UPPER(TRIM(E2584))="C"),"C",IF(OR(LEFT(UPPER(TRIM(E2584)),1)="D",UPPER(TRIM(E2584))="D"),"D","")))))))</f>
        <v/>
      </c>
      <c r="J2584" s="27" t="str">
        <f aca="false">IF(I2584="","",IF(AND(I2584="D",Settings!$B$6&lt;&gt;"Yes"),"",IFERROR(INDEX(Settings!$C$9:$C$12,MATCH(I2584,Settings!$A$9:$A$12,0)),"")))</f>
        <v/>
      </c>
      <c r="K2584" s="27" t="str">
        <f aca="false">IF(J2584="","",COUNTIF($I$2:I2584,I2584))</f>
        <v/>
      </c>
      <c r="L2584" s="27" t="str">
        <f aca="false">IF(J2584="","",CHOOSE(Q2584+1,"Tue","Wed","Thu","Fri"))</f>
        <v/>
      </c>
      <c r="M2584" s="27" t="str">
        <f aca="false">IF(J2584="","",IF(J2584=1,"Every week",R2584+1&amp;" of "&amp;J2584))</f>
        <v/>
      </c>
      <c r="N2584" s="28" t="str">
        <f aca="false">IF(J2584="","",Settings!$B$4+R2584*7+Q2584)</f>
        <v/>
      </c>
      <c r="O2584" s="28" t="str">
        <f aca="true">IF(J2584="","",N2584+MAX(0,ROUNDUP((TODAY()-N2584)/(J2584*7),0))*J2584*7)</f>
        <v/>
      </c>
      <c r="P2584" s="27" t="str">
        <f aca="false">IF(J2584="","",MOD(K2584-1,J2584*4))</f>
        <v/>
      </c>
      <c r="Q2584" s="27" t="str">
        <f aca="false">IF(J2584="","",MOD(P2584,4))</f>
        <v/>
      </c>
      <c r="R2584" s="27" t="str">
        <f aca="false">IF(J2584="","",INT(P2584/4))</f>
        <v/>
      </c>
      <c r="S2584" s="27" t="str">
        <f aca="false">IF(J2584="","",IF(AND('Daily Count Sheet'!$H$3=Q2584,MOD('Daily Count Sheet'!$I$3,J2584)=R2584),1,""))</f>
        <v/>
      </c>
      <c r="T2584" s="27" t="str">
        <f aca="false">IF(S2584=1,COUNTIF($S$2:S2584,1),"")</f>
        <v/>
      </c>
    </row>
    <row r="2585" customFormat="false" ht="15" hidden="false" customHeight="false" outlineLevel="0" collapsed="false">
      <c r="H2585" s="26"/>
      <c r="I2585" s="27" t="str">
        <f aca="false">IF(A2585="","",IF(H2585&lt;&gt;"",UPPER(TRIM(H2585)),IFERROR(CHOOSE(VALUE(E2585)+1,"A","B","C","D"),IF(OR(LEFT(UPPER(TRIM(E2585)),1)="F",UPPER(TRIM(E2585))="A"),"A",IF(OR(LEFT(UPPER(TRIM(E2585)),1)="M",UPPER(TRIM(E2585))="B"),"B",IF(OR(LEFT(UPPER(TRIM(E2585)),2)="SL",UPPER(TRIM(E2585))="C"),"C",IF(OR(LEFT(UPPER(TRIM(E2585)),1)="D",UPPER(TRIM(E2585))="D"),"D","")))))))</f>
        <v/>
      </c>
      <c r="J2585" s="27" t="str">
        <f aca="false">IF(I2585="","",IF(AND(I2585="D",Settings!$B$6&lt;&gt;"Yes"),"",IFERROR(INDEX(Settings!$C$9:$C$12,MATCH(I2585,Settings!$A$9:$A$12,0)),"")))</f>
        <v/>
      </c>
      <c r="K2585" s="27" t="str">
        <f aca="false">IF(J2585="","",COUNTIF($I$2:I2585,I2585))</f>
        <v/>
      </c>
      <c r="L2585" s="27" t="str">
        <f aca="false">IF(J2585="","",CHOOSE(Q2585+1,"Tue","Wed","Thu","Fri"))</f>
        <v/>
      </c>
      <c r="M2585" s="27" t="str">
        <f aca="false">IF(J2585="","",IF(J2585=1,"Every week",R2585+1&amp;" of "&amp;J2585))</f>
        <v/>
      </c>
      <c r="N2585" s="28" t="str">
        <f aca="false">IF(J2585="","",Settings!$B$4+R2585*7+Q2585)</f>
        <v/>
      </c>
      <c r="O2585" s="28" t="str">
        <f aca="true">IF(J2585="","",N2585+MAX(0,ROUNDUP((TODAY()-N2585)/(J2585*7),0))*J2585*7)</f>
        <v/>
      </c>
      <c r="P2585" s="27" t="str">
        <f aca="false">IF(J2585="","",MOD(K2585-1,J2585*4))</f>
        <v/>
      </c>
      <c r="Q2585" s="27" t="str">
        <f aca="false">IF(J2585="","",MOD(P2585,4))</f>
        <v/>
      </c>
      <c r="R2585" s="27" t="str">
        <f aca="false">IF(J2585="","",INT(P2585/4))</f>
        <v/>
      </c>
      <c r="S2585" s="27" t="str">
        <f aca="false">IF(J2585="","",IF(AND('Daily Count Sheet'!$H$3=Q2585,MOD('Daily Count Sheet'!$I$3,J2585)=R2585),1,""))</f>
        <v/>
      </c>
      <c r="T2585" s="27" t="str">
        <f aca="false">IF(S2585=1,COUNTIF($S$2:S2585,1),"")</f>
        <v/>
      </c>
    </row>
    <row r="2586" customFormat="false" ht="15" hidden="false" customHeight="false" outlineLevel="0" collapsed="false">
      <c r="H2586" s="26"/>
      <c r="I2586" s="27" t="str">
        <f aca="false">IF(A2586="","",IF(H2586&lt;&gt;"",UPPER(TRIM(H2586)),IFERROR(CHOOSE(VALUE(E2586)+1,"A","B","C","D"),IF(OR(LEFT(UPPER(TRIM(E2586)),1)="F",UPPER(TRIM(E2586))="A"),"A",IF(OR(LEFT(UPPER(TRIM(E2586)),1)="M",UPPER(TRIM(E2586))="B"),"B",IF(OR(LEFT(UPPER(TRIM(E2586)),2)="SL",UPPER(TRIM(E2586))="C"),"C",IF(OR(LEFT(UPPER(TRIM(E2586)),1)="D",UPPER(TRIM(E2586))="D"),"D","")))))))</f>
        <v/>
      </c>
      <c r="J2586" s="27" t="str">
        <f aca="false">IF(I2586="","",IF(AND(I2586="D",Settings!$B$6&lt;&gt;"Yes"),"",IFERROR(INDEX(Settings!$C$9:$C$12,MATCH(I2586,Settings!$A$9:$A$12,0)),"")))</f>
        <v/>
      </c>
      <c r="K2586" s="27" t="str">
        <f aca="false">IF(J2586="","",COUNTIF($I$2:I2586,I2586))</f>
        <v/>
      </c>
      <c r="L2586" s="27" t="str">
        <f aca="false">IF(J2586="","",CHOOSE(Q2586+1,"Tue","Wed","Thu","Fri"))</f>
        <v/>
      </c>
      <c r="M2586" s="27" t="str">
        <f aca="false">IF(J2586="","",IF(J2586=1,"Every week",R2586+1&amp;" of "&amp;J2586))</f>
        <v/>
      </c>
      <c r="N2586" s="28" t="str">
        <f aca="false">IF(J2586="","",Settings!$B$4+R2586*7+Q2586)</f>
        <v/>
      </c>
      <c r="O2586" s="28" t="str">
        <f aca="true">IF(J2586="","",N2586+MAX(0,ROUNDUP((TODAY()-N2586)/(J2586*7),0))*J2586*7)</f>
        <v/>
      </c>
      <c r="P2586" s="27" t="str">
        <f aca="false">IF(J2586="","",MOD(K2586-1,J2586*4))</f>
        <v/>
      </c>
      <c r="Q2586" s="27" t="str">
        <f aca="false">IF(J2586="","",MOD(P2586,4))</f>
        <v/>
      </c>
      <c r="R2586" s="27" t="str">
        <f aca="false">IF(J2586="","",INT(P2586/4))</f>
        <v/>
      </c>
      <c r="S2586" s="27" t="str">
        <f aca="false">IF(J2586="","",IF(AND('Daily Count Sheet'!$H$3=Q2586,MOD('Daily Count Sheet'!$I$3,J2586)=R2586),1,""))</f>
        <v/>
      </c>
      <c r="T2586" s="27" t="str">
        <f aca="false">IF(S2586=1,COUNTIF($S$2:S2586,1),"")</f>
        <v/>
      </c>
    </row>
    <row r="2587" customFormat="false" ht="15" hidden="false" customHeight="false" outlineLevel="0" collapsed="false">
      <c r="H2587" s="26"/>
      <c r="I2587" s="27" t="str">
        <f aca="false">IF(A2587="","",IF(H2587&lt;&gt;"",UPPER(TRIM(H2587)),IFERROR(CHOOSE(VALUE(E2587)+1,"A","B","C","D"),IF(OR(LEFT(UPPER(TRIM(E2587)),1)="F",UPPER(TRIM(E2587))="A"),"A",IF(OR(LEFT(UPPER(TRIM(E2587)),1)="M",UPPER(TRIM(E2587))="B"),"B",IF(OR(LEFT(UPPER(TRIM(E2587)),2)="SL",UPPER(TRIM(E2587))="C"),"C",IF(OR(LEFT(UPPER(TRIM(E2587)),1)="D",UPPER(TRIM(E2587))="D"),"D","")))))))</f>
        <v/>
      </c>
      <c r="J2587" s="27" t="str">
        <f aca="false">IF(I2587="","",IF(AND(I2587="D",Settings!$B$6&lt;&gt;"Yes"),"",IFERROR(INDEX(Settings!$C$9:$C$12,MATCH(I2587,Settings!$A$9:$A$12,0)),"")))</f>
        <v/>
      </c>
      <c r="K2587" s="27" t="str">
        <f aca="false">IF(J2587="","",COUNTIF($I$2:I2587,I2587))</f>
        <v/>
      </c>
      <c r="L2587" s="27" t="str">
        <f aca="false">IF(J2587="","",CHOOSE(Q2587+1,"Tue","Wed","Thu","Fri"))</f>
        <v/>
      </c>
      <c r="M2587" s="27" t="str">
        <f aca="false">IF(J2587="","",IF(J2587=1,"Every week",R2587+1&amp;" of "&amp;J2587))</f>
        <v/>
      </c>
      <c r="N2587" s="28" t="str">
        <f aca="false">IF(J2587="","",Settings!$B$4+R2587*7+Q2587)</f>
        <v/>
      </c>
      <c r="O2587" s="28" t="str">
        <f aca="true">IF(J2587="","",N2587+MAX(0,ROUNDUP((TODAY()-N2587)/(J2587*7),0))*J2587*7)</f>
        <v/>
      </c>
      <c r="P2587" s="27" t="str">
        <f aca="false">IF(J2587="","",MOD(K2587-1,J2587*4))</f>
        <v/>
      </c>
      <c r="Q2587" s="27" t="str">
        <f aca="false">IF(J2587="","",MOD(P2587,4))</f>
        <v/>
      </c>
      <c r="R2587" s="27" t="str">
        <f aca="false">IF(J2587="","",INT(P2587/4))</f>
        <v/>
      </c>
      <c r="S2587" s="27" t="str">
        <f aca="false">IF(J2587="","",IF(AND('Daily Count Sheet'!$H$3=Q2587,MOD('Daily Count Sheet'!$I$3,J2587)=R2587),1,""))</f>
        <v/>
      </c>
      <c r="T2587" s="27" t="str">
        <f aca="false">IF(S2587=1,COUNTIF($S$2:S2587,1),"")</f>
        <v/>
      </c>
    </row>
    <row r="2588" customFormat="false" ht="15" hidden="false" customHeight="false" outlineLevel="0" collapsed="false">
      <c r="H2588" s="26"/>
      <c r="I2588" s="27" t="str">
        <f aca="false">IF(A2588="","",IF(H2588&lt;&gt;"",UPPER(TRIM(H2588)),IFERROR(CHOOSE(VALUE(E2588)+1,"A","B","C","D"),IF(OR(LEFT(UPPER(TRIM(E2588)),1)="F",UPPER(TRIM(E2588))="A"),"A",IF(OR(LEFT(UPPER(TRIM(E2588)),1)="M",UPPER(TRIM(E2588))="B"),"B",IF(OR(LEFT(UPPER(TRIM(E2588)),2)="SL",UPPER(TRIM(E2588))="C"),"C",IF(OR(LEFT(UPPER(TRIM(E2588)),1)="D",UPPER(TRIM(E2588))="D"),"D","")))))))</f>
        <v/>
      </c>
      <c r="J2588" s="27" t="str">
        <f aca="false">IF(I2588="","",IF(AND(I2588="D",Settings!$B$6&lt;&gt;"Yes"),"",IFERROR(INDEX(Settings!$C$9:$C$12,MATCH(I2588,Settings!$A$9:$A$12,0)),"")))</f>
        <v/>
      </c>
      <c r="K2588" s="27" t="str">
        <f aca="false">IF(J2588="","",COUNTIF($I$2:I2588,I2588))</f>
        <v/>
      </c>
      <c r="L2588" s="27" t="str">
        <f aca="false">IF(J2588="","",CHOOSE(Q2588+1,"Tue","Wed","Thu","Fri"))</f>
        <v/>
      </c>
      <c r="M2588" s="27" t="str">
        <f aca="false">IF(J2588="","",IF(J2588=1,"Every week",R2588+1&amp;" of "&amp;J2588))</f>
        <v/>
      </c>
      <c r="N2588" s="28" t="str">
        <f aca="false">IF(J2588="","",Settings!$B$4+R2588*7+Q2588)</f>
        <v/>
      </c>
      <c r="O2588" s="28" t="str">
        <f aca="true">IF(J2588="","",N2588+MAX(0,ROUNDUP((TODAY()-N2588)/(J2588*7),0))*J2588*7)</f>
        <v/>
      </c>
      <c r="P2588" s="27" t="str">
        <f aca="false">IF(J2588="","",MOD(K2588-1,J2588*4))</f>
        <v/>
      </c>
      <c r="Q2588" s="27" t="str">
        <f aca="false">IF(J2588="","",MOD(P2588,4))</f>
        <v/>
      </c>
      <c r="R2588" s="27" t="str">
        <f aca="false">IF(J2588="","",INT(P2588/4))</f>
        <v/>
      </c>
      <c r="S2588" s="27" t="str">
        <f aca="false">IF(J2588="","",IF(AND('Daily Count Sheet'!$H$3=Q2588,MOD('Daily Count Sheet'!$I$3,J2588)=R2588),1,""))</f>
        <v/>
      </c>
      <c r="T2588" s="27" t="str">
        <f aca="false">IF(S2588=1,COUNTIF($S$2:S2588,1),"")</f>
        <v/>
      </c>
    </row>
    <row r="2589" customFormat="false" ht="15" hidden="false" customHeight="false" outlineLevel="0" collapsed="false">
      <c r="H2589" s="26"/>
      <c r="I2589" s="27" t="str">
        <f aca="false">IF(A2589="","",IF(H2589&lt;&gt;"",UPPER(TRIM(H2589)),IFERROR(CHOOSE(VALUE(E2589)+1,"A","B","C","D"),IF(OR(LEFT(UPPER(TRIM(E2589)),1)="F",UPPER(TRIM(E2589))="A"),"A",IF(OR(LEFT(UPPER(TRIM(E2589)),1)="M",UPPER(TRIM(E2589))="B"),"B",IF(OR(LEFT(UPPER(TRIM(E2589)),2)="SL",UPPER(TRIM(E2589))="C"),"C",IF(OR(LEFT(UPPER(TRIM(E2589)),1)="D",UPPER(TRIM(E2589))="D"),"D","")))))))</f>
        <v/>
      </c>
      <c r="J2589" s="27" t="str">
        <f aca="false">IF(I2589="","",IF(AND(I2589="D",Settings!$B$6&lt;&gt;"Yes"),"",IFERROR(INDEX(Settings!$C$9:$C$12,MATCH(I2589,Settings!$A$9:$A$12,0)),"")))</f>
        <v/>
      </c>
      <c r="K2589" s="27" t="str">
        <f aca="false">IF(J2589="","",COUNTIF($I$2:I2589,I2589))</f>
        <v/>
      </c>
      <c r="L2589" s="27" t="str">
        <f aca="false">IF(J2589="","",CHOOSE(Q2589+1,"Tue","Wed","Thu","Fri"))</f>
        <v/>
      </c>
      <c r="M2589" s="27" t="str">
        <f aca="false">IF(J2589="","",IF(J2589=1,"Every week",R2589+1&amp;" of "&amp;J2589))</f>
        <v/>
      </c>
      <c r="N2589" s="28" t="str">
        <f aca="false">IF(J2589="","",Settings!$B$4+R2589*7+Q2589)</f>
        <v/>
      </c>
      <c r="O2589" s="28" t="str">
        <f aca="true">IF(J2589="","",N2589+MAX(0,ROUNDUP((TODAY()-N2589)/(J2589*7),0))*J2589*7)</f>
        <v/>
      </c>
      <c r="P2589" s="27" t="str">
        <f aca="false">IF(J2589="","",MOD(K2589-1,J2589*4))</f>
        <v/>
      </c>
      <c r="Q2589" s="27" t="str">
        <f aca="false">IF(J2589="","",MOD(P2589,4))</f>
        <v/>
      </c>
      <c r="R2589" s="27" t="str">
        <f aca="false">IF(J2589="","",INT(P2589/4))</f>
        <v/>
      </c>
      <c r="S2589" s="27" t="str">
        <f aca="false">IF(J2589="","",IF(AND('Daily Count Sheet'!$H$3=Q2589,MOD('Daily Count Sheet'!$I$3,J2589)=R2589),1,""))</f>
        <v/>
      </c>
      <c r="T2589" s="27" t="str">
        <f aca="false">IF(S2589=1,COUNTIF($S$2:S2589,1),"")</f>
        <v/>
      </c>
    </row>
    <row r="2590" customFormat="false" ht="15" hidden="false" customHeight="false" outlineLevel="0" collapsed="false">
      <c r="H2590" s="26"/>
      <c r="I2590" s="27" t="str">
        <f aca="false">IF(A2590="","",IF(H2590&lt;&gt;"",UPPER(TRIM(H2590)),IFERROR(CHOOSE(VALUE(E2590)+1,"A","B","C","D"),IF(OR(LEFT(UPPER(TRIM(E2590)),1)="F",UPPER(TRIM(E2590))="A"),"A",IF(OR(LEFT(UPPER(TRIM(E2590)),1)="M",UPPER(TRIM(E2590))="B"),"B",IF(OR(LEFT(UPPER(TRIM(E2590)),2)="SL",UPPER(TRIM(E2590))="C"),"C",IF(OR(LEFT(UPPER(TRIM(E2590)),1)="D",UPPER(TRIM(E2590))="D"),"D","")))))))</f>
        <v/>
      </c>
      <c r="J2590" s="27" t="str">
        <f aca="false">IF(I2590="","",IF(AND(I2590="D",Settings!$B$6&lt;&gt;"Yes"),"",IFERROR(INDEX(Settings!$C$9:$C$12,MATCH(I2590,Settings!$A$9:$A$12,0)),"")))</f>
        <v/>
      </c>
      <c r="K2590" s="27" t="str">
        <f aca="false">IF(J2590="","",COUNTIF($I$2:I2590,I2590))</f>
        <v/>
      </c>
      <c r="L2590" s="27" t="str">
        <f aca="false">IF(J2590="","",CHOOSE(Q2590+1,"Tue","Wed","Thu","Fri"))</f>
        <v/>
      </c>
      <c r="M2590" s="27" t="str">
        <f aca="false">IF(J2590="","",IF(J2590=1,"Every week",R2590+1&amp;" of "&amp;J2590))</f>
        <v/>
      </c>
      <c r="N2590" s="28" t="str">
        <f aca="false">IF(J2590="","",Settings!$B$4+R2590*7+Q2590)</f>
        <v/>
      </c>
      <c r="O2590" s="28" t="str">
        <f aca="true">IF(J2590="","",N2590+MAX(0,ROUNDUP((TODAY()-N2590)/(J2590*7),0))*J2590*7)</f>
        <v/>
      </c>
      <c r="P2590" s="27" t="str">
        <f aca="false">IF(J2590="","",MOD(K2590-1,J2590*4))</f>
        <v/>
      </c>
      <c r="Q2590" s="27" t="str">
        <f aca="false">IF(J2590="","",MOD(P2590,4))</f>
        <v/>
      </c>
      <c r="R2590" s="27" t="str">
        <f aca="false">IF(J2590="","",INT(P2590/4))</f>
        <v/>
      </c>
      <c r="S2590" s="27" t="str">
        <f aca="false">IF(J2590="","",IF(AND('Daily Count Sheet'!$H$3=Q2590,MOD('Daily Count Sheet'!$I$3,J2590)=R2590),1,""))</f>
        <v/>
      </c>
      <c r="T2590" s="27" t="str">
        <f aca="false">IF(S2590=1,COUNTIF($S$2:S2590,1),"")</f>
        <v/>
      </c>
    </row>
    <row r="2591" customFormat="false" ht="15" hidden="false" customHeight="false" outlineLevel="0" collapsed="false">
      <c r="H2591" s="26"/>
      <c r="I2591" s="27" t="str">
        <f aca="false">IF(A2591="","",IF(H2591&lt;&gt;"",UPPER(TRIM(H2591)),IFERROR(CHOOSE(VALUE(E2591)+1,"A","B","C","D"),IF(OR(LEFT(UPPER(TRIM(E2591)),1)="F",UPPER(TRIM(E2591))="A"),"A",IF(OR(LEFT(UPPER(TRIM(E2591)),1)="M",UPPER(TRIM(E2591))="B"),"B",IF(OR(LEFT(UPPER(TRIM(E2591)),2)="SL",UPPER(TRIM(E2591))="C"),"C",IF(OR(LEFT(UPPER(TRIM(E2591)),1)="D",UPPER(TRIM(E2591))="D"),"D","")))))))</f>
        <v/>
      </c>
      <c r="J2591" s="27" t="str">
        <f aca="false">IF(I2591="","",IF(AND(I2591="D",Settings!$B$6&lt;&gt;"Yes"),"",IFERROR(INDEX(Settings!$C$9:$C$12,MATCH(I2591,Settings!$A$9:$A$12,0)),"")))</f>
        <v/>
      </c>
      <c r="K2591" s="27" t="str">
        <f aca="false">IF(J2591="","",COUNTIF($I$2:I2591,I2591))</f>
        <v/>
      </c>
      <c r="L2591" s="27" t="str">
        <f aca="false">IF(J2591="","",CHOOSE(Q2591+1,"Tue","Wed","Thu","Fri"))</f>
        <v/>
      </c>
      <c r="M2591" s="27" t="str">
        <f aca="false">IF(J2591="","",IF(J2591=1,"Every week",R2591+1&amp;" of "&amp;J2591))</f>
        <v/>
      </c>
      <c r="N2591" s="28" t="str">
        <f aca="false">IF(J2591="","",Settings!$B$4+R2591*7+Q2591)</f>
        <v/>
      </c>
      <c r="O2591" s="28" t="str">
        <f aca="true">IF(J2591="","",N2591+MAX(0,ROUNDUP((TODAY()-N2591)/(J2591*7),0))*J2591*7)</f>
        <v/>
      </c>
      <c r="P2591" s="27" t="str">
        <f aca="false">IF(J2591="","",MOD(K2591-1,J2591*4))</f>
        <v/>
      </c>
      <c r="Q2591" s="27" t="str">
        <f aca="false">IF(J2591="","",MOD(P2591,4))</f>
        <v/>
      </c>
      <c r="R2591" s="27" t="str">
        <f aca="false">IF(J2591="","",INT(P2591/4))</f>
        <v/>
      </c>
      <c r="S2591" s="27" t="str">
        <f aca="false">IF(J2591="","",IF(AND('Daily Count Sheet'!$H$3=Q2591,MOD('Daily Count Sheet'!$I$3,J2591)=R2591),1,""))</f>
        <v/>
      </c>
      <c r="T2591" s="27" t="str">
        <f aca="false">IF(S2591=1,COUNTIF($S$2:S2591,1),"")</f>
        <v/>
      </c>
    </row>
    <row r="2592" customFormat="false" ht="15" hidden="false" customHeight="false" outlineLevel="0" collapsed="false">
      <c r="H2592" s="26"/>
      <c r="I2592" s="27" t="str">
        <f aca="false">IF(A2592="","",IF(H2592&lt;&gt;"",UPPER(TRIM(H2592)),IFERROR(CHOOSE(VALUE(E2592)+1,"A","B","C","D"),IF(OR(LEFT(UPPER(TRIM(E2592)),1)="F",UPPER(TRIM(E2592))="A"),"A",IF(OR(LEFT(UPPER(TRIM(E2592)),1)="M",UPPER(TRIM(E2592))="B"),"B",IF(OR(LEFT(UPPER(TRIM(E2592)),2)="SL",UPPER(TRIM(E2592))="C"),"C",IF(OR(LEFT(UPPER(TRIM(E2592)),1)="D",UPPER(TRIM(E2592))="D"),"D","")))))))</f>
        <v/>
      </c>
      <c r="J2592" s="27" t="str">
        <f aca="false">IF(I2592="","",IF(AND(I2592="D",Settings!$B$6&lt;&gt;"Yes"),"",IFERROR(INDEX(Settings!$C$9:$C$12,MATCH(I2592,Settings!$A$9:$A$12,0)),"")))</f>
        <v/>
      </c>
      <c r="K2592" s="27" t="str">
        <f aca="false">IF(J2592="","",COUNTIF($I$2:I2592,I2592))</f>
        <v/>
      </c>
      <c r="L2592" s="27" t="str">
        <f aca="false">IF(J2592="","",CHOOSE(Q2592+1,"Tue","Wed","Thu","Fri"))</f>
        <v/>
      </c>
      <c r="M2592" s="27" t="str">
        <f aca="false">IF(J2592="","",IF(J2592=1,"Every week",R2592+1&amp;" of "&amp;J2592))</f>
        <v/>
      </c>
      <c r="N2592" s="28" t="str">
        <f aca="false">IF(J2592="","",Settings!$B$4+R2592*7+Q2592)</f>
        <v/>
      </c>
      <c r="O2592" s="28" t="str">
        <f aca="true">IF(J2592="","",N2592+MAX(0,ROUNDUP((TODAY()-N2592)/(J2592*7),0))*J2592*7)</f>
        <v/>
      </c>
      <c r="P2592" s="27" t="str">
        <f aca="false">IF(J2592="","",MOD(K2592-1,J2592*4))</f>
        <v/>
      </c>
      <c r="Q2592" s="27" t="str">
        <f aca="false">IF(J2592="","",MOD(P2592,4))</f>
        <v/>
      </c>
      <c r="R2592" s="27" t="str">
        <f aca="false">IF(J2592="","",INT(P2592/4))</f>
        <v/>
      </c>
      <c r="S2592" s="27" t="str">
        <f aca="false">IF(J2592="","",IF(AND('Daily Count Sheet'!$H$3=Q2592,MOD('Daily Count Sheet'!$I$3,J2592)=R2592),1,""))</f>
        <v/>
      </c>
      <c r="T2592" s="27" t="str">
        <f aca="false">IF(S2592=1,COUNTIF($S$2:S2592,1),"")</f>
        <v/>
      </c>
    </row>
    <row r="2593" customFormat="false" ht="15" hidden="false" customHeight="false" outlineLevel="0" collapsed="false">
      <c r="H2593" s="26"/>
      <c r="I2593" s="27" t="str">
        <f aca="false">IF(A2593="","",IF(H2593&lt;&gt;"",UPPER(TRIM(H2593)),IFERROR(CHOOSE(VALUE(E2593)+1,"A","B","C","D"),IF(OR(LEFT(UPPER(TRIM(E2593)),1)="F",UPPER(TRIM(E2593))="A"),"A",IF(OR(LEFT(UPPER(TRIM(E2593)),1)="M",UPPER(TRIM(E2593))="B"),"B",IF(OR(LEFT(UPPER(TRIM(E2593)),2)="SL",UPPER(TRIM(E2593))="C"),"C",IF(OR(LEFT(UPPER(TRIM(E2593)),1)="D",UPPER(TRIM(E2593))="D"),"D","")))))))</f>
        <v/>
      </c>
      <c r="J2593" s="27" t="str">
        <f aca="false">IF(I2593="","",IF(AND(I2593="D",Settings!$B$6&lt;&gt;"Yes"),"",IFERROR(INDEX(Settings!$C$9:$C$12,MATCH(I2593,Settings!$A$9:$A$12,0)),"")))</f>
        <v/>
      </c>
      <c r="K2593" s="27" t="str">
        <f aca="false">IF(J2593="","",COUNTIF($I$2:I2593,I2593))</f>
        <v/>
      </c>
      <c r="L2593" s="27" t="str">
        <f aca="false">IF(J2593="","",CHOOSE(Q2593+1,"Tue","Wed","Thu","Fri"))</f>
        <v/>
      </c>
      <c r="M2593" s="27" t="str">
        <f aca="false">IF(J2593="","",IF(J2593=1,"Every week",R2593+1&amp;" of "&amp;J2593))</f>
        <v/>
      </c>
      <c r="N2593" s="28" t="str">
        <f aca="false">IF(J2593="","",Settings!$B$4+R2593*7+Q2593)</f>
        <v/>
      </c>
      <c r="O2593" s="28" t="str">
        <f aca="true">IF(J2593="","",N2593+MAX(0,ROUNDUP((TODAY()-N2593)/(J2593*7),0))*J2593*7)</f>
        <v/>
      </c>
      <c r="P2593" s="27" t="str">
        <f aca="false">IF(J2593="","",MOD(K2593-1,J2593*4))</f>
        <v/>
      </c>
      <c r="Q2593" s="27" t="str">
        <f aca="false">IF(J2593="","",MOD(P2593,4))</f>
        <v/>
      </c>
      <c r="R2593" s="27" t="str">
        <f aca="false">IF(J2593="","",INT(P2593/4))</f>
        <v/>
      </c>
      <c r="S2593" s="27" t="str">
        <f aca="false">IF(J2593="","",IF(AND('Daily Count Sheet'!$H$3=Q2593,MOD('Daily Count Sheet'!$I$3,J2593)=R2593),1,""))</f>
        <v/>
      </c>
      <c r="T2593" s="27" t="str">
        <f aca="false">IF(S2593=1,COUNTIF($S$2:S2593,1),"")</f>
        <v/>
      </c>
    </row>
    <row r="2594" customFormat="false" ht="15" hidden="false" customHeight="false" outlineLevel="0" collapsed="false">
      <c r="H2594" s="26"/>
      <c r="I2594" s="27" t="str">
        <f aca="false">IF(A2594="","",IF(H2594&lt;&gt;"",UPPER(TRIM(H2594)),IFERROR(CHOOSE(VALUE(E2594)+1,"A","B","C","D"),IF(OR(LEFT(UPPER(TRIM(E2594)),1)="F",UPPER(TRIM(E2594))="A"),"A",IF(OR(LEFT(UPPER(TRIM(E2594)),1)="M",UPPER(TRIM(E2594))="B"),"B",IF(OR(LEFT(UPPER(TRIM(E2594)),2)="SL",UPPER(TRIM(E2594))="C"),"C",IF(OR(LEFT(UPPER(TRIM(E2594)),1)="D",UPPER(TRIM(E2594))="D"),"D","")))))))</f>
        <v/>
      </c>
      <c r="J2594" s="27" t="str">
        <f aca="false">IF(I2594="","",IF(AND(I2594="D",Settings!$B$6&lt;&gt;"Yes"),"",IFERROR(INDEX(Settings!$C$9:$C$12,MATCH(I2594,Settings!$A$9:$A$12,0)),"")))</f>
        <v/>
      </c>
      <c r="K2594" s="27" t="str">
        <f aca="false">IF(J2594="","",COUNTIF($I$2:I2594,I2594))</f>
        <v/>
      </c>
      <c r="L2594" s="27" t="str">
        <f aca="false">IF(J2594="","",CHOOSE(Q2594+1,"Tue","Wed","Thu","Fri"))</f>
        <v/>
      </c>
      <c r="M2594" s="27" t="str">
        <f aca="false">IF(J2594="","",IF(J2594=1,"Every week",R2594+1&amp;" of "&amp;J2594))</f>
        <v/>
      </c>
      <c r="N2594" s="28" t="str">
        <f aca="false">IF(J2594="","",Settings!$B$4+R2594*7+Q2594)</f>
        <v/>
      </c>
      <c r="O2594" s="28" t="str">
        <f aca="true">IF(J2594="","",N2594+MAX(0,ROUNDUP((TODAY()-N2594)/(J2594*7),0))*J2594*7)</f>
        <v/>
      </c>
      <c r="P2594" s="27" t="str">
        <f aca="false">IF(J2594="","",MOD(K2594-1,J2594*4))</f>
        <v/>
      </c>
      <c r="Q2594" s="27" t="str">
        <f aca="false">IF(J2594="","",MOD(P2594,4))</f>
        <v/>
      </c>
      <c r="R2594" s="27" t="str">
        <f aca="false">IF(J2594="","",INT(P2594/4))</f>
        <v/>
      </c>
      <c r="S2594" s="27" t="str">
        <f aca="false">IF(J2594="","",IF(AND('Daily Count Sheet'!$H$3=Q2594,MOD('Daily Count Sheet'!$I$3,J2594)=R2594),1,""))</f>
        <v/>
      </c>
      <c r="T2594" s="27" t="str">
        <f aca="false">IF(S2594=1,COUNTIF($S$2:S2594,1),"")</f>
        <v/>
      </c>
    </row>
    <row r="2595" customFormat="false" ht="15" hidden="false" customHeight="false" outlineLevel="0" collapsed="false">
      <c r="H2595" s="26"/>
      <c r="I2595" s="27" t="str">
        <f aca="false">IF(A2595="","",IF(H2595&lt;&gt;"",UPPER(TRIM(H2595)),IFERROR(CHOOSE(VALUE(E2595)+1,"A","B","C","D"),IF(OR(LEFT(UPPER(TRIM(E2595)),1)="F",UPPER(TRIM(E2595))="A"),"A",IF(OR(LEFT(UPPER(TRIM(E2595)),1)="M",UPPER(TRIM(E2595))="B"),"B",IF(OR(LEFT(UPPER(TRIM(E2595)),2)="SL",UPPER(TRIM(E2595))="C"),"C",IF(OR(LEFT(UPPER(TRIM(E2595)),1)="D",UPPER(TRIM(E2595))="D"),"D","")))))))</f>
        <v/>
      </c>
      <c r="J2595" s="27" t="str">
        <f aca="false">IF(I2595="","",IF(AND(I2595="D",Settings!$B$6&lt;&gt;"Yes"),"",IFERROR(INDEX(Settings!$C$9:$C$12,MATCH(I2595,Settings!$A$9:$A$12,0)),"")))</f>
        <v/>
      </c>
      <c r="K2595" s="27" t="str">
        <f aca="false">IF(J2595="","",COUNTIF($I$2:I2595,I2595))</f>
        <v/>
      </c>
      <c r="L2595" s="27" t="str">
        <f aca="false">IF(J2595="","",CHOOSE(Q2595+1,"Tue","Wed","Thu","Fri"))</f>
        <v/>
      </c>
      <c r="M2595" s="27" t="str">
        <f aca="false">IF(J2595="","",IF(J2595=1,"Every week",R2595+1&amp;" of "&amp;J2595))</f>
        <v/>
      </c>
      <c r="N2595" s="28" t="str">
        <f aca="false">IF(J2595="","",Settings!$B$4+R2595*7+Q2595)</f>
        <v/>
      </c>
      <c r="O2595" s="28" t="str">
        <f aca="true">IF(J2595="","",N2595+MAX(0,ROUNDUP((TODAY()-N2595)/(J2595*7),0))*J2595*7)</f>
        <v/>
      </c>
      <c r="P2595" s="27" t="str">
        <f aca="false">IF(J2595="","",MOD(K2595-1,J2595*4))</f>
        <v/>
      </c>
      <c r="Q2595" s="27" t="str">
        <f aca="false">IF(J2595="","",MOD(P2595,4))</f>
        <v/>
      </c>
      <c r="R2595" s="27" t="str">
        <f aca="false">IF(J2595="","",INT(P2595/4))</f>
        <v/>
      </c>
      <c r="S2595" s="27" t="str">
        <f aca="false">IF(J2595="","",IF(AND('Daily Count Sheet'!$H$3=Q2595,MOD('Daily Count Sheet'!$I$3,J2595)=R2595),1,""))</f>
        <v/>
      </c>
      <c r="T2595" s="27" t="str">
        <f aca="false">IF(S2595=1,COUNTIF($S$2:S2595,1),"")</f>
        <v/>
      </c>
    </row>
    <row r="2596" customFormat="false" ht="15" hidden="false" customHeight="false" outlineLevel="0" collapsed="false">
      <c r="H2596" s="26"/>
      <c r="I2596" s="27" t="str">
        <f aca="false">IF(A2596="","",IF(H2596&lt;&gt;"",UPPER(TRIM(H2596)),IFERROR(CHOOSE(VALUE(E2596)+1,"A","B","C","D"),IF(OR(LEFT(UPPER(TRIM(E2596)),1)="F",UPPER(TRIM(E2596))="A"),"A",IF(OR(LEFT(UPPER(TRIM(E2596)),1)="M",UPPER(TRIM(E2596))="B"),"B",IF(OR(LEFT(UPPER(TRIM(E2596)),2)="SL",UPPER(TRIM(E2596))="C"),"C",IF(OR(LEFT(UPPER(TRIM(E2596)),1)="D",UPPER(TRIM(E2596))="D"),"D","")))))))</f>
        <v/>
      </c>
      <c r="J2596" s="27" t="str">
        <f aca="false">IF(I2596="","",IF(AND(I2596="D",Settings!$B$6&lt;&gt;"Yes"),"",IFERROR(INDEX(Settings!$C$9:$C$12,MATCH(I2596,Settings!$A$9:$A$12,0)),"")))</f>
        <v/>
      </c>
      <c r="K2596" s="27" t="str">
        <f aca="false">IF(J2596="","",COUNTIF($I$2:I2596,I2596))</f>
        <v/>
      </c>
      <c r="L2596" s="27" t="str">
        <f aca="false">IF(J2596="","",CHOOSE(Q2596+1,"Tue","Wed","Thu","Fri"))</f>
        <v/>
      </c>
      <c r="M2596" s="27" t="str">
        <f aca="false">IF(J2596="","",IF(J2596=1,"Every week",R2596+1&amp;" of "&amp;J2596))</f>
        <v/>
      </c>
      <c r="N2596" s="28" t="str">
        <f aca="false">IF(J2596="","",Settings!$B$4+R2596*7+Q2596)</f>
        <v/>
      </c>
      <c r="O2596" s="28" t="str">
        <f aca="true">IF(J2596="","",N2596+MAX(0,ROUNDUP((TODAY()-N2596)/(J2596*7),0))*J2596*7)</f>
        <v/>
      </c>
      <c r="P2596" s="27" t="str">
        <f aca="false">IF(J2596="","",MOD(K2596-1,J2596*4))</f>
        <v/>
      </c>
      <c r="Q2596" s="27" t="str">
        <f aca="false">IF(J2596="","",MOD(P2596,4))</f>
        <v/>
      </c>
      <c r="R2596" s="27" t="str">
        <f aca="false">IF(J2596="","",INT(P2596/4))</f>
        <v/>
      </c>
      <c r="S2596" s="27" t="str">
        <f aca="false">IF(J2596="","",IF(AND('Daily Count Sheet'!$H$3=Q2596,MOD('Daily Count Sheet'!$I$3,J2596)=R2596),1,""))</f>
        <v/>
      </c>
      <c r="T2596" s="27" t="str">
        <f aca="false">IF(S2596=1,COUNTIF($S$2:S2596,1),"")</f>
        <v/>
      </c>
    </row>
    <row r="2597" customFormat="false" ht="15" hidden="false" customHeight="false" outlineLevel="0" collapsed="false">
      <c r="H2597" s="26"/>
      <c r="I2597" s="27" t="str">
        <f aca="false">IF(A2597="","",IF(H2597&lt;&gt;"",UPPER(TRIM(H2597)),IFERROR(CHOOSE(VALUE(E2597)+1,"A","B","C","D"),IF(OR(LEFT(UPPER(TRIM(E2597)),1)="F",UPPER(TRIM(E2597))="A"),"A",IF(OR(LEFT(UPPER(TRIM(E2597)),1)="M",UPPER(TRIM(E2597))="B"),"B",IF(OR(LEFT(UPPER(TRIM(E2597)),2)="SL",UPPER(TRIM(E2597))="C"),"C",IF(OR(LEFT(UPPER(TRIM(E2597)),1)="D",UPPER(TRIM(E2597))="D"),"D","")))))))</f>
        <v/>
      </c>
      <c r="J2597" s="27" t="str">
        <f aca="false">IF(I2597="","",IF(AND(I2597="D",Settings!$B$6&lt;&gt;"Yes"),"",IFERROR(INDEX(Settings!$C$9:$C$12,MATCH(I2597,Settings!$A$9:$A$12,0)),"")))</f>
        <v/>
      </c>
      <c r="K2597" s="27" t="str">
        <f aca="false">IF(J2597="","",COUNTIF($I$2:I2597,I2597))</f>
        <v/>
      </c>
      <c r="L2597" s="27" t="str">
        <f aca="false">IF(J2597="","",CHOOSE(Q2597+1,"Tue","Wed","Thu","Fri"))</f>
        <v/>
      </c>
      <c r="M2597" s="27" t="str">
        <f aca="false">IF(J2597="","",IF(J2597=1,"Every week",R2597+1&amp;" of "&amp;J2597))</f>
        <v/>
      </c>
      <c r="N2597" s="28" t="str">
        <f aca="false">IF(J2597="","",Settings!$B$4+R2597*7+Q2597)</f>
        <v/>
      </c>
      <c r="O2597" s="28" t="str">
        <f aca="true">IF(J2597="","",N2597+MAX(0,ROUNDUP((TODAY()-N2597)/(J2597*7),0))*J2597*7)</f>
        <v/>
      </c>
      <c r="P2597" s="27" t="str">
        <f aca="false">IF(J2597="","",MOD(K2597-1,J2597*4))</f>
        <v/>
      </c>
      <c r="Q2597" s="27" t="str">
        <f aca="false">IF(J2597="","",MOD(P2597,4))</f>
        <v/>
      </c>
      <c r="R2597" s="27" t="str">
        <f aca="false">IF(J2597="","",INT(P2597/4))</f>
        <v/>
      </c>
      <c r="S2597" s="27" t="str">
        <f aca="false">IF(J2597="","",IF(AND('Daily Count Sheet'!$H$3=Q2597,MOD('Daily Count Sheet'!$I$3,J2597)=R2597),1,""))</f>
        <v/>
      </c>
      <c r="T2597" s="27" t="str">
        <f aca="false">IF(S2597=1,COUNTIF($S$2:S2597,1),"")</f>
        <v/>
      </c>
    </row>
    <row r="2598" customFormat="false" ht="15" hidden="false" customHeight="false" outlineLevel="0" collapsed="false">
      <c r="H2598" s="26"/>
      <c r="I2598" s="27" t="str">
        <f aca="false">IF(A2598="","",IF(H2598&lt;&gt;"",UPPER(TRIM(H2598)),IFERROR(CHOOSE(VALUE(E2598)+1,"A","B","C","D"),IF(OR(LEFT(UPPER(TRIM(E2598)),1)="F",UPPER(TRIM(E2598))="A"),"A",IF(OR(LEFT(UPPER(TRIM(E2598)),1)="M",UPPER(TRIM(E2598))="B"),"B",IF(OR(LEFT(UPPER(TRIM(E2598)),2)="SL",UPPER(TRIM(E2598))="C"),"C",IF(OR(LEFT(UPPER(TRIM(E2598)),1)="D",UPPER(TRIM(E2598))="D"),"D","")))))))</f>
        <v/>
      </c>
      <c r="J2598" s="27" t="str">
        <f aca="false">IF(I2598="","",IF(AND(I2598="D",Settings!$B$6&lt;&gt;"Yes"),"",IFERROR(INDEX(Settings!$C$9:$C$12,MATCH(I2598,Settings!$A$9:$A$12,0)),"")))</f>
        <v/>
      </c>
      <c r="K2598" s="27" t="str">
        <f aca="false">IF(J2598="","",COUNTIF($I$2:I2598,I2598))</f>
        <v/>
      </c>
      <c r="L2598" s="27" t="str">
        <f aca="false">IF(J2598="","",CHOOSE(Q2598+1,"Tue","Wed","Thu","Fri"))</f>
        <v/>
      </c>
      <c r="M2598" s="27" t="str">
        <f aca="false">IF(J2598="","",IF(J2598=1,"Every week",R2598+1&amp;" of "&amp;J2598))</f>
        <v/>
      </c>
      <c r="N2598" s="28" t="str">
        <f aca="false">IF(J2598="","",Settings!$B$4+R2598*7+Q2598)</f>
        <v/>
      </c>
      <c r="O2598" s="28" t="str">
        <f aca="true">IF(J2598="","",N2598+MAX(0,ROUNDUP((TODAY()-N2598)/(J2598*7),0))*J2598*7)</f>
        <v/>
      </c>
      <c r="P2598" s="27" t="str">
        <f aca="false">IF(J2598="","",MOD(K2598-1,J2598*4))</f>
        <v/>
      </c>
      <c r="Q2598" s="27" t="str">
        <f aca="false">IF(J2598="","",MOD(P2598,4))</f>
        <v/>
      </c>
      <c r="R2598" s="27" t="str">
        <f aca="false">IF(J2598="","",INT(P2598/4))</f>
        <v/>
      </c>
      <c r="S2598" s="27" t="str">
        <f aca="false">IF(J2598="","",IF(AND('Daily Count Sheet'!$H$3=Q2598,MOD('Daily Count Sheet'!$I$3,J2598)=R2598),1,""))</f>
        <v/>
      </c>
      <c r="T2598" s="27" t="str">
        <f aca="false">IF(S2598=1,COUNTIF($S$2:S2598,1),"")</f>
        <v/>
      </c>
    </row>
    <row r="2599" customFormat="false" ht="15" hidden="false" customHeight="false" outlineLevel="0" collapsed="false">
      <c r="H2599" s="26"/>
      <c r="I2599" s="27" t="str">
        <f aca="false">IF(A2599="","",IF(H2599&lt;&gt;"",UPPER(TRIM(H2599)),IFERROR(CHOOSE(VALUE(E2599)+1,"A","B","C","D"),IF(OR(LEFT(UPPER(TRIM(E2599)),1)="F",UPPER(TRIM(E2599))="A"),"A",IF(OR(LEFT(UPPER(TRIM(E2599)),1)="M",UPPER(TRIM(E2599))="B"),"B",IF(OR(LEFT(UPPER(TRIM(E2599)),2)="SL",UPPER(TRIM(E2599))="C"),"C",IF(OR(LEFT(UPPER(TRIM(E2599)),1)="D",UPPER(TRIM(E2599))="D"),"D","")))))))</f>
        <v/>
      </c>
      <c r="J2599" s="27" t="str">
        <f aca="false">IF(I2599="","",IF(AND(I2599="D",Settings!$B$6&lt;&gt;"Yes"),"",IFERROR(INDEX(Settings!$C$9:$C$12,MATCH(I2599,Settings!$A$9:$A$12,0)),"")))</f>
        <v/>
      </c>
      <c r="K2599" s="27" t="str">
        <f aca="false">IF(J2599="","",COUNTIF($I$2:I2599,I2599))</f>
        <v/>
      </c>
      <c r="L2599" s="27" t="str">
        <f aca="false">IF(J2599="","",CHOOSE(Q2599+1,"Tue","Wed","Thu","Fri"))</f>
        <v/>
      </c>
      <c r="M2599" s="27" t="str">
        <f aca="false">IF(J2599="","",IF(J2599=1,"Every week",R2599+1&amp;" of "&amp;J2599))</f>
        <v/>
      </c>
      <c r="N2599" s="28" t="str">
        <f aca="false">IF(J2599="","",Settings!$B$4+R2599*7+Q2599)</f>
        <v/>
      </c>
      <c r="O2599" s="28" t="str">
        <f aca="true">IF(J2599="","",N2599+MAX(0,ROUNDUP((TODAY()-N2599)/(J2599*7),0))*J2599*7)</f>
        <v/>
      </c>
      <c r="P2599" s="27" t="str">
        <f aca="false">IF(J2599="","",MOD(K2599-1,J2599*4))</f>
        <v/>
      </c>
      <c r="Q2599" s="27" t="str">
        <f aca="false">IF(J2599="","",MOD(P2599,4))</f>
        <v/>
      </c>
      <c r="R2599" s="27" t="str">
        <f aca="false">IF(J2599="","",INT(P2599/4))</f>
        <v/>
      </c>
      <c r="S2599" s="27" t="str">
        <f aca="false">IF(J2599="","",IF(AND('Daily Count Sheet'!$H$3=Q2599,MOD('Daily Count Sheet'!$I$3,J2599)=R2599),1,""))</f>
        <v/>
      </c>
      <c r="T2599" s="27" t="str">
        <f aca="false">IF(S2599=1,COUNTIF($S$2:S2599,1),"")</f>
        <v/>
      </c>
    </row>
    <row r="2600" customFormat="false" ht="15" hidden="false" customHeight="false" outlineLevel="0" collapsed="false">
      <c r="H2600" s="26"/>
      <c r="I2600" s="27" t="str">
        <f aca="false">IF(A2600="","",IF(H2600&lt;&gt;"",UPPER(TRIM(H2600)),IFERROR(CHOOSE(VALUE(E2600)+1,"A","B","C","D"),IF(OR(LEFT(UPPER(TRIM(E2600)),1)="F",UPPER(TRIM(E2600))="A"),"A",IF(OR(LEFT(UPPER(TRIM(E2600)),1)="M",UPPER(TRIM(E2600))="B"),"B",IF(OR(LEFT(UPPER(TRIM(E2600)),2)="SL",UPPER(TRIM(E2600))="C"),"C",IF(OR(LEFT(UPPER(TRIM(E2600)),1)="D",UPPER(TRIM(E2600))="D"),"D","")))))))</f>
        <v/>
      </c>
      <c r="J2600" s="27" t="str">
        <f aca="false">IF(I2600="","",IF(AND(I2600="D",Settings!$B$6&lt;&gt;"Yes"),"",IFERROR(INDEX(Settings!$C$9:$C$12,MATCH(I2600,Settings!$A$9:$A$12,0)),"")))</f>
        <v/>
      </c>
      <c r="K2600" s="27" t="str">
        <f aca="false">IF(J2600="","",COUNTIF($I$2:I2600,I2600))</f>
        <v/>
      </c>
      <c r="L2600" s="27" t="str">
        <f aca="false">IF(J2600="","",CHOOSE(Q2600+1,"Tue","Wed","Thu","Fri"))</f>
        <v/>
      </c>
      <c r="M2600" s="27" t="str">
        <f aca="false">IF(J2600="","",IF(J2600=1,"Every week",R2600+1&amp;" of "&amp;J2600))</f>
        <v/>
      </c>
      <c r="N2600" s="28" t="str">
        <f aca="false">IF(J2600="","",Settings!$B$4+R2600*7+Q2600)</f>
        <v/>
      </c>
      <c r="O2600" s="28" t="str">
        <f aca="true">IF(J2600="","",N2600+MAX(0,ROUNDUP((TODAY()-N2600)/(J2600*7),0))*J2600*7)</f>
        <v/>
      </c>
      <c r="P2600" s="27" t="str">
        <f aca="false">IF(J2600="","",MOD(K2600-1,J2600*4))</f>
        <v/>
      </c>
      <c r="Q2600" s="27" t="str">
        <f aca="false">IF(J2600="","",MOD(P2600,4))</f>
        <v/>
      </c>
      <c r="R2600" s="27" t="str">
        <f aca="false">IF(J2600="","",INT(P2600/4))</f>
        <v/>
      </c>
      <c r="S2600" s="27" t="str">
        <f aca="false">IF(J2600="","",IF(AND('Daily Count Sheet'!$H$3=Q2600,MOD('Daily Count Sheet'!$I$3,J2600)=R2600),1,""))</f>
        <v/>
      </c>
      <c r="T2600" s="27" t="str">
        <f aca="false">IF(S2600=1,COUNTIF($S$2:S2600,1),"")</f>
        <v/>
      </c>
    </row>
    <row r="2601" customFormat="false" ht="15" hidden="false" customHeight="false" outlineLevel="0" collapsed="false">
      <c r="H2601" s="26"/>
      <c r="I2601" s="27" t="str">
        <f aca="false">IF(A2601="","",IF(H2601&lt;&gt;"",UPPER(TRIM(H2601)),IFERROR(CHOOSE(VALUE(E2601)+1,"A","B","C","D"),IF(OR(LEFT(UPPER(TRIM(E2601)),1)="F",UPPER(TRIM(E2601))="A"),"A",IF(OR(LEFT(UPPER(TRIM(E2601)),1)="M",UPPER(TRIM(E2601))="B"),"B",IF(OR(LEFT(UPPER(TRIM(E2601)),2)="SL",UPPER(TRIM(E2601))="C"),"C",IF(OR(LEFT(UPPER(TRIM(E2601)),1)="D",UPPER(TRIM(E2601))="D"),"D","")))))))</f>
        <v/>
      </c>
      <c r="J2601" s="27" t="str">
        <f aca="false">IF(I2601="","",IF(AND(I2601="D",Settings!$B$6&lt;&gt;"Yes"),"",IFERROR(INDEX(Settings!$C$9:$C$12,MATCH(I2601,Settings!$A$9:$A$12,0)),"")))</f>
        <v/>
      </c>
      <c r="K2601" s="27" t="str">
        <f aca="false">IF(J2601="","",COUNTIF($I$2:I2601,I2601))</f>
        <v/>
      </c>
      <c r="L2601" s="27" t="str">
        <f aca="false">IF(J2601="","",CHOOSE(Q2601+1,"Tue","Wed","Thu","Fri"))</f>
        <v/>
      </c>
      <c r="M2601" s="27" t="str">
        <f aca="false">IF(J2601="","",IF(J2601=1,"Every week",R2601+1&amp;" of "&amp;J2601))</f>
        <v/>
      </c>
      <c r="N2601" s="28" t="str">
        <f aca="false">IF(J2601="","",Settings!$B$4+R2601*7+Q2601)</f>
        <v/>
      </c>
      <c r="O2601" s="28" t="str">
        <f aca="true">IF(J2601="","",N2601+MAX(0,ROUNDUP((TODAY()-N2601)/(J2601*7),0))*J2601*7)</f>
        <v/>
      </c>
      <c r="P2601" s="27" t="str">
        <f aca="false">IF(J2601="","",MOD(K2601-1,J2601*4))</f>
        <v/>
      </c>
      <c r="Q2601" s="27" t="str">
        <f aca="false">IF(J2601="","",MOD(P2601,4))</f>
        <v/>
      </c>
      <c r="R2601" s="27" t="str">
        <f aca="false">IF(J2601="","",INT(P2601/4))</f>
        <v/>
      </c>
      <c r="S2601" s="27" t="str">
        <f aca="false">IF(J2601="","",IF(AND('Daily Count Sheet'!$H$3=Q2601,MOD('Daily Count Sheet'!$I$3,J2601)=R2601),1,""))</f>
        <v/>
      </c>
      <c r="T2601" s="27" t="str">
        <f aca="false">IF(S2601=1,COUNTIF($S$2:S2601,1),"")</f>
        <v/>
      </c>
    </row>
    <row r="2602" customFormat="false" ht="15" hidden="false" customHeight="false" outlineLevel="0" collapsed="false">
      <c r="H2602" s="26"/>
      <c r="I2602" s="27" t="str">
        <f aca="false">IF(A2602="","",IF(H2602&lt;&gt;"",UPPER(TRIM(H2602)),IFERROR(CHOOSE(VALUE(E2602)+1,"A","B","C","D"),IF(OR(LEFT(UPPER(TRIM(E2602)),1)="F",UPPER(TRIM(E2602))="A"),"A",IF(OR(LEFT(UPPER(TRIM(E2602)),1)="M",UPPER(TRIM(E2602))="B"),"B",IF(OR(LEFT(UPPER(TRIM(E2602)),2)="SL",UPPER(TRIM(E2602))="C"),"C",IF(OR(LEFT(UPPER(TRIM(E2602)),1)="D",UPPER(TRIM(E2602))="D"),"D","")))))))</f>
        <v/>
      </c>
      <c r="J2602" s="27" t="str">
        <f aca="false">IF(I2602="","",IF(AND(I2602="D",Settings!$B$6&lt;&gt;"Yes"),"",IFERROR(INDEX(Settings!$C$9:$C$12,MATCH(I2602,Settings!$A$9:$A$12,0)),"")))</f>
        <v/>
      </c>
      <c r="K2602" s="27" t="str">
        <f aca="false">IF(J2602="","",COUNTIF($I$2:I2602,I2602))</f>
        <v/>
      </c>
      <c r="L2602" s="27" t="str">
        <f aca="false">IF(J2602="","",CHOOSE(Q2602+1,"Tue","Wed","Thu","Fri"))</f>
        <v/>
      </c>
      <c r="M2602" s="27" t="str">
        <f aca="false">IF(J2602="","",IF(J2602=1,"Every week",R2602+1&amp;" of "&amp;J2602))</f>
        <v/>
      </c>
      <c r="N2602" s="28" t="str">
        <f aca="false">IF(J2602="","",Settings!$B$4+R2602*7+Q2602)</f>
        <v/>
      </c>
      <c r="O2602" s="28" t="str">
        <f aca="true">IF(J2602="","",N2602+MAX(0,ROUNDUP((TODAY()-N2602)/(J2602*7),0))*J2602*7)</f>
        <v/>
      </c>
      <c r="P2602" s="27" t="str">
        <f aca="false">IF(J2602="","",MOD(K2602-1,J2602*4))</f>
        <v/>
      </c>
      <c r="Q2602" s="27" t="str">
        <f aca="false">IF(J2602="","",MOD(P2602,4))</f>
        <v/>
      </c>
      <c r="R2602" s="27" t="str">
        <f aca="false">IF(J2602="","",INT(P2602/4))</f>
        <v/>
      </c>
      <c r="S2602" s="27" t="str">
        <f aca="false">IF(J2602="","",IF(AND('Daily Count Sheet'!$H$3=Q2602,MOD('Daily Count Sheet'!$I$3,J2602)=R2602),1,""))</f>
        <v/>
      </c>
      <c r="T2602" s="27" t="str">
        <f aca="false">IF(S2602=1,COUNTIF($S$2:S2602,1),"")</f>
        <v/>
      </c>
    </row>
    <row r="2603" customFormat="false" ht="15" hidden="false" customHeight="false" outlineLevel="0" collapsed="false">
      <c r="H2603" s="26"/>
      <c r="I2603" s="27" t="str">
        <f aca="false">IF(A2603="","",IF(H2603&lt;&gt;"",UPPER(TRIM(H2603)),IFERROR(CHOOSE(VALUE(E2603)+1,"A","B","C","D"),IF(OR(LEFT(UPPER(TRIM(E2603)),1)="F",UPPER(TRIM(E2603))="A"),"A",IF(OR(LEFT(UPPER(TRIM(E2603)),1)="M",UPPER(TRIM(E2603))="B"),"B",IF(OR(LEFT(UPPER(TRIM(E2603)),2)="SL",UPPER(TRIM(E2603))="C"),"C",IF(OR(LEFT(UPPER(TRIM(E2603)),1)="D",UPPER(TRIM(E2603))="D"),"D","")))))))</f>
        <v/>
      </c>
      <c r="J2603" s="27" t="str">
        <f aca="false">IF(I2603="","",IF(AND(I2603="D",Settings!$B$6&lt;&gt;"Yes"),"",IFERROR(INDEX(Settings!$C$9:$C$12,MATCH(I2603,Settings!$A$9:$A$12,0)),"")))</f>
        <v/>
      </c>
      <c r="K2603" s="27" t="str">
        <f aca="false">IF(J2603="","",COUNTIF($I$2:I2603,I2603))</f>
        <v/>
      </c>
      <c r="L2603" s="27" t="str">
        <f aca="false">IF(J2603="","",CHOOSE(Q2603+1,"Tue","Wed","Thu","Fri"))</f>
        <v/>
      </c>
      <c r="M2603" s="27" t="str">
        <f aca="false">IF(J2603="","",IF(J2603=1,"Every week",R2603+1&amp;" of "&amp;J2603))</f>
        <v/>
      </c>
      <c r="N2603" s="28" t="str">
        <f aca="false">IF(J2603="","",Settings!$B$4+R2603*7+Q2603)</f>
        <v/>
      </c>
      <c r="O2603" s="28" t="str">
        <f aca="true">IF(J2603="","",N2603+MAX(0,ROUNDUP((TODAY()-N2603)/(J2603*7),0))*J2603*7)</f>
        <v/>
      </c>
      <c r="P2603" s="27" t="str">
        <f aca="false">IF(J2603="","",MOD(K2603-1,J2603*4))</f>
        <v/>
      </c>
      <c r="Q2603" s="27" t="str">
        <f aca="false">IF(J2603="","",MOD(P2603,4))</f>
        <v/>
      </c>
      <c r="R2603" s="27" t="str">
        <f aca="false">IF(J2603="","",INT(P2603/4))</f>
        <v/>
      </c>
      <c r="S2603" s="27" t="str">
        <f aca="false">IF(J2603="","",IF(AND('Daily Count Sheet'!$H$3=Q2603,MOD('Daily Count Sheet'!$I$3,J2603)=R2603),1,""))</f>
        <v/>
      </c>
      <c r="T2603" s="27" t="str">
        <f aca="false">IF(S2603=1,COUNTIF($S$2:S2603,1),"")</f>
        <v/>
      </c>
    </row>
    <row r="2604" customFormat="false" ht="15" hidden="false" customHeight="false" outlineLevel="0" collapsed="false">
      <c r="H2604" s="26"/>
      <c r="I2604" s="27" t="str">
        <f aca="false">IF(A2604="","",IF(H2604&lt;&gt;"",UPPER(TRIM(H2604)),IFERROR(CHOOSE(VALUE(E2604)+1,"A","B","C","D"),IF(OR(LEFT(UPPER(TRIM(E2604)),1)="F",UPPER(TRIM(E2604))="A"),"A",IF(OR(LEFT(UPPER(TRIM(E2604)),1)="M",UPPER(TRIM(E2604))="B"),"B",IF(OR(LEFT(UPPER(TRIM(E2604)),2)="SL",UPPER(TRIM(E2604))="C"),"C",IF(OR(LEFT(UPPER(TRIM(E2604)),1)="D",UPPER(TRIM(E2604))="D"),"D","")))))))</f>
        <v/>
      </c>
      <c r="J2604" s="27" t="str">
        <f aca="false">IF(I2604="","",IF(AND(I2604="D",Settings!$B$6&lt;&gt;"Yes"),"",IFERROR(INDEX(Settings!$C$9:$C$12,MATCH(I2604,Settings!$A$9:$A$12,0)),"")))</f>
        <v/>
      </c>
      <c r="K2604" s="27" t="str">
        <f aca="false">IF(J2604="","",COUNTIF($I$2:I2604,I2604))</f>
        <v/>
      </c>
      <c r="L2604" s="27" t="str">
        <f aca="false">IF(J2604="","",CHOOSE(Q2604+1,"Tue","Wed","Thu","Fri"))</f>
        <v/>
      </c>
      <c r="M2604" s="27" t="str">
        <f aca="false">IF(J2604="","",IF(J2604=1,"Every week",R2604+1&amp;" of "&amp;J2604))</f>
        <v/>
      </c>
      <c r="N2604" s="28" t="str">
        <f aca="false">IF(J2604="","",Settings!$B$4+R2604*7+Q2604)</f>
        <v/>
      </c>
      <c r="O2604" s="28" t="str">
        <f aca="true">IF(J2604="","",N2604+MAX(0,ROUNDUP((TODAY()-N2604)/(J2604*7),0))*J2604*7)</f>
        <v/>
      </c>
      <c r="P2604" s="27" t="str">
        <f aca="false">IF(J2604="","",MOD(K2604-1,J2604*4))</f>
        <v/>
      </c>
      <c r="Q2604" s="27" t="str">
        <f aca="false">IF(J2604="","",MOD(P2604,4))</f>
        <v/>
      </c>
      <c r="R2604" s="27" t="str">
        <f aca="false">IF(J2604="","",INT(P2604/4))</f>
        <v/>
      </c>
      <c r="S2604" s="27" t="str">
        <f aca="false">IF(J2604="","",IF(AND('Daily Count Sheet'!$H$3=Q2604,MOD('Daily Count Sheet'!$I$3,J2604)=R2604),1,""))</f>
        <v/>
      </c>
      <c r="T2604" s="27" t="str">
        <f aca="false">IF(S2604=1,COUNTIF($S$2:S2604,1),"")</f>
        <v/>
      </c>
    </row>
    <row r="2605" customFormat="false" ht="15" hidden="false" customHeight="false" outlineLevel="0" collapsed="false">
      <c r="H2605" s="26"/>
      <c r="I2605" s="27" t="str">
        <f aca="false">IF(A2605="","",IF(H2605&lt;&gt;"",UPPER(TRIM(H2605)),IFERROR(CHOOSE(VALUE(E2605)+1,"A","B","C","D"),IF(OR(LEFT(UPPER(TRIM(E2605)),1)="F",UPPER(TRIM(E2605))="A"),"A",IF(OR(LEFT(UPPER(TRIM(E2605)),1)="M",UPPER(TRIM(E2605))="B"),"B",IF(OR(LEFT(UPPER(TRIM(E2605)),2)="SL",UPPER(TRIM(E2605))="C"),"C",IF(OR(LEFT(UPPER(TRIM(E2605)),1)="D",UPPER(TRIM(E2605))="D"),"D","")))))))</f>
        <v/>
      </c>
      <c r="J2605" s="27" t="str">
        <f aca="false">IF(I2605="","",IF(AND(I2605="D",Settings!$B$6&lt;&gt;"Yes"),"",IFERROR(INDEX(Settings!$C$9:$C$12,MATCH(I2605,Settings!$A$9:$A$12,0)),"")))</f>
        <v/>
      </c>
      <c r="K2605" s="27" t="str">
        <f aca="false">IF(J2605="","",COUNTIF($I$2:I2605,I2605))</f>
        <v/>
      </c>
      <c r="L2605" s="27" t="str">
        <f aca="false">IF(J2605="","",CHOOSE(Q2605+1,"Tue","Wed","Thu","Fri"))</f>
        <v/>
      </c>
      <c r="M2605" s="27" t="str">
        <f aca="false">IF(J2605="","",IF(J2605=1,"Every week",R2605+1&amp;" of "&amp;J2605))</f>
        <v/>
      </c>
      <c r="N2605" s="28" t="str">
        <f aca="false">IF(J2605="","",Settings!$B$4+R2605*7+Q2605)</f>
        <v/>
      </c>
      <c r="O2605" s="28" t="str">
        <f aca="true">IF(J2605="","",N2605+MAX(0,ROUNDUP((TODAY()-N2605)/(J2605*7),0))*J2605*7)</f>
        <v/>
      </c>
      <c r="P2605" s="27" t="str">
        <f aca="false">IF(J2605="","",MOD(K2605-1,J2605*4))</f>
        <v/>
      </c>
      <c r="Q2605" s="27" t="str">
        <f aca="false">IF(J2605="","",MOD(P2605,4))</f>
        <v/>
      </c>
      <c r="R2605" s="27" t="str">
        <f aca="false">IF(J2605="","",INT(P2605/4))</f>
        <v/>
      </c>
      <c r="S2605" s="27" t="str">
        <f aca="false">IF(J2605="","",IF(AND('Daily Count Sheet'!$H$3=Q2605,MOD('Daily Count Sheet'!$I$3,J2605)=R2605),1,""))</f>
        <v/>
      </c>
      <c r="T2605" s="27" t="str">
        <f aca="false">IF(S2605=1,COUNTIF($S$2:S2605,1),"")</f>
        <v/>
      </c>
    </row>
    <row r="2606" customFormat="false" ht="15" hidden="false" customHeight="false" outlineLevel="0" collapsed="false">
      <c r="H2606" s="26"/>
      <c r="I2606" s="27" t="str">
        <f aca="false">IF(A2606="","",IF(H2606&lt;&gt;"",UPPER(TRIM(H2606)),IFERROR(CHOOSE(VALUE(E2606)+1,"A","B","C","D"),IF(OR(LEFT(UPPER(TRIM(E2606)),1)="F",UPPER(TRIM(E2606))="A"),"A",IF(OR(LEFT(UPPER(TRIM(E2606)),1)="M",UPPER(TRIM(E2606))="B"),"B",IF(OR(LEFT(UPPER(TRIM(E2606)),2)="SL",UPPER(TRIM(E2606))="C"),"C",IF(OR(LEFT(UPPER(TRIM(E2606)),1)="D",UPPER(TRIM(E2606))="D"),"D","")))))))</f>
        <v/>
      </c>
      <c r="J2606" s="27" t="str">
        <f aca="false">IF(I2606="","",IF(AND(I2606="D",Settings!$B$6&lt;&gt;"Yes"),"",IFERROR(INDEX(Settings!$C$9:$C$12,MATCH(I2606,Settings!$A$9:$A$12,0)),"")))</f>
        <v/>
      </c>
      <c r="K2606" s="27" t="str">
        <f aca="false">IF(J2606="","",COUNTIF($I$2:I2606,I2606))</f>
        <v/>
      </c>
      <c r="L2606" s="27" t="str">
        <f aca="false">IF(J2606="","",CHOOSE(Q2606+1,"Tue","Wed","Thu","Fri"))</f>
        <v/>
      </c>
      <c r="M2606" s="27" t="str">
        <f aca="false">IF(J2606="","",IF(J2606=1,"Every week",R2606+1&amp;" of "&amp;J2606))</f>
        <v/>
      </c>
      <c r="N2606" s="28" t="str">
        <f aca="false">IF(J2606="","",Settings!$B$4+R2606*7+Q2606)</f>
        <v/>
      </c>
      <c r="O2606" s="28" t="str">
        <f aca="true">IF(J2606="","",N2606+MAX(0,ROUNDUP((TODAY()-N2606)/(J2606*7),0))*J2606*7)</f>
        <v/>
      </c>
      <c r="P2606" s="27" t="str">
        <f aca="false">IF(J2606="","",MOD(K2606-1,J2606*4))</f>
        <v/>
      </c>
      <c r="Q2606" s="27" t="str">
        <f aca="false">IF(J2606="","",MOD(P2606,4))</f>
        <v/>
      </c>
      <c r="R2606" s="27" t="str">
        <f aca="false">IF(J2606="","",INT(P2606/4))</f>
        <v/>
      </c>
      <c r="S2606" s="27" t="str">
        <f aca="false">IF(J2606="","",IF(AND('Daily Count Sheet'!$H$3=Q2606,MOD('Daily Count Sheet'!$I$3,J2606)=R2606),1,""))</f>
        <v/>
      </c>
      <c r="T2606" s="27" t="str">
        <f aca="false">IF(S2606=1,COUNTIF($S$2:S2606,1),"")</f>
        <v/>
      </c>
    </row>
    <row r="2607" customFormat="false" ht="15" hidden="false" customHeight="false" outlineLevel="0" collapsed="false">
      <c r="H2607" s="26"/>
      <c r="I2607" s="27" t="str">
        <f aca="false">IF(A2607="","",IF(H2607&lt;&gt;"",UPPER(TRIM(H2607)),IFERROR(CHOOSE(VALUE(E2607)+1,"A","B","C","D"),IF(OR(LEFT(UPPER(TRIM(E2607)),1)="F",UPPER(TRIM(E2607))="A"),"A",IF(OR(LEFT(UPPER(TRIM(E2607)),1)="M",UPPER(TRIM(E2607))="B"),"B",IF(OR(LEFT(UPPER(TRIM(E2607)),2)="SL",UPPER(TRIM(E2607))="C"),"C",IF(OR(LEFT(UPPER(TRIM(E2607)),1)="D",UPPER(TRIM(E2607))="D"),"D","")))))))</f>
        <v/>
      </c>
      <c r="J2607" s="27" t="str">
        <f aca="false">IF(I2607="","",IF(AND(I2607="D",Settings!$B$6&lt;&gt;"Yes"),"",IFERROR(INDEX(Settings!$C$9:$C$12,MATCH(I2607,Settings!$A$9:$A$12,0)),"")))</f>
        <v/>
      </c>
      <c r="K2607" s="27" t="str">
        <f aca="false">IF(J2607="","",COUNTIF($I$2:I2607,I2607))</f>
        <v/>
      </c>
      <c r="L2607" s="27" t="str">
        <f aca="false">IF(J2607="","",CHOOSE(Q2607+1,"Tue","Wed","Thu","Fri"))</f>
        <v/>
      </c>
      <c r="M2607" s="27" t="str">
        <f aca="false">IF(J2607="","",IF(J2607=1,"Every week",R2607+1&amp;" of "&amp;J2607))</f>
        <v/>
      </c>
      <c r="N2607" s="28" t="str">
        <f aca="false">IF(J2607="","",Settings!$B$4+R2607*7+Q2607)</f>
        <v/>
      </c>
      <c r="O2607" s="28" t="str">
        <f aca="true">IF(J2607="","",N2607+MAX(0,ROUNDUP((TODAY()-N2607)/(J2607*7),0))*J2607*7)</f>
        <v/>
      </c>
      <c r="P2607" s="27" t="str">
        <f aca="false">IF(J2607="","",MOD(K2607-1,J2607*4))</f>
        <v/>
      </c>
      <c r="Q2607" s="27" t="str">
        <f aca="false">IF(J2607="","",MOD(P2607,4))</f>
        <v/>
      </c>
      <c r="R2607" s="27" t="str">
        <f aca="false">IF(J2607="","",INT(P2607/4))</f>
        <v/>
      </c>
      <c r="S2607" s="27" t="str">
        <f aca="false">IF(J2607="","",IF(AND('Daily Count Sheet'!$H$3=Q2607,MOD('Daily Count Sheet'!$I$3,J2607)=R2607),1,""))</f>
        <v/>
      </c>
      <c r="T2607" s="27" t="str">
        <f aca="false">IF(S2607=1,COUNTIF($S$2:S2607,1),"")</f>
        <v/>
      </c>
    </row>
    <row r="2608" customFormat="false" ht="15" hidden="false" customHeight="false" outlineLevel="0" collapsed="false">
      <c r="H2608" s="26"/>
      <c r="I2608" s="27" t="str">
        <f aca="false">IF(A2608="","",IF(H2608&lt;&gt;"",UPPER(TRIM(H2608)),IFERROR(CHOOSE(VALUE(E2608)+1,"A","B","C","D"),IF(OR(LEFT(UPPER(TRIM(E2608)),1)="F",UPPER(TRIM(E2608))="A"),"A",IF(OR(LEFT(UPPER(TRIM(E2608)),1)="M",UPPER(TRIM(E2608))="B"),"B",IF(OR(LEFT(UPPER(TRIM(E2608)),2)="SL",UPPER(TRIM(E2608))="C"),"C",IF(OR(LEFT(UPPER(TRIM(E2608)),1)="D",UPPER(TRIM(E2608))="D"),"D","")))))))</f>
        <v/>
      </c>
      <c r="J2608" s="27" t="str">
        <f aca="false">IF(I2608="","",IF(AND(I2608="D",Settings!$B$6&lt;&gt;"Yes"),"",IFERROR(INDEX(Settings!$C$9:$C$12,MATCH(I2608,Settings!$A$9:$A$12,0)),"")))</f>
        <v/>
      </c>
      <c r="K2608" s="27" t="str">
        <f aca="false">IF(J2608="","",COUNTIF($I$2:I2608,I2608))</f>
        <v/>
      </c>
      <c r="L2608" s="27" t="str">
        <f aca="false">IF(J2608="","",CHOOSE(Q2608+1,"Tue","Wed","Thu","Fri"))</f>
        <v/>
      </c>
      <c r="M2608" s="27" t="str">
        <f aca="false">IF(J2608="","",IF(J2608=1,"Every week",R2608+1&amp;" of "&amp;J2608))</f>
        <v/>
      </c>
      <c r="N2608" s="28" t="str">
        <f aca="false">IF(J2608="","",Settings!$B$4+R2608*7+Q2608)</f>
        <v/>
      </c>
      <c r="O2608" s="28" t="str">
        <f aca="true">IF(J2608="","",N2608+MAX(0,ROUNDUP((TODAY()-N2608)/(J2608*7),0))*J2608*7)</f>
        <v/>
      </c>
      <c r="P2608" s="27" t="str">
        <f aca="false">IF(J2608="","",MOD(K2608-1,J2608*4))</f>
        <v/>
      </c>
      <c r="Q2608" s="27" t="str">
        <f aca="false">IF(J2608="","",MOD(P2608,4))</f>
        <v/>
      </c>
      <c r="R2608" s="27" t="str">
        <f aca="false">IF(J2608="","",INT(P2608/4))</f>
        <v/>
      </c>
      <c r="S2608" s="27" t="str">
        <f aca="false">IF(J2608="","",IF(AND('Daily Count Sheet'!$H$3=Q2608,MOD('Daily Count Sheet'!$I$3,J2608)=R2608),1,""))</f>
        <v/>
      </c>
      <c r="T2608" s="27" t="str">
        <f aca="false">IF(S2608=1,COUNTIF($S$2:S2608,1),"")</f>
        <v/>
      </c>
    </row>
    <row r="2609" customFormat="false" ht="15" hidden="false" customHeight="false" outlineLevel="0" collapsed="false">
      <c r="H2609" s="26"/>
      <c r="I2609" s="27" t="str">
        <f aca="false">IF(A2609="","",IF(H2609&lt;&gt;"",UPPER(TRIM(H2609)),IFERROR(CHOOSE(VALUE(E2609)+1,"A","B","C","D"),IF(OR(LEFT(UPPER(TRIM(E2609)),1)="F",UPPER(TRIM(E2609))="A"),"A",IF(OR(LEFT(UPPER(TRIM(E2609)),1)="M",UPPER(TRIM(E2609))="B"),"B",IF(OR(LEFT(UPPER(TRIM(E2609)),2)="SL",UPPER(TRIM(E2609))="C"),"C",IF(OR(LEFT(UPPER(TRIM(E2609)),1)="D",UPPER(TRIM(E2609))="D"),"D","")))))))</f>
        <v/>
      </c>
      <c r="J2609" s="27" t="str">
        <f aca="false">IF(I2609="","",IF(AND(I2609="D",Settings!$B$6&lt;&gt;"Yes"),"",IFERROR(INDEX(Settings!$C$9:$C$12,MATCH(I2609,Settings!$A$9:$A$12,0)),"")))</f>
        <v/>
      </c>
      <c r="K2609" s="27" t="str">
        <f aca="false">IF(J2609="","",COUNTIF($I$2:I2609,I2609))</f>
        <v/>
      </c>
      <c r="L2609" s="27" t="str">
        <f aca="false">IF(J2609="","",CHOOSE(Q2609+1,"Tue","Wed","Thu","Fri"))</f>
        <v/>
      </c>
      <c r="M2609" s="27" t="str">
        <f aca="false">IF(J2609="","",IF(J2609=1,"Every week",R2609+1&amp;" of "&amp;J2609))</f>
        <v/>
      </c>
      <c r="N2609" s="28" t="str">
        <f aca="false">IF(J2609="","",Settings!$B$4+R2609*7+Q2609)</f>
        <v/>
      </c>
      <c r="O2609" s="28" t="str">
        <f aca="true">IF(J2609="","",N2609+MAX(0,ROUNDUP((TODAY()-N2609)/(J2609*7),0))*J2609*7)</f>
        <v/>
      </c>
      <c r="P2609" s="27" t="str">
        <f aca="false">IF(J2609="","",MOD(K2609-1,J2609*4))</f>
        <v/>
      </c>
      <c r="Q2609" s="27" t="str">
        <f aca="false">IF(J2609="","",MOD(P2609,4))</f>
        <v/>
      </c>
      <c r="R2609" s="27" t="str">
        <f aca="false">IF(J2609="","",INT(P2609/4))</f>
        <v/>
      </c>
      <c r="S2609" s="27" t="str">
        <f aca="false">IF(J2609="","",IF(AND('Daily Count Sheet'!$H$3=Q2609,MOD('Daily Count Sheet'!$I$3,J2609)=R2609),1,""))</f>
        <v/>
      </c>
      <c r="T2609" s="27" t="str">
        <f aca="false">IF(S2609=1,COUNTIF($S$2:S2609,1),"")</f>
        <v/>
      </c>
    </row>
    <row r="2610" customFormat="false" ht="15" hidden="false" customHeight="false" outlineLevel="0" collapsed="false">
      <c r="H2610" s="26"/>
      <c r="I2610" s="27" t="str">
        <f aca="false">IF(A2610="","",IF(H2610&lt;&gt;"",UPPER(TRIM(H2610)),IFERROR(CHOOSE(VALUE(E2610)+1,"A","B","C","D"),IF(OR(LEFT(UPPER(TRIM(E2610)),1)="F",UPPER(TRIM(E2610))="A"),"A",IF(OR(LEFT(UPPER(TRIM(E2610)),1)="M",UPPER(TRIM(E2610))="B"),"B",IF(OR(LEFT(UPPER(TRIM(E2610)),2)="SL",UPPER(TRIM(E2610))="C"),"C",IF(OR(LEFT(UPPER(TRIM(E2610)),1)="D",UPPER(TRIM(E2610))="D"),"D","")))))))</f>
        <v/>
      </c>
      <c r="J2610" s="27" t="str">
        <f aca="false">IF(I2610="","",IF(AND(I2610="D",Settings!$B$6&lt;&gt;"Yes"),"",IFERROR(INDEX(Settings!$C$9:$C$12,MATCH(I2610,Settings!$A$9:$A$12,0)),"")))</f>
        <v/>
      </c>
      <c r="K2610" s="27" t="str">
        <f aca="false">IF(J2610="","",COUNTIF($I$2:I2610,I2610))</f>
        <v/>
      </c>
      <c r="L2610" s="27" t="str">
        <f aca="false">IF(J2610="","",CHOOSE(Q2610+1,"Tue","Wed","Thu","Fri"))</f>
        <v/>
      </c>
      <c r="M2610" s="27" t="str">
        <f aca="false">IF(J2610="","",IF(J2610=1,"Every week",R2610+1&amp;" of "&amp;J2610))</f>
        <v/>
      </c>
      <c r="N2610" s="28" t="str">
        <f aca="false">IF(J2610="","",Settings!$B$4+R2610*7+Q2610)</f>
        <v/>
      </c>
      <c r="O2610" s="28" t="str">
        <f aca="true">IF(J2610="","",N2610+MAX(0,ROUNDUP((TODAY()-N2610)/(J2610*7),0))*J2610*7)</f>
        <v/>
      </c>
      <c r="P2610" s="27" t="str">
        <f aca="false">IF(J2610="","",MOD(K2610-1,J2610*4))</f>
        <v/>
      </c>
      <c r="Q2610" s="27" t="str">
        <f aca="false">IF(J2610="","",MOD(P2610,4))</f>
        <v/>
      </c>
      <c r="R2610" s="27" t="str">
        <f aca="false">IF(J2610="","",INT(P2610/4))</f>
        <v/>
      </c>
      <c r="S2610" s="27" t="str">
        <f aca="false">IF(J2610="","",IF(AND('Daily Count Sheet'!$H$3=Q2610,MOD('Daily Count Sheet'!$I$3,J2610)=R2610),1,""))</f>
        <v/>
      </c>
      <c r="T2610" s="27" t="str">
        <f aca="false">IF(S2610=1,COUNTIF($S$2:S2610,1),"")</f>
        <v/>
      </c>
    </row>
    <row r="2611" customFormat="false" ht="15" hidden="false" customHeight="false" outlineLevel="0" collapsed="false">
      <c r="H2611" s="26"/>
      <c r="I2611" s="27" t="str">
        <f aca="false">IF(A2611="","",IF(H2611&lt;&gt;"",UPPER(TRIM(H2611)),IFERROR(CHOOSE(VALUE(E2611)+1,"A","B","C","D"),IF(OR(LEFT(UPPER(TRIM(E2611)),1)="F",UPPER(TRIM(E2611))="A"),"A",IF(OR(LEFT(UPPER(TRIM(E2611)),1)="M",UPPER(TRIM(E2611))="B"),"B",IF(OR(LEFT(UPPER(TRIM(E2611)),2)="SL",UPPER(TRIM(E2611))="C"),"C",IF(OR(LEFT(UPPER(TRIM(E2611)),1)="D",UPPER(TRIM(E2611))="D"),"D","")))))))</f>
        <v/>
      </c>
      <c r="J2611" s="27" t="str">
        <f aca="false">IF(I2611="","",IF(AND(I2611="D",Settings!$B$6&lt;&gt;"Yes"),"",IFERROR(INDEX(Settings!$C$9:$C$12,MATCH(I2611,Settings!$A$9:$A$12,0)),"")))</f>
        <v/>
      </c>
      <c r="K2611" s="27" t="str">
        <f aca="false">IF(J2611="","",COUNTIF($I$2:I2611,I2611))</f>
        <v/>
      </c>
      <c r="L2611" s="27" t="str">
        <f aca="false">IF(J2611="","",CHOOSE(Q2611+1,"Tue","Wed","Thu","Fri"))</f>
        <v/>
      </c>
      <c r="M2611" s="27" t="str">
        <f aca="false">IF(J2611="","",IF(J2611=1,"Every week",R2611+1&amp;" of "&amp;J2611))</f>
        <v/>
      </c>
      <c r="N2611" s="28" t="str">
        <f aca="false">IF(J2611="","",Settings!$B$4+R2611*7+Q2611)</f>
        <v/>
      </c>
      <c r="O2611" s="28" t="str">
        <f aca="true">IF(J2611="","",N2611+MAX(0,ROUNDUP((TODAY()-N2611)/(J2611*7),0))*J2611*7)</f>
        <v/>
      </c>
      <c r="P2611" s="27" t="str">
        <f aca="false">IF(J2611="","",MOD(K2611-1,J2611*4))</f>
        <v/>
      </c>
      <c r="Q2611" s="27" t="str">
        <f aca="false">IF(J2611="","",MOD(P2611,4))</f>
        <v/>
      </c>
      <c r="R2611" s="27" t="str">
        <f aca="false">IF(J2611="","",INT(P2611/4))</f>
        <v/>
      </c>
      <c r="S2611" s="27" t="str">
        <f aca="false">IF(J2611="","",IF(AND('Daily Count Sheet'!$H$3=Q2611,MOD('Daily Count Sheet'!$I$3,J2611)=R2611),1,""))</f>
        <v/>
      </c>
      <c r="T2611" s="27" t="str">
        <f aca="false">IF(S2611=1,COUNTIF($S$2:S2611,1),"")</f>
        <v/>
      </c>
    </row>
    <row r="2612" customFormat="false" ht="15" hidden="false" customHeight="false" outlineLevel="0" collapsed="false">
      <c r="H2612" s="26"/>
      <c r="I2612" s="27" t="str">
        <f aca="false">IF(A2612="","",IF(H2612&lt;&gt;"",UPPER(TRIM(H2612)),IFERROR(CHOOSE(VALUE(E2612)+1,"A","B","C","D"),IF(OR(LEFT(UPPER(TRIM(E2612)),1)="F",UPPER(TRIM(E2612))="A"),"A",IF(OR(LEFT(UPPER(TRIM(E2612)),1)="M",UPPER(TRIM(E2612))="B"),"B",IF(OR(LEFT(UPPER(TRIM(E2612)),2)="SL",UPPER(TRIM(E2612))="C"),"C",IF(OR(LEFT(UPPER(TRIM(E2612)),1)="D",UPPER(TRIM(E2612))="D"),"D","")))))))</f>
        <v/>
      </c>
      <c r="J2612" s="27" t="str">
        <f aca="false">IF(I2612="","",IF(AND(I2612="D",Settings!$B$6&lt;&gt;"Yes"),"",IFERROR(INDEX(Settings!$C$9:$C$12,MATCH(I2612,Settings!$A$9:$A$12,0)),"")))</f>
        <v/>
      </c>
      <c r="K2612" s="27" t="str">
        <f aca="false">IF(J2612="","",COUNTIF($I$2:I2612,I2612))</f>
        <v/>
      </c>
      <c r="L2612" s="27" t="str">
        <f aca="false">IF(J2612="","",CHOOSE(Q2612+1,"Tue","Wed","Thu","Fri"))</f>
        <v/>
      </c>
      <c r="M2612" s="27" t="str">
        <f aca="false">IF(J2612="","",IF(J2612=1,"Every week",R2612+1&amp;" of "&amp;J2612))</f>
        <v/>
      </c>
      <c r="N2612" s="28" t="str">
        <f aca="false">IF(J2612="","",Settings!$B$4+R2612*7+Q2612)</f>
        <v/>
      </c>
      <c r="O2612" s="28" t="str">
        <f aca="true">IF(J2612="","",N2612+MAX(0,ROUNDUP((TODAY()-N2612)/(J2612*7),0))*J2612*7)</f>
        <v/>
      </c>
      <c r="P2612" s="27" t="str">
        <f aca="false">IF(J2612="","",MOD(K2612-1,J2612*4))</f>
        <v/>
      </c>
      <c r="Q2612" s="27" t="str">
        <f aca="false">IF(J2612="","",MOD(P2612,4))</f>
        <v/>
      </c>
      <c r="R2612" s="27" t="str">
        <f aca="false">IF(J2612="","",INT(P2612/4))</f>
        <v/>
      </c>
      <c r="S2612" s="27" t="str">
        <f aca="false">IF(J2612="","",IF(AND('Daily Count Sheet'!$H$3=Q2612,MOD('Daily Count Sheet'!$I$3,J2612)=R2612),1,""))</f>
        <v/>
      </c>
      <c r="T2612" s="27" t="str">
        <f aca="false">IF(S2612=1,COUNTIF($S$2:S2612,1),"")</f>
        <v/>
      </c>
    </row>
    <row r="2613" customFormat="false" ht="15" hidden="false" customHeight="false" outlineLevel="0" collapsed="false">
      <c r="H2613" s="26"/>
      <c r="I2613" s="27" t="str">
        <f aca="false">IF(A2613="","",IF(H2613&lt;&gt;"",UPPER(TRIM(H2613)),IFERROR(CHOOSE(VALUE(E2613)+1,"A","B","C","D"),IF(OR(LEFT(UPPER(TRIM(E2613)),1)="F",UPPER(TRIM(E2613))="A"),"A",IF(OR(LEFT(UPPER(TRIM(E2613)),1)="M",UPPER(TRIM(E2613))="B"),"B",IF(OR(LEFT(UPPER(TRIM(E2613)),2)="SL",UPPER(TRIM(E2613))="C"),"C",IF(OR(LEFT(UPPER(TRIM(E2613)),1)="D",UPPER(TRIM(E2613))="D"),"D","")))))))</f>
        <v/>
      </c>
      <c r="J2613" s="27" t="str">
        <f aca="false">IF(I2613="","",IF(AND(I2613="D",Settings!$B$6&lt;&gt;"Yes"),"",IFERROR(INDEX(Settings!$C$9:$C$12,MATCH(I2613,Settings!$A$9:$A$12,0)),"")))</f>
        <v/>
      </c>
      <c r="K2613" s="27" t="str">
        <f aca="false">IF(J2613="","",COUNTIF($I$2:I2613,I2613))</f>
        <v/>
      </c>
      <c r="L2613" s="27" t="str">
        <f aca="false">IF(J2613="","",CHOOSE(Q2613+1,"Tue","Wed","Thu","Fri"))</f>
        <v/>
      </c>
      <c r="M2613" s="27" t="str">
        <f aca="false">IF(J2613="","",IF(J2613=1,"Every week",R2613+1&amp;" of "&amp;J2613))</f>
        <v/>
      </c>
      <c r="N2613" s="28" t="str">
        <f aca="false">IF(J2613="","",Settings!$B$4+R2613*7+Q2613)</f>
        <v/>
      </c>
      <c r="O2613" s="28" t="str">
        <f aca="true">IF(J2613="","",N2613+MAX(0,ROUNDUP((TODAY()-N2613)/(J2613*7),0))*J2613*7)</f>
        <v/>
      </c>
      <c r="P2613" s="27" t="str">
        <f aca="false">IF(J2613="","",MOD(K2613-1,J2613*4))</f>
        <v/>
      </c>
      <c r="Q2613" s="27" t="str">
        <f aca="false">IF(J2613="","",MOD(P2613,4))</f>
        <v/>
      </c>
      <c r="R2613" s="27" t="str">
        <f aca="false">IF(J2613="","",INT(P2613/4))</f>
        <v/>
      </c>
      <c r="S2613" s="27" t="str">
        <f aca="false">IF(J2613="","",IF(AND('Daily Count Sheet'!$H$3=Q2613,MOD('Daily Count Sheet'!$I$3,J2613)=R2613),1,""))</f>
        <v/>
      </c>
      <c r="T2613" s="27" t="str">
        <f aca="false">IF(S2613=1,COUNTIF($S$2:S2613,1),"")</f>
        <v/>
      </c>
    </row>
    <row r="2614" customFormat="false" ht="15" hidden="false" customHeight="false" outlineLevel="0" collapsed="false">
      <c r="H2614" s="26"/>
      <c r="I2614" s="27" t="str">
        <f aca="false">IF(A2614="","",IF(H2614&lt;&gt;"",UPPER(TRIM(H2614)),IFERROR(CHOOSE(VALUE(E2614)+1,"A","B","C","D"),IF(OR(LEFT(UPPER(TRIM(E2614)),1)="F",UPPER(TRIM(E2614))="A"),"A",IF(OR(LEFT(UPPER(TRIM(E2614)),1)="M",UPPER(TRIM(E2614))="B"),"B",IF(OR(LEFT(UPPER(TRIM(E2614)),2)="SL",UPPER(TRIM(E2614))="C"),"C",IF(OR(LEFT(UPPER(TRIM(E2614)),1)="D",UPPER(TRIM(E2614))="D"),"D","")))))))</f>
        <v/>
      </c>
      <c r="J2614" s="27" t="str">
        <f aca="false">IF(I2614="","",IF(AND(I2614="D",Settings!$B$6&lt;&gt;"Yes"),"",IFERROR(INDEX(Settings!$C$9:$C$12,MATCH(I2614,Settings!$A$9:$A$12,0)),"")))</f>
        <v/>
      </c>
      <c r="K2614" s="27" t="str">
        <f aca="false">IF(J2614="","",COUNTIF($I$2:I2614,I2614))</f>
        <v/>
      </c>
      <c r="L2614" s="27" t="str">
        <f aca="false">IF(J2614="","",CHOOSE(Q2614+1,"Tue","Wed","Thu","Fri"))</f>
        <v/>
      </c>
      <c r="M2614" s="27" t="str">
        <f aca="false">IF(J2614="","",IF(J2614=1,"Every week",R2614+1&amp;" of "&amp;J2614))</f>
        <v/>
      </c>
      <c r="N2614" s="28" t="str">
        <f aca="false">IF(J2614="","",Settings!$B$4+R2614*7+Q2614)</f>
        <v/>
      </c>
      <c r="O2614" s="28" t="str">
        <f aca="true">IF(J2614="","",N2614+MAX(0,ROUNDUP((TODAY()-N2614)/(J2614*7),0))*J2614*7)</f>
        <v/>
      </c>
      <c r="P2614" s="27" t="str">
        <f aca="false">IF(J2614="","",MOD(K2614-1,J2614*4))</f>
        <v/>
      </c>
      <c r="Q2614" s="27" t="str">
        <f aca="false">IF(J2614="","",MOD(P2614,4))</f>
        <v/>
      </c>
      <c r="R2614" s="27" t="str">
        <f aca="false">IF(J2614="","",INT(P2614/4))</f>
        <v/>
      </c>
      <c r="S2614" s="27" t="str">
        <f aca="false">IF(J2614="","",IF(AND('Daily Count Sheet'!$H$3=Q2614,MOD('Daily Count Sheet'!$I$3,J2614)=R2614),1,""))</f>
        <v/>
      </c>
      <c r="T2614" s="27" t="str">
        <f aca="false">IF(S2614=1,COUNTIF($S$2:S2614,1),"")</f>
        <v/>
      </c>
    </row>
    <row r="2615" customFormat="false" ht="15" hidden="false" customHeight="false" outlineLevel="0" collapsed="false">
      <c r="H2615" s="26"/>
      <c r="I2615" s="27" t="str">
        <f aca="false">IF(A2615="","",IF(H2615&lt;&gt;"",UPPER(TRIM(H2615)),IFERROR(CHOOSE(VALUE(E2615)+1,"A","B","C","D"),IF(OR(LEFT(UPPER(TRIM(E2615)),1)="F",UPPER(TRIM(E2615))="A"),"A",IF(OR(LEFT(UPPER(TRIM(E2615)),1)="M",UPPER(TRIM(E2615))="B"),"B",IF(OR(LEFT(UPPER(TRIM(E2615)),2)="SL",UPPER(TRIM(E2615))="C"),"C",IF(OR(LEFT(UPPER(TRIM(E2615)),1)="D",UPPER(TRIM(E2615))="D"),"D","")))))))</f>
        <v/>
      </c>
      <c r="J2615" s="27" t="str">
        <f aca="false">IF(I2615="","",IF(AND(I2615="D",Settings!$B$6&lt;&gt;"Yes"),"",IFERROR(INDEX(Settings!$C$9:$C$12,MATCH(I2615,Settings!$A$9:$A$12,0)),"")))</f>
        <v/>
      </c>
      <c r="K2615" s="27" t="str">
        <f aca="false">IF(J2615="","",COUNTIF($I$2:I2615,I2615))</f>
        <v/>
      </c>
      <c r="L2615" s="27" t="str">
        <f aca="false">IF(J2615="","",CHOOSE(Q2615+1,"Tue","Wed","Thu","Fri"))</f>
        <v/>
      </c>
      <c r="M2615" s="27" t="str">
        <f aca="false">IF(J2615="","",IF(J2615=1,"Every week",R2615+1&amp;" of "&amp;J2615))</f>
        <v/>
      </c>
      <c r="N2615" s="28" t="str">
        <f aca="false">IF(J2615="","",Settings!$B$4+R2615*7+Q2615)</f>
        <v/>
      </c>
      <c r="O2615" s="28" t="str">
        <f aca="true">IF(J2615="","",N2615+MAX(0,ROUNDUP((TODAY()-N2615)/(J2615*7),0))*J2615*7)</f>
        <v/>
      </c>
      <c r="P2615" s="27" t="str">
        <f aca="false">IF(J2615="","",MOD(K2615-1,J2615*4))</f>
        <v/>
      </c>
      <c r="Q2615" s="27" t="str">
        <f aca="false">IF(J2615="","",MOD(P2615,4))</f>
        <v/>
      </c>
      <c r="R2615" s="27" t="str">
        <f aca="false">IF(J2615="","",INT(P2615/4))</f>
        <v/>
      </c>
      <c r="S2615" s="27" t="str">
        <f aca="false">IF(J2615="","",IF(AND('Daily Count Sheet'!$H$3=Q2615,MOD('Daily Count Sheet'!$I$3,J2615)=R2615),1,""))</f>
        <v/>
      </c>
      <c r="T2615" s="27" t="str">
        <f aca="false">IF(S2615=1,COUNTIF($S$2:S2615,1),"")</f>
        <v/>
      </c>
    </row>
    <row r="2616" customFormat="false" ht="15" hidden="false" customHeight="false" outlineLevel="0" collapsed="false">
      <c r="H2616" s="26"/>
      <c r="I2616" s="27" t="str">
        <f aca="false">IF(A2616="","",IF(H2616&lt;&gt;"",UPPER(TRIM(H2616)),IFERROR(CHOOSE(VALUE(E2616)+1,"A","B","C","D"),IF(OR(LEFT(UPPER(TRIM(E2616)),1)="F",UPPER(TRIM(E2616))="A"),"A",IF(OR(LEFT(UPPER(TRIM(E2616)),1)="M",UPPER(TRIM(E2616))="B"),"B",IF(OR(LEFT(UPPER(TRIM(E2616)),2)="SL",UPPER(TRIM(E2616))="C"),"C",IF(OR(LEFT(UPPER(TRIM(E2616)),1)="D",UPPER(TRIM(E2616))="D"),"D","")))))))</f>
        <v/>
      </c>
      <c r="J2616" s="27" t="str">
        <f aca="false">IF(I2616="","",IF(AND(I2616="D",Settings!$B$6&lt;&gt;"Yes"),"",IFERROR(INDEX(Settings!$C$9:$C$12,MATCH(I2616,Settings!$A$9:$A$12,0)),"")))</f>
        <v/>
      </c>
      <c r="K2616" s="27" t="str">
        <f aca="false">IF(J2616="","",COUNTIF($I$2:I2616,I2616))</f>
        <v/>
      </c>
      <c r="L2616" s="27" t="str">
        <f aca="false">IF(J2616="","",CHOOSE(Q2616+1,"Tue","Wed","Thu","Fri"))</f>
        <v/>
      </c>
      <c r="M2616" s="27" t="str">
        <f aca="false">IF(J2616="","",IF(J2616=1,"Every week",R2616+1&amp;" of "&amp;J2616))</f>
        <v/>
      </c>
      <c r="N2616" s="28" t="str">
        <f aca="false">IF(J2616="","",Settings!$B$4+R2616*7+Q2616)</f>
        <v/>
      </c>
      <c r="O2616" s="28" t="str">
        <f aca="true">IF(J2616="","",N2616+MAX(0,ROUNDUP((TODAY()-N2616)/(J2616*7),0))*J2616*7)</f>
        <v/>
      </c>
      <c r="P2616" s="27" t="str">
        <f aca="false">IF(J2616="","",MOD(K2616-1,J2616*4))</f>
        <v/>
      </c>
      <c r="Q2616" s="27" t="str">
        <f aca="false">IF(J2616="","",MOD(P2616,4))</f>
        <v/>
      </c>
      <c r="R2616" s="27" t="str">
        <f aca="false">IF(J2616="","",INT(P2616/4))</f>
        <v/>
      </c>
      <c r="S2616" s="27" t="str">
        <f aca="false">IF(J2616="","",IF(AND('Daily Count Sheet'!$H$3=Q2616,MOD('Daily Count Sheet'!$I$3,J2616)=R2616),1,""))</f>
        <v/>
      </c>
      <c r="T2616" s="27" t="str">
        <f aca="false">IF(S2616=1,COUNTIF($S$2:S2616,1),"")</f>
        <v/>
      </c>
    </row>
    <row r="2617" customFormat="false" ht="15" hidden="false" customHeight="false" outlineLevel="0" collapsed="false">
      <c r="H2617" s="26"/>
      <c r="I2617" s="27" t="str">
        <f aca="false">IF(A2617="","",IF(H2617&lt;&gt;"",UPPER(TRIM(H2617)),IFERROR(CHOOSE(VALUE(E2617)+1,"A","B","C","D"),IF(OR(LEFT(UPPER(TRIM(E2617)),1)="F",UPPER(TRIM(E2617))="A"),"A",IF(OR(LEFT(UPPER(TRIM(E2617)),1)="M",UPPER(TRIM(E2617))="B"),"B",IF(OR(LEFT(UPPER(TRIM(E2617)),2)="SL",UPPER(TRIM(E2617))="C"),"C",IF(OR(LEFT(UPPER(TRIM(E2617)),1)="D",UPPER(TRIM(E2617))="D"),"D","")))))))</f>
        <v/>
      </c>
      <c r="J2617" s="27" t="str">
        <f aca="false">IF(I2617="","",IF(AND(I2617="D",Settings!$B$6&lt;&gt;"Yes"),"",IFERROR(INDEX(Settings!$C$9:$C$12,MATCH(I2617,Settings!$A$9:$A$12,0)),"")))</f>
        <v/>
      </c>
      <c r="K2617" s="27" t="str">
        <f aca="false">IF(J2617="","",COUNTIF($I$2:I2617,I2617))</f>
        <v/>
      </c>
      <c r="L2617" s="27" t="str">
        <f aca="false">IF(J2617="","",CHOOSE(Q2617+1,"Tue","Wed","Thu","Fri"))</f>
        <v/>
      </c>
      <c r="M2617" s="27" t="str">
        <f aca="false">IF(J2617="","",IF(J2617=1,"Every week",R2617+1&amp;" of "&amp;J2617))</f>
        <v/>
      </c>
      <c r="N2617" s="28" t="str">
        <f aca="false">IF(J2617="","",Settings!$B$4+R2617*7+Q2617)</f>
        <v/>
      </c>
      <c r="O2617" s="28" t="str">
        <f aca="true">IF(J2617="","",N2617+MAX(0,ROUNDUP((TODAY()-N2617)/(J2617*7),0))*J2617*7)</f>
        <v/>
      </c>
      <c r="P2617" s="27" t="str">
        <f aca="false">IF(J2617="","",MOD(K2617-1,J2617*4))</f>
        <v/>
      </c>
      <c r="Q2617" s="27" t="str">
        <f aca="false">IF(J2617="","",MOD(P2617,4))</f>
        <v/>
      </c>
      <c r="R2617" s="27" t="str">
        <f aca="false">IF(J2617="","",INT(P2617/4))</f>
        <v/>
      </c>
      <c r="S2617" s="27" t="str">
        <f aca="false">IF(J2617="","",IF(AND('Daily Count Sheet'!$H$3=Q2617,MOD('Daily Count Sheet'!$I$3,J2617)=R2617),1,""))</f>
        <v/>
      </c>
      <c r="T2617" s="27" t="str">
        <f aca="false">IF(S2617=1,COUNTIF($S$2:S2617,1),"")</f>
        <v/>
      </c>
    </row>
    <row r="2618" customFormat="false" ht="15" hidden="false" customHeight="false" outlineLevel="0" collapsed="false">
      <c r="H2618" s="26"/>
      <c r="I2618" s="27" t="str">
        <f aca="false">IF(A2618="","",IF(H2618&lt;&gt;"",UPPER(TRIM(H2618)),IFERROR(CHOOSE(VALUE(E2618)+1,"A","B","C","D"),IF(OR(LEFT(UPPER(TRIM(E2618)),1)="F",UPPER(TRIM(E2618))="A"),"A",IF(OR(LEFT(UPPER(TRIM(E2618)),1)="M",UPPER(TRIM(E2618))="B"),"B",IF(OR(LEFT(UPPER(TRIM(E2618)),2)="SL",UPPER(TRIM(E2618))="C"),"C",IF(OR(LEFT(UPPER(TRIM(E2618)),1)="D",UPPER(TRIM(E2618))="D"),"D","")))))))</f>
        <v/>
      </c>
      <c r="J2618" s="27" t="str">
        <f aca="false">IF(I2618="","",IF(AND(I2618="D",Settings!$B$6&lt;&gt;"Yes"),"",IFERROR(INDEX(Settings!$C$9:$C$12,MATCH(I2618,Settings!$A$9:$A$12,0)),"")))</f>
        <v/>
      </c>
      <c r="K2618" s="27" t="str">
        <f aca="false">IF(J2618="","",COUNTIF($I$2:I2618,I2618))</f>
        <v/>
      </c>
      <c r="L2618" s="27" t="str">
        <f aca="false">IF(J2618="","",CHOOSE(Q2618+1,"Tue","Wed","Thu","Fri"))</f>
        <v/>
      </c>
      <c r="M2618" s="27" t="str">
        <f aca="false">IF(J2618="","",IF(J2618=1,"Every week",R2618+1&amp;" of "&amp;J2618))</f>
        <v/>
      </c>
      <c r="N2618" s="28" t="str">
        <f aca="false">IF(J2618="","",Settings!$B$4+R2618*7+Q2618)</f>
        <v/>
      </c>
      <c r="O2618" s="28" t="str">
        <f aca="true">IF(J2618="","",N2618+MAX(0,ROUNDUP((TODAY()-N2618)/(J2618*7),0))*J2618*7)</f>
        <v/>
      </c>
      <c r="P2618" s="27" t="str">
        <f aca="false">IF(J2618="","",MOD(K2618-1,J2618*4))</f>
        <v/>
      </c>
      <c r="Q2618" s="27" t="str">
        <f aca="false">IF(J2618="","",MOD(P2618,4))</f>
        <v/>
      </c>
      <c r="R2618" s="27" t="str">
        <f aca="false">IF(J2618="","",INT(P2618/4))</f>
        <v/>
      </c>
      <c r="S2618" s="27" t="str">
        <f aca="false">IF(J2618="","",IF(AND('Daily Count Sheet'!$H$3=Q2618,MOD('Daily Count Sheet'!$I$3,J2618)=R2618),1,""))</f>
        <v/>
      </c>
      <c r="T2618" s="27" t="str">
        <f aca="false">IF(S2618=1,COUNTIF($S$2:S2618,1),"")</f>
        <v/>
      </c>
    </row>
    <row r="2619" customFormat="false" ht="15" hidden="false" customHeight="false" outlineLevel="0" collapsed="false">
      <c r="H2619" s="26"/>
      <c r="I2619" s="27" t="str">
        <f aca="false">IF(A2619="","",IF(H2619&lt;&gt;"",UPPER(TRIM(H2619)),IFERROR(CHOOSE(VALUE(E2619)+1,"A","B","C","D"),IF(OR(LEFT(UPPER(TRIM(E2619)),1)="F",UPPER(TRIM(E2619))="A"),"A",IF(OR(LEFT(UPPER(TRIM(E2619)),1)="M",UPPER(TRIM(E2619))="B"),"B",IF(OR(LEFT(UPPER(TRIM(E2619)),2)="SL",UPPER(TRIM(E2619))="C"),"C",IF(OR(LEFT(UPPER(TRIM(E2619)),1)="D",UPPER(TRIM(E2619))="D"),"D","")))))))</f>
        <v/>
      </c>
      <c r="J2619" s="27" t="str">
        <f aca="false">IF(I2619="","",IF(AND(I2619="D",Settings!$B$6&lt;&gt;"Yes"),"",IFERROR(INDEX(Settings!$C$9:$C$12,MATCH(I2619,Settings!$A$9:$A$12,0)),"")))</f>
        <v/>
      </c>
      <c r="K2619" s="27" t="str">
        <f aca="false">IF(J2619="","",COUNTIF($I$2:I2619,I2619))</f>
        <v/>
      </c>
      <c r="L2619" s="27" t="str">
        <f aca="false">IF(J2619="","",CHOOSE(Q2619+1,"Tue","Wed","Thu","Fri"))</f>
        <v/>
      </c>
      <c r="M2619" s="27" t="str">
        <f aca="false">IF(J2619="","",IF(J2619=1,"Every week",R2619+1&amp;" of "&amp;J2619))</f>
        <v/>
      </c>
      <c r="N2619" s="28" t="str">
        <f aca="false">IF(J2619="","",Settings!$B$4+R2619*7+Q2619)</f>
        <v/>
      </c>
      <c r="O2619" s="28" t="str">
        <f aca="true">IF(J2619="","",N2619+MAX(0,ROUNDUP((TODAY()-N2619)/(J2619*7),0))*J2619*7)</f>
        <v/>
      </c>
      <c r="P2619" s="27" t="str">
        <f aca="false">IF(J2619="","",MOD(K2619-1,J2619*4))</f>
        <v/>
      </c>
      <c r="Q2619" s="27" t="str">
        <f aca="false">IF(J2619="","",MOD(P2619,4))</f>
        <v/>
      </c>
      <c r="R2619" s="27" t="str">
        <f aca="false">IF(J2619="","",INT(P2619/4))</f>
        <v/>
      </c>
      <c r="S2619" s="27" t="str">
        <f aca="false">IF(J2619="","",IF(AND('Daily Count Sheet'!$H$3=Q2619,MOD('Daily Count Sheet'!$I$3,J2619)=R2619),1,""))</f>
        <v/>
      </c>
      <c r="T2619" s="27" t="str">
        <f aca="false">IF(S2619=1,COUNTIF($S$2:S2619,1),"")</f>
        <v/>
      </c>
    </row>
    <row r="2620" customFormat="false" ht="15" hidden="false" customHeight="false" outlineLevel="0" collapsed="false">
      <c r="H2620" s="26"/>
      <c r="I2620" s="27" t="str">
        <f aca="false">IF(A2620="","",IF(H2620&lt;&gt;"",UPPER(TRIM(H2620)),IFERROR(CHOOSE(VALUE(E2620)+1,"A","B","C","D"),IF(OR(LEFT(UPPER(TRIM(E2620)),1)="F",UPPER(TRIM(E2620))="A"),"A",IF(OR(LEFT(UPPER(TRIM(E2620)),1)="M",UPPER(TRIM(E2620))="B"),"B",IF(OR(LEFT(UPPER(TRIM(E2620)),2)="SL",UPPER(TRIM(E2620))="C"),"C",IF(OR(LEFT(UPPER(TRIM(E2620)),1)="D",UPPER(TRIM(E2620))="D"),"D","")))))))</f>
        <v/>
      </c>
      <c r="J2620" s="27" t="str">
        <f aca="false">IF(I2620="","",IF(AND(I2620="D",Settings!$B$6&lt;&gt;"Yes"),"",IFERROR(INDEX(Settings!$C$9:$C$12,MATCH(I2620,Settings!$A$9:$A$12,0)),"")))</f>
        <v/>
      </c>
      <c r="K2620" s="27" t="str">
        <f aca="false">IF(J2620="","",COUNTIF($I$2:I2620,I2620))</f>
        <v/>
      </c>
      <c r="L2620" s="27" t="str">
        <f aca="false">IF(J2620="","",CHOOSE(Q2620+1,"Tue","Wed","Thu","Fri"))</f>
        <v/>
      </c>
      <c r="M2620" s="27" t="str">
        <f aca="false">IF(J2620="","",IF(J2620=1,"Every week",R2620+1&amp;" of "&amp;J2620))</f>
        <v/>
      </c>
      <c r="N2620" s="28" t="str">
        <f aca="false">IF(J2620="","",Settings!$B$4+R2620*7+Q2620)</f>
        <v/>
      </c>
      <c r="O2620" s="28" t="str">
        <f aca="true">IF(J2620="","",N2620+MAX(0,ROUNDUP((TODAY()-N2620)/(J2620*7),0))*J2620*7)</f>
        <v/>
      </c>
      <c r="P2620" s="27" t="str">
        <f aca="false">IF(J2620="","",MOD(K2620-1,J2620*4))</f>
        <v/>
      </c>
      <c r="Q2620" s="27" t="str">
        <f aca="false">IF(J2620="","",MOD(P2620,4))</f>
        <v/>
      </c>
      <c r="R2620" s="27" t="str">
        <f aca="false">IF(J2620="","",INT(P2620/4))</f>
        <v/>
      </c>
      <c r="S2620" s="27" t="str">
        <f aca="false">IF(J2620="","",IF(AND('Daily Count Sheet'!$H$3=Q2620,MOD('Daily Count Sheet'!$I$3,J2620)=R2620),1,""))</f>
        <v/>
      </c>
      <c r="T2620" s="27" t="str">
        <f aca="false">IF(S2620=1,COUNTIF($S$2:S2620,1),"")</f>
        <v/>
      </c>
    </row>
    <row r="2621" customFormat="false" ht="15" hidden="false" customHeight="false" outlineLevel="0" collapsed="false">
      <c r="H2621" s="26"/>
      <c r="I2621" s="27" t="str">
        <f aca="false">IF(A2621="","",IF(H2621&lt;&gt;"",UPPER(TRIM(H2621)),IFERROR(CHOOSE(VALUE(E2621)+1,"A","B","C","D"),IF(OR(LEFT(UPPER(TRIM(E2621)),1)="F",UPPER(TRIM(E2621))="A"),"A",IF(OR(LEFT(UPPER(TRIM(E2621)),1)="M",UPPER(TRIM(E2621))="B"),"B",IF(OR(LEFT(UPPER(TRIM(E2621)),2)="SL",UPPER(TRIM(E2621))="C"),"C",IF(OR(LEFT(UPPER(TRIM(E2621)),1)="D",UPPER(TRIM(E2621))="D"),"D","")))))))</f>
        <v/>
      </c>
      <c r="J2621" s="27" t="str">
        <f aca="false">IF(I2621="","",IF(AND(I2621="D",Settings!$B$6&lt;&gt;"Yes"),"",IFERROR(INDEX(Settings!$C$9:$C$12,MATCH(I2621,Settings!$A$9:$A$12,0)),"")))</f>
        <v/>
      </c>
      <c r="K2621" s="27" t="str">
        <f aca="false">IF(J2621="","",COUNTIF($I$2:I2621,I2621))</f>
        <v/>
      </c>
      <c r="L2621" s="27" t="str">
        <f aca="false">IF(J2621="","",CHOOSE(Q2621+1,"Tue","Wed","Thu","Fri"))</f>
        <v/>
      </c>
      <c r="M2621" s="27" t="str">
        <f aca="false">IF(J2621="","",IF(J2621=1,"Every week",R2621+1&amp;" of "&amp;J2621))</f>
        <v/>
      </c>
      <c r="N2621" s="28" t="str">
        <f aca="false">IF(J2621="","",Settings!$B$4+R2621*7+Q2621)</f>
        <v/>
      </c>
      <c r="O2621" s="28" t="str">
        <f aca="true">IF(J2621="","",N2621+MAX(0,ROUNDUP((TODAY()-N2621)/(J2621*7),0))*J2621*7)</f>
        <v/>
      </c>
      <c r="P2621" s="27" t="str">
        <f aca="false">IF(J2621="","",MOD(K2621-1,J2621*4))</f>
        <v/>
      </c>
      <c r="Q2621" s="27" t="str">
        <f aca="false">IF(J2621="","",MOD(P2621,4))</f>
        <v/>
      </c>
      <c r="R2621" s="27" t="str">
        <f aca="false">IF(J2621="","",INT(P2621/4))</f>
        <v/>
      </c>
      <c r="S2621" s="27" t="str">
        <f aca="false">IF(J2621="","",IF(AND('Daily Count Sheet'!$H$3=Q2621,MOD('Daily Count Sheet'!$I$3,J2621)=R2621),1,""))</f>
        <v/>
      </c>
      <c r="T2621" s="27" t="str">
        <f aca="false">IF(S2621=1,COUNTIF($S$2:S2621,1),"")</f>
        <v/>
      </c>
    </row>
    <row r="2622" customFormat="false" ht="15" hidden="false" customHeight="false" outlineLevel="0" collapsed="false">
      <c r="H2622" s="26"/>
      <c r="I2622" s="27" t="str">
        <f aca="false">IF(A2622="","",IF(H2622&lt;&gt;"",UPPER(TRIM(H2622)),IFERROR(CHOOSE(VALUE(E2622)+1,"A","B","C","D"),IF(OR(LEFT(UPPER(TRIM(E2622)),1)="F",UPPER(TRIM(E2622))="A"),"A",IF(OR(LEFT(UPPER(TRIM(E2622)),1)="M",UPPER(TRIM(E2622))="B"),"B",IF(OR(LEFT(UPPER(TRIM(E2622)),2)="SL",UPPER(TRIM(E2622))="C"),"C",IF(OR(LEFT(UPPER(TRIM(E2622)),1)="D",UPPER(TRIM(E2622))="D"),"D","")))))))</f>
        <v/>
      </c>
      <c r="J2622" s="27" t="str">
        <f aca="false">IF(I2622="","",IF(AND(I2622="D",Settings!$B$6&lt;&gt;"Yes"),"",IFERROR(INDEX(Settings!$C$9:$C$12,MATCH(I2622,Settings!$A$9:$A$12,0)),"")))</f>
        <v/>
      </c>
      <c r="K2622" s="27" t="str">
        <f aca="false">IF(J2622="","",COUNTIF($I$2:I2622,I2622))</f>
        <v/>
      </c>
      <c r="L2622" s="27" t="str">
        <f aca="false">IF(J2622="","",CHOOSE(Q2622+1,"Tue","Wed","Thu","Fri"))</f>
        <v/>
      </c>
      <c r="M2622" s="27" t="str">
        <f aca="false">IF(J2622="","",IF(J2622=1,"Every week",R2622+1&amp;" of "&amp;J2622))</f>
        <v/>
      </c>
      <c r="N2622" s="28" t="str">
        <f aca="false">IF(J2622="","",Settings!$B$4+R2622*7+Q2622)</f>
        <v/>
      </c>
      <c r="O2622" s="28" t="str">
        <f aca="true">IF(J2622="","",N2622+MAX(0,ROUNDUP((TODAY()-N2622)/(J2622*7),0))*J2622*7)</f>
        <v/>
      </c>
      <c r="P2622" s="27" t="str">
        <f aca="false">IF(J2622="","",MOD(K2622-1,J2622*4))</f>
        <v/>
      </c>
      <c r="Q2622" s="27" t="str">
        <f aca="false">IF(J2622="","",MOD(P2622,4))</f>
        <v/>
      </c>
      <c r="R2622" s="27" t="str">
        <f aca="false">IF(J2622="","",INT(P2622/4))</f>
        <v/>
      </c>
      <c r="S2622" s="27" t="str">
        <f aca="false">IF(J2622="","",IF(AND('Daily Count Sheet'!$H$3=Q2622,MOD('Daily Count Sheet'!$I$3,J2622)=R2622),1,""))</f>
        <v/>
      </c>
      <c r="T2622" s="27" t="str">
        <f aca="false">IF(S2622=1,COUNTIF($S$2:S2622,1),"")</f>
        <v/>
      </c>
    </row>
    <row r="2623" customFormat="false" ht="15" hidden="false" customHeight="false" outlineLevel="0" collapsed="false">
      <c r="H2623" s="26"/>
      <c r="I2623" s="27" t="str">
        <f aca="false">IF(A2623="","",IF(H2623&lt;&gt;"",UPPER(TRIM(H2623)),IFERROR(CHOOSE(VALUE(E2623)+1,"A","B","C","D"),IF(OR(LEFT(UPPER(TRIM(E2623)),1)="F",UPPER(TRIM(E2623))="A"),"A",IF(OR(LEFT(UPPER(TRIM(E2623)),1)="M",UPPER(TRIM(E2623))="B"),"B",IF(OR(LEFT(UPPER(TRIM(E2623)),2)="SL",UPPER(TRIM(E2623))="C"),"C",IF(OR(LEFT(UPPER(TRIM(E2623)),1)="D",UPPER(TRIM(E2623))="D"),"D","")))))))</f>
        <v/>
      </c>
      <c r="J2623" s="27" t="str">
        <f aca="false">IF(I2623="","",IF(AND(I2623="D",Settings!$B$6&lt;&gt;"Yes"),"",IFERROR(INDEX(Settings!$C$9:$C$12,MATCH(I2623,Settings!$A$9:$A$12,0)),"")))</f>
        <v/>
      </c>
      <c r="K2623" s="27" t="str">
        <f aca="false">IF(J2623="","",COUNTIF($I$2:I2623,I2623))</f>
        <v/>
      </c>
      <c r="L2623" s="27" t="str">
        <f aca="false">IF(J2623="","",CHOOSE(Q2623+1,"Tue","Wed","Thu","Fri"))</f>
        <v/>
      </c>
      <c r="M2623" s="27" t="str">
        <f aca="false">IF(J2623="","",IF(J2623=1,"Every week",R2623+1&amp;" of "&amp;J2623))</f>
        <v/>
      </c>
      <c r="N2623" s="28" t="str">
        <f aca="false">IF(J2623="","",Settings!$B$4+R2623*7+Q2623)</f>
        <v/>
      </c>
      <c r="O2623" s="28" t="str">
        <f aca="true">IF(J2623="","",N2623+MAX(0,ROUNDUP((TODAY()-N2623)/(J2623*7),0))*J2623*7)</f>
        <v/>
      </c>
      <c r="P2623" s="27" t="str">
        <f aca="false">IF(J2623="","",MOD(K2623-1,J2623*4))</f>
        <v/>
      </c>
      <c r="Q2623" s="27" t="str">
        <f aca="false">IF(J2623="","",MOD(P2623,4))</f>
        <v/>
      </c>
      <c r="R2623" s="27" t="str">
        <f aca="false">IF(J2623="","",INT(P2623/4))</f>
        <v/>
      </c>
      <c r="S2623" s="27" t="str">
        <f aca="false">IF(J2623="","",IF(AND('Daily Count Sheet'!$H$3=Q2623,MOD('Daily Count Sheet'!$I$3,J2623)=R2623),1,""))</f>
        <v/>
      </c>
      <c r="T2623" s="27" t="str">
        <f aca="false">IF(S2623=1,COUNTIF($S$2:S2623,1),"")</f>
        <v/>
      </c>
    </row>
    <row r="2624" customFormat="false" ht="15" hidden="false" customHeight="false" outlineLevel="0" collapsed="false">
      <c r="H2624" s="26"/>
      <c r="I2624" s="27" t="str">
        <f aca="false">IF(A2624="","",IF(H2624&lt;&gt;"",UPPER(TRIM(H2624)),IFERROR(CHOOSE(VALUE(E2624)+1,"A","B","C","D"),IF(OR(LEFT(UPPER(TRIM(E2624)),1)="F",UPPER(TRIM(E2624))="A"),"A",IF(OR(LEFT(UPPER(TRIM(E2624)),1)="M",UPPER(TRIM(E2624))="B"),"B",IF(OR(LEFT(UPPER(TRIM(E2624)),2)="SL",UPPER(TRIM(E2624))="C"),"C",IF(OR(LEFT(UPPER(TRIM(E2624)),1)="D",UPPER(TRIM(E2624))="D"),"D","")))))))</f>
        <v/>
      </c>
      <c r="J2624" s="27" t="str">
        <f aca="false">IF(I2624="","",IF(AND(I2624="D",Settings!$B$6&lt;&gt;"Yes"),"",IFERROR(INDEX(Settings!$C$9:$C$12,MATCH(I2624,Settings!$A$9:$A$12,0)),"")))</f>
        <v/>
      </c>
      <c r="K2624" s="27" t="str">
        <f aca="false">IF(J2624="","",COUNTIF($I$2:I2624,I2624))</f>
        <v/>
      </c>
      <c r="L2624" s="27" t="str">
        <f aca="false">IF(J2624="","",CHOOSE(Q2624+1,"Tue","Wed","Thu","Fri"))</f>
        <v/>
      </c>
      <c r="M2624" s="27" t="str">
        <f aca="false">IF(J2624="","",IF(J2624=1,"Every week",R2624+1&amp;" of "&amp;J2624))</f>
        <v/>
      </c>
      <c r="N2624" s="28" t="str">
        <f aca="false">IF(J2624="","",Settings!$B$4+R2624*7+Q2624)</f>
        <v/>
      </c>
      <c r="O2624" s="28" t="str">
        <f aca="true">IF(J2624="","",N2624+MAX(0,ROUNDUP((TODAY()-N2624)/(J2624*7),0))*J2624*7)</f>
        <v/>
      </c>
      <c r="P2624" s="27" t="str">
        <f aca="false">IF(J2624="","",MOD(K2624-1,J2624*4))</f>
        <v/>
      </c>
      <c r="Q2624" s="27" t="str">
        <f aca="false">IF(J2624="","",MOD(P2624,4))</f>
        <v/>
      </c>
      <c r="R2624" s="27" t="str">
        <f aca="false">IF(J2624="","",INT(P2624/4))</f>
        <v/>
      </c>
      <c r="S2624" s="27" t="str">
        <f aca="false">IF(J2624="","",IF(AND('Daily Count Sheet'!$H$3=Q2624,MOD('Daily Count Sheet'!$I$3,J2624)=R2624),1,""))</f>
        <v/>
      </c>
      <c r="T2624" s="27" t="str">
        <f aca="false">IF(S2624=1,COUNTIF($S$2:S2624,1),"")</f>
        <v/>
      </c>
    </row>
    <row r="2625" customFormat="false" ht="15" hidden="false" customHeight="false" outlineLevel="0" collapsed="false">
      <c r="H2625" s="26"/>
      <c r="I2625" s="27" t="str">
        <f aca="false">IF(A2625="","",IF(H2625&lt;&gt;"",UPPER(TRIM(H2625)),IFERROR(CHOOSE(VALUE(E2625)+1,"A","B","C","D"),IF(OR(LEFT(UPPER(TRIM(E2625)),1)="F",UPPER(TRIM(E2625))="A"),"A",IF(OR(LEFT(UPPER(TRIM(E2625)),1)="M",UPPER(TRIM(E2625))="B"),"B",IF(OR(LEFT(UPPER(TRIM(E2625)),2)="SL",UPPER(TRIM(E2625))="C"),"C",IF(OR(LEFT(UPPER(TRIM(E2625)),1)="D",UPPER(TRIM(E2625))="D"),"D","")))))))</f>
        <v/>
      </c>
      <c r="J2625" s="27" t="str">
        <f aca="false">IF(I2625="","",IF(AND(I2625="D",Settings!$B$6&lt;&gt;"Yes"),"",IFERROR(INDEX(Settings!$C$9:$C$12,MATCH(I2625,Settings!$A$9:$A$12,0)),"")))</f>
        <v/>
      </c>
      <c r="K2625" s="27" t="str">
        <f aca="false">IF(J2625="","",COUNTIF($I$2:I2625,I2625))</f>
        <v/>
      </c>
      <c r="L2625" s="27" t="str">
        <f aca="false">IF(J2625="","",CHOOSE(Q2625+1,"Tue","Wed","Thu","Fri"))</f>
        <v/>
      </c>
      <c r="M2625" s="27" t="str">
        <f aca="false">IF(J2625="","",IF(J2625=1,"Every week",R2625+1&amp;" of "&amp;J2625))</f>
        <v/>
      </c>
      <c r="N2625" s="28" t="str">
        <f aca="false">IF(J2625="","",Settings!$B$4+R2625*7+Q2625)</f>
        <v/>
      </c>
      <c r="O2625" s="28" t="str">
        <f aca="true">IF(J2625="","",N2625+MAX(0,ROUNDUP((TODAY()-N2625)/(J2625*7),0))*J2625*7)</f>
        <v/>
      </c>
      <c r="P2625" s="27" t="str">
        <f aca="false">IF(J2625="","",MOD(K2625-1,J2625*4))</f>
        <v/>
      </c>
      <c r="Q2625" s="27" t="str">
        <f aca="false">IF(J2625="","",MOD(P2625,4))</f>
        <v/>
      </c>
      <c r="R2625" s="27" t="str">
        <f aca="false">IF(J2625="","",INT(P2625/4))</f>
        <v/>
      </c>
      <c r="S2625" s="27" t="str">
        <f aca="false">IF(J2625="","",IF(AND('Daily Count Sheet'!$H$3=Q2625,MOD('Daily Count Sheet'!$I$3,J2625)=R2625),1,""))</f>
        <v/>
      </c>
      <c r="T2625" s="27" t="str">
        <f aca="false">IF(S2625=1,COUNTIF($S$2:S2625,1),"")</f>
        <v/>
      </c>
    </row>
    <row r="2626" customFormat="false" ht="15" hidden="false" customHeight="false" outlineLevel="0" collapsed="false">
      <c r="H2626" s="26"/>
      <c r="I2626" s="27" t="str">
        <f aca="false">IF(A2626="","",IF(H2626&lt;&gt;"",UPPER(TRIM(H2626)),IFERROR(CHOOSE(VALUE(E2626)+1,"A","B","C","D"),IF(OR(LEFT(UPPER(TRIM(E2626)),1)="F",UPPER(TRIM(E2626))="A"),"A",IF(OR(LEFT(UPPER(TRIM(E2626)),1)="M",UPPER(TRIM(E2626))="B"),"B",IF(OR(LEFT(UPPER(TRIM(E2626)),2)="SL",UPPER(TRIM(E2626))="C"),"C",IF(OR(LEFT(UPPER(TRIM(E2626)),1)="D",UPPER(TRIM(E2626))="D"),"D","")))))))</f>
        <v/>
      </c>
      <c r="J2626" s="27" t="str">
        <f aca="false">IF(I2626="","",IF(AND(I2626="D",Settings!$B$6&lt;&gt;"Yes"),"",IFERROR(INDEX(Settings!$C$9:$C$12,MATCH(I2626,Settings!$A$9:$A$12,0)),"")))</f>
        <v/>
      </c>
      <c r="K2626" s="27" t="str">
        <f aca="false">IF(J2626="","",COUNTIF($I$2:I2626,I2626))</f>
        <v/>
      </c>
      <c r="L2626" s="27" t="str">
        <f aca="false">IF(J2626="","",CHOOSE(Q2626+1,"Tue","Wed","Thu","Fri"))</f>
        <v/>
      </c>
      <c r="M2626" s="27" t="str">
        <f aca="false">IF(J2626="","",IF(J2626=1,"Every week",R2626+1&amp;" of "&amp;J2626))</f>
        <v/>
      </c>
      <c r="N2626" s="28" t="str">
        <f aca="false">IF(J2626="","",Settings!$B$4+R2626*7+Q2626)</f>
        <v/>
      </c>
      <c r="O2626" s="28" t="str">
        <f aca="true">IF(J2626="","",N2626+MAX(0,ROUNDUP((TODAY()-N2626)/(J2626*7),0))*J2626*7)</f>
        <v/>
      </c>
      <c r="P2626" s="27" t="str">
        <f aca="false">IF(J2626="","",MOD(K2626-1,J2626*4))</f>
        <v/>
      </c>
      <c r="Q2626" s="27" t="str">
        <f aca="false">IF(J2626="","",MOD(P2626,4))</f>
        <v/>
      </c>
      <c r="R2626" s="27" t="str">
        <f aca="false">IF(J2626="","",INT(P2626/4))</f>
        <v/>
      </c>
      <c r="S2626" s="27" t="str">
        <f aca="false">IF(J2626="","",IF(AND('Daily Count Sheet'!$H$3=Q2626,MOD('Daily Count Sheet'!$I$3,J2626)=R2626),1,""))</f>
        <v/>
      </c>
      <c r="T2626" s="27" t="str">
        <f aca="false">IF(S2626=1,COUNTIF($S$2:S2626,1),"")</f>
        <v/>
      </c>
    </row>
    <row r="2627" customFormat="false" ht="15" hidden="false" customHeight="false" outlineLevel="0" collapsed="false">
      <c r="H2627" s="26"/>
      <c r="I2627" s="27" t="str">
        <f aca="false">IF(A2627="","",IF(H2627&lt;&gt;"",UPPER(TRIM(H2627)),IFERROR(CHOOSE(VALUE(E2627)+1,"A","B","C","D"),IF(OR(LEFT(UPPER(TRIM(E2627)),1)="F",UPPER(TRIM(E2627))="A"),"A",IF(OR(LEFT(UPPER(TRIM(E2627)),1)="M",UPPER(TRIM(E2627))="B"),"B",IF(OR(LEFT(UPPER(TRIM(E2627)),2)="SL",UPPER(TRIM(E2627))="C"),"C",IF(OR(LEFT(UPPER(TRIM(E2627)),1)="D",UPPER(TRIM(E2627))="D"),"D","")))))))</f>
        <v/>
      </c>
      <c r="J2627" s="27" t="str">
        <f aca="false">IF(I2627="","",IF(AND(I2627="D",Settings!$B$6&lt;&gt;"Yes"),"",IFERROR(INDEX(Settings!$C$9:$C$12,MATCH(I2627,Settings!$A$9:$A$12,0)),"")))</f>
        <v/>
      </c>
      <c r="K2627" s="27" t="str">
        <f aca="false">IF(J2627="","",COUNTIF($I$2:I2627,I2627))</f>
        <v/>
      </c>
      <c r="L2627" s="27" t="str">
        <f aca="false">IF(J2627="","",CHOOSE(Q2627+1,"Tue","Wed","Thu","Fri"))</f>
        <v/>
      </c>
      <c r="M2627" s="27" t="str">
        <f aca="false">IF(J2627="","",IF(J2627=1,"Every week",R2627+1&amp;" of "&amp;J2627))</f>
        <v/>
      </c>
      <c r="N2627" s="28" t="str">
        <f aca="false">IF(J2627="","",Settings!$B$4+R2627*7+Q2627)</f>
        <v/>
      </c>
      <c r="O2627" s="28" t="str">
        <f aca="true">IF(J2627="","",N2627+MAX(0,ROUNDUP((TODAY()-N2627)/(J2627*7),0))*J2627*7)</f>
        <v/>
      </c>
      <c r="P2627" s="27" t="str">
        <f aca="false">IF(J2627="","",MOD(K2627-1,J2627*4))</f>
        <v/>
      </c>
      <c r="Q2627" s="27" t="str">
        <f aca="false">IF(J2627="","",MOD(P2627,4))</f>
        <v/>
      </c>
      <c r="R2627" s="27" t="str">
        <f aca="false">IF(J2627="","",INT(P2627/4))</f>
        <v/>
      </c>
      <c r="S2627" s="27" t="str">
        <f aca="false">IF(J2627="","",IF(AND('Daily Count Sheet'!$H$3=Q2627,MOD('Daily Count Sheet'!$I$3,J2627)=R2627),1,""))</f>
        <v/>
      </c>
      <c r="T2627" s="27" t="str">
        <f aca="false">IF(S2627=1,COUNTIF($S$2:S2627,1),"")</f>
        <v/>
      </c>
    </row>
    <row r="2628" customFormat="false" ht="15" hidden="false" customHeight="false" outlineLevel="0" collapsed="false">
      <c r="H2628" s="26"/>
      <c r="I2628" s="27" t="str">
        <f aca="false">IF(A2628="","",IF(H2628&lt;&gt;"",UPPER(TRIM(H2628)),IFERROR(CHOOSE(VALUE(E2628)+1,"A","B","C","D"),IF(OR(LEFT(UPPER(TRIM(E2628)),1)="F",UPPER(TRIM(E2628))="A"),"A",IF(OR(LEFT(UPPER(TRIM(E2628)),1)="M",UPPER(TRIM(E2628))="B"),"B",IF(OR(LEFT(UPPER(TRIM(E2628)),2)="SL",UPPER(TRIM(E2628))="C"),"C",IF(OR(LEFT(UPPER(TRIM(E2628)),1)="D",UPPER(TRIM(E2628))="D"),"D","")))))))</f>
        <v/>
      </c>
      <c r="J2628" s="27" t="str">
        <f aca="false">IF(I2628="","",IF(AND(I2628="D",Settings!$B$6&lt;&gt;"Yes"),"",IFERROR(INDEX(Settings!$C$9:$C$12,MATCH(I2628,Settings!$A$9:$A$12,0)),"")))</f>
        <v/>
      </c>
      <c r="K2628" s="27" t="str">
        <f aca="false">IF(J2628="","",COUNTIF($I$2:I2628,I2628))</f>
        <v/>
      </c>
      <c r="L2628" s="27" t="str">
        <f aca="false">IF(J2628="","",CHOOSE(Q2628+1,"Tue","Wed","Thu","Fri"))</f>
        <v/>
      </c>
      <c r="M2628" s="27" t="str">
        <f aca="false">IF(J2628="","",IF(J2628=1,"Every week",R2628+1&amp;" of "&amp;J2628))</f>
        <v/>
      </c>
      <c r="N2628" s="28" t="str">
        <f aca="false">IF(J2628="","",Settings!$B$4+R2628*7+Q2628)</f>
        <v/>
      </c>
      <c r="O2628" s="28" t="str">
        <f aca="true">IF(J2628="","",N2628+MAX(0,ROUNDUP((TODAY()-N2628)/(J2628*7),0))*J2628*7)</f>
        <v/>
      </c>
      <c r="P2628" s="27" t="str">
        <f aca="false">IF(J2628="","",MOD(K2628-1,J2628*4))</f>
        <v/>
      </c>
      <c r="Q2628" s="27" t="str">
        <f aca="false">IF(J2628="","",MOD(P2628,4))</f>
        <v/>
      </c>
      <c r="R2628" s="27" t="str">
        <f aca="false">IF(J2628="","",INT(P2628/4))</f>
        <v/>
      </c>
      <c r="S2628" s="27" t="str">
        <f aca="false">IF(J2628="","",IF(AND('Daily Count Sheet'!$H$3=Q2628,MOD('Daily Count Sheet'!$I$3,J2628)=R2628),1,""))</f>
        <v/>
      </c>
      <c r="T2628" s="27" t="str">
        <f aca="false">IF(S2628=1,COUNTIF($S$2:S2628,1),"")</f>
        <v/>
      </c>
    </row>
    <row r="2629" customFormat="false" ht="15" hidden="false" customHeight="false" outlineLevel="0" collapsed="false">
      <c r="H2629" s="26"/>
      <c r="I2629" s="27" t="str">
        <f aca="false">IF(A2629="","",IF(H2629&lt;&gt;"",UPPER(TRIM(H2629)),IFERROR(CHOOSE(VALUE(E2629)+1,"A","B","C","D"),IF(OR(LEFT(UPPER(TRIM(E2629)),1)="F",UPPER(TRIM(E2629))="A"),"A",IF(OR(LEFT(UPPER(TRIM(E2629)),1)="M",UPPER(TRIM(E2629))="B"),"B",IF(OR(LEFT(UPPER(TRIM(E2629)),2)="SL",UPPER(TRIM(E2629))="C"),"C",IF(OR(LEFT(UPPER(TRIM(E2629)),1)="D",UPPER(TRIM(E2629))="D"),"D","")))))))</f>
        <v/>
      </c>
      <c r="J2629" s="27" t="str">
        <f aca="false">IF(I2629="","",IF(AND(I2629="D",Settings!$B$6&lt;&gt;"Yes"),"",IFERROR(INDEX(Settings!$C$9:$C$12,MATCH(I2629,Settings!$A$9:$A$12,0)),"")))</f>
        <v/>
      </c>
      <c r="K2629" s="27" t="str">
        <f aca="false">IF(J2629="","",COUNTIF($I$2:I2629,I2629))</f>
        <v/>
      </c>
      <c r="L2629" s="27" t="str">
        <f aca="false">IF(J2629="","",CHOOSE(Q2629+1,"Tue","Wed","Thu","Fri"))</f>
        <v/>
      </c>
      <c r="M2629" s="27" t="str">
        <f aca="false">IF(J2629="","",IF(J2629=1,"Every week",R2629+1&amp;" of "&amp;J2629))</f>
        <v/>
      </c>
      <c r="N2629" s="28" t="str">
        <f aca="false">IF(J2629="","",Settings!$B$4+R2629*7+Q2629)</f>
        <v/>
      </c>
      <c r="O2629" s="28" t="str">
        <f aca="true">IF(J2629="","",N2629+MAX(0,ROUNDUP((TODAY()-N2629)/(J2629*7),0))*J2629*7)</f>
        <v/>
      </c>
      <c r="P2629" s="27" t="str">
        <f aca="false">IF(J2629="","",MOD(K2629-1,J2629*4))</f>
        <v/>
      </c>
      <c r="Q2629" s="27" t="str">
        <f aca="false">IF(J2629="","",MOD(P2629,4))</f>
        <v/>
      </c>
      <c r="R2629" s="27" t="str">
        <f aca="false">IF(J2629="","",INT(P2629/4))</f>
        <v/>
      </c>
      <c r="S2629" s="27" t="str">
        <f aca="false">IF(J2629="","",IF(AND('Daily Count Sheet'!$H$3=Q2629,MOD('Daily Count Sheet'!$I$3,J2629)=R2629),1,""))</f>
        <v/>
      </c>
      <c r="T2629" s="27" t="str">
        <f aca="false">IF(S2629=1,COUNTIF($S$2:S2629,1),"")</f>
        <v/>
      </c>
    </row>
    <row r="2630" customFormat="false" ht="15" hidden="false" customHeight="false" outlineLevel="0" collapsed="false">
      <c r="H2630" s="26"/>
      <c r="I2630" s="27" t="str">
        <f aca="false">IF(A2630="","",IF(H2630&lt;&gt;"",UPPER(TRIM(H2630)),IFERROR(CHOOSE(VALUE(E2630)+1,"A","B","C","D"),IF(OR(LEFT(UPPER(TRIM(E2630)),1)="F",UPPER(TRIM(E2630))="A"),"A",IF(OR(LEFT(UPPER(TRIM(E2630)),1)="M",UPPER(TRIM(E2630))="B"),"B",IF(OR(LEFT(UPPER(TRIM(E2630)),2)="SL",UPPER(TRIM(E2630))="C"),"C",IF(OR(LEFT(UPPER(TRIM(E2630)),1)="D",UPPER(TRIM(E2630))="D"),"D","")))))))</f>
        <v/>
      </c>
      <c r="J2630" s="27" t="str">
        <f aca="false">IF(I2630="","",IF(AND(I2630="D",Settings!$B$6&lt;&gt;"Yes"),"",IFERROR(INDEX(Settings!$C$9:$C$12,MATCH(I2630,Settings!$A$9:$A$12,0)),"")))</f>
        <v/>
      </c>
      <c r="K2630" s="27" t="str">
        <f aca="false">IF(J2630="","",COUNTIF($I$2:I2630,I2630))</f>
        <v/>
      </c>
      <c r="L2630" s="27" t="str">
        <f aca="false">IF(J2630="","",CHOOSE(Q2630+1,"Tue","Wed","Thu","Fri"))</f>
        <v/>
      </c>
      <c r="M2630" s="27" t="str">
        <f aca="false">IF(J2630="","",IF(J2630=1,"Every week",R2630+1&amp;" of "&amp;J2630))</f>
        <v/>
      </c>
      <c r="N2630" s="28" t="str">
        <f aca="false">IF(J2630="","",Settings!$B$4+R2630*7+Q2630)</f>
        <v/>
      </c>
      <c r="O2630" s="28" t="str">
        <f aca="true">IF(J2630="","",N2630+MAX(0,ROUNDUP((TODAY()-N2630)/(J2630*7),0))*J2630*7)</f>
        <v/>
      </c>
      <c r="P2630" s="27" t="str">
        <f aca="false">IF(J2630="","",MOD(K2630-1,J2630*4))</f>
        <v/>
      </c>
      <c r="Q2630" s="27" t="str">
        <f aca="false">IF(J2630="","",MOD(P2630,4))</f>
        <v/>
      </c>
      <c r="R2630" s="27" t="str">
        <f aca="false">IF(J2630="","",INT(P2630/4))</f>
        <v/>
      </c>
      <c r="S2630" s="27" t="str">
        <f aca="false">IF(J2630="","",IF(AND('Daily Count Sheet'!$H$3=Q2630,MOD('Daily Count Sheet'!$I$3,J2630)=R2630),1,""))</f>
        <v/>
      </c>
      <c r="T2630" s="27" t="str">
        <f aca="false">IF(S2630=1,COUNTIF($S$2:S2630,1),"")</f>
        <v/>
      </c>
    </row>
    <row r="2631" customFormat="false" ht="15" hidden="false" customHeight="false" outlineLevel="0" collapsed="false">
      <c r="H2631" s="26"/>
      <c r="I2631" s="27" t="str">
        <f aca="false">IF(A2631="","",IF(H2631&lt;&gt;"",UPPER(TRIM(H2631)),IFERROR(CHOOSE(VALUE(E2631)+1,"A","B","C","D"),IF(OR(LEFT(UPPER(TRIM(E2631)),1)="F",UPPER(TRIM(E2631))="A"),"A",IF(OR(LEFT(UPPER(TRIM(E2631)),1)="M",UPPER(TRIM(E2631))="B"),"B",IF(OR(LEFT(UPPER(TRIM(E2631)),2)="SL",UPPER(TRIM(E2631))="C"),"C",IF(OR(LEFT(UPPER(TRIM(E2631)),1)="D",UPPER(TRIM(E2631))="D"),"D","")))))))</f>
        <v/>
      </c>
      <c r="J2631" s="27" t="str">
        <f aca="false">IF(I2631="","",IF(AND(I2631="D",Settings!$B$6&lt;&gt;"Yes"),"",IFERROR(INDEX(Settings!$C$9:$C$12,MATCH(I2631,Settings!$A$9:$A$12,0)),"")))</f>
        <v/>
      </c>
      <c r="K2631" s="27" t="str">
        <f aca="false">IF(J2631="","",COUNTIF($I$2:I2631,I2631))</f>
        <v/>
      </c>
      <c r="L2631" s="27" t="str">
        <f aca="false">IF(J2631="","",CHOOSE(Q2631+1,"Tue","Wed","Thu","Fri"))</f>
        <v/>
      </c>
      <c r="M2631" s="27" t="str">
        <f aca="false">IF(J2631="","",IF(J2631=1,"Every week",R2631+1&amp;" of "&amp;J2631))</f>
        <v/>
      </c>
      <c r="N2631" s="28" t="str">
        <f aca="false">IF(J2631="","",Settings!$B$4+R2631*7+Q2631)</f>
        <v/>
      </c>
      <c r="O2631" s="28" t="str">
        <f aca="true">IF(J2631="","",N2631+MAX(0,ROUNDUP((TODAY()-N2631)/(J2631*7),0))*J2631*7)</f>
        <v/>
      </c>
      <c r="P2631" s="27" t="str">
        <f aca="false">IF(J2631="","",MOD(K2631-1,J2631*4))</f>
        <v/>
      </c>
      <c r="Q2631" s="27" t="str">
        <f aca="false">IF(J2631="","",MOD(P2631,4))</f>
        <v/>
      </c>
      <c r="R2631" s="27" t="str">
        <f aca="false">IF(J2631="","",INT(P2631/4))</f>
        <v/>
      </c>
      <c r="S2631" s="27" t="str">
        <f aca="false">IF(J2631="","",IF(AND('Daily Count Sheet'!$H$3=Q2631,MOD('Daily Count Sheet'!$I$3,J2631)=R2631),1,""))</f>
        <v/>
      </c>
      <c r="T2631" s="27" t="str">
        <f aca="false">IF(S2631=1,COUNTIF($S$2:S2631,1),"")</f>
        <v/>
      </c>
    </row>
    <row r="2632" customFormat="false" ht="15" hidden="false" customHeight="false" outlineLevel="0" collapsed="false">
      <c r="H2632" s="26"/>
      <c r="I2632" s="27" t="str">
        <f aca="false">IF(A2632="","",IF(H2632&lt;&gt;"",UPPER(TRIM(H2632)),IFERROR(CHOOSE(VALUE(E2632)+1,"A","B","C","D"),IF(OR(LEFT(UPPER(TRIM(E2632)),1)="F",UPPER(TRIM(E2632))="A"),"A",IF(OR(LEFT(UPPER(TRIM(E2632)),1)="M",UPPER(TRIM(E2632))="B"),"B",IF(OR(LEFT(UPPER(TRIM(E2632)),2)="SL",UPPER(TRIM(E2632))="C"),"C",IF(OR(LEFT(UPPER(TRIM(E2632)),1)="D",UPPER(TRIM(E2632))="D"),"D","")))))))</f>
        <v/>
      </c>
      <c r="J2632" s="27" t="str">
        <f aca="false">IF(I2632="","",IF(AND(I2632="D",Settings!$B$6&lt;&gt;"Yes"),"",IFERROR(INDEX(Settings!$C$9:$C$12,MATCH(I2632,Settings!$A$9:$A$12,0)),"")))</f>
        <v/>
      </c>
      <c r="K2632" s="27" t="str">
        <f aca="false">IF(J2632="","",COUNTIF($I$2:I2632,I2632))</f>
        <v/>
      </c>
      <c r="L2632" s="27" t="str">
        <f aca="false">IF(J2632="","",CHOOSE(Q2632+1,"Tue","Wed","Thu","Fri"))</f>
        <v/>
      </c>
      <c r="M2632" s="27" t="str">
        <f aca="false">IF(J2632="","",IF(J2632=1,"Every week",R2632+1&amp;" of "&amp;J2632))</f>
        <v/>
      </c>
      <c r="N2632" s="28" t="str">
        <f aca="false">IF(J2632="","",Settings!$B$4+R2632*7+Q2632)</f>
        <v/>
      </c>
      <c r="O2632" s="28" t="str">
        <f aca="true">IF(J2632="","",N2632+MAX(0,ROUNDUP((TODAY()-N2632)/(J2632*7),0))*J2632*7)</f>
        <v/>
      </c>
      <c r="P2632" s="27" t="str">
        <f aca="false">IF(J2632="","",MOD(K2632-1,J2632*4))</f>
        <v/>
      </c>
      <c r="Q2632" s="27" t="str">
        <f aca="false">IF(J2632="","",MOD(P2632,4))</f>
        <v/>
      </c>
      <c r="R2632" s="27" t="str">
        <f aca="false">IF(J2632="","",INT(P2632/4))</f>
        <v/>
      </c>
      <c r="S2632" s="27" t="str">
        <f aca="false">IF(J2632="","",IF(AND('Daily Count Sheet'!$H$3=Q2632,MOD('Daily Count Sheet'!$I$3,J2632)=R2632),1,""))</f>
        <v/>
      </c>
      <c r="T2632" s="27" t="str">
        <f aca="false">IF(S2632=1,COUNTIF($S$2:S2632,1),"")</f>
        <v/>
      </c>
    </row>
    <row r="2633" customFormat="false" ht="15" hidden="false" customHeight="false" outlineLevel="0" collapsed="false">
      <c r="H2633" s="26"/>
      <c r="I2633" s="27" t="str">
        <f aca="false">IF(A2633="","",IF(H2633&lt;&gt;"",UPPER(TRIM(H2633)),IFERROR(CHOOSE(VALUE(E2633)+1,"A","B","C","D"),IF(OR(LEFT(UPPER(TRIM(E2633)),1)="F",UPPER(TRIM(E2633))="A"),"A",IF(OR(LEFT(UPPER(TRIM(E2633)),1)="M",UPPER(TRIM(E2633))="B"),"B",IF(OR(LEFT(UPPER(TRIM(E2633)),2)="SL",UPPER(TRIM(E2633))="C"),"C",IF(OR(LEFT(UPPER(TRIM(E2633)),1)="D",UPPER(TRIM(E2633))="D"),"D","")))))))</f>
        <v/>
      </c>
      <c r="J2633" s="27" t="str">
        <f aca="false">IF(I2633="","",IF(AND(I2633="D",Settings!$B$6&lt;&gt;"Yes"),"",IFERROR(INDEX(Settings!$C$9:$C$12,MATCH(I2633,Settings!$A$9:$A$12,0)),"")))</f>
        <v/>
      </c>
      <c r="K2633" s="27" t="str">
        <f aca="false">IF(J2633="","",COUNTIF($I$2:I2633,I2633))</f>
        <v/>
      </c>
      <c r="L2633" s="27" t="str">
        <f aca="false">IF(J2633="","",CHOOSE(Q2633+1,"Tue","Wed","Thu","Fri"))</f>
        <v/>
      </c>
      <c r="M2633" s="27" t="str">
        <f aca="false">IF(J2633="","",IF(J2633=1,"Every week",R2633+1&amp;" of "&amp;J2633))</f>
        <v/>
      </c>
      <c r="N2633" s="28" t="str">
        <f aca="false">IF(J2633="","",Settings!$B$4+R2633*7+Q2633)</f>
        <v/>
      </c>
      <c r="O2633" s="28" t="str">
        <f aca="true">IF(J2633="","",N2633+MAX(0,ROUNDUP((TODAY()-N2633)/(J2633*7),0))*J2633*7)</f>
        <v/>
      </c>
      <c r="P2633" s="27" t="str">
        <f aca="false">IF(J2633="","",MOD(K2633-1,J2633*4))</f>
        <v/>
      </c>
      <c r="Q2633" s="27" t="str">
        <f aca="false">IF(J2633="","",MOD(P2633,4))</f>
        <v/>
      </c>
      <c r="R2633" s="27" t="str">
        <f aca="false">IF(J2633="","",INT(P2633/4))</f>
        <v/>
      </c>
      <c r="S2633" s="27" t="str">
        <f aca="false">IF(J2633="","",IF(AND('Daily Count Sheet'!$H$3=Q2633,MOD('Daily Count Sheet'!$I$3,J2633)=R2633),1,""))</f>
        <v/>
      </c>
      <c r="T2633" s="27" t="str">
        <f aca="false">IF(S2633=1,COUNTIF($S$2:S2633,1),"")</f>
        <v/>
      </c>
    </row>
    <row r="2634" customFormat="false" ht="15" hidden="false" customHeight="false" outlineLevel="0" collapsed="false">
      <c r="H2634" s="26"/>
      <c r="I2634" s="27" t="str">
        <f aca="false">IF(A2634="","",IF(H2634&lt;&gt;"",UPPER(TRIM(H2634)),IFERROR(CHOOSE(VALUE(E2634)+1,"A","B","C","D"),IF(OR(LEFT(UPPER(TRIM(E2634)),1)="F",UPPER(TRIM(E2634))="A"),"A",IF(OR(LEFT(UPPER(TRIM(E2634)),1)="M",UPPER(TRIM(E2634))="B"),"B",IF(OR(LEFT(UPPER(TRIM(E2634)),2)="SL",UPPER(TRIM(E2634))="C"),"C",IF(OR(LEFT(UPPER(TRIM(E2634)),1)="D",UPPER(TRIM(E2634))="D"),"D","")))))))</f>
        <v/>
      </c>
      <c r="J2634" s="27" t="str">
        <f aca="false">IF(I2634="","",IF(AND(I2634="D",Settings!$B$6&lt;&gt;"Yes"),"",IFERROR(INDEX(Settings!$C$9:$C$12,MATCH(I2634,Settings!$A$9:$A$12,0)),"")))</f>
        <v/>
      </c>
      <c r="K2634" s="27" t="str">
        <f aca="false">IF(J2634="","",COUNTIF($I$2:I2634,I2634))</f>
        <v/>
      </c>
      <c r="L2634" s="27" t="str">
        <f aca="false">IF(J2634="","",CHOOSE(Q2634+1,"Tue","Wed","Thu","Fri"))</f>
        <v/>
      </c>
      <c r="M2634" s="27" t="str">
        <f aca="false">IF(J2634="","",IF(J2634=1,"Every week",R2634+1&amp;" of "&amp;J2634))</f>
        <v/>
      </c>
      <c r="N2634" s="28" t="str">
        <f aca="false">IF(J2634="","",Settings!$B$4+R2634*7+Q2634)</f>
        <v/>
      </c>
      <c r="O2634" s="28" t="str">
        <f aca="true">IF(J2634="","",N2634+MAX(0,ROUNDUP((TODAY()-N2634)/(J2634*7),0))*J2634*7)</f>
        <v/>
      </c>
      <c r="P2634" s="27" t="str">
        <f aca="false">IF(J2634="","",MOD(K2634-1,J2634*4))</f>
        <v/>
      </c>
      <c r="Q2634" s="27" t="str">
        <f aca="false">IF(J2634="","",MOD(P2634,4))</f>
        <v/>
      </c>
      <c r="R2634" s="27" t="str">
        <f aca="false">IF(J2634="","",INT(P2634/4))</f>
        <v/>
      </c>
      <c r="S2634" s="27" t="str">
        <f aca="false">IF(J2634="","",IF(AND('Daily Count Sheet'!$H$3=Q2634,MOD('Daily Count Sheet'!$I$3,J2634)=R2634),1,""))</f>
        <v/>
      </c>
      <c r="T2634" s="27" t="str">
        <f aca="false">IF(S2634=1,COUNTIF($S$2:S2634,1),"")</f>
        <v/>
      </c>
    </row>
    <row r="2635" customFormat="false" ht="15" hidden="false" customHeight="false" outlineLevel="0" collapsed="false">
      <c r="H2635" s="26"/>
      <c r="I2635" s="27" t="str">
        <f aca="false">IF(A2635="","",IF(H2635&lt;&gt;"",UPPER(TRIM(H2635)),IFERROR(CHOOSE(VALUE(E2635)+1,"A","B","C","D"),IF(OR(LEFT(UPPER(TRIM(E2635)),1)="F",UPPER(TRIM(E2635))="A"),"A",IF(OR(LEFT(UPPER(TRIM(E2635)),1)="M",UPPER(TRIM(E2635))="B"),"B",IF(OR(LEFT(UPPER(TRIM(E2635)),2)="SL",UPPER(TRIM(E2635))="C"),"C",IF(OR(LEFT(UPPER(TRIM(E2635)),1)="D",UPPER(TRIM(E2635))="D"),"D","")))))))</f>
        <v/>
      </c>
      <c r="J2635" s="27" t="str">
        <f aca="false">IF(I2635="","",IF(AND(I2635="D",Settings!$B$6&lt;&gt;"Yes"),"",IFERROR(INDEX(Settings!$C$9:$C$12,MATCH(I2635,Settings!$A$9:$A$12,0)),"")))</f>
        <v/>
      </c>
      <c r="K2635" s="27" t="str">
        <f aca="false">IF(J2635="","",COUNTIF($I$2:I2635,I2635))</f>
        <v/>
      </c>
      <c r="L2635" s="27" t="str">
        <f aca="false">IF(J2635="","",CHOOSE(Q2635+1,"Tue","Wed","Thu","Fri"))</f>
        <v/>
      </c>
      <c r="M2635" s="27" t="str">
        <f aca="false">IF(J2635="","",IF(J2635=1,"Every week",R2635+1&amp;" of "&amp;J2635))</f>
        <v/>
      </c>
      <c r="N2635" s="28" t="str">
        <f aca="false">IF(J2635="","",Settings!$B$4+R2635*7+Q2635)</f>
        <v/>
      </c>
      <c r="O2635" s="28" t="str">
        <f aca="true">IF(J2635="","",N2635+MAX(0,ROUNDUP((TODAY()-N2635)/(J2635*7),0))*J2635*7)</f>
        <v/>
      </c>
      <c r="P2635" s="27" t="str">
        <f aca="false">IF(J2635="","",MOD(K2635-1,J2635*4))</f>
        <v/>
      </c>
      <c r="Q2635" s="27" t="str">
        <f aca="false">IF(J2635="","",MOD(P2635,4))</f>
        <v/>
      </c>
      <c r="R2635" s="27" t="str">
        <f aca="false">IF(J2635="","",INT(P2635/4))</f>
        <v/>
      </c>
      <c r="S2635" s="27" t="str">
        <f aca="false">IF(J2635="","",IF(AND('Daily Count Sheet'!$H$3=Q2635,MOD('Daily Count Sheet'!$I$3,J2635)=R2635),1,""))</f>
        <v/>
      </c>
      <c r="T2635" s="27" t="str">
        <f aca="false">IF(S2635=1,COUNTIF($S$2:S2635,1),"")</f>
        <v/>
      </c>
    </row>
    <row r="2636" customFormat="false" ht="15" hidden="false" customHeight="false" outlineLevel="0" collapsed="false">
      <c r="H2636" s="26"/>
      <c r="I2636" s="27" t="str">
        <f aca="false">IF(A2636="","",IF(H2636&lt;&gt;"",UPPER(TRIM(H2636)),IFERROR(CHOOSE(VALUE(E2636)+1,"A","B","C","D"),IF(OR(LEFT(UPPER(TRIM(E2636)),1)="F",UPPER(TRIM(E2636))="A"),"A",IF(OR(LEFT(UPPER(TRIM(E2636)),1)="M",UPPER(TRIM(E2636))="B"),"B",IF(OR(LEFT(UPPER(TRIM(E2636)),2)="SL",UPPER(TRIM(E2636))="C"),"C",IF(OR(LEFT(UPPER(TRIM(E2636)),1)="D",UPPER(TRIM(E2636))="D"),"D","")))))))</f>
        <v/>
      </c>
      <c r="J2636" s="27" t="str">
        <f aca="false">IF(I2636="","",IF(AND(I2636="D",Settings!$B$6&lt;&gt;"Yes"),"",IFERROR(INDEX(Settings!$C$9:$C$12,MATCH(I2636,Settings!$A$9:$A$12,0)),"")))</f>
        <v/>
      </c>
      <c r="K2636" s="27" t="str">
        <f aca="false">IF(J2636="","",COUNTIF($I$2:I2636,I2636))</f>
        <v/>
      </c>
      <c r="L2636" s="27" t="str">
        <f aca="false">IF(J2636="","",CHOOSE(Q2636+1,"Tue","Wed","Thu","Fri"))</f>
        <v/>
      </c>
      <c r="M2636" s="27" t="str">
        <f aca="false">IF(J2636="","",IF(J2636=1,"Every week",R2636+1&amp;" of "&amp;J2636))</f>
        <v/>
      </c>
      <c r="N2636" s="28" t="str">
        <f aca="false">IF(J2636="","",Settings!$B$4+R2636*7+Q2636)</f>
        <v/>
      </c>
      <c r="O2636" s="28" t="str">
        <f aca="true">IF(J2636="","",N2636+MAX(0,ROUNDUP((TODAY()-N2636)/(J2636*7),0))*J2636*7)</f>
        <v/>
      </c>
      <c r="P2636" s="27" t="str">
        <f aca="false">IF(J2636="","",MOD(K2636-1,J2636*4))</f>
        <v/>
      </c>
      <c r="Q2636" s="27" t="str">
        <f aca="false">IF(J2636="","",MOD(P2636,4))</f>
        <v/>
      </c>
      <c r="R2636" s="27" t="str">
        <f aca="false">IF(J2636="","",INT(P2636/4))</f>
        <v/>
      </c>
      <c r="S2636" s="27" t="str">
        <f aca="false">IF(J2636="","",IF(AND('Daily Count Sheet'!$H$3=Q2636,MOD('Daily Count Sheet'!$I$3,J2636)=R2636),1,""))</f>
        <v/>
      </c>
      <c r="T2636" s="27" t="str">
        <f aca="false">IF(S2636=1,COUNTIF($S$2:S2636,1),"")</f>
        <v/>
      </c>
    </row>
    <row r="2637" customFormat="false" ht="15" hidden="false" customHeight="false" outlineLevel="0" collapsed="false">
      <c r="H2637" s="26"/>
      <c r="I2637" s="27" t="str">
        <f aca="false">IF(A2637="","",IF(H2637&lt;&gt;"",UPPER(TRIM(H2637)),IFERROR(CHOOSE(VALUE(E2637)+1,"A","B","C","D"),IF(OR(LEFT(UPPER(TRIM(E2637)),1)="F",UPPER(TRIM(E2637))="A"),"A",IF(OR(LEFT(UPPER(TRIM(E2637)),1)="M",UPPER(TRIM(E2637))="B"),"B",IF(OR(LEFT(UPPER(TRIM(E2637)),2)="SL",UPPER(TRIM(E2637))="C"),"C",IF(OR(LEFT(UPPER(TRIM(E2637)),1)="D",UPPER(TRIM(E2637))="D"),"D","")))))))</f>
        <v/>
      </c>
      <c r="J2637" s="27" t="str">
        <f aca="false">IF(I2637="","",IF(AND(I2637="D",Settings!$B$6&lt;&gt;"Yes"),"",IFERROR(INDEX(Settings!$C$9:$C$12,MATCH(I2637,Settings!$A$9:$A$12,0)),"")))</f>
        <v/>
      </c>
      <c r="K2637" s="27" t="str">
        <f aca="false">IF(J2637="","",COUNTIF($I$2:I2637,I2637))</f>
        <v/>
      </c>
      <c r="L2637" s="27" t="str">
        <f aca="false">IF(J2637="","",CHOOSE(Q2637+1,"Tue","Wed","Thu","Fri"))</f>
        <v/>
      </c>
      <c r="M2637" s="27" t="str">
        <f aca="false">IF(J2637="","",IF(J2637=1,"Every week",R2637+1&amp;" of "&amp;J2637))</f>
        <v/>
      </c>
      <c r="N2637" s="28" t="str">
        <f aca="false">IF(J2637="","",Settings!$B$4+R2637*7+Q2637)</f>
        <v/>
      </c>
      <c r="O2637" s="28" t="str">
        <f aca="true">IF(J2637="","",N2637+MAX(0,ROUNDUP((TODAY()-N2637)/(J2637*7),0))*J2637*7)</f>
        <v/>
      </c>
      <c r="P2637" s="27" t="str">
        <f aca="false">IF(J2637="","",MOD(K2637-1,J2637*4))</f>
        <v/>
      </c>
      <c r="Q2637" s="27" t="str">
        <f aca="false">IF(J2637="","",MOD(P2637,4))</f>
        <v/>
      </c>
      <c r="R2637" s="27" t="str">
        <f aca="false">IF(J2637="","",INT(P2637/4))</f>
        <v/>
      </c>
      <c r="S2637" s="27" t="str">
        <f aca="false">IF(J2637="","",IF(AND('Daily Count Sheet'!$H$3=Q2637,MOD('Daily Count Sheet'!$I$3,J2637)=R2637),1,""))</f>
        <v/>
      </c>
      <c r="T2637" s="27" t="str">
        <f aca="false">IF(S2637=1,COUNTIF($S$2:S2637,1),"")</f>
        <v/>
      </c>
    </row>
    <row r="2638" customFormat="false" ht="15" hidden="false" customHeight="false" outlineLevel="0" collapsed="false">
      <c r="H2638" s="26"/>
      <c r="I2638" s="27" t="str">
        <f aca="false">IF(A2638="","",IF(H2638&lt;&gt;"",UPPER(TRIM(H2638)),IFERROR(CHOOSE(VALUE(E2638)+1,"A","B","C","D"),IF(OR(LEFT(UPPER(TRIM(E2638)),1)="F",UPPER(TRIM(E2638))="A"),"A",IF(OR(LEFT(UPPER(TRIM(E2638)),1)="M",UPPER(TRIM(E2638))="B"),"B",IF(OR(LEFT(UPPER(TRIM(E2638)),2)="SL",UPPER(TRIM(E2638))="C"),"C",IF(OR(LEFT(UPPER(TRIM(E2638)),1)="D",UPPER(TRIM(E2638))="D"),"D","")))))))</f>
        <v/>
      </c>
      <c r="J2638" s="27" t="str">
        <f aca="false">IF(I2638="","",IF(AND(I2638="D",Settings!$B$6&lt;&gt;"Yes"),"",IFERROR(INDEX(Settings!$C$9:$C$12,MATCH(I2638,Settings!$A$9:$A$12,0)),"")))</f>
        <v/>
      </c>
      <c r="K2638" s="27" t="str">
        <f aca="false">IF(J2638="","",COUNTIF($I$2:I2638,I2638))</f>
        <v/>
      </c>
      <c r="L2638" s="27" t="str">
        <f aca="false">IF(J2638="","",CHOOSE(Q2638+1,"Tue","Wed","Thu","Fri"))</f>
        <v/>
      </c>
      <c r="M2638" s="27" t="str">
        <f aca="false">IF(J2638="","",IF(J2638=1,"Every week",R2638+1&amp;" of "&amp;J2638))</f>
        <v/>
      </c>
      <c r="N2638" s="28" t="str">
        <f aca="false">IF(J2638="","",Settings!$B$4+R2638*7+Q2638)</f>
        <v/>
      </c>
      <c r="O2638" s="28" t="str">
        <f aca="true">IF(J2638="","",N2638+MAX(0,ROUNDUP((TODAY()-N2638)/(J2638*7),0))*J2638*7)</f>
        <v/>
      </c>
      <c r="P2638" s="27" t="str">
        <f aca="false">IF(J2638="","",MOD(K2638-1,J2638*4))</f>
        <v/>
      </c>
      <c r="Q2638" s="27" t="str">
        <f aca="false">IF(J2638="","",MOD(P2638,4))</f>
        <v/>
      </c>
      <c r="R2638" s="27" t="str">
        <f aca="false">IF(J2638="","",INT(P2638/4))</f>
        <v/>
      </c>
      <c r="S2638" s="27" t="str">
        <f aca="false">IF(J2638="","",IF(AND('Daily Count Sheet'!$H$3=Q2638,MOD('Daily Count Sheet'!$I$3,J2638)=R2638),1,""))</f>
        <v/>
      </c>
      <c r="T2638" s="27" t="str">
        <f aca="false">IF(S2638=1,COUNTIF($S$2:S2638,1),"")</f>
        <v/>
      </c>
    </row>
    <row r="2639" customFormat="false" ht="15" hidden="false" customHeight="false" outlineLevel="0" collapsed="false">
      <c r="H2639" s="26"/>
      <c r="I2639" s="27" t="str">
        <f aca="false">IF(A2639="","",IF(H2639&lt;&gt;"",UPPER(TRIM(H2639)),IFERROR(CHOOSE(VALUE(E2639)+1,"A","B","C","D"),IF(OR(LEFT(UPPER(TRIM(E2639)),1)="F",UPPER(TRIM(E2639))="A"),"A",IF(OR(LEFT(UPPER(TRIM(E2639)),1)="M",UPPER(TRIM(E2639))="B"),"B",IF(OR(LEFT(UPPER(TRIM(E2639)),2)="SL",UPPER(TRIM(E2639))="C"),"C",IF(OR(LEFT(UPPER(TRIM(E2639)),1)="D",UPPER(TRIM(E2639))="D"),"D","")))))))</f>
        <v/>
      </c>
      <c r="J2639" s="27" t="str">
        <f aca="false">IF(I2639="","",IF(AND(I2639="D",Settings!$B$6&lt;&gt;"Yes"),"",IFERROR(INDEX(Settings!$C$9:$C$12,MATCH(I2639,Settings!$A$9:$A$12,0)),"")))</f>
        <v/>
      </c>
      <c r="K2639" s="27" t="str">
        <f aca="false">IF(J2639="","",COUNTIF($I$2:I2639,I2639))</f>
        <v/>
      </c>
      <c r="L2639" s="27" t="str">
        <f aca="false">IF(J2639="","",CHOOSE(Q2639+1,"Tue","Wed","Thu","Fri"))</f>
        <v/>
      </c>
      <c r="M2639" s="27" t="str">
        <f aca="false">IF(J2639="","",IF(J2639=1,"Every week",R2639+1&amp;" of "&amp;J2639))</f>
        <v/>
      </c>
      <c r="N2639" s="28" t="str">
        <f aca="false">IF(J2639="","",Settings!$B$4+R2639*7+Q2639)</f>
        <v/>
      </c>
      <c r="O2639" s="28" t="str">
        <f aca="true">IF(J2639="","",N2639+MAX(0,ROUNDUP((TODAY()-N2639)/(J2639*7),0))*J2639*7)</f>
        <v/>
      </c>
      <c r="P2639" s="27" t="str">
        <f aca="false">IF(J2639="","",MOD(K2639-1,J2639*4))</f>
        <v/>
      </c>
      <c r="Q2639" s="27" t="str">
        <f aca="false">IF(J2639="","",MOD(P2639,4))</f>
        <v/>
      </c>
      <c r="R2639" s="27" t="str">
        <f aca="false">IF(J2639="","",INT(P2639/4))</f>
        <v/>
      </c>
      <c r="S2639" s="27" t="str">
        <f aca="false">IF(J2639="","",IF(AND('Daily Count Sheet'!$H$3=Q2639,MOD('Daily Count Sheet'!$I$3,J2639)=R2639),1,""))</f>
        <v/>
      </c>
      <c r="T2639" s="27" t="str">
        <f aca="false">IF(S2639=1,COUNTIF($S$2:S2639,1),"")</f>
        <v/>
      </c>
    </row>
    <row r="2640" customFormat="false" ht="15" hidden="false" customHeight="false" outlineLevel="0" collapsed="false">
      <c r="H2640" s="26"/>
      <c r="I2640" s="27" t="str">
        <f aca="false">IF(A2640="","",IF(H2640&lt;&gt;"",UPPER(TRIM(H2640)),IFERROR(CHOOSE(VALUE(E2640)+1,"A","B","C","D"),IF(OR(LEFT(UPPER(TRIM(E2640)),1)="F",UPPER(TRIM(E2640))="A"),"A",IF(OR(LEFT(UPPER(TRIM(E2640)),1)="M",UPPER(TRIM(E2640))="B"),"B",IF(OR(LEFT(UPPER(TRIM(E2640)),2)="SL",UPPER(TRIM(E2640))="C"),"C",IF(OR(LEFT(UPPER(TRIM(E2640)),1)="D",UPPER(TRIM(E2640))="D"),"D","")))))))</f>
        <v/>
      </c>
      <c r="J2640" s="27" t="str">
        <f aca="false">IF(I2640="","",IF(AND(I2640="D",Settings!$B$6&lt;&gt;"Yes"),"",IFERROR(INDEX(Settings!$C$9:$C$12,MATCH(I2640,Settings!$A$9:$A$12,0)),"")))</f>
        <v/>
      </c>
      <c r="K2640" s="27" t="str">
        <f aca="false">IF(J2640="","",COUNTIF($I$2:I2640,I2640))</f>
        <v/>
      </c>
      <c r="L2640" s="27" t="str">
        <f aca="false">IF(J2640="","",CHOOSE(Q2640+1,"Tue","Wed","Thu","Fri"))</f>
        <v/>
      </c>
      <c r="M2640" s="27" t="str">
        <f aca="false">IF(J2640="","",IF(J2640=1,"Every week",R2640+1&amp;" of "&amp;J2640))</f>
        <v/>
      </c>
      <c r="N2640" s="28" t="str">
        <f aca="false">IF(J2640="","",Settings!$B$4+R2640*7+Q2640)</f>
        <v/>
      </c>
      <c r="O2640" s="28" t="str">
        <f aca="true">IF(J2640="","",N2640+MAX(0,ROUNDUP((TODAY()-N2640)/(J2640*7),0))*J2640*7)</f>
        <v/>
      </c>
      <c r="P2640" s="27" t="str">
        <f aca="false">IF(J2640="","",MOD(K2640-1,J2640*4))</f>
        <v/>
      </c>
      <c r="Q2640" s="27" t="str">
        <f aca="false">IF(J2640="","",MOD(P2640,4))</f>
        <v/>
      </c>
      <c r="R2640" s="27" t="str">
        <f aca="false">IF(J2640="","",INT(P2640/4))</f>
        <v/>
      </c>
      <c r="S2640" s="27" t="str">
        <f aca="false">IF(J2640="","",IF(AND('Daily Count Sheet'!$H$3=Q2640,MOD('Daily Count Sheet'!$I$3,J2640)=R2640),1,""))</f>
        <v/>
      </c>
      <c r="T2640" s="27" t="str">
        <f aca="false">IF(S2640=1,COUNTIF($S$2:S2640,1),"")</f>
        <v/>
      </c>
    </row>
    <row r="2641" customFormat="false" ht="15" hidden="false" customHeight="false" outlineLevel="0" collapsed="false">
      <c r="H2641" s="26"/>
      <c r="I2641" s="27" t="str">
        <f aca="false">IF(A2641="","",IF(H2641&lt;&gt;"",UPPER(TRIM(H2641)),IFERROR(CHOOSE(VALUE(E2641)+1,"A","B","C","D"),IF(OR(LEFT(UPPER(TRIM(E2641)),1)="F",UPPER(TRIM(E2641))="A"),"A",IF(OR(LEFT(UPPER(TRIM(E2641)),1)="M",UPPER(TRIM(E2641))="B"),"B",IF(OR(LEFT(UPPER(TRIM(E2641)),2)="SL",UPPER(TRIM(E2641))="C"),"C",IF(OR(LEFT(UPPER(TRIM(E2641)),1)="D",UPPER(TRIM(E2641))="D"),"D","")))))))</f>
        <v/>
      </c>
      <c r="J2641" s="27" t="str">
        <f aca="false">IF(I2641="","",IF(AND(I2641="D",Settings!$B$6&lt;&gt;"Yes"),"",IFERROR(INDEX(Settings!$C$9:$C$12,MATCH(I2641,Settings!$A$9:$A$12,0)),"")))</f>
        <v/>
      </c>
      <c r="K2641" s="27" t="str">
        <f aca="false">IF(J2641="","",COUNTIF($I$2:I2641,I2641))</f>
        <v/>
      </c>
      <c r="L2641" s="27" t="str">
        <f aca="false">IF(J2641="","",CHOOSE(Q2641+1,"Tue","Wed","Thu","Fri"))</f>
        <v/>
      </c>
      <c r="M2641" s="27" t="str">
        <f aca="false">IF(J2641="","",IF(J2641=1,"Every week",R2641+1&amp;" of "&amp;J2641))</f>
        <v/>
      </c>
      <c r="N2641" s="28" t="str">
        <f aca="false">IF(J2641="","",Settings!$B$4+R2641*7+Q2641)</f>
        <v/>
      </c>
      <c r="O2641" s="28" t="str">
        <f aca="true">IF(J2641="","",N2641+MAX(0,ROUNDUP((TODAY()-N2641)/(J2641*7),0))*J2641*7)</f>
        <v/>
      </c>
      <c r="P2641" s="27" t="str">
        <f aca="false">IF(J2641="","",MOD(K2641-1,J2641*4))</f>
        <v/>
      </c>
      <c r="Q2641" s="27" t="str">
        <f aca="false">IF(J2641="","",MOD(P2641,4))</f>
        <v/>
      </c>
      <c r="R2641" s="27" t="str">
        <f aca="false">IF(J2641="","",INT(P2641/4))</f>
        <v/>
      </c>
      <c r="S2641" s="27" t="str">
        <f aca="false">IF(J2641="","",IF(AND('Daily Count Sheet'!$H$3=Q2641,MOD('Daily Count Sheet'!$I$3,J2641)=R2641),1,""))</f>
        <v/>
      </c>
      <c r="T2641" s="27" t="str">
        <f aca="false">IF(S2641=1,COUNTIF($S$2:S2641,1),"")</f>
        <v/>
      </c>
    </row>
    <row r="2642" customFormat="false" ht="15" hidden="false" customHeight="false" outlineLevel="0" collapsed="false">
      <c r="H2642" s="26"/>
      <c r="I2642" s="27" t="str">
        <f aca="false">IF(A2642="","",IF(H2642&lt;&gt;"",UPPER(TRIM(H2642)),IFERROR(CHOOSE(VALUE(E2642)+1,"A","B","C","D"),IF(OR(LEFT(UPPER(TRIM(E2642)),1)="F",UPPER(TRIM(E2642))="A"),"A",IF(OR(LEFT(UPPER(TRIM(E2642)),1)="M",UPPER(TRIM(E2642))="B"),"B",IF(OR(LEFT(UPPER(TRIM(E2642)),2)="SL",UPPER(TRIM(E2642))="C"),"C",IF(OR(LEFT(UPPER(TRIM(E2642)),1)="D",UPPER(TRIM(E2642))="D"),"D","")))))))</f>
        <v/>
      </c>
      <c r="J2642" s="27" t="str">
        <f aca="false">IF(I2642="","",IF(AND(I2642="D",Settings!$B$6&lt;&gt;"Yes"),"",IFERROR(INDEX(Settings!$C$9:$C$12,MATCH(I2642,Settings!$A$9:$A$12,0)),"")))</f>
        <v/>
      </c>
      <c r="K2642" s="27" t="str">
        <f aca="false">IF(J2642="","",COUNTIF($I$2:I2642,I2642))</f>
        <v/>
      </c>
      <c r="L2642" s="27" t="str">
        <f aca="false">IF(J2642="","",CHOOSE(Q2642+1,"Tue","Wed","Thu","Fri"))</f>
        <v/>
      </c>
      <c r="M2642" s="27" t="str">
        <f aca="false">IF(J2642="","",IF(J2642=1,"Every week",R2642+1&amp;" of "&amp;J2642))</f>
        <v/>
      </c>
      <c r="N2642" s="28" t="str">
        <f aca="false">IF(J2642="","",Settings!$B$4+R2642*7+Q2642)</f>
        <v/>
      </c>
      <c r="O2642" s="28" t="str">
        <f aca="true">IF(J2642="","",N2642+MAX(0,ROUNDUP((TODAY()-N2642)/(J2642*7),0))*J2642*7)</f>
        <v/>
      </c>
      <c r="P2642" s="27" t="str">
        <f aca="false">IF(J2642="","",MOD(K2642-1,J2642*4))</f>
        <v/>
      </c>
      <c r="Q2642" s="27" t="str">
        <f aca="false">IF(J2642="","",MOD(P2642,4))</f>
        <v/>
      </c>
      <c r="R2642" s="27" t="str">
        <f aca="false">IF(J2642="","",INT(P2642/4))</f>
        <v/>
      </c>
      <c r="S2642" s="27" t="str">
        <f aca="false">IF(J2642="","",IF(AND('Daily Count Sheet'!$H$3=Q2642,MOD('Daily Count Sheet'!$I$3,J2642)=R2642),1,""))</f>
        <v/>
      </c>
      <c r="T2642" s="27" t="str">
        <f aca="false">IF(S2642=1,COUNTIF($S$2:S2642,1),"")</f>
        <v/>
      </c>
    </row>
    <row r="2643" customFormat="false" ht="15" hidden="false" customHeight="false" outlineLevel="0" collapsed="false">
      <c r="H2643" s="26"/>
      <c r="I2643" s="27" t="str">
        <f aca="false">IF(A2643="","",IF(H2643&lt;&gt;"",UPPER(TRIM(H2643)),IFERROR(CHOOSE(VALUE(E2643)+1,"A","B","C","D"),IF(OR(LEFT(UPPER(TRIM(E2643)),1)="F",UPPER(TRIM(E2643))="A"),"A",IF(OR(LEFT(UPPER(TRIM(E2643)),1)="M",UPPER(TRIM(E2643))="B"),"B",IF(OR(LEFT(UPPER(TRIM(E2643)),2)="SL",UPPER(TRIM(E2643))="C"),"C",IF(OR(LEFT(UPPER(TRIM(E2643)),1)="D",UPPER(TRIM(E2643))="D"),"D","")))))))</f>
        <v/>
      </c>
      <c r="J2643" s="27" t="str">
        <f aca="false">IF(I2643="","",IF(AND(I2643="D",Settings!$B$6&lt;&gt;"Yes"),"",IFERROR(INDEX(Settings!$C$9:$C$12,MATCH(I2643,Settings!$A$9:$A$12,0)),"")))</f>
        <v/>
      </c>
      <c r="K2643" s="27" t="str">
        <f aca="false">IF(J2643="","",COUNTIF($I$2:I2643,I2643))</f>
        <v/>
      </c>
      <c r="L2643" s="27" t="str">
        <f aca="false">IF(J2643="","",CHOOSE(Q2643+1,"Tue","Wed","Thu","Fri"))</f>
        <v/>
      </c>
      <c r="M2643" s="27" t="str">
        <f aca="false">IF(J2643="","",IF(J2643=1,"Every week",R2643+1&amp;" of "&amp;J2643))</f>
        <v/>
      </c>
      <c r="N2643" s="28" t="str">
        <f aca="false">IF(J2643="","",Settings!$B$4+R2643*7+Q2643)</f>
        <v/>
      </c>
      <c r="O2643" s="28" t="str">
        <f aca="true">IF(J2643="","",N2643+MAX(0,ROUNDUP((TODAY()-N2643)/(J2643*7),0))*J2643*7)</f>
        <v/>
      </c>
      <c r="P2643" s="27" t="str">
        <f aca="false">IF(J2643="","",MOD(K2643-1,J2643*4))</f>
        <v/>
      </c>
      <c r="Q2643" s="27" t="str">
        <f aca="false">IF(J2643="","",MOD(P2643,4))</f>
        <v/>
      </c>
      <c r="R2643" s="27" t="str">
        <f aca="false">IF(J2643="","",INT(P2643/4))</f>
        <v/>
      </c>
      <c r="S2643" s="27" t="str">
        <f aca="false">IF(J2643="","",IF(AND('Daily Count Sheet'!$H$3=Q2643,MOD('Daily Count Sheet'!$I$3,J2643)=R2643),1,""))</f>
        <v/>
      </c>
      <c r="T2643" s="27" t="str">
        <f aca="false">IF(S2643=1,COUNTIF($S$2:S2643,1),"")</f>
        <v/>
      </c>
    </row>
    <row r="2644" customFormat="false" ht="15" hidden="false" customHeight="false" outlineLevel="0" collapsed="false">
      <c r="H2644" s="26"/>
      <c r="I2644" s="27" t="str">
        <f aca="false">IF(A2644="","",IF(H2644&lt;&gt;"",UPPER(TRIM(H2644)),IFERROR(CHOOSE(VALUE(E2644)+1,"A","B","C","D"),IF(OR(LEFT(UPPER(TRIM(E2644)),1)="F",UPPER(TRIM(E2644))="A"),"A",IF(OR(LEFT(UPPER(TRIM(E2644)),1)="M",UPPER(TRIM(E2644))="B"),"B",IF(OR(LEFT(UPPER(TRIM(E2644)),2)="SL",UPPER(TRIM(E2644))="C"),"C",IF(OR(LEFT(UPPER(TRIM(E2644)),1)="D",UPPER(TRIM(E2644))="D"),"D","")))))))</f>
        <v/>
      </c>
      <c r="J2644" s="27" t="str">
        <f aca="false">IF(I2644="","",IF(AND(I2644="D",Settings!$B$6&lt;&gt;"Yes"),"",IFERROR(INDEX(Settings!$C$9:$C$12,MATCH(I2644,Settings!$A$9:$A$12,0)),"")))</f>
        <v/>
      </c>
      <c r="K2644" s="27" t="str">
        <f aca="false">IF(J2644="","",COUNTIF($I$2:I2644,I2644))</f>
        <v/>
      </c>
      <c r="L2644" s="27" t="str">
        <f aca="false">IF(J2644="","",CHOOSE(Q2644+1,"Tue","Wed","Thu","Fri"))</f>
        <v/>
      </c>
      <c r="M2644" s="27" t="str">
        <f aca="false">IF(J2644="","",IF(J2644=1,"Every week",R2644+1&amp;" of "&amp;J2644))</f>
        <v/>
      </c>
      <c r="N2644" s="28" t="str">
        <f aca="false">IF(J2644="","",Settings!$B$4+R2644*7+Q2644)</f>
        <v/>
      </c>
      <c r="O2644" s="28" t="str">
        <f aca="true">IF(J2644="","",N2644+MAX(0,ROUNDUP((TODAY()-N2644)/(J2644*7),0))*J2644*7)</f>
        <v/>
      </c>
      <c r="P2644" s="27" t="str">
        <f aca="false">IF(J2644="","",MOD(K2644-1,J2644*4))</f>
        <v/>
      </c>
      <c r="Q2644" s="27" t="str">
        <f aca="false">IF(J2644="","",MOD(P2644,4))</f>
        <v/>
      </c>
      <c r="R2644" s="27" t="str">
        <f aca="false">IF(J2644="","",INT(P2644/4))</f>
        <v/>
      </c>
      <c r="S2644" s="27" t="str">
        <f aca="false">IF(J2644="","",IF(AND('Daily Count Sheet'!$H$3=Q2644,MOD('Daily Count Sheet'!$I$3,J2644)=R2644),1,""))</f>
        <v/>
      </c>
      <c r="T2644" s="27" t="str">
        <f aca="false">IF(S2644=1,COUNTIF($S$2:S2644,1),"")</f>
        <v/>
      </c>
    </row>
    <row r="2645" customFormat="false" ht="15" hidden="false" customHeight="false" outlineLevel="0" collapsed="false">
      <c r="H2645" s="26"/>
      <c r="I2645" s="27" t="str">
        <f aca="false">IF(A2645="","",IF(H2645&lt;&gt;"",UPPER(TRIM(H2645)),IFERROR(CHOOSE(VALUE(E2645)+1,"A","B","C","D"),IF(OR(LEFT(UPPER(TRIM(E2645)),1)="F",UPPER(TRIM(E2645))="A"),"A",IF(OR(LEFT(UPPER(TRIM(E2645)),1)="M",UPPER(TRIM(E2645))="B"),"B",IF(OR(LEFT(UPPER(TRIM(E2645)),2)="SL",UPPER(TRIM(E2645))="C"),"C",IF(OR(LEFT(UPPER(TRIM(E2645)),1)="D",UPPER(TRIM(E2645))="D"),"D","")))))))</f>
        <v/>
      </c>
      <c r="J2645" s="27" t="str">
        <f aca="false">IF(I2645="","",IF(AND(I2645="D",Settings!$B$6&lt;&gt;"Yes"),"",IFERROR(INDEX(Settings!$C$9:$C$12,MATCH(I2645,Settings!$A$9:$A$12,0)),"")))</f>
        <v/>
      </c>
      <c r="K2645" s="27" t="str">
        <f aca="false">IF(J2645="","",COUNTIF($I$2:I2645,I2645))</f>
        <v/>
      </c>
      <c r="L2645" s="27" t="str">
        <f aca="false">IF(J2645="","",CHOOSE(Q2645+1,"Tue","Wed","Thu","Fri"))</f>
        <v/>
      </c>
      <c r="M2645" s="27" t="str">
        <f aca="false">IF(J2645="","",IF(J2645=1,"Every week",R2645+1&amp;" of "&amp;J2645))</f>
        <v/>
      </c>
      <c r="N2645" s="28" t="str">
        <f aca="false">IF(J2645="","",Settings!$B$4+R2645*7+Q2645)</f>
        <v/>
      </c>
      <c r="O2645" s="28" t="str">
        <f aca="true">IF(J2645="","",N2645+MAX(0,ROUNDUP((TODAY()-N2645)/(J2645*7),0))*J2645*7)</f>
        <v/>
      </c>
      <c r="P2645" s="27" t="str">
        <f aca="false">IF(J2645="","",MOD(K2645-1,J2645*4))</f>
        <v/>
      </c>
      <c r="Q2645" s="27" t="str">
        <f aca="false">IF(J2645="","",MOD(P2645,4))</f>
        <v/>
      </c>
      <c r="R2645" s="27" t="str">
        <f aca="false">IF(J2645="","",INT(P2645/4))</f>
        <v/>
      </c>
      <c r="S2645" s="27" t="str">
        <f aca="false">IF(J2645="","",IF(AND('Daily Count Sheet'!$H$3=Q2645,MOD('Daily Count Sheet'!$I$3,J2645)=R2645),1,""))</f>
        <v/>
      </c>
      <c r="T2645" s="27" t="str">
        <f aca="false">IF(S2645=1,COUNTIF($S$2:S2645,1),"")</f>
        <v/>
      </c>
    </row>
    <row r="2646" customFormat="false" ht="15" hidden="false" customHeight="false" outlineLevel="0" collapsed="false">
      <c r="H2646" s="26"/>
      <c r="I2646" s="27" t="str">
        <f aca="false">IF(A2646="","",IF(H2646&lt;&gt;"",UPPER(TRIM(H2646)),IFERROR(CHOOSE(VALUE(E2646)+1,"A","B","C","D"),IF(OR(LEFT(UPPER(TRIM(E2646)),1)="F",UPPER(TRIM(E2646))="A"),"A",IF(OR(LEFT(UPPER(TRIM(E2646)),1)="M",UPPER(TRIM(E2646))="B"),"B",IF(OR(LEFT(UPPER(TRIM(E2646)),2)="SL",UPPER(TRIM(E2646))="C"),"C",IF(OR(LEFT(UPPER(TRIM(E2646)),1)="D",UPPER(TRIM(E2646))="D"),"D","")))))))</f>
        <v/>
      </c>
      <c r="J2646" s="27" t="str">
        <f aca="false">IF(I2646="","",IF(AND(I2646="D",Settings!$B$6&lt;&gt;"Yes"),"",IFERROR(INDEX(Settings!$C$9:$C$12,MATCH(I2646,Settings!$A$9:$A$12,0)),"")))</f>
        <v/>
      </c>
      <c r="K2646" s="27" t="str">
        <f aca="false">IF(J2646="","",COUNTIF($I$2:I2646,I2646))</f>
        <v/>
      </c>
      <c r="L2646" s="27" t="str">
        <f aca="false">IF(J2646="","",CHOOSE(Q2646+1,"Tue","Wed","Thu","Fri"))</f>
        <v/>
      </c>
      <c r="M2646" s="27" t="str">
        <f aca="false">IF(J2646="","",IF(J2646=1,"Every week",R2646+1&amp;" of "&amp;J2646))</f>
        <v/>
      </c>
      <c r="N2646" s="28" t="str">
        <f aca="false">IF(J2646="","",Settings!$B$4+R2646*7+Q2646)</f>
        <v/>
      </c>
      <c r="O2646" s="28" t="str">
        <f aca="true">IF(J2646="","",N2646+MAX(0,ROUNDUP((TODAY()-N2646)/(J2646*7),0))*J2646*7)</f>
        <v/>
      </c>
      <c r="P2646" s="27" t="str">
        <f aca="false">IF(J2646="","",MOD(K2646-1,J2646*4))</f>
        <v/>
      </c>
      <c r="Q2646" s="27" t="str">
        <f aca="false">IF(J2646="","",MOD(P2646,4))</f>
        <v/>
      </c>
      <c r="R2646" s="27" t="str">
        <f aca="false">IF(J2646="","",INT(P2646/4))</f>
        <v/>
      </c>
      <c r="S2646" s="27" t="str">
        <f aca="false">IF(J2646="","",IF(AND('Daily Count Sheet'!$H$3=Q2646,MOD('Daily Count Sheet'!$I$3,J2646)=R2646),1,""))</f>
        <v/>
      </c>
      <c r="T2646" s="27" t="str">
        <f aca="false">IF(S2646=1,COUNTIF($S$2:S2646,1),"")</f>
        <v/>
      </c>
    </row>
    <row r="2647" customFormat="false" ht="15" hidden="false" customHeight="false" outlineLevel="0" collapsed="false">
      <c r="H2647" s="26"/>
      <c r="I2647" s="27" t="str">
        <f aca="false">IF(A2647="","",IF(H2647&lt;&gt;"",UPPER(TRIM(H2647)),IFERROR(CHOOSE(VALUE(E2647)+1,"A","B","C","D"),IF(OR(LEFT(UPPER(TRIM(E2647)),1)="F",UPPER(TRIM(E2647))="A"),"A",IF(OR(LEFT(UPPER(TRIM(E2647)),1)="M",UPPER(TRIM(E2647))="B"),"B",IF(OR(LEFT(UPPER(TRIM(E2647)),2)="SL",UPPER(TRIM(E2647))="C"),"C",IF(OR(LEFT(UPPER(TRIM(E2647)),1)="D",UPPER(TRIM(E2647))="D"),"D","")))))))</f>
        <v/>
      </c>
      <c r="J2647" s="27" t="str">
        <f aca="false">IF(I2647="","",IF(AND(I2647="D",Settings!$B$6&lt;&gt;"Yes"),"",IFERROR(INDEX(Settings!$C$9:$C$12,MATCH(I2647,Settings!$A$9:$A$12,0)),"")))</f>
        <v/>
      </c>
      <c r="K2647" s="27" t="str">
        <f aca="false">IF(J2647="","",COUNTIF($I$2:I2647,I2647))</f>
        <v/>
      </c>
      <c r="L2647" s="27" t="str">
        <f aca="false">IF(J2647="","",CHOOSE(Q2647+1,"Tue","Wed","Thu","Fri"))</f>
        <v/>
      </c>
      <c r="M2647" s="27" t="str">
        <f aca="false">IF(J2647="","",IF(J2647=1,"Every week",R2647+1&amp;" of "&amp;J2647))</f>
        <v/>
      </c>
      <c r="N2647" s="28" t="str">
        <f aca="false">IF(J2647="","",Settings!$B$4+R2647*7+Q2647)</f>
        <v/>
      </c>
      <c r="O2647" s="28" t="str">
        <f aca="true">IF(J2647="","",N2647+MAX(0,ROUNDUP((TODAY()-N2647)/(J2647*7),0))*J2647*7)</f>
        <v/>
      </c>
      <c r="P2647" s="27" t="str">
        <f aca="false">IF(J2647="","",MOD(K2647-1,J2647*4))</f>
        <v/>
      </c>
      <c r="Q2647" s="27" t="str">
        <f aca="false">IF(J2647="","",MOD(P2647,4))</f>
        <v/>
      </c>
      <c r="R2647" s="27" t="str">
        <f aca="false">IF(J2647="","",INT(P2647/4))</f>
        <v/>
      </c>
      <c r="S2647" s="27" t="str">
        <f aca="false">IF(J2647="","",IF(AND('Daily Count Sheet'!$H$3=Q2647,MOD('Daily Count Sheet'!$I$3,J2647)=R2647),1,""))</f>
        <v/>
      </c>
      <c r="T2647" s="27" t="str">
        <f aca="false">IF(S2647=1,COUNTIF($S$2:S2647,1),"")</f>
        <v/>
      </c>
    </row>
    <row r="2648" customFormat="false" ht="15" hidden="false" customHeight="false" outlineLevel="0" collapsed="false">
      <c r="H2648" s="26"/>
      <c r="I2648" s="27" t="str">
        <f aca="false">IF(A2648="","",IF(H2648&lt;&gt;"",UPPER(TRIM(H2648)),IFERROR(CHOOSE(VALUE(E2648)+1,"A","B","C","D"),IF(OR(LEFT(UPPER(TRIM(E2648)),1)="F",UPPER(TRIM(E2648))="A"),"A",IF(OR(LEFT(UPPER(TRIM(E2648)),1)="M",UPPER(TRIM(E2648))="B"),"B",IF(OR(LEFT(UPPER(TRIM(E2648)),2)="SL",UPPER(TRIM(E2648))="C"),"C",IF(OR(LEFT(UPPER(TRIM(E2648)),1)="D",UPPER(TRIM(E2648))="D"),"D","")))))))</f>
        <v/>
      </c>
      <c r="J2648" s="27" t="str">
        <f aca="false">IF(I2648="","",IF(AND(I2648="D",Settings!$B$6&lt;&gt;"Yes"),"",IFERROR(INDEX(Settings!$C$9:$C$12,MATCH(I2648,Settings!$A$9:$A$12,0)),"")))</f>
        <v/>
      </c>
      <c r="K2648" s="27" t="str">
        <f aca="false">IF(J2648="","",COUNTIF($I$2:I2648,I2648))</f>
        <v/>
      </c>
      <c r="L2648" s="27" t="str">
        <f aca="false">IF(J2648="","",CHOOSE(Q2648+1,"Tue","Wed","Thu","Fri"))</f>
        <v/>
      </c>
      <c r="M2648" s="27" t="str">
        <f aca="false">IF(J2648="","",IF(J2648=1,"Every week",R2648+1&amp;" of "&amp;J2648))</f>
        <v/>
      </c>
      <c r="N2648" s="28" t="str">
        <f aca="false">IF(J2648="","",Settings!$B$4+R2648*7+Q2648)</f>
        <v/>
      </c>
      <c r="O2648" s="28" t="str">
        <f aca="true">IF(J2648="","",N2648+MAX(0,ROUNDUP((TODAY()-N2648)/(J2648*7),0))*J2648*7)</f>
        <v/>
      </c>
      <c r="P2648" s="27" t="str">
        <f aca="false">IF(J2648="","",MOD(K2648-1,J2648*4))</f>
        <v/>
      </c>
      <c r="Q2648" s="27" t="str">
        <f aca="false">IF(J2648="","",MOD(P2648,4))</f>
        <v/>
      </c>
      <c r="R2648" s="27" t="str">
        <f aca="false">IF(J2648="","",INT(P2648/4))</f>
        <v/>
      </c>
      <c r="S2648" s="27" t="str">
        <f aca="false">IF(J2648="","",IF(AND('Daily Count Sheet'!$H$3=Q2648,MOD('Daily Count Sheet'!$I$3,J2648)=R2648),1,""))</f>
        <v/>
      </c>
      <c r="T2648" s="27" t="str">
        <f aca="false">IF(S2648=1,COUNTIF($S$2:S2648,1),"")</f>
        <v/>
      </c>
    </row>
    <row r="2649" customFormat="false" ht="15" hidden="false" customHeight="false" outlineLevel="0" collapsed="false">
      <c r="H2649" s="26"/>
      <c r="I2649" s="27" t="str">
        <f aca="false">IF(A2649="","",IF(H2649&lt;&gt;"",UPPER(TRIM(H2649)),IFERROR(CHOOSE(VALUE(E2649)+1,"A","B","C","D"),IF(OR(LEFT(UPPER(TRIM(E2649)),1)="F",UPPER(TRIM(E2649))="A"),"A",IF(OR(LEFT(UPPER(TRIM(E2649)),1)="M",UPPER(TRIM(E2649))="B"),"B",IF(OR(LEFT(UPPER(TRIM(E2649)),2)="SL",UPPER(TRIM(E2649))="C"),"C",IF(OR(LEFT(UPPER(TRIM(E2649)),1)="D",UPPER(TRIM(E2649))="D"),"D","")))))))</f>
        <v/>
      </c>
      <c r="J2649" s="27" t="str">
        <f aca="false">IF(I2649="","",IF(AND(I2649="D",Settings!$B$6&lt;&gt;"Yes"),"",IFERROR(INDEX(Settings!$C$9:$C$12,MATCH(I2649,Settings!$A$9:$A$12,0)),"")))</f>
        <v/>
      </c>
      <c r="K2649" s="27" t="str">
        <f aca="false">IF(J2649="","",COUNTIF($I$2:I2649,I2649))</f>
        <v/>
      </c>
      <c r="L2649" s="27" t="str">
        <f aca="false">IF(J2649="","",CHOOSE(Q2649+1,"Tue","Wed","Thu","Fri"))</f>
        <v/>
      </c>
      <c r="M2649" s="27" t="str">
        <f aca="false">IF(J2649="","",IF(J2649=1,"Every week",R2649+1&amp;" of "&amp;J2649))</f>
        <v/>
      </c>
      <c r="N2649" s="28" t="str">
        <f aca="false">IF(J2649="","",Settings!$B$4+R2649*7+Q2649)</f>
        <v/>
      </c>
      <c r="O2649" s="28" t="str">
        <f aca="true">IF(J2649="","",N2649+MAX(0,ROUNDUP((TODAY()-N2649)/(J2649*7),0))*J2649*7)</f>
        <v/>
      </c>
      <c r="P2649" s="27" t="str">
        <f aca="false">IF(J2649="","",MOD(K2649-1,J2649*4))</f>
        <v/>
      </c>
      <c r="Q2649" s="27" t="str">
        <f aca="false">IF(J2649="","",MOD(P2649,4))</f>
        <v/>
      </c>
      <c r="R2649" s="27" t="str">
        <f aca="false">IF(J2649="","",INT(P2649/4))</f>
        <v/>
      </c>
      <c r="S2649" s="27" t="str">
        <f aca="false">IF(J2649="","",IF(AND('Daily Count Sheet'!$H$3=Q2649,MOD('Daily Count Sheet'!$I$3,J2649)=R2649),1,""))</f>
        <v/>
      </c>
      <c r="T2649" s="27" t="str">
        <f aca="false">IF(S2649=1,COUNTIF($S$2:S2649,1),"")</f>
        <v/>
      </c>
    </row>
    <row r="2650" customFormat="false" ht="15" hidden="false" customHeight="false" outlineLevel="0" collapsed="false">
      <c r="H2650" s="26"/>
      <c r="I2650" s="27" t="str">
        <f aca="false">IF(A2650="","",IF(H2650&lt;&gt;"",UPPER(TRIM(H2650)),IFERROR(CHOOSE(VALUE(E2650)+1,"A","B","C","D"),IF(OR(LEFT(UPPER(TRIM(E2650)),1)="F",UPPER(TRIM(E2650))="A"),"A",IF(OR(LEFT(UPPER(TRIM(E2650)),1)="M",UPPER(TRIM(E2650))="B"),"B",IF(OR(LEFT(UPPER(TRIM(E2650)),2)="SL",UPPER(TRIM(E2650))="C"),"C",IF(OR(LEFT(UPPER(TRIM(E2650)),1)="D",UPPER(TRIM(E2650))="D"),"D","")))))))</f>
        <v/>
      </c>
      <c r="J2650" s="27" t="str">
        <f aca="false">IF(I2650="","",IF(AND(I2650="D",Settings!$B$6&lt;&gt;"Yes"),"",IFERROR(INDEX(Settings!$C$9:$C$12,MATCH(I2650,Settings!$A$9:$A$12,0)),"")))</f>
        <v/>
      </c>
      <c r="K2650" s="27" t="str">
        <f aca="false">IF(J2650="","",COUNTIF($I$2:I2650,I2650))</f>
        <v/>
      </c>
      <c r="L2650" s="27" t="str">
        <f aca="false">IF(J2650="","",CHOOSE(Q2650+1,"Tue","Wed","Thu","Fri"))</f>
        <v/>
      </c>
      <c r="M2650" s="27" t="str">
        <f aca="false">IF(J2650="","",IF(J2650=1,"Every week",R2650+1&amp;" of "&amp;J2650))</f>
        <v/>
      </c>
      <c r="N2650" s="28" t="str">
        <f aca="false">IF(J2650="","",Settings!$B$4+R2650*7+Q2650)</f>
        <v/>
      </c>
      <c r="O2650" s="28" t="str">
        <f aca="true">IF(J2650="","",N2650+MAX(0,ROUNDUP((TODAY()-N2650)/(J2650*7),0))*J2650*7)</f>
        <v/>
      </c>
      <c r="P2650" s="27" t="str">
        <f aca="false">IF(J2650="","",MOD(K2650-1,J2650*4))</f>
        <v/>
      </c>
      <c r="Q2650" s="27" t="str">
        <f aca="false">IF(J2650="","",MOD(P2650,4))</f>
        <v/>
      </c>
      <c r="R2650" s="27" t="str">
        <f aca="false">IF(J2650="","",INT(P2650/4))</f>
        <v/>
      </c>
      <c r="S2650" s="27" t="str">
        <f aca="false">IF(J2650="","",IF(AND('Daily Count Sheet'!$H$3=Q2650,MOD('Daily Count Sheet'!$I$3,J2650)=R2650),1,""))</f>
        <v/>
      </c>
      <c r="T2650" s="27" t="str">
        <f aca="false">IF(S2650=1,COUNTIF($S$2:S2650,1),"")</f>
        <v/>
      </c>
    </row>
    <row r="2651" customFormat="false" ht="15" hidden="false" customHeight="false" outlineLevel="0" collapsed="false">
      <c r="H2651" s="26"/>
      <c r="I2651" s="27" t="str">
        <f aca="false">IF(A2651="","",IF(H2651&lt;&gt;"",UPPER(TRIM(H2651)),IFERROR(CHOOSE(VALUE(E2651)+1,"A","B","C","D"),IF(OR(LEFT(UPPER(TRIM(E2651)),1)="F",UPPER(TRIM(E2651))="A"),"A",IF(OR(LEFT(UPPER(TRIM(E2651)),1)="M",UPPER(TRIM(E2651))="B"),"B",IF(OR(LEFT(UPPER(TRIM(E2651)),2)="SL",UPPER(TRIM(E2651))="C"),"C",IF(OR(LEFT(UPPER(TRIM(E2651)),1)="D",UPPER(TRIM(E2651))="D"),"D","")))))))</f>
        <v/>
      </c>
      <c r="J2651" s="27" t="str">
        <f aca="false">IF(I2651="","",IF(AND(I2651="D",Settings!$B$6&lt;&gt;"Yes"),"",IFERROR(INDEX(Settings!$C$9:$C$12,MATCH(I2651,Settings!$A$9:$A$12,0)),"")))</f>
        <v/>
      </c>
      <c r="K2651" s="27" t="str">
        <f aca="false">IF(J2651="","",COUNTIF($I$2:I2651,I2651))</f>
        <v/>
      </c>
      <c r="L2651" s="27" t="str">
        <f aca="false">IF(J2651="","",CHOOSE(Q2651+1,"Tue","Wed","Thu","Fri"))</f>
        <v/>
      </c>
      <c r="M2651" s="27" t="str">
        <f aca="false">IF(J2651="","",IF(J2651=1,"Every week",R2651+1&amp;" of "&amp;J2651))</f>
        <v/>
      </c>
      <c r="N2651" s="28" t="str">
        <f aca="false">IF(J2651="","",Settings!$B$4+R2651*7+Q2651)</f>
        <v/>
      </c>
      <c r="O2651" s="28" t="str">
        <f aca="true">IF(J2651="","",N2651+MAX(0,ROUNDUP((TODAY()-N2651)/(J2651*7),0))*J2651*7)</f>
        <v/>
      </c>
      <c r="P2651" s="27" t="str">
        <f aca="false">IF(J2651="","",MOD(K2651-1,J2651*4))</f>
        <v/>
      </c>
      <c r="Q2651" s="27" t="str">
        <f aca="false">IF(J2651="","",MOD(P2651,4))</f>
        <v/>
      </c>
      <c r="R2651" s="27" t="str">
        <f aca="false">IF(J2651="","",INT(P2651/4))</f>
        <v/>
      </c>
      <c r="S2651" s="27" t="str">
        <f aca="false">IF(J2651="","",IF(AND('Daily Count Sheet'!$H$3=Q2651,MOD('Daily Count Sheet'!$I$3,J2651)=R2651),1,""))</f>
        <v/>
      </c>
      <c r="T2651" s="27" t="str">
        <f aca="false">IF(S2651=1,COUNTIF($S$2:S2651,1),"")</f>
        <v/>
      </c>
    </row>
    <row r="2652" customFormat="false" ht="15" hidden="false" customHeight="false" outlineLevel="0" collapsed="false">
      <c r="H2652" s="26"/>
      <c r="I2652" s="27" t="str">
        <f aca="false">IF(A2652="","",IF(H2652&lt;&gt;"",UPPER(TRIM(H2652)),IFERROR(CHOOSE(VALUE(E2652)+1,"A","B","C","D"),IF(OR(LEFT(UPPER(TRIM(E2652)),1)="F",UPPER(TRIM(E2652))="A"),"A",IF(OR(LEFT(UPPER(TRIM(E2652)),1)="M",UPPER(TRIM(E2652))="B"),"B",IF(OR(LEFT(UPPER(TRIM(E2652)),2)="SL",UPPER(TRIM(E2652))="C"),"C",IF(OR(LEFT(UPPER(TRIM(E2652)),1)="D",UPPER(TRIM(E2652))="D"),"D","")))))))</f>
        <v/>
      </c>
      <c r="J2652" s="27" t="str">
        <f aca="false">IF(I2652="","",IF(AND(I2652="D",Settings!$B$6&lt;&gt;"Yes"),"",IFERROR(INDEX(Settings!$C$9:$C$12,MATCH(I2652,Settings!$A$9:$A$12,0)),"")))</f>
        <v/>
      </c>
      <c r="K2652" s="27" t="str">
        <f aca="false">IF(J2652="","",COUNTIF($I$2:I2652,I2652))</f>
        <v/>
      </c>
      <c r="L2652" s="27" t="str">
        <f aca="false">IF(J2652="","",CHOOSE(Q2652+1,"Tue","Wed","Thu","Fri"))</f>
        <v/>
      </c>
      <c r="M2652" s="27" t="str">
        <f aca="false">IF(J2652="","",IF(J2652=1,"Every week",R2652+1&amp;" of "&amp;J2652))</f>
        <v/>
      </c>
      <c r="N2652" s="28" t="str">
        <f aca="false">IF(J2652="","",Settings!$B$4+R2652*7+Q2652)</f>
        <v/>
      </c>
      <c r="O2652" s="28" t="str">
        <f aca="true">IF(J2652="","",N2652+MAX(0,ROUNDUP((TODAY()-N2652)/(J2652*7),0))*J2652*7)</f>
        <v/>
      </c>
      <c r="P2652" s="27" t="str">
        <f aca="false">IF(J2652="","",MOD(K2652-1,J2652*4))</f>
        <v/>
      </c>
      <c r="Q2652" s="27" t="str">
        <f aca="false">IF(J2652="","",MOD(P2652,4))</f>
        <v/>
      </c>
      <c r="R2652" s="27" t="str">
        <f aca="false">IF(J2652="","",INT(P2652/4))</f>
        <v/>
      </c>
      <c r="S2652" s="27" t="str">
        <f aca="false">IF(J2652="","",IF(AND('Daily Count Sheet'!$H$3=Q2652,MOD('Daily Count Sheet'!$I$3,J2652)=R2652),1,""))</f>
        <v/>
      </c>
      <c r="T2652" s="27" t="str">
        <f aca="false">IF(S2652=1,COUNTIF($S$2:S2652,1),"")</f>
        <v/>
      </c>
    </row>
    <row r="2653" customFormat="false" ht="15" hidden="false" customHeight="false" outlineLevel="0" collapsed="false">
      <c r="H2653" s="26"/>
      <c r="I2653" s="27" t="str">
        <f aca="false">IF(A2653="","",IF(H2653&lt;&gt;"",UPPER(TRIM(H2653)),IFERROR(CHOOSE(VALUE(E2653)+1,"A","B","C","D"),IF(OR(LEFT(UPPER(TRIM(E2653)),1)="F",UPPER(TRIM(E2653))="A"),"A",IF(OR(LEFT(UPPER(TRIM(E2653)),1)="M",UPPER(TRIM(E2653))="B"),"B",IF(OR(LEFT(UPPER(TRIM(E2653)),2)="SL",UPPER(TRIM(E2653))="C"),"C",IF(OR(LEFT(UPPER(TRIM(E2653)),1)="D",UPPER(TRIM(E2653))="D"),"D","")))))))</f>
        <v/>
      </c>
      <c r="J2653" s="27" t="str">
        <f aca="false">IF(I2653="","",IF(AND(I2653="D",Settings!$B$6&lt;&gt;"Yes"),"",IFERROR(INDEX(Settings!$C$9:$C$12,MATCH(I2653,Settings!$A$9:$A$12,0)),"")))</f>
        <v/>
      </c>
      <c r="K2653" s="27" t="str">
        <f aca="false">IF(J2653="","",COUNTIF($I$2:I2653,I2653))</f>
        <v/>
      </c>
      <c r="L2653" s="27" t="str">
        <f aca="false">IF(J2653="","",CHOOSE(Q2653+1,"Tue","Wed","Thu","Fri"))</f>
        <v/>
      </c>
      <c r="M2653" s="27" t="str">
        <f aca="false">IF(J2653="","",IF(J2653=1,"Every week",R2653+1&amp;" of "&amp;J2653))</f>
        <v/>
      </c>
      <c r="N2653" s="28" t="str">
        <f aca="false">IF(J2653="","",Settings!$B$4+R2653*7+Q2653)</f>
        <v/>
      </c>
      <c r="O2653" s="28" t="str">
        <f aca="true">IF(J2653="","",N2653+MAX(0,ROUNDUP((TODAY()-N2653)/(J2653*7),0))*J2653*7)</f>
        <v/>
      </c>
      <c r="P2653" s="27" t="str">
        <f aca="false">IF(J2653="","",MOD(K2653-1,J2653*4))</f>
        <v/>
      </c>
      <c r="Q2653" s="27" t="str">
        <f aca="false">IF(J2653="","",MOD(P2653,4))</f>
        <v/>
      </c>
      <c r="R2653" s="27" t="str">
        <f aca="false">IF(J2653="","",INT(P2653/4))</f>
        <v/>
      </c>
      <c r="S2653" s="27" t="str">
        <f aca="false">IF(J2653="","",IF(AND('Daily Count Sheet'!$H$3=Q2653,MOD('Daily Count Sheet'!$I$3,J2653)=R2653),1,""))</f>
        <v/>
      </c>
      <c r="T2653" s="27" t="str">
        <f aca="false">IF(S2653=1,COUNTIF($S$2:S2653,1),"")</f>
        <v/>
      </c>
    </row>
    <row r="2654" customFormat="false" ht="15" hidden="false" customHeight="false" outlineLevel="0" collapsed="false">
      <c r="H2654" s="26"/>
      <c r="I2654" s="27" t="str">
        <f aca="false">IF(A2654="","",IF(H2654&lt;&gt;"",UPPER(TRIM(H2654)),IFERROR(CHOOSE(VALUE(E2654)+1,"A","B","C","D"),IF(OR(LEFT(UPPER(TRIM(E2654)),1)="F",UPPER(TRIM(E2654))="A"),"A",IF(OR(LEFT(UPPER(TRIM(E2654)),1)="M",UPPER(TRIM(E2654))="B"),"B",IF(OR(LEFT(UPPER(TRIM(E2654)),2)="SL",UPPER(TRIM(E2654))="C"),"C",IF(OR(LEFT(UPPER(TRIM(E2654)),1)="D",UPPER(TRIM(E2654))="D"),"D","")))))))</f>
        <v/>
      </c>
      <c r="J2654" s="27" t="str">
        <f aca="false">IF(I2654="","",IF(AND(I2654="D",Settings!$B$6&lt;&gt;"Yes"),"",IFERROR(INDEX(Settings!$C$9:$C$12,MATCH(I2654,Settings!$A$9:$A$12,0)),"")))</f>
        <v/>
      </c>
      <c r="K2654" s="27" t="str">
        <f aca="false">IF(J2654="","",COUNTIF($I$2:I2654,I2654))</f>
        <v/>
      </c>
      <c r="L2654" s="27" t="str">
        <f aca="false">IF(J2654="","",CHOOSE(Q2654+1,"Tue","Wed","Thu","Fri"))</f>
        <v/>
      </c>
      <c r="M2654" s="27" t="str">
        <f aca="false">IF(J2654="","",IF(J2654=1,"Every week",R2654+1&amp;" of "&amp;J2654))</f>
        <v/>
      </c>
      <c r="N2654" s="28" t="str">
        <f aca="false">IF(J2654="","",Settings!$B$4+R2654*7+Q2654)</f>
        <v/>
      </c>
      <c r="O2654" s="28" t="str">
        <f aca="true">IF(J2654="","",N2654+MAX(0,ROUNDUP((TODAY()-N2654)/(J2654*7),0))*J2654*7)</f>
        <v/>
      </c>
      <c r="P2654" s="27" t="str">
        <f aca="false">IF(J2654="","",MOD(K2654-1,J2654*4))</f>
        <v/>
      </c>
      <c r="Q2654" s="27" t="str">
        <f aca="false">IF(J2654="","",MOD(P2654,4))</f>
        <v/>
      </c>
      <c r="R2654" s="27" t="str">
        <f aca="false">IF(J2654="","",INT(P2654/4))</f>
        <v/>
      </c>
      <c r="S2654" s="27" t="str">
        <f aca="false">IF(J2654="","",IF(AND('Daily Count Sheet'!$H$3=Q2654,MOD('Daily Count Sheet'!$I$3,J2654)=R2654),1,""))</f>
        <v/>
      </c>
      <c r="T2654" s="27" t="str">
        <f aca="false">IF(S2654=1,COUNTIF($S$2:S2654,1),"")</f>
        <v/>
      </c>
    </row>
    <row r="2655" customFormat="false" ht="15" hidden="false" customHeight="false" outlineLevel="0" collapsed="false">
      <c r="H2655" s="26"/>
      <c r="I2655" s="27" t="str">
        <f aca="false">IF(A2655="","",IF(H2655&lt;&gt;"",UPPER(TRIM(H2655)),IFERROR(CHOOSE(VALUE(E2655)+1,"A","B","C","D"),IF(OR(LEFT(UPPER(TRIM(E2655)),1)="F",UPPER(TRIM(E2655))="A"),"A",IF(OR(LEFT(UPPER(TRIM(E2655)),1)="M",UPPER(TRIM(E2655))="B"),"B",IF(OR(LEFT(UPPER(TRIM(E2655)),2)="SL",UPPER(TRIM(E2655))="C"),"C",IF(OR(LEFT(UPPER(TRIM(E2655)),1)="D",UPPER(TRIM(E2655))="D"),"D","")))))))</f>
        <v/>
      </c>
      <c r="J2655" s="27" t="str">
        <f aca="false">IF(I2655="","",IF(AND(I2655="D",Settings!$B$6&lt;&gt;"Yes"),"",IFERROR(INDEX(Settings!$C$9:$C$12,MATCH(I2655,Settings!$A$9:$A$12,0)),"")))</f>
        <v/>
      </c>
      <c r="K2655" s="27" t="str">
        <f aca="false">IF(J2655="","",COUNTIF($I$2:I2655,I2655))</f>
        <v/>
      </c>
      <c r="L2655" s="27" t="str">
        <f aca="false">IF(J2655="","",CHOOSE(Q2655+1,"Tue","Wed","Thu","Fri"))</f>
        <v/>
      </c>
      <c r="M2655" s="27" t="str">
        <f aca="false">IF(J2655="","",IF(J2655=1,"Every week",R2655+1&amp;" of "&amp;J2655))</f>
        <v/>
      </c>
      <c r="N2655" s="28" t="str">
        <f aca="false">IF(J2655="","",Settings!$B$4+R2655*7+Q2655)</f>
        <v/>
      </c>
      <c r="O2655" s="28" t="str">
        <f aca="true">IF(J2655="","",N2655+MAX(0,ROUNDUP((TODAY()-N2655)/(J2655*7),0))*J2655*7)</f>
        <v/>
      </c>
      <c r="P2655" s="27" t="str">
        <f aca="false">IF(J2655="","",MOD(K2655-1,J2655*4))</f>
        <v/>
      </c>
      <c r="Q2655" s="27" t="str">
        <f aca="false">IF(J2655="","",MOD(P2655,4))</f>
        <v/>
      </c>
      <c r="R2655" s="27" t="str">
        <f aca="false">IF(J2655="","",INT(P2655/4))</f>
        <v/>
      </c>
      <c r="S2655" s="27" t="str">
        <f aca="false">IF(J2655="","",IF(AND('Daily Count Sheet'!$H$3=Q2655,MOD('Daily Count Sheet'!$I$3,J2655)=R2655),1,""))</f>
        <v/>
      </c>
      <c r="T2655" s="27" t="str">
        <f aca="false">IF(S2655=1,COUNTIF($S$2:S2655,1),"")</f>
        <v/>
      </c>
    </row>
    <row r="2656" customFormat="false" ht="15" hidden="false" customHeight="false" outlineLevel="0" collapsed="false">
      <c r="H2656" s="26"/>
      <c r="I2656" s="27" t="str">
        <f aca="false">IF(A2656="","",IF(H2656&lt;&gt;"",UPPER(TRIM(H2656)),IFERROR(CHOOSE(VALUE(E2656)+1,"A","B","C","D"),IF(OR(LEFT(UPPER(TRIM(E2656)),1)="F",UPPER(TRIM(E2656))="A"),"A",IF(OR(LEFT(UPPER(TRIM(E2656)),1)="M",UPPER(TRIM(E2656))="B"),"B",IF(OR(LEFT(UPPER(TRIM(E2656)),2)="SL",UPPER(TRIM(E2656))="C"),"C",IF(OR(LEFT(UPPER(TRIM(E2656)),1)="D",UPPER(TRIM(E2656))="D"),"D","")))))))</f>
        <v/>
      </c>
      <c r="J2656" s="27" t="str">
        <f aca="false">IF(I2656="","",IF(AND(I2656="D",Settings!$B$6&lt;&gt;"Yes"),"",IFERROR(INDEX(Settings!$C$9:$C$12,MATCH(I2656,Settings!$A$9:$A$12,0)),"")))</f>
        <v/>
      </c>
      <c r="K2656" s="27" t="str">
        <f aca="false">IF(J2656="","",COUNTIF($I$2:I2656,I2656))</f>
        <v/>
      </c>
      <c r="L2656" s="27" t="str">
        <f aca="false">IF(J2656="","",CHOOSE(Q2656+1,"Tue","Wed","Thu","Fri"))</f>
        <v/>
      </c>
      <c r="M2656" s="27" t="str">
        <f aca="false">IF(J2656="","",IF(J2656=1,"Every week",R2656+1&amp;" of "&amp;J2656))</f>
        <v/>
      </c>
      <c r="N2656" s="28" t="str">
        <f aca="false">IF(J2656="","",Settings!$B$4+R2656*7+Q2656)</f>
        <v/>
      </c>
      <c r="O2656" s="28" t="str">
        <f aca="true">IF(J2656="","",N2656+MAX(0,ROUNDUP((TODAY()-N2656)/(J2656*7),0))*J2656*7)</f>
        <v/>
      </c>
      <c r="P2656" s="27" t="str">
        <f aca="false">IF(J2656="","",MOD(K2656-1,J2656*4))</f>
        <v/>
      </c>
      <c r="Q2656" s="27" t="str">
        <f aca="false">IF(J2656="","",MOD(P2656,4))</f>
        <v/>
      </c>
      <c r="R2656" s="27" t="str">
        <f aca="false">IF(J2656="","",INT(P2656/4))</f>
        <v/>
      </c>
      <c r="S2656" s="27" t="str">
        <f aca="false">IF(J2656="","",IF(AND('Daily Count Sheet'!$H$3=Q2656,MOD('Daily Count Sheet'!$I$3,J2656)=R2656),1,""))</f>
        <v/>
      </c>
      <c r="T2656" s="27" t="str">
        <f aca="false">IF(S2656=1,COUNTIF($S$2:S2656,1),"")</f>
        <v/>
      </c>
    </row>
    <row r="2657" customFormat="false" ht="15" hidden="false" customHeight="false" outlineLevel="0" collapsed="false">
      <c r="H2657" s="26"/>
      <c r="I2657" s="27" t="str">
        <f aca="false">IF(A2657="","",IF(H2657&lt;&gt;"",UPPER(TRIM(H2657)),IFERROR(CHOOSE(VALUE(E2657)+1,"A","B","C","D"),IF(OR(LEFT(UPPER(TRIM(E2657)),1)="F",UPPER(TRIM(E2657))="A"),"A",IF(OR(LEFT(UPPER(TRIM(E2657)),1)="M",UPPER(TRIM(E2657))="B"),"B",IF(OR(LEFT(UPPER(TRIM(E2657)),2)="SL",UPPER(TRIM(E2657))="C"),"C",IF(OR(LEFT(UPPER(TRIM(E2657)),1)="D",UPPER(TRIM(E2657))="D"),"D","")))))))</f>
        <v/>
      </c>
      <c r="J2657" s="27" t="str">
        <f aca="false">IF(I2657="","",IF(AND(I2657="D",Settings!$B$6&lt;&gt;"Yes"),"",IFERROR(INDEX(Settings!$C$9:$C$12,MATCH(I2657,Settings!$A$9:$A$12,0)),"")))</f>
        <v/>
      </c>
      <c r="K2657" s="27" t="str">
        <f aca="false">IF(J2657="","",COUNTIF($I$2:I2657,I2657))</f>
        <v/>
      </c>
      <c r="L2657" s="27" t="str">
        <f aca="false">IF(J2657="","",CHOOSE(Q2657+1,"Tue","Wed","Thu","Fri"))</f>
        <v/>
      </c>
      <c r="M2657" s="27" t="str">
        <f aca="false">IF(J2657="","",IF(J2657=1,"Every week",R2657+1&amp;" of "&amp;J2657))</f>
        <v/>
      </c>
      <c r="N2657" s="28" t="str">
        <f aca="false">IF(J2657="","",Settings!$B$4+R2657*7+Q2657)</f>
        <v/>
      </c>
      <c r="O2657" s="28" t="str">
        <f aca="true">IF(J2657="","",N2657+MAX(0,ROUNDUP((TODAY()-N2657)/(J2657*7),0))*J2657*7)</f>
        <v/>
      </c>
      <c r="P2657" s="27" t="str">
        <f aca="false">IF(J2657="","",MOD(K2657-1,J2657*4))</f>
        <v/>
      </c>
      <c r="Q2657" s="27" t="str">
        <f aca="false">IF(J2657="","",MOD(P2657,4))</f>
        <v/>
      </c>
      <c r="R2657" s="27" t="str">
        <f aca="false">IF(J2657="","",INT(P2657/4))</f>
        <v/>
      </c>
      <c r="S2657" s="27" t="str">
        <f aca="false">IF(J2657="","",IF(AND('Daily Count Sheet'!$H$3=Q2657,MOD('Daily Count Sheet'!$I$3,J2657)=R2657),1,""))</f>
        <v/>
      </c>
      <c r="T2657" s="27" t="str">
        <f aca="false">IF(S2657=1,COUNTIF($S$2:S2657,1),"")</f>
        <v/>
      </c>
    </row>
    <row r="2658" customFormat="false" ht="15" hidden="false" customHeight="false" outlineLevel="0" collapsed="false">
      <c r="H2658" s="26"/>
      <c r="I2658" s="27" t="str">
        <f aca="false">IF(A2658="","",IF(H2658&lt;&gt;"",UPPER(TRIM(H2658)),IFERROR(CHOOSE(VALUE(E2658)+1,"A","B","C","D"),IF(OR(LEFT(UPPER(TRIM(E2658)),1)="F",UPPER(TRIM(E2658))="A"),"A",IF(OR(LEFT(UPPER(TRIM(E2658)),1)="M",UPPER(TRIM(E2658))="B"),"B",IF(OR(LEFT(UPPER(TRIM(E2658)),2)="SL",UPPER(TRIM(E2658))="C"),"C",IF(OR(LEFT(UPPER(TRIM(E2658)),1)="D",UPPER(TRIM(E2658))="D"),"D","")))))))</f>
        <v/>
      </c>
      <c r="J2658" s="27" t="str">
        <f aca="false">IF(I2658="","",IF(AND(I2658="D",Settings!$B$6&lt;&gt;"Yes"),"",IFERROR(INDEX(Settings!$C$9:$C$12,MATCH(I2658,Settings!$A$9:$A$12,0)),"")))</f>
        <v/>
      </c>
      <c r="K2658" s="27" t="str">
        <f aca="false">IF(J2658="","",COUNTIF($I$2:I2658,I2658))</f>
        <v/>
      </c>
      <c r="L2658" s="27" t="str">
        <f aca="false">IF(J2658="","",CHOOSE(Q2658+1,"Tue","Wed","Thu","Fri"))</f>
        <v/>
      </c>
      <c r="M2658" s="27" t="str">
        <f aca="false">IF(J2658="","",IF(J2658=1,"Every week",R2658+1&amp;" of "&amp;J2658))</f>
        <v/>
      </c>
      <c r="N2658" s="28" t="str">
        <f aca="false">IF(J2658="","",Settings!$B$4+R2658*7+Q2658)</f>
        <v/>
      </c>
      <c r="O2658" s="28" t="str">
        <f aca="true">IF(J2658="","",N2658+MAX(0,ROUNDUP((TODAY()-N2658)/(J2658*7),0))*J2658*7)</f>
        <v/>
      </c>
      <c r="P2658" s="27" t="str">
        <f aca="false">IF(J2658="","",MOD(K2658-1,J2658*4))</f>
        <v/>
      </c>
      <c r="Q2658" s="27" t="str">
        <f aca="false">IF(J2658="","",MOD(P2658,4))</f>
        <v/>
      </c>
      <c r="R2658" s="27" t="str">
        <f aca="false">IF(J2658="","",INT(P2658/4))</f>
        <v/>
      </c>
      <c r="S2658" s="27" t="str">
        <f aca="false">IF(J2658="","",IF(AND('Daily Count Sheet'!$H$3=Q2658,MOD('Daily Count Sheet'!$I$3,J2658)=R2658),1,""))</f>
        <v/>
      </c>
      <c r="T2658" s="27" t="str">
        <f aca="false">IF(S2658=1,COUNTIF($S$2:S2658,1),"")</f>
        <v/>
      </c>
    </row>
    <row r="2659" customFormat="false" ht="15" hidden="false" customHeight="false" outlineLevel="0" collapsed="false">
      <c r="H2659" s="26"/>
      <c r="I2659" s="27" t="str">
        <f aca="false">IF(A2659="","",IF(H2659&lt;&gt;"",UPPER(TRIM(H2659)),IFERROR(CHOOSE(VALUE(E2659)+1,"A","B","C","D"),IF(OR(LEFT(UPPER(TRIM(E2659)),1)="F",UPPER(TRIM(E2659))="A"),"A",IF(OR(LEFT(UPPER(TRIM(E2659)),1)="M",UPPER(TRIM(E2659))="B"),"B",IF(OR(LEFT(UPPER(TRIM(E2659)),2)="SL",UPPER(TRIM(E2659))="C"),"C",IF(OR(LEFT(UPPER(TRIM(E2659)),1)="D",UPPER(TRIM(E2659))="D"),"D","")))))))</f>
        <v/>
      </c>
      <c r="J2659" s="27" t="str">
        <f aca="false">IF(I2659="","",IF(AND(I2659="D",Settings!$B$6&lt;&gt;"Yes"),"",IFERROR(INDEX(Settings!$C$9:$C$12,MATCH(I2659,Settings!$A$9:$A$12,0)),"")))</f>
        <v/>
      </c>
      <c r="K2659" s="27" t="str">
        <f aca="false">IF(J2659="","",COUNTIF($I$2:I2659,I2659))</f>
        <v/>
      </c>
      <c r="L2659" s="27" t="str">
        <f aca="false">IF(J2659="","",CHOOSE(Q2659+1,"Tue","Wed","Thu","Fri"))</f>
        <v/>
      </c>
      <c r="M2659" s="27" t="str">
        <f aca="false">IF(J2659="","",IF(J2659=1,"Every week",R2659+1&amp;" of "&amp;J2659))</f>
        <v/>
      </c>
      <c r="N2659" s="28" t="str">
        <f aca="false">IF(J2659="","",Settings!$B$4+R2659*7+Q2659)</f>
        <v/>
      </c>
      <c r="O2659" s="28" t="str">
        <f aca="true">IF(J2659="","",N2659+MAX(0,ROUNDUP((TODAY()-N2659)/(J2659*7),0))*J2659*7)</f>
        <v/>
      </c>
      <c r="P2659" s="27" t="str">
        <f aca="false">IF(J2659="","",MOD(K2659-1,J2659*4))</f>
        <v/>
      </c>
      <c r="Q2659" s="27" t="str">
        <f aca="false">IF(J2659="","",MOD(P2659,4))</f>
        <v/>
      </c>
      <c r="R2659" s="27" t="str">
        <f aca="false">IF(J2659="","",INT(P2659/4))</f>
        <v/>
      </c>
      <c r="S2659" s="27" t="str">
        <f aca="false">IF(J2659="","",IF(AND('Daily Count Sheet'!$H$3=Q2659,MOD('Daily Count Sheet'!$I$3,J2659)=R2659),1,""))</f>
        <v/>
      </c>
      <c r="T2659" s="27" t="str">
        <f aca="false">IF(S2659=1,COUNTIF($S$2:S2659,1),"")</f>
        <v/>
      </c>
    </row>
    <row r="2660" customFormat="false" ht="15" hidden="false" customHeight="false" outlineLevel="0" collapsed="false">
      <c r="H2660" s="26"/>
      <c r="I2660" s="27" t="str">
        <f aca="false">IF(A2660="","",IF(H2660&lt;&gt;"",UPPER(TRIM(H2660)),IFERROR(CHOOSE(VALUE(E2660)+1,"A","B","C","D"),IF(OR(LEFT(UPPER(TRIM(E2660)),1)="F",UPPER(TRIM(E2660))="A"),"A",IF(OR(LEFT(UPPER(TRIM(E2660)),1)="M",UPPER(TRIM(E2660))="B"),"B",IF(OR(LEFT(UPPER(TRIM(E2660)),2)="SL",UPPER(TRIM(E2660))="C"),"C",IF(OR(LEFT(UPPER(TRIM(E2660)),1)="D",UPPER(TRIM(E2660))="D"),"D","")))))))</f>
        <v/>
      </c>
      <c r="J2660" s="27" t="str">
        <f aca="false">IF(I2660="","",IF(AND(I2660="D",Settings!$B$6&lt;&gt;"Yes"),"",IFERROR(INDEX(Settings!$C$9:$C$12,MATCH(I2660,Settings!$A$9:$A$12,0)),"")))</f>
        <v/>
      </c>
      <c r="K2660" s="27" t="str">
        <f aca="false">IF(J2660="","",COUNTIF($I$2:I2660,I2660))</f>
        <v/>
      </c>
      <c r="L2660" s="27" t="str">
        <f aca="false">IF(J2660="","",CHOOSE(Q2660+1,"Tue","Wed","Thu","Fri"))</f>
        <v/>
      </c>
      <c r="M2660" s="27" t="str">
        <f aca="false">IF(J2660="","",IF(J2660=1,"Every week",R2660+1&amp;" of "&amp;J2660))</f>
        <v/>
      </c>
      <c r="N2660" s="28" t="str">
        <f aca="false">IF(J2660="","",Settings!$B$4+R2660*7+Q2660)</f>
        <v/>
      </c>
      <c r="O2660" s="28" t="str">
        <f aca="true">IF(J2660="","",N2660+MAX(0,ROUNDUP((TODAY()-N2660)/(J2660*7),0))*J2660*7)</f>
        <v/>
      </c>
      <c r="P2660" s="27" t="str">
        <f aca="false">IF(J2660="","",MOD(K2660-1,J2660*4))</f>
        <v/>
      </c>
      <c r="Q2660" s="27" t="str">
        <f aca="false">IF(J2660="","",MOD(P2660,4))</f>
        <v/>
      </c>
      <c r="R2660" s="27" t="str">
        <f aca="false">IF(J2660="","",INT(P2660/4))</f>
        <v/>
      </c>
      <c r="S2660" s="27" t="str">
        <f aca="false">IF(J2660="","",IF(AND('Daily Count Sheet'!$H$3=Q2660,MOD('Daily Count Sheet'!$I$3,J2660)=R2660),1,""))</f>
        <v/>
      </c>
      <c r="T2660" s="27" t="str">
        <f aca="false">IF(S2660=1,COUNTIF($S$2:S2660,1),"")</f>
        <v/>
      </c>
    </row>
    <row r="2661" customFormat="false" ht="15" hidden="false" customHeight="false" outlineLevel="0" collapsed="false">
      <c r="H2661" s="26"/>
      <c r="I2661" s="27" t="str">
        <f aca="false">IF(A2661="","",IF(H2661&lt;&gt;"",UPPER(TRIM(H2661)),IFERROR(CHOOSE(VALUE(E2661)+1,"A","B","C","D"),IF(OR(LEFT(UPPER(TRIM(E2661)),1)="F",UPPER(TRIM(E2661))="A"),"A",IF(OR(LEFT(UPPER(TRIM(E2661)),1)="M",UPPER(TRIM(E2661))="B"),"B",IF(OR(LEFT(UPPER(TRIM(E2661)),2)="SL",UPPER(TRIM(E2661))="C"),"C",IF(OR(LEFT(UPPER(TRIM(E2661)),1)="D",UPPER(TRIM(E2661))="D"),"D","")))))))</f>
        <v/>
      </c>
      <c r="J2661" s="27" t="str">
        <f aca="false">IF(I2661="","",IF(AND(I2661="D",Settings!$B$6&lt;&gt;"Yes"),"",IFERROR(INDEX(Settings!$C$9:$C$12,MATCH(I2661,Settings!$A$9:$A$12,0)),"")))</f>
        <v/>
      </c>
      <c r="K2661" s="27" t="str">
        <f aca="false">IF(J2661="","",COUNTIF($I$2:I2661,I2661))</f>
        <v/>
      </c>
      <c r="L2661" s="27" t="str">
        <f aca="false">IF(J2661="","",CHOOSE(Q2661+1,"Tue","Wed","Thu","Fri"))</f>
        <v/>
      </c>
      <c r="M2661" s="27" t="str">
        <f aca="false">IF(J2661="","",IF(J2661=1,"Every week",R2661+1&amp;" of "&amp;J2661))</f>
        <v/>
      </c>
      <c r="N2661" s="28" t="str">
        <f aca="false">IF(J2661="","",Settings!$B$4+R2661*7+Q2661)</f>
        <v/>
      </c>
      <c r="O2661" s="28" t="str">
        <f aca="true">IF(J2661="","",N2661+MAX(0,ROUNDUP((TODAY()-N2661)/(J2661*7),0))*J2661*7)</f>
        <v/>
      </c>
      <c r="P2661" s="27" t="str">
        <f aca="false">IF(J2661="","",MOD(K2661-1,J2661*4))</f>
        <v/>
      </c>
      <c r="Q2661" s="27" t="str">
        <f aca="false">IF(J2661="","",MOD(P2661,4))</f>
        <v/>
      </c>
      <c r="R2661" s="27" t="str">
        <f aca="false">IF(J2661="","",INT(P2661/4))</f>
        <v/>
      </c>
      <c r="S2661" s="27" t="str">
        <f aca="false">IF(J2661="","",IF(AND('Daily Count Sheet'!$H$3=Q2661,MOD('Daily Count Sheet'!$I$3,J2661)=R2661),1,""))</f>
        <v/>
      </c>
      <c r="T2661" s="27" t="str">
        <f aca="false">IF(S2661=1,COUNTIF($S$2:S2661,1),"")</f>
        <v/>
      </c>
    </row>
    <row r="2662" customFormat="false" ht="15" hidden="false" customHeight="false" outlineLevel="0" collapsed="false">
      <c r="H2662" s="26"/>
      <c r="I2662" s="27" t="str">
        <f aca="false">IF(A2662="","",IF(H2662&lt;&gt;"",UPPER(TRIM(H2662)),IFERROR(CHOOSE(VALUE(E2662)+1,"A","B","C","D"),IF(OR(LEFT(UPPER(TRIM(E2662)),1)="F",UPPER(TRIM(E2662))="A"),"A",IF(OR(LEFT(UPPER(TRIM(E2662)),1)="M",UPPER(TRIM(E2662))="B"),"B",IF(OR(LEFT(UPPER(TRIM(E2662)),2)="SL",UPPER(TRIM(E2662))="C"),"C",IF(OR(LEFT(UPPER(TRIM(E2662)),1)="D",UPPER(TRIM(E2662))="D"),"D","")))))))</f>
        <v/>
      </c>
      <c r="J2662" s="27" t="str">
        <f aca="false">IF(I2662="","",IF(AND(I2662="D",Settings!$B$6&lt;&gt;"Yes"),"",IFERROR(INDEX(Settings!$C$9:$C$12,MATCH(I2662,Settings!$A$9:$A$12,0)),"")))</f>
        <v/>
      </c>
      <c r="K2662" s="27" t="str">
        <f aca="false">IF(J2662="","",COUNTIF($I$2:I2662,I2662))</f>
        <v/>
      </c>
      <c r="L2662" s="27" t="str">
        <f aca="false">IF(J2662="","",CHOOSE(Q2662+1,"Tue","Wed","Thu","Fri"))</f>
        <v/>
      </c>
      <c r="M2662" s="27" t="str">
        <f aca="false">IF(J2662="","",IF(J2662=1,"Every week",R2662+1&amp;" of "&amp;J2662))</f>
        <v/>
      </c>
      <c r="N2662" s="28" t="str">
        <f aca="false">IF(J2662="","",Settings!$B$4+R2662*7+Q2662)</f>
        <v/>
      </c>
      <c r="O2662" s="28" t="str">
        <f aca="true">IF(J2662="","",N2662+MAX(0,ROUNDUP((TODAY()-N2662)/(J2662*7),0))*J2662*7)</f>
        <v/>
      </c>
      <c r="P2662" s="27" t="str">
        <f aca="false">IF(J2662="","",MOD(K2662-1,J2662*4))</f>
        <v/>
      </c>
      <c r="Q2662" s="27" t="str">
        <f aca="false">IF(J2662="","",MOD(P2662,4))</f>
        <v/>
      </c>
      <c r="R2662" s="27" t="str">
        <f aca="false">IF(J2662="","",INT(P2662/4))</f>
        <v/>
      </c>
      <c r="S2662" s="27" t="str">
        <f aca="false">IF(J2662="","",IF(AND('Daily Count Sheet'!$H$3=Q2662,MOD('Daily Count Sheet'!$I$3,J2662)=R2662),1,""))</f>
        <v/>
      </c>
      <c r="T2662" s="27" t="str">
        <f aca="false">IF(S2662=1,COUNTIF($S$2:S2662,1),"")</f>
        <v/>
      </c>
    </row>
    <row r="2663" customFormat="false" ht="15" hidden="false" customHeight="false" outlineLevel="0" collapsed="false">
      <c r="H2663" s="26"/>
      <c r="I2663" s="27" t="str">
        <f aca="false">IF(A2663="","",IF(H2663&lt;&gt;"",UPPER(TRIM(H2663)),IFERROR(CHOOSE(VALUE(E2663)+1,"A","B","C","D"),IF(OR(LEFT(UPPER(TRIM(E2663)),1)="F",UPPER(TRIM(E2663))="A"),"A",IF(OR(LEFT(UPPER(TRIM(E2663)),1)="M",UPPER(TRIM(E2663))="B"),"B",IF(OR(LEFT(UPPER(TRIM(E2663)),2)="SL",UPPER(TRIM(E2663))="C"),"C",IF(OR(LEFT(UPPER(TRIM(E2663)),1)="D",UPPER(TRIM(E2663))="D"),"D","")))))))</f>
        <v/>
      </c>
      <c r="J2663" s="27" t="str">
        <f aca="false">IF(I2663="","",IF(AND(I2663="D",Settings!$B$6&lt;&gt;"Yes"),"",IFERROR(INDEX(Settings!$C$9:$C$12,MATCH(I2663,Settings!$A$9:$A$12,0)),"")))</f>
        <v/>
      </c>
      <c r="K2663" s="27" t="str">
        <f aca="false">IF(J2663="","",COUNTIF($I$2:I2663,I2663))</f>
        <v/>
      </c>
      <c r="L2663" s="27" t="str">
        <f aca="false">IF(J2663="","",CHOOSE(Q2663+1,"Tue","Wed","Thu","Fri"))</f>
        <v/>
      </c>
      <c r="M2663" s="27" t="str">
        <f aca="false">IF(J2663="","",IF(J2663=1,"Every week",R2663+1&amp;" of "&amp;J2663))</f>
        <v/>
      </c>
      <c r="N2663" s="28" t="str">
        <f aca="false">IF(J2663="","",Settings!$B$4+R2663*7+Q2663)</f>
        <v/>
      </c>
      <c r="O2663" s="28" t="str">
        <f aca="true">IF(J2663="","",N2663+MAX(0,ROUNDUP((TODAY()-N2663)/(J2663*7),0))*J2663*7)</f>
        <v/>
      </c>
      <c r="P2663" s="27" t="str">
        <f aca="false">IF(J2663="","",MOD(K2663-1,J2663*4))</f>
        <v/>
      </c>
      <c r="Q2663" s="27" t="str">
        <f aca="false">IF(J2663="","",MOD(P2663,4))</f>
        <v/>
      </c>
      <c r="R2663" s="27" t="str">
        <f aca="false">IF(J2663="","",INT(P2663/4))</f>
        <v/>
      </c>
      <c r="S2663" s="27" t="str">
        <f aca="false">IF(J2663="","",IF(AND('Daily Count Sheet'!$H$3=Q2663,MOD('Daily Count Sheet'!$I$3,J2663)=R2663),1,""))</f>
        <v/>
      </c>
      <c r="T2663" s="27" t="str">
        <f aca="false">IF(S2663=1,COUNTIF($S$2:S2663,1),"")</f>
        <v/>
      </c>
    </row>
    <row r="2664" customFormat="false" ht="15" hidden="false" customHeight="false" outlineLevel="0" collapsed="false">
      <c r="H2664" s="26"/>
      <c r="I2664" s="27" t="str">
        <f aca="false">IF(A2664="","",IF(H2664&lt;&gt;"",UPPER(TRIM(H2664)),IFERROR(CHOOSE(VALUE(E2664)+1,"A","B","C","D"),IF(OR(LEFT(UPPER(TRIM(E2664)),1)="F",UPPER(TRIM(E2664))="A"),"A",IF(OR(LEFT(UPPER(TRIM(E2664)),1)="M",UPPER(TRIM(E2664))="B"),"B",IF(OR(LEFT(UPPER(TRIM(E2664)),2)="SL",UPPER(TRIM(E2664))="C"),"C",IF(OR(LEFT(UPPER(TRIM(E2664)),1)="D",UPPER(TRIM(E2664))="D"),"D","")))))))</f>
        <v/>
      </c>
      <c r="J2664" s="27" t="str">
        <f aca="false">IF(I2664="","",IF(AND(I2664="D",Settings!$B$6&lt;&gt;"Yes"),"",IFERROR(INDEX(Settings!$C$9:$C$12,MATCH(I2664,Settings!$A$9:$A$12,0)),"")))</f>
        <v/>
      </c>
      <c r="K2664" s="27" t="str">
        <f aca="false">IF(J2664="","",COUNTIF($I$2:I2664,I2664))</f>
        <v/>
      </c>
      <c r="L2664" s="27" t="str">
        <f aca="false">IF(J2664="","",CHOOSE(Q2664+1,"Tue","Wed","Thu","Fri"))</f>
        <v/>
      </c>
      <c r="M2664" s="27" t="str">
        <f aca="false">IF(J2664="","",IF(J2664=1,"Every week",R2664+1&amp;" of "&amp;J2664))</f>
        <v/>
      </c>
      <c r="N2664" s="28" t="str">
        <f aca="false">IF(J2664="","",Settings!$B$4+R2664*7+Q2664)</f>
        <v/>
      </c>
      <c r="O2664" s="28" t="str">
        <f aca="true">IF(J2664="","",N2664+MAX(0,ROUNDUP((TODAY()-N2664)/(J2664*7),0))*J2664*7)</f>
        <v/>
      </c>
      <c r="P2664" s="27" t="str">
        <f aca="false">IF(J2664="","",MOD(K2664-1,J2664*4))</f>
        <v/>
      </c>
      <c r="Q2664" s="27" t="str">
        <f aca="false">IF(J2664="","",MOD(P2664,4))</f>
        <v/>
      </c>
      <c r="R2664" s="27" t="str">
        <f aca="false">IF(J2664="","",INT(P2664/4))</f>
        <v/>
      </c>
      <c r="S2664" s="27" t="str">
        <f aca="false">IF(J2664="","",IF(AND('Daily Count Sheet'!$H$3=Q2664,MOD('Daily Count Sheet'!$I$3,J2664)=R2664),1,""))</f>
        <v/>
      </c>
      <c r="T2664" s="27" t="str">
        <f aca="false">IF(S2664=1,COUNTIF($S$2:S2664,1),"")</f>
        <v/>
      </c>
    </row>
    <row r="2665" customFormat="false" ht="15" hidden="false" customHeight="false" outlineLevel="0" collapsed="false">
      <c r="H2665" s="26"/>
      <c r="I2665" s="27" t="str">
        <f aca="false">IF(A2665="","",IF(H2665&lt;&gt;"",UPPER(TRIM(H2665)),IFERROR(CHOOSE(VALUE(E2665)+1,"A","B","C","D"),IF(OR(LEFT(UPPER(TRIM(E2665)),1)="F",UPPER(TRIM(E2665))="A"),"A",IF(OR(LEFT(UPPER(TRIM(E2665)),1)="M",UPPER(TRIM(E2665))="B"),"B",IF(OR(LEFT(UPPER(TRIM(E2665)),2)="SL",UPPER(TRIM(E2665))="C"),"C",IF(OR(LEFT(UPPER(TRIM(E2665)),1)="D",UPPER(TRIM(E2665))="D"),"D","")))))))</f>
        <v/>
      </c>
      <c r="J2665" s="27" t="str">
        <f aca="false">IF(I2665="","",IF(AND(I2665="D",Settings!$B$6&lt;&gt;"Yes"),"",IFERROR(INDEX(Settings!$C$9:$C$12,MATCH(I2665,Settings!$A$9:$A$12,0)),"")))</f>
        <v/>
      </c>
      <c r="K2665" s="27" t="str">
        <f aca="false">IF(J2665="","",COUNTIF($I$2:I2665,I2665))</f>
        <v/>
      </c>
      <c r="L2665" s="27" t="str">
        <f aca="false">IF(J2665="","",CHOOSE(Q2665+1,"Tue","Wed","Thu","Fri"))</f>
        <v/>
      </c>
      <c r="M2665" s="27" t="str">
        <f aca="false">IF(J2665="","",IF(J2665=1,"Every week",R2665+1&amp;" of "&amp;J2665))</f>
        <v/>
      </c>
      <c r="N2665" s="28" t="str">
        <f aca="false">IF(J2665="","",Settings!$B$4+R2665*7+Q2665)</f>
        <v/>
      </c>
      <c r="O2665" s="28" t="str">
        <f aca="true">IF(J2665="","",N2665+MAX(0,ROUNDUP((TODAY()-N2665)/(J2665*7),0))*J2665*7)</f>
        <v/>
      </c>
      <c r="P2665" s="27" t="str">
        <f aca="false">IF(J2665="","",MOD(K2665-1,J2665*4))</f>
        <v/>
      </c>
      <c r="Q2665" s="27" t="str">
        <f aca="false">IF(J2665="","",MOD(P2665,4))</f>
        <v/>
      </c>
      <c r="R2665" s="27" t="str">
        <f aca="false">IF(J2665="","",INT(P2665/4))</f>
        <v/>
      </c>
      <c r="S2665" s="27" t="str">
        <f aca="false">IF(J2665="","",IF(AND('Daily Count Sheet'!$H$3=Q2665,MOD('Daily Count Sheet'!$I$3,J2665)=R2665),1,""))</f>
        <v/>
      </c>
      <c r="T2665" s="27" t="str">
        <f aca="false">IF(S2665=1,COUNTIF($S$2:S2665,1),"")</f>
        <v/>
      </c>
    </row>
    <row r="2666" customFormat="false" ht="15" hidden="false" customHeight="false" outlineLevel="0" collapsed="false">
      <c r="H2666" s="26"/>
      <c r="I2666" s="27" t="str">
        <f aca="false">IF(A2666="","",IF(H2666&lt;&gt;"",UPPER(TRIM(H2666)),IFERROR(CHOOSE(VALUE(E2666)+1,"A","B","C","D"),IF(OR(LEFT(UPPER(TRIM(E2666)),1)="F",UPPER(TRIM(E2666))="A"),"A",IF(OR(LEFT(UPPER(TRIM(E2666)),1)="M",UPPER(TRIM(E2666))="B"),"B",IF(OR(LEFT(UPPER(TRIM(E2666)),2)="SL",UPPER(TRIM(E2666))="C"),"C",IF(OR(LEFT(UPPER(TRIM(E2666)),1)="D",UPPER(TRIM(E2666))="D"),"D","")))))))</f>
        <v/>
      </c>
      <c r="J2666" s="27" t="str">
        <f aca="false">IF(I2666="","",IF(AND(I2666="D",Settings!$B$6&lt;&gt;"Yes"),"",IFERROR(INDEX(Settings!$C$9:$C$12,MATCH(I2666,Settings!$A$9:$A$12,0)),"")))</f>
        <v/>
      </c>
      <c r="K2666" s="27" t="str">
        <f aca="false">IF(J2666="","",COUNTIF($I$2:I2666,I2666))</f>
        <v/>
      </c>
      <c r="L2666" s="27" t="str">
        <f aca="false">IF(J2666="","",CHOOSE(Q2666+1,"Tue","Wed","Thu","Fri"))</f>
        <v/>
      </c>
      <c r="M2666" s="27" t="str">
        <f aca="false">IF(J2666="","",IF(J2666=1,"Every week",R2666+1&amp;" of "&amp;J2666))</f>
        <v/>
      </c>
      <c r="N2666" s="28" t="str">
        <f aca="false">IF(J2666="","",Settings!$B$4+R2666*7+Q2666)</f>
        <v/>
      </c>
      <c r="O2666" s="28" t="str">
        <f aca="true">IF(J2666="","",N2666+MAX(0,ROUNDUP((TODAY()-N2666)/(J2666*7),0))*J2666*7)</f>
        <v/>
      </c>
      <c r="P2666" s="27" t="str">
        <f aca="false">IF(J2666="","",MOD(K2666-1,J2666*4))</f>
        <v/>
      </c>
      <c r="Q2666" s="27" t="str">
        <f aca="false">IF(J2666="","",MOD(P2666,4))</f>
        <v/>
      </c>
      <c r="R2666" s="27" t="str">
        <f aca="false">IF(J2666="","",INT(P2666/4))</f>
        <v/>
      </c>
      <c r="S2666" s="27" t="str">
        <f aca="false">IF(J2666="","",IF(AND('Daily Count Sheet'!$H$3=Q2666,MOD('Daily Count Sheet'!$I$3,J2666)=R2666),1,""))</f>
        <v/>
      </c>
      <c r="T2666" s="27" t="str">
        <f aca="false">IF(S2666=1,COUNTIF($S$2:S2666,1),"")</f>
        <v/>
      </c>
    </row>
    <row r="2667" customFormat="false" ht="15" hidden="false" customHeight="false" outlineLevel="0" collapsed="false">
      <c r="H2667" s="26"/>
      <c r="I2667" s="27" t="str">
        <f aca="false">IF(A2667="","",IF(H2667&lt;&gt;"",UPPER(TRIM(H2667)),IFERROR(CHOOSE(VALUE(E2667)+1,"A","B","C","D"),IF(OR(LEFT(UPPER(TRIM(E2667)),1)="F",UPPER(TRIM(E2667))="A"),"A",IF(OR(LEFT(UPPER(TRIM(E2667)),1)="M",UPPER(TRIM(E2667))="B"),"B",IF(OR(LEFT(UPPER(TRIM(E2667)),2)="SL",UPPER(TRIM(E2667))="C"),"C",IF(OR(LEFT(UPPER(TRIM(E2667)),1)="D",UPPER(TRIM(E2667))="D"),"D","")))))))</f>
        <v/>
      </c>
      <c r="J2667" s="27" t="str">
        <f aca="false">IF(I2667="","",IF(AND(I2667="D",Settings!$B$6&lt;&gt;"Yes"),"",IFERROR(INDEX(Settings!$C$9:$C$12,MATCH(I2667,Settings!$A$9:$A$12,0)),"")))</f>
        <v/>
      </c>
      <c r="K2667" s="27" t="str">
        <f aca="false">IF(J2667="","",COUNTIF($I$2:I2667,I2667))</f>
        <v/>
      </c>
      <c r="L2667" s="27" t="str">
        <f aca="false">IF(J2667="","",CHOOSE(Q2667+1,"Tue","Wed","Thu","Fri"))</f>
        <v/>
      </c>
      <c r="M2667" s="27" t="str">
        <f aca="false">IF(J2667="","",IF(J2667=1,"Every week",R2667+1&amp;" of "&amp;J2667))</f>
        <v/>
      </c>
      <c r="N2667" s="28" t="str">
        <f aca="false">IF(J2667="","",Settings!$B$4+R2667*7+Q2667)</f>
        <v/>
      </c>
      <c r="O2667" s="28" t="str">
        <f aca="true">IF(J2667="","",N2667+MAX(0,ROUNDUP((TODAY()-N2667)/(J2667*7),0))*J2667*7)</f>
        <v/>
      </c>
      <c r="P2667" s="27" t="str">
        <f aca="false">IF(J2667="","",MOD(K2667-1,J2667*4))</f>
        <v/>
      </c>
      <c r="Q2667" s="27" t="str">
        <f aca="false">IF(J2667="","",MOD(P2667,4))</f>
        <v/>
      </c>
      <c r="R2667" s="27" t="str">
        <f aca="false">IF(J2667="","",INT(P2667/4))</f>
        <v/>
      </c>
      <c r="S2667" s="27" t="str">
        <f aca="false">IF(J2667="","",IF(AND('Daily Count Sheet'!$H$3=Q2667,MOD('Daily Count Sheet'!$I$3,J2667)=R2667),1,""))</f>
        <v/>
      </c>
      <c r="T2667" s="27" t="str">
        <f aca="false">IF(S2667=1,COUNTIF($S$2:S2667,1),"")</f>
        <v/>
      </c>
    </row>
    <row r="2668" customFormat="false" ht="15" hidden="false" customHeight="false" outlineLevel="0" collapsed="false">
      <c r="H2668" s="26"/>
      <c r="I2668" s="27" t="str">
        <f aca="false">IF(A2668="","",IF(H2668&lt;&gt;"",UPPER(TRIM(H2668)),IFERROR(CHOOSE(VALUE(E2668)+1,"A","B","C","D"),IF(OR(LEFT(UPPER(TRIM(E2668)),1)="F",UPPER(TRIM(E2668))="A"),"A",IF(OR(LEFT(UPPER(TRIM(E2668)),1)="M",UPPER(TRIM(E2668))="B"),"B",IF(OR(LEFT(UPPER(TRIM(E2668)),2)="SL",UPPER(TRIM(E2668))="C"),"C",IF(OR(LEFT(UPPER(TRIM(E2668)),1)="D",UPPER(TRIM(E2668))="D"),"D","")))))))</f>
        <v/>
      </c>
      <c r="J2668" s="27" t="str">
        <f aca="false">IF(I2668="","",IF(AND(I2668="D",Settings!$B$6&lt;&gt;"Yes"),"",IFERROR(INDEX(Settings!$C$9:$C$12,MATCH(I2668,Settings!$A$9:$A$12,0)),"")))</f>
        <v/>
      </c>
      <c r="K2668" s="27" t="str">
        <f aca="false">IF(J2668="","",COUNTIF($I$2:I2668,I2668))</f>
        <v/>
      </c>
      <c r="L2668" s="27" t="str">
        <f aca="false">IF(J2668="","",CHOOSE(Q2668+1,"Tue","Wed","Thu","Fri"))</f>
        <v/>
      </c>
      <c r="M2668" s="27" t="str">
        <f aca="false">IF(J2668="","",IF(J2668=1,"Every week",R2668+1&amp;" of "&amp;J2668))</f>
        <v/>
      </c>
      <c r="N2668" s="28" t="str">
        <f aca="false">IF(J2668="","",Settings!$B$4+R2668*7+Q2668)</f>
        <v/>
      </c>
      <c r="O2668" s="28" t="str">
        <f aca="true">IF(J2668="","",N2668+MAX(0,ROUNDUP((TODAY()-N2668)/(J2668*7),0))*J2668*7)</f>
        <v/>
      </c>
      <c r="P2668" s="27" t="str">
        <f aca="false">IF(J2668="","",MOD(K2668-1,J2668*4))</f>
        <v/>
      </c>
      <c r="Q2668" s="27" t="str">
        <f aca="false">IF(J2668="","",MOD(P2668,4))</f>
        <v/>
      </c>
      <c r="R2668" s="27" t="str">
        <f aca="false">IF(J2668="","",INT(P2668/4))</f>
        <v/>
      </c>
      <c r="S2668" s="27" t="str">
        <f aca="false">IF(J2668="","",IF(AND('Daily Count Sheet'!$H$3=Q2668,MOD('Daily Count Sheet'!$I$3,J2668)=R2668),1,""))</f>
        <v/>
      </c>
      <c r="T2668" s="27" t="str">
        <f aca="false">IF(S2668=1,COUNTIF($S$2:S2668,1),"")</f>
        <v/>
      </c>
    </row>
    <row r="2669" customFormat="false" ht="15" hidden="false" customHeight="false" outlineLevel="0" collapsed="false">
      <c r="H2669" s="26"/>
      <c r="I2669" s="27" t="str">
        <f aca="false">IF(A2669="","",IF(H2669&lt;&gt;"",UPPER(TRIM(H2669)),IFERROR(CHOOSE(VALUE(E2669)+1,"A","B","C","D"),IF(OR(LEFT(UPPER(TRIM(E2669)),1)="F",UPPER(TRIM(E2669))="A"),"A",IF(OR(LEFT(UPPER(TRIM(E2669)),1)="M",UPPER(TRIM(E2669))="B"),"B",IF(OR(LEFT(UPPER(TRIM(E2669)),2)="SL",UPPER(TRIM(E2669))="C"),"C",IF(OR(LEFT(UPPER(TRIM(E2669)),1)="D",UPPER(TRIM(E2669))="D"),"D","")))))))</f>
        <v/>
      </c>
      <c r="J2669" s="27" t="str">
        <f aca="false">IF(I2669="","",IF(AND(I2669="D",Settings!$B$6&lt;&gt;"Yes"),"",IFERROR(INDEX(Settings!$C$9:$C$12,MATCH(I2669,Settings!$A$9:$A$12,0)),"")))</f>
        <v/>
      </c>
      <c r="K2669" s="27" t="str">
        <f aca="false">IF(J2669="","",COUNTIF($I$2:I2669,I2669))</f>
        <v/>
      </c>
      <c r="L2669" s="27" t="str">
        <f aca="false">IF(J2669="","",CHOOSE(Q2669+1,"Tue","Wed","Thu","Fri"))</f>
        <v/>
      </c>
      <c r="M2669" s="27" t="str">
        <f aca="false">IF(J2669="","",IF(J2669=1,"Every week",R2669+1&amp;" of "&amp;J2669))</f>
        <v/>
      </c>
      <c r="N2669" s="28" t="str">
        <f aca="false">IF(J2669="","",Settings!$B$4+R2669*7+Q2669)</f>
        <v/>
      </c>
      <c r="O2669" s="28" t="str">
        <f aca="true">IF(J2669="","",N2669+MAX(0,ROUNDUP((TODAY()-N2669)/(J2669*7),0))*J2669*7)</f>
        <v/>
      </c>
      <c r="P2669" s="27" t="str">
        <f aca="false">IF(J2669="","",MOD(K2669-1,J2669*4))</f>
        <v/>
      </c>
      <c r="Q2669" s="27" t="str">
        <f aca="false">IF(J2669="","",MOD(P2669,4))</f>
        <v/>
      </c>
      <c r="R2669" s="27" t="str">
        <f aca="false">IF(J2669="","",INT(P2669/4))</f>
        <v/>
      </c>
      <c r="S2669" s="27" t="str">
        <f aca="false">IF(J2669="","",IF(AND('Daily Count Sheet'!$H$3=Q2669,MOD('Daily Count Sheet'!$I$3,J2669)=R2669),1,""))</f>
        <v/>
      </c>
      <c r="T2669" s="27" t="str">
        <f aca="false">IF(S2669=1,COUNTIF($S$2:S2669,1),"")</f>
        <v/>
      </c>
    </row>
    <row r="2670" customFormat="false" ht="15" hidden="false" customHeight="false" outlineLevel="0" collapsed="false">
      <c r="H2670" s="26"/>
      <c r="I2670" s="27" t="str">
        <f aca="false">IF(A2670="","",IF(H2670&lt;&gt;"",UPPER(TRIM(H2670)),IFERROR(CHOOSE(VALUE(E2670)+1,"A","B","C","D"),IF(OR(LEFT(UPPER(TRIM(E2670)),1)="F",UPPER(TRIM(E2670))="A"),"A",IF(OR(LEFT(UPPER(TRIM(E2670)),1)="M",UPPER(TRIM(E2670))="B"),"B",IF(OR(LEFT(UPPER(TRIM(E2670)),2)="SL",UPPER(TRIM(E2670))="C"),"C",IF(OR(LEFT(UPPER(TRIM(E2670)),1)="D",UPPER(TRIM(E2670))="D"),"D","")))))))</f>
        <v/>
      </c>
      <c r="J2670" s="27" t="str">
        <f aca="false">IF(I2670="","",IF(AND(I2670="D",Settings!$B$6&lt;&gt;"Yes"),"",IFERROR(INDEX(Settings!$C$9:$C$12,MATCH(I2670,Settings!$A$9:$A$12,0)),"")))</f>
        <v/>
      </c>
      <c r="K2670" s="27" t="str">
        <f aca="false">IF(J2670="","",COUNTIF($I$2:I2670,I2670))</f>
        <v/>
      </c>
      <c r="L2670" s="27" t="str">
        <f aca="false">IF(J2670="","",CHOOSE(Q2670+1,"Tue","Wed","Thu","Fri"))</f>
        <v/>
      </c>
      <c r="M2670" s="27" t="str">
        <f aca="false">IF(J2670="","",IF(J2670=1,"Every week",R2670+1&amp;" of "&amp;J2670))</f>
        <v/>
      </c>
      <c r="N2670" s="28" t="str">
        <f aca="false">IF(J2670="","",Settings!$B$4+R2670*7+Q2670)</f>
        <v/>
      </c>
      <c r="O2670" s="28" t="str">
        <f aca="true">IF(J2670="","",N2670+MAX(0,ROUNDUP((TODAY()-N2670)/(J2670*7),0))*J2670*7)</f>
        <v/>
      </c>
      <c r="P2670" s="27" t="str">
        <f aca="false">IF(J2670="","",MOD(K2670-1,J2670*4))</f>
        <v/>
      </c>
      <c r="Q2670" s="27" t="str">
        <f aca="false">IF(J2670="","",MOD(P2670,4))</f>
        <v/>
      </c>
      <c r="R2670" s="27" t="str">
        <f aca="false">IF(J2670="","",INT(P2670/4))</f>
        <v/>
      </c>
      <c r="S2670" s="27" t="str">
        <f aca="false">IF(J2670="","",IF(AND('Daily Count Sheet'!$H$3=Q2670,MOD('Daily Count Sheet'!$I$3,J2670)=R2670),1,""))</f>
        <v/>
      </c>
      <c r="T2670" s="27" t="str">
        <f aca="false">IF(S2670=1,COUNTIF($S$2:S2670,1),"")</f>
        <v/>
      </c>
    </row>
    <row r="2671" customFormat="false" ht="15" hidden="false" customHeight="false" outlineLevel="0" collapsed="false">
      <c r="H2671" s="26"/>
      <c r="I2671" s="27" t="str">
        <f aca="false">IF(A2671="","",IF(H2671&lt;&gt;"",UPPER(TRIM(H2671)),IFERROR(CHOOSE(VALUE(E2671)+1,"A","B","C","D"),IF(OR(LEFT(UPPER(TRIM(E2671)),1)="F",UPPER(TRIM(E2671))="A"),"A",IF(OR(LEFT(UPPER(TRIM(E2671)),1)="M",UPPER(TRIM(E2671))="B"),"B",IF(OR(LEFT(UPPER(TRIM(E2671)),2)="SL",UPPER(TRIM(E2671))="C"),"C",IF(OR(LEFT(UPPER(TRIM(E2671)),1)="D",UPPER(TRIM(E2671))="D"),"D","")))))))</f>
        <v/>
      </c>
      <c r="J2671" s="27" t="str">
        <f aca="false">IF(I2671="","",IF(AND(I2671="D",Settings!$B$6&lt;&gt;"Yes"),"",IFERROR(INDEX(Settings!$C$9:$C$12,MATCH(I2671,Settings!$A$9:$A$12,0)),"")))</f>
        <v/>
      </c>
      <c r="K2671" s="27" t="str">
        <f aca="false">IF(J2671="","",COUNTIF($I$2:I2671,I2671))</f>
        <v/>
      </c>
      <c r="L2671" s="27" t="str">
        <f aca="false">IF(J2671="","",CHOOSE(Q2671+1,"Tue","Wed","Thu","Fri"))</f>
        <v/>
      </c>
      <c r="M2671" s="27" t="str">
        <f aca="false">IF(J2671="","",IF(J2671=1,"Every week",R2671+1&amp;" of "&amp;J2671))</f>
        <v/>
      </c>
      <c r="N2671" s="28" t="str">
        <f aca="false">IF(J2671="","",Settings!$B$4+R2671*7+Q2671)</f>
        <v/>
      </c>
      <c r="O2671" s="28" t="str">
        <f aca="true">IF(J2671="","",N2671+MAX(0,ROUNDUP((TODAY()-N2671)/(J2671*7),0))*J2671*7)</f>
        <v/>
      </c>
      <c r="P2671" s="27" t="str">
        <f aca="false">IF(J2671="","",MOD(K2671-1,J2671*4))</f>
        <v/>
      </c>
      <c r="Q2671" s="27" t="str">
        <f aca="false">IF(J2671="","",MOD(P2671,4))</f>
        <v/>
      </c>
      <c r="R2671" s="27" t="str">
        <f aca="false">IF(J2671="","",INT(P2671/4))</f>
        <v/>
      </c>
      <c r="S2671" s="27" t="str">
        <f aca="false">IF(J2671="","",IF(AND('Daily Count Sheet'!$H$3=Q2671,MOD('Daily Count Sheet'!$I$3,J2671)=R2671),1,""))</f>
        <v/>
      </c>
      <c r="T2671" s="27" t="str">
        <f aca="false">IF(S2671=1,COUNTIF($S$2:S2671,1),"")</f>
        <v/>
      </c>
    </row>
    <row r="2672" customFormat="false" ht="15" hidden="false" customHeight="false" outlineLevel="0" collapsed="false">
      <c r="H2672" s="26"/>
      <c r="I2672" s="27" t="str">
        <f aca="false">IF(A2672="","",IF(H2672&lt;&gt;"",UPPER(TRIM(H2672)),IFERROR(CHOOSE(VALUE(E2672)+1,"A","B","C","D"),IF(OR(LEFT(UPPER(TRIM(E2672)),1)="F",UPPER(TRIM(E2672))="A"),"A",IF(OR(LEFT(UPPER(TRIM(E2672)),1)="M",UPPER(TRIM(E2672))="B"),"B",IF(OR(LEFT(UPPER(TRIM(E2672)),2)="SL",UPPER(TRIM(E2672))="C"),"C",IF(OR(LEFT(UPPER(TRIM(E2672)),1)="D",UPPER(TRIM(E2672))="D"),"D","")))))))</f>
        <v/>
      </c>
      <c r="J2672" s="27" t="str">
        <f aca="false">IF(I2672="","",IF(AND(I2672="D",Settings!$B$6&lt;&gt;"Yes"),"",IFERROR(INDEX(Settings!$C$9:$C$12,MATCH(I2672,Settings!$A$9:$A$12,0)),"")))</f>
        <v/>
      </c>
      <c r="K2672" s="27" t="str">
        <f aca="false">IF(J2672="","",COUNTIF($I$2:I2672,I2672))</f>
        <v/>
      </c>
      <c r="L2672" s="27" t="str">
        <f aca="false">IF(J2672="","",CHOOSE(Q2672+1,"Tue","Wed","Thu","Fri"))</f>
        <v/>
      </c>
      <c r="M2672" s="27" t="str">
        <f aca="false">IF(J2672="","",IF(J2672=1,"Every week",R2672+1&amp;" of "&amp;J2672))</f>
        <v/>
      </c>
      <c r="N2672" s="28" t="str">
        <f aca="false">IF(J2672="","",Settings!$B$4+R2672*7+Q2672)</f>
        <v/>
      </c>
      <c r="O2672" s="28" t="str">
        <f aca="true">IF(J2672="","",N2672+MAX(0,ROUNDUP((TODAY()-N2672)/(J2672*7),0))*J2672*7)</f>
        <v/>
      </c>
      <c r="P2672" s="27" t="str">
        <f aca="false">IF(J2672="","",MOD(K2672-1,J2672*4))</f>
        <v/>
      </c>
      <c r="Q2672" s="27" t="str">
        <f aca="false">IF(J2672="","",MOD(P2672,4))</f>
        <v/>
      </c>
      <c r="R2672" s="27" t="str">
        <f aca="false">IF(J2672="","",INT(P2672/4))</f>
        <v/>
      </c>
      <c r="S2672" s="27" t="str">
        <f aca="false">IF(J2672="","",IF(AND('Daily Count Sheet'!$H$3=Q2672,MOD('Daily Count Sheet'!$I$3,J2672)=R2672),1,""))</f>
        <v/>
      </c>
      <c r="T2672" s="27" t="str">
        <f aca="false">IF(S2672=1,COUNTIF($S$2:S2672,1),"")</f>
        <v/>
      </c>
    </row>
    <row r="2673" customFormat="false" ht="15" hidden="false" customHeight="false" outlineLevel="0" collapsed="false">
      <c r="H2673" s="26"/>
      <c r="I2673" s="27" t="str">
        <f aca="false">IF(A2673="","",IF(H2673&lt;&gt;"",UPPER(TRIM(H2673)),IFERROR(CHOOSE(VALUE(E2673)+1,"A","B","C","D"),IF(OR(LEFT(UPPER(TRIM(E2673)),1)="F",UPPER(TRIM(E2673))="A"),"A",IF(OR(LEFT(UPPER(TRIM(E2673)),1)="M",UPPER(TRIM(E2673))="B"),"B",IF(OR(LEFT(UPPER(TRIM(E2673)),2)="SL",UPPER(TRIM(E2673))="C"),"C",IF(OR(LEFT(UPPER(TRIM(E2673)),1)="D",UPPER(TRIM(E2673))="D"),"D","")))))))</f>
        <v/>
      </c>
      <c r="J2673" s="27" t="str">
        <f aca="false">IF(I2673="","",IF(AND(I2673="D",Settings!$B$6&lt;&gt;"Yes"),"",IFERROR(INDEX(Settings!$C$9:$C$12,MATCH(I2673,Settings!$A$9:$A$12,0)),"")))</f>
        <v/>
      </c>
      <c r="K2673" s="27" t="str">
        <f aca="false">IF(J2673="","",COUNTIF($I$2:I2673,I2673))</f>
        <v/>
      </c>
      <c r="L2673" s="27" t="str">
        <f aca="false">IF(J2673="","",CHOOSE(Q2673+1,"Tue","Wed","Thu","Fri"))</f>
        <v/>
      </c>
      <c r="M2673" s="27" t="str">
        <f aca="false">IF(J2673="","",IF(J2673=1,"Every week",R2673+1&amp;" of "&amp;J2673))</f>
        <v/>
      </c>
      <c r="N2673" s="28" t="str">
        <f aca="false">IF(J2673="","",Settings!$B$4+R2673*7+Q2673)</f>
        <v/>
      </c>
      <c r="O2673" s="28" t="str">
        <f aca="true">IF(J2673="","",N2673+MAX(0,ROUNDUP((TODAY()-N2673)/(J2673*7),0))*J2673*7)</f>
        <v/>
      </c>
      <c r="P2673" s="27" t="str">
        <f aca="false">IF(J2673="","",MOD(K2673-1,J2673*4))</f>
        <v/>
      </c>
      <c r="Q2673" s="27" t="str">
        <f aca="false">IF(J2673="","",MOD(P2673,4))</f>
        <v/>
      </c>
      <c r="R2673" s="27" t="str">
        <f aca="false">IF(J2673="","",INT(P2673/4))</f>
        <v/>
      </c>
      <c r="S2673" s="27" t="str">
        <f aca="false">IF(J2673="","",IF(AND('Daily Count Sheet'!$H$3=Q2673,MOD('Daily Count Sheet'!$I$3,J2673)=R2673),1,""))</f>
        <v/>
      </c>
      <c r="T2673" s="27" t="str">
        <f aca="false">IF(S2673=1,COUNTIF($S$2:S2673,1),"")</f>
        <v/>
      </c>
    </row>
    <row r="2674" customFormat="false" ht="15" hidden="false" customHeight="false" outlineLevel="0" collapsed="false">
      <c r="H2674" s="26"/>
      <c r="I2674" s="27" t="str">
        <f aca="false">IF(A2674="","",IF(H2674&lt;&gt;"",UPPER(TRIM(H2674)),IFERROR(CHOOSE(VALUE(E2674)+1,"A","B","C","D"),IF(OR(LEFT(UPPER(TRIM(E2674)),1)="F",UPPER(TRIM(E2674))="A"),"A",IF(OR(LEFT(UPPER(TRIM(E2674)),1)="M",UPPER(TRIM(E2674))="B"),"B",IF(OR(LEFT(UPPER(TRIM(E2674)),2)="SL",UPPER(TRIM(E2674))="C"),"C",IF(OR(LEFT(UPPER(TRIM(E2674)),1)="D",UPPER(TRIM(E2674))="D"),"D","")))))))</f>
        <v/>
      </c>
      <c r="J2674" s="27" t="str">
        <f aca="false">IF(I2674="","",IF(AND(I2674="D",Settings!$B$6&lt;&gt;"Yes"),"",IFERROR(INDEX(Settings!$C$9:$C$12,MATCH(I2674,Settings!$A$9:$A$12,0)),"")))</f>
        <v/>
      </c>
      <c r="K2674" s="27" t="str">
        <f aca="false">IF(J2674="","",COUNTIF($I$2:I2674,I2674))</f>
        <v/>
      </c>
      <c r="L2674" s="27" t="str">
        <f aca="false">IF(J2674="","",CHOOSE(Q2674+1,"Tue","Wed","Thu","Fri"))</f>
        <v/>
      </c>
      <c r="M2674" s="27" t="str">
        <f aca="false">IF(J2674="","",IF(J2674=1,"Every week",R2674+1&amp;" of "&amp;J2674))</f>
        <v/>
      </c>
      <c r="N2674" s="28" t="str">
        <f aca="false">IF(J2674="","",Settings!$B$4+R2674*7+Q2674)</f>
        <v/>
      </c>
      <c r="O2674" s="28" t="str">
        <f aca="true">IF(J2674="","",N2674+MAX(0,ROUNDUP((TODAY()-N2674)/(J2674*7),0))*J2674*7)</f>
        <v/>
      </c>
      <c r="P2674" s="27" t="str">
        <f aca="false">IF(J2674="","",MOD(K2674-1,J2674*4))</f>
        <v/>
      </c>
      <c r="Q2674" s="27" t="str">
        <f aca="false">IF(J2674="","",MOD(P2674,4))</f>
        <v/>
      </c>
      <c r="R2674" s="27" t="str">
        <f aca="false">IF(J2674="","",INT(P2674/4))</f>
        <v/>
      </c>
      <c r="S2674" s="27" t="str">
        <f aca="false">IF(J2674="","",IF(AND('Daily Count Sheet'!$H$3=Q2674,MOD('Daily Count Sheet'!$I$3,J2674)=R2674),1,""))</f>
        <v/>
      </c>
      <c r="T2674" s="27" t="str">
        <f aca="false">IF(S2674=1,COUNTIF($S$2:S2674,1),"")</f>
        <v/>
      </c>
    </row>
    <row r="2675" customFormat="false" ht="15" hidden="false" customHeight="false" outlineLevel="0" collapsed="false">
      <c r="H2675" s="26"/>
      <c r="I2675" s="27" t="str">
        <f aca="false">IF(A2675="","",IF(H2675&lt;&gt;"",UPPER(TRIM(H2675)),IFERROR(CHOOSE(VALUE(E2675)+1,"A","B","C","D"),IF(OR(LEFT(UPPER(TRIM(E2675)),1)="F",UPPER(TRIM(E2675))="A"),"A",IF(OR(LEFT(UPPER(TRIM(E2675)),1)="M",UPPER(TRIM(E2675))="B"),"B",IF(OR(LEFT(UPPER(TRIM(E2675)),2)="SL",UPPER(TRIM(E2675))="C"),"C",IF(OR(LEFT(UPPER(TRIM(E2675)),1)="D",UPPER(TRIM(E2675))="D"),"D","")))))))</f>
        <v/>
      </c>
      <c r="J2675" s="27" t="str">
        <f aca="false">IF(I2675="","",IF(AND(I2675="D",Settings!$B$6&lt;&gt;"Yes"),"",IFERROR(INDEX(Settings!$C$9:$C$12,MATCH(I2675,Settings!$A$9:$A$12,0)),"")))</f>
        <v/>
      </c>
      <c r="K2675" s="27" t="str">
        <f aca="false">IF(J2675="","",COUNTIF($I$2:I2675,I2675))</f>
        <v/>
      </c>
      <c r="L2675" s="27" t="str">
        <f aca="false">IF(J2675="","",CHOOSE(Q2675+1,"Tue","Wed","Thu","Fri"))</f>
        <v/>
      </c>
      <c r="M2675" s="27" t="str">
        <f aca="false">IF(J2675="","",IF(J2675=1,"Every week",R2675+1&amp;" of "&amp;J2675))</f>
        <v/>
      </c>
      <c r="N2675" s="28" t="str">
        <f aca="false">IF(J2675="","",Settings!$B$4+R2675*7+Q2675)</f>
        <v/>
      </c>
      <c r="O2675" s="28" t="str">
        <f aca="true">IF(J2675="","",N2675+MAX(0,ROUNDUP((TODAY()-N2675)/(J2675*7),0))*J2675*7)</f>
        <v/>
      </c>
      <c r="P2675" s="27" t="str">
        <f aca="false">IF(J2675="","",MOD(K2675-1,J2675*4))</f>
        <v/>
      </c>
      <c r="Q2675" s="27" t="str">
        <f aca="false">IF(J2675="","",MOD(P2675,4))</f>
        <v/>
      </c>
      <c r="R2675" s="27" t="str">
        <f aca="false">IF(J2675="","",INT(P2675/4))</f>
        <v/>
      </c>
      <c r="S2675" s="27" t="str">
        <f aca="false">IF(J2675="","",IF(AND('Daily Count Sheet'!$H$3=Q2675,MOD('Daily Count Sheet'!$I$3,J2675)=R2675),1,""))</f>
        <v/>
      </c>
      <c r="T2675" s="27" t="str">
        <f aca="false">IF(S2675=1,COUNTIF($S$2:S2675,1),"")</f>
        <v/>
      </c>
    </row>
    <row r="2676" customFormat="false" ht="15" hidden="false" customHeight="false" outlineLevel="0" collapsed="false">
      <c r="H2676" s="26"/>
      <c r="I2676" s="27" t="str">
        <f aca="false">IF(A2676="","",IF(H2676&lt;&gt;"",UPPER(TRIM(H2676)),IFERROR(CHOOSE(VALUE(E2676)+1,"A","B","C","D"),IF(OR(LEFT(UPPER(TRIM(E2676)),1)="F",UPPER(TRIM(E2676))="A"),"A",IF(OR(LEFT(UPPER(TRIM(E2676)),1)="M",UPPER(TRIM(E2676))="B"),"B",IF(OR(LEFT(UPPER(TRIM(E2676)),2)="SL",UPPER(TRIM(E2676))="C"),"C",IF(OR(LEFT(UPPER(TRIM(E2676)),1)="D",UPPER(TRIM(E2676))="D"),"D","")))))))</f>
        <v/>
      </c>
      <c r="J2676" s="27" t="str">
        <f aca="false">IF(I2676="","",IF(AND(I2676="D",Settings!$B$6&lt;&gt;"Yes"),"",IFERROR(INDEX(Settings!$C$9:$C$12,MATCH(I2676,Settings!$A$9:$A$12,0)),"")))</f>
        <v/>
      </c>
      <c r="K2676" s="27" t="str">
        <f aca="false">IF(J2676="","",COUNTIF($I$2:I2676,I2676))</f>
        <v/>
      </c>
      <c r="L2676" s="27" t="str">
        <f aca="false">IF(J2676="","",CHOOSE(Q2676+1,"Tue","Wed","Thu","Fri"))</f>
        <v/>
      </c>
      <c r="M2676" s="27" t="str">
        <f aca="false">IF(J2676="","",IF(J2676=1,"Every week",R2676+1&amp;" of "&amp;J2676))</f>
        <v/>
      </c>
      <c r="N2676" s="28" t="str">
        <f aca="false">IF(J2676="","",Settings!$B$4+R2676*7+Q2676)</f>
        <v/>
      </c>
      <c r="O2676" s="28" t="str">
        <f aca="true">IF(J2676="","",N2676+MAX(0,ROUNDUP((TODAY()-N2676)/(J2676*7),0))*J2676*7)</f>
        <v/>
      </c>
      <c r="P2676" s="27" t="str">
        <f aca="false">IF(J2676="","",MOD(K2676-1,J2676*4))</f>
        <v/>
      </c>
      <c r="Q2676" s="27" t="str">
        <f aca="false">IF(J2676="","",MOD(P2676,4))</f>
        <v/>
      </c>
      <c r="R2676" s="27" t="str">
        <f aca="false">IF(J2676="","",INT(P2676/4))</f>
        <v/>
      </c>
      <c r="S2676" s="27" t="str">
        <f aca="false">IF(J2676="","",IF(AND('Daily Count Sheet'!$H$3=Q2676,MOD('Daily Count Sheet'!$I$3,J2676)=R2676),1,""))</f>
        <v/>
      </c>
      <c r="T2676" s="27" t="str">
        <f aca="false">IF(S2676=1,COUNTIF($S$2:S2676,1),"")</f>
        <v/>
      </c>
    </row>
    <row r="2677" customFormat="false" ht="15" hidden="false" customHeight="false" outlineLevel="0" collapsed="false">
      <c r="H2677" s="26"/>
      <c r="I2677" s="27" t="str">
        <f aca="false">IF(A2677="","",IF(H2677&lt;&gt;"",UPPER(TRIM(H2677)),IFERROR(CHOOSE(VALUE(E2677)+1,"A","B","C","D"),IF(OR(LEFT(UPPER(TRIM(E2677)),1)="F",UPPER(TRIM(E2677))="A"),"A",IF(OR(LEFT(UPPER(TRIM(E2677)),1)="M",UPPER(TRIM(E2677))="B"),"B",IF(OR(LEFT(UPPER(TRIM(E2677)),2)="SL",UPPER(TRIM(E2677))="C"),"C",IF(OR(LEFT(UPPER(TRIM(E2677)),1)="D",UPPER(TRIM(E2677))="D"),"D","")))))))</f>
        <v/>
      </c>
      <c r="J2677" s="27" t="str">
        <f aca="false">IF(I2677="","",IF(AND(I2677="D",Settings!$B$6&lt;&gt;"Yes"),"",IFERROR(INDEX(Settings!$C$9:$C$12,MATCH(I2677,Settings!$A$9:$A$12,0)),"")))</f>
        <v/>
      </c>
      <c r="K2677" s="27" t="str">
        <f aca="false">IF(J2677="","",COUNTIF($I$2:I2677,I2677))</f>
        <v/>
      </c>
      <c r="L2677" s="27" t="str">
        <f aca="false">IF(J2677="","",CHOOSE(Q2677+1,"Tue","Wed","Thu","Fri"))</f>
        <v/>
      </c>
      <c r="M2677" s="27" t="str">
        <f aca="false">IF(J2677="","",IF(J2677=1,"Every week",R2677+1&amp;" of "&amp;J2677))</f>
        <v/>
      </c>
      <c r="N2677" s="28" t="str">
        <f aca="false">IF(J2677="","",Settings!$B$4+R2677*7+Q2677)</f>
        <v/>
      </c>
      <c r="O2677" s="28" t="str">
        <f aca="true">IF(J2677="","",N2677+MAX(0,ROUNDUP((TODAY()-N2677)/(J2677*7),0))*J2677*7)</f>
        <v/>
      </c>
      <c r="P2677" s="27" t="str">
        <f aca="false">IF(J2677="","",MOD(K2677-1,J2677*4))</f>
        <v/>
      </c>
      <c r="Q2677" s="27" t="str">
        <f aca="false">IF(J2677="","",MOD(P2677,4))</f>
        <v/>
      </c>
      <c r="R2677" s="27" t="str">
        <f aca="false">IF(J2677="","",INT(P2677/4))</f>
        <v/>
      </c>
      <c r="S2677" s="27" t="str">
        <f aca="false">IF(J2677="","",IF(AND('Daily Count Sheet'!$H$3=Q2677,MOD('Daily Count Sheet'!$I$3,J2677)=R2677),1,""))</f>
        <v/>
      </c>
      <c r="T2677" s="27" t="str">
        <f aca="false">IF(S2677=1,COUNTIF($S$2:S2677,1),"")</f>
        <v/>
      </c>
    </row>
    <row r="2678" customFormat="false" ht="15" hidden="false" customHeight="false" outlineLevel="0" collapsed="false">
      <c r="H2678" s="26"/>
      <c r="I2678" s="27" t="str">
        <f aca="false">IF(A2678="","",IF(H2678&lt;&gt;"",UPPER(TRIM(H2678)),IFERROR(CHOOSE(VALUE(E2678)+1,"A","B","C","D"),IF(OR(LEFT(UPPER(TRIM(E2678)),1)="F",UPPER(TRIM(E2678))="A"),"A",IF(OR(LEFT(UPPER(TRIM(E2678)),1)="M",UPPER(TRIM(E2678))="B"),"B",IF(OR(LEFT(UPPER(TRIM(E2678)),2)="SL",UPPER(TRIM(E2678))="C"),"C",IF(OR(LEFT(UPPER(TRIM(E2678)),1)="D",UPPER(TRIM(E2678))="D"),"D","")))))))</f>
        <v/>
      </c>
      <c r="J2678" s="27" t="str">
        <f aca="false">IF(I2678="","",IF(AND(I2678="D",Settings!$B$6&lt;&gt;"Yes"),"",IFERROR(INDEX(Settings!$C$9:$C$12,MATCH(I2678,Settings!$A$9:$A$12,0)),"")))</f>
        <v/>
      </c>
      <c r="K2678" s="27" t="str">
        <f aca="false">IF(J2678="","",COUNTIF($I$2:I2678,I2678))</f>
        <v/>
      </c>
      <c r="L2678" s="27" t="str">
        <f aca="false">IF(J2678="","",CHOOSE(Q2678+1,"Tue","Wed","Thu","Fri"))</f>
        <v/>
      </c>
      <c r="M2678" s="27" t="str">
        <f aca="false">IF(J2678="","",IF(J2678=1,"Every week",R2678+1&amp;" of "&amp;J2678))</f>
        <v/>
      </c>
      <c r="N2678" s="28" t="str">
        <f aca="false">IF(J2678="","",Settings!$B$4+R2678*7+Q2678)</f>
        <v/>
      </c>
      <c r="O2678" s="28" t="str">
        <f aca="true">IF(J2678="","",N2678+MAX(0,ROUNDUP((TODAY()-N2678)/(J2678*7),0))*J2678*7)</f>
        <v/>
      </c>
      <c r="P2678" s="27" t="str">
        <f aca="false">IF(J2678="","",MOD(K2678-1,J2678*4))</f>
        <v/>
      </c>
      <c r="Q2678" s="27" t="str">
        <f aca="false">IF(J2678="","",MOD(P2678,4))</f>
        <v/>
      </c>
      <c r="R2678" s="27" t="str">
        <f aca="false">IF(J2678="","",INT(P2678/4))</f>
        <v/>
      </c>
      <c r="S2678" s="27" t="str">
        <f aca="false">IF(J2678="","",IF(AND('Daily Count Sheet'!$H$3=Q2678,MOD('Daily Count Sheet'!$I$3,J2678)=R2678),1,""))</f>
        <v/>
      </c>
      <c r="T2678" s="27" t="str">
        <f aca="false">IF(S2678=1,COUNTIF($S$2:S2678,1),"")</f>
        <v/>
      </c>
    </row>
    <row r="2679" customFormat="false" ht="15" hidden="false" customHeight="false" outlineLevel="0" collapsed="false">
      <c r="H2679" s="26"/>
      <c r="I2679" s="27" t="str">
        <f aca="false">IF(A2679="","",IF(H2679&lt;&gt;"",UPPER(TRIM(H2679)),IFERROR(CHOOSE(VALUE(E2679)+1,"A","B","C","D"),IF(OR(LEFT(UPPER(TRIM(E2679)),1)="F",UPPER(TRIM(E2679))="A"),"A",IF(OR(LEFT(UPPER(TRIM(E2679)),1)="M",UPPER(TRIM(E2679))="B"),"B",IF(OR(LEFT(UPPER(TRIM(E2679)),2)="SL",UPPER(TRIM(E2679))="C"),"C",IF(OR(LEFT(UPPER(TRIM(E2679)),1)="D",UPPER(TRIM(E2679))="D"),"D","")))))))</f>
        <v/>
      </c>
      <c r="J2679" s="27" t="str">
        <f aca="false">IF(I2679="","",IF(AND(I2679="D",Settings!$B$6&lt;&gt;"Yes"),"",IFERROR(INDEX(Settings!$C$9:$C$12,MATCH(I2679,Settings!$A$9:$A$12,0)),"")))</f>
        <v/>
      </c>
      <c r="K2679" s="27" t="str">
        <f aca="false">IF(J2679="","",COUNTIF($I$2:I2679,I2679))</f>
        <v/>
      </c>
      <c r="L2679" s="27" t="str">
        <f aca="false">IF(J2679="","",CHOOSE(Q2679+1,"Tue","Wed","Thu","Fri"))</f>
        <v/>
      </c>
      <c r="M2679" s="27" t="str">
        <f aca="false">IF(J2679="","",IF(J2679=1,"Every week",R2679+1&amp;" of "&amp;J2679))</f>
        <v/>
      </c>
      <c r="N2679" s="28" t="str">
        <f aca="false">IF(J2679="","",Settings!$B$4+R2679*7+Q2679)</f>
        <v/>
      </c>
      <c r="O2679" s="28" t="str">
        <f aca="true">IF(J2679="","",N2679+MAX(0,ROUNDUP((TODAY()-N2679)/(J2679*7),0))*J2679*7)</f>
        <v/>
      </c>
      <c r="P2679" s="27" t="str">
        <f aca="false">IF(J2679="","",MOD(K2679-1,J2679*4))</f>
        <v/>
      </c>
      <c r="Q2679" s="27" t="str">
        <f aca="false">IF(J2679="","",MOD(P2679,4))</f>
        <v/>
      </c>
      <c r="R2679" s="27" t="str">
        <f aca="false">IF(J2679="","",INT(P2679/4))</f>
        <v/>
      </c>
      <c r="S2679" s="27" t="str">
        <f aca="false">IF(J2679="","",IF(AND('Daily Count Sheet'!$H$3=Q2679,MOD('Daily Count Sheet'!$I$3,J2679)=R2679),1,""))</f>
        <v/>
      </c>
      <c r="T2679" s="27" t="str">
        <f aca="false">IF(S2679=1,COUNTIF($S$2:S2679,1),"")</f>
        <v/>
      </c>
    </row>
    <row r="2680" customFormat="false" ht="15" hidden="false" customHeight="false" outlineLevel="0" collapsed="false">
      <c r="H2680" s="26"/>
      <c r="I2680" s="27" t="str">
        <f aca="false">IF(A2680="","",IF(H2680&lt;&gt;"",UPPER(TRIM(H2680)),IFERROR(CHOOSE(VALUE(E2680)+1,"A","B","C","D"),IF(OR(LEFT(UPPER(TRIM(E2680)),1)="F",UPPER(TRIM(E2680))="A"),"A",IF(OR(LEFT(UPPER(TRIM(E2680)),1)="M",UPPER(TRIM(E2680))="B"),"B",IF(OR(LEFT(UPPER(TRIM(E2680)),2)="SL",UPPER(TRIM(E2680))="C"),"C",IF(OR(LEFT(UPPER(TRIM(E2680)),1)="D",UPPER(TRIM(E2680))="D"),"D","")))))))</f>
        <v/>
      </c>
      <c r="J2680" s="27" t="str">
        <f aca="false">IF(I2680="","",IF(AND(I2680="D",Settings!$B$6&lt;&gt;"Yes"),"",IFERROR(INDEX(Settings!$C$9:$C$12,MATCH(I2680,Settings!$A$9:$A$12,0)),"")))</f>
        <v/>
      </c>
      <c r="K2680" s="27" t="str">
        <f aca="false">IF(J2680="","",COUNTIF($I$2:I2680,I2680))</f>
        <v/>
      </c>
      <c r="L2680" s="27" t="str">
        <f aca="false">IF(J2680="","",CHOOSE(Q2680+1,"Tue","Wed","Thu","Fri"))</f>
        <v/>
      </c>
      <c r="M2680" s="27" t="str">
        <f aca="false">IF(J2680="","",IF(J2680=1,"Every week",R2680+1&amp;" of "&amp;J2680))</f>
        <v/>
      </c>
      <c r="N2680" s="28" t="str">
        <f aca="false">IF(J2680="","",Settings!$B$4+R2680*7+Q2680)</f>
        <v/>
      </c>
      <c r="O2680" s="28" t="str">
        <f aca="true">IF(J2680="","",N2680+MAX(0,ROUNDUP((TODAY()-N2680)/(J2680*7),0))*J2680*7)</f>
        <v/>
      </c>
      <c r="P2680" s="27" t="str">
        <f aca="false">IF(J2680="","",MOD(K2680-1,J2680*4))</f>
        <v/>
      </c>
      <c r="Q2680" s="27" t="str">
        <f aca="false">IF(J2680="","",MOD(P2680,4))</f>
        <v/>
      </c>
      <c r="R2680" s="27" t="str">
        <f aca="false">IF(J2680="","",INT(P2680/4))</f>
        <v/>
      </c>
      <c r="S2680" s="27" t="str">
        <f aca="false">IF(J2680="","",IF(AND('Daily Count Sheet'!$H$3=Q2680,MOD('Daily Count Sheet'!$I$3,J2680)=R2680),1,""))</f>
        <v/>
      </c>
      <c r="T2680" s="27" t="str">
        <f aca="false">IF(S2680=1,COUNTIF($S$2:S2680,1),"")</f>
        <v/>
      </c>
    </row>
    <row r="2681" customFormat="false" ht="15" hidden="false" customHeight="false" outlineLevel="0" collapsed="false">
      <c r="H2681" s="26"/>
      <c r="I2681" s="27" t="str">
        <f aca="false">IF(A2681="","",IF(H2681&lt;&gt;"",UPPER(TRIM(H2681)),IFERROR(CHOOSE(VALUE(E2681)+1,"A","B","C","D"),IF(OR(LEFT(UPPER(TRIM(E2681)),1)="F",UPPER(TRIM(E2681))="A"),"A",IF(OR(LEFT(UPPER(TRIM(E2681)),1)="M",UPPER(TRIM(E2681))="B"),"B",IF(OR(LEFT(UPPER(TRIM(E2681)),2)="SL",UPPER(TRIM(E2681))="C"),"C",IF(OR(LEFT(UPPER(TRIM(E2681)),1)="D",UPPER(TRIM(E2681))="D"),"D","")))))))</f>
        <v/>
      </c>
      <c r="J2681" s="27" t="str">
        <f aca="false">IF(I2681="","",IF(AND(I2681="D",Settings!$B$6&lt;&gt;"Yes"),"",IFERROR(INDEX(Settings!$C$9:$C$12,MATCH(I2681,Settings!$A$9:$A$12,0)),"")))</f>
        <v/>
      </c>
      <c r="K2681" s="27" t="str">
        <f aca="false">IF(J2681="","",COUNTIF($I$2:I2681,I2681))</f>
        <v/>
      </c>
      <c r="L2681" s="27" t="str">
        <f aca="false">IF(J2681="","",CHOOSE(Q2681+1,"Tue","Wed","Thu","Fri"))</f>
        <v/>
      </c>
      <c r="M2681" s="27" t="str">
        <f aca="false">IF(J2681="","",IF(J2681=1,"Every week",R2681+1&amp;" of "&amp;J2681))</f>
        <v/>
      </c>
      <c r="N2681" s="28" t="str">
        <f aca="false">IF(J2681="","",Settings!$B$4+R2681*7+Q2681)</f>
        <v/>
      </c>
      <c r="O2681" s="28" t="str">
        <f aca="true">IF(J2681="","",N2681+MAX(0,ROUNDUP((TODAY()-N2681)/(J2681*7),0))*J2681*7)</f>
        <v/>
      </c>
      <c r="P2681" s="27" t="str">
        <f aca="false">IF(J2681="","",MOD(K2681-1,J2681*4))</f>
        <v/>
      </c>
      <c r="Q2681" s="27" t="str">
        <f aca="false">IF(J2681="","",MOD(P2681,4))</f>
        <v/>
      </c>
      <c r="R2681" s="27" t="str">
        <f aca="false">IF(J2681="","",INT(P2681/4))</f>
        <v/>
      </c>
      <c r="S2681" s="27" t="str">
        <f aca="false">IF(J2681="","",IF(AND('Daily Count Sheet'!$H$3=Q2681,MOD('Daily Count Sheet'!$I$3,J2681)=R2681),1,""))</f>
        <v/>
      </c>
      <c r="T2681" s="27" t="str">
        <f aca="false">IF(S2681=1,COUNTIF($S$2:S2681,1),"")</f>
        <v/>
      </c>
    </row>
    <row r="2682" customFormat="false" ht="15" hidden="false" customHeight="false" outlineLevel="0" collapsed="false">
      <c r="H2682" s="26"/>
      <c r="I2682" s="27" t="str">
        <f aca="false">IF(A2682="","",IF(H2682&lt;&gt;"",UPPER(TRIM(H2682)),IFERROR(CHOOSE(VALUE(E2682)+1,"A","B","C","D"),IF(OR(LEFT(UPPER(TRIM(E2682)),1)="F",UPPER(TRIM(E2682))="A"),"A",IF(OR(LEFT(UPPER(TRIM(E2682)),1)="M",UPPER(TRIM(E2682))="B"),"B",IF(OR(LEFT(UPPER(TRIM(E2682)),2)="SL",UPPER(TRIM(E2682))="C"),"C",IF(OR(LEFT(UPPER(TRIM(E2682)),1)="D",UPPER(TRIM(E2682))="D"),"D","")))))))</f>
        <v/>
      </c>
      <c r="J2682" s="27" t="str">
        <f aca="false">IF(I2682="","",IF(AND(I2682="D",Settings!$B$6&lt;&gt;"Yes"),"",IFERROR(INDEX(Settings!$C$9:$C$12,MATCH(I2682,Settings!$A$9:$A$12,0)),"")))</f>
        <v/>
      </c>
      <c r="K2682" s="27" t="str">
        <f aca="false">IF(J2682="","",COUNTIF($I$2:I2682,I2682))</f>
        <v/>
      </c>
      <c r="L2682" s="27" t="str">
        <f aca="false">IF(J2682="","",CHOOSE(Q2682+1,"Tue","Wed","Thu","Fri"))</f>
        <v/>
      </c>
      <c r="M2682" s="27" t="str">
        <f aca="false">IF(J2682="","",IF(J2682=1,"Every week",R2682+1&amp;" of "&amp;J2682))</f>
        <v/>
      </c>
      <c r="N2682" s="28" t="str">
        <f aca="false">IF(J2682="","",Settings!$B$4+R2682*7+Q2682)</f>
        <v/>
      </c>
      <c r="O2682" s="28" t="str">
        <f aca="true">IF(J2682="","",N2682+MAX(0,ROUNDUP((TODAY()-N2682)/(J2682*7),0))*J2682*7)</f>
        <v/>
      </c>
      <c r="P2682" s="27" t="str">
        <f aca="false">IF(J2682="","",MOD(K2682-1,J2682*4))</f>
        <v/>
      </c>
      <c r="Q2682" s="27" t="str">
        <f aca="false">IF(J2682="","",MOD(P2682,4))</f>
        <v/>
      </c>
      <c r="R2682" s="27" t="str">
        <f aca="false">IF(J2682="","",INT(P2682/4))</f>
        <v/>
      </c>
      <c r="S2682" s="27" t="str">
        <f aca="false">IF(J2682="","",IF(AND('Daily Count Sheet'!$H$3=Q2682,MOD('Daily Count Sheet'!$I$3,J2682)=R2682),1,""))</f>
        <v/>
      </c>
      <c r="T2682" s="27" t="str">
        <f aca="false">IF(S2682=1,COUNTIF($S$2:S2682,1),"")</f>
        <v/>
      </c>
    </row>
    <row r="2683" customFormat="false" ht="15" hidden="false" customHeight="false" outlineLevel="0" collapsed="false">
      <c r="H2683" s="26"/>
      <c r="I2683" s="27" t="str">
        <f aca="false">IF(A2683="","",IF(H2683&lt;&gt;"",UPPER(TRIM(H2683)),IFERROR(CHOOSE(VALUE(E2683)+1,"A","B","C","D"),IF(OR(LEFT(UPPER(TRIM(E2683)),1)="F",UPPER(TRIM(E2683))="A"),"A",IF(OR(LEFT(UPPER(TRIM(E2683)),1)="M",UPPER(TRIM(E2683))="B"),"B",IF(OR(LEFT(UPPER(TRIM(E2683)),2)="SL",UPPER(TRIM(E2683))="C"),"C",IF(OR(LEFT(UPPER(TRIM(E2683)),1)="D",UPPER(TRIM(E2683))="D"),"D","")))))))</f>
        <v/>
      </c>
      <c r="J2683" s="27" t="str">
        <f aca="false">IF(I2683="","",IF(AND(I2683="D",Settings!$B$6&lt;&gt;"Yes"),"",IFERROR(INDEX(Settings!$C$9:$C$12,MATCH(I2683,Settings!$A$9:$A$12,0)),"")))</f>
        <v/>
      </c>
      <c r="K2683" s="27" t="str">
        <f aca="false">IF(J2683="","",COUNTIF($I$2:I2683,I2683))</f>
        <v/>
      </c>
      <c r="L2683" s="27" t="str">
        <f aca="false">IF(J2683="","",CHOOSE(Q2683+1,"Tue","Wed","Thu","Fri"))</f>
        <v/>
      </c>
      <c r="M2683" s="27" t="str">
        <f aca="false">IF(J2683="","",IF(J2683=1,"Every week",R2683+1&amp;" of "&amp;J2683))</f>
        <v/>
      </c>
      <c r="N2683" s="28" t="str">
        <f aca="false">IF(J2683="","",Settings!$B$4+R2683*7+Q2683)</f>
        <v/>
      </c>
      <c r="O2683" s="28" t="str">
        <f aca="true">IF(J2683="","",N2683+MAX(0,ROUNDUP((TODAY()-N2683)/(J2683*7),0))*J2683*7)</f>
        <v/>
      </c>
      <c r="P2683" s="27" t="str">
        <f aca="false">IF(J2683="","",MOD(K2683-1,J2683*4))</f>
        <v/>
      </c>
      <c r="Q2683" s="27" t="str">
        <f aca="false">IF(J2683="","",MOD(P2683,4))</f>
        <v/>
      </c>
      <c r="R2683" s="27" t="str">
        <f aca="false">IF(J2683="","",INT(P2683/4))</f>
        <v/>
      </c>
      <c r="S2683" s="27" t="str">
        <f aca="false">IF(J2683="","",IF(AND('Daily Count Sheet'!$H$3=Q2683,MOD('Daily Count Sheet'!$I$3,J2683)=R2683),1,""))</f>
        <v/>
      </c>
      <c r="T2683" s="27" t="str">
        <f aca="false">IF(S2683=1,COUNTIF($S$2:S2683,1),"")</f>
        <v/>
      </c>
    </row>
    <row r="2684" customFormat="false" ht="15" hidden="false" customHeight="false" outlineLevel="0" collapsed="false">
      <c r="H2684" s="26"/>
      <c r="I2684" s="27" t="str">
        <f aca="false">IF(A2684="","",IF(H2684&lt;&gt;"",UPPER(TRIM(H2684)),IFERROR(CHOOSE(VALUE(E2684)+1,"A","B","C","D"),IF(OR(LEFT(UPPER(TRIM(E2684)),1)="F",UPPER(TRIM(E2684))="A"),"A",IF(OR(LEFT(UPPER(TRIM(E2684)),1)="M",UPPER(TRIM(E2684))="B"),"B",IF(OR(LEFT(UPPER(TRIM(E2684)),2)="SL",UPPER(TRIM(E2684))="C"),"C",IF(OR(LEFT(UPPER(TRIM(E2684)),1)="D",UPPER(TRIM(E2684))="D"),"D","")))))))</f>
        <v/>
      </c>
      <c r="J2684" s="27" t="str">
        <f aca="false">IF(I2684="","",IF(AND(I2684="D",Settings!$B$6&lt;&gt;"Yes"),"",IFERROR(INDEX(Settings!$C$9:$C$12,MATCH(I2684,Settings!$A$9:$A$12,0)),"")))</f>
        <v/>
      </c>
      <c r="K2684" s="27" t="str">
        <f aca="false">IF(J2684="","",COUNTIF($I$2:I2684,I2684))</f>
        <v/>
      </c>
      <c r="L2684" s="27" t="str">
        <f aca="false">IF(J2684="","",CHOOSE(Q2684+1,"Tue","Wed","Thu","Fri"))</f>
        <v/>
      </c>
      <c r="M2684" s="27" t="str">
        <f aca="false">IF(J2684="","",IF(J2684=1,"Every week",R2684+1&amp;" of "&amp;J2684))</f>
        <v/>
      </c>
      <c r="N2684" s="28" t="str">
        <f aca="false">IF(J2684="","",Settings!$B$4+R2684*7+Q2684)</f>
        <v/>
      </c>
      <c r="O2684" s="28" t="str">
        <f aca="true">IF(J2684="","",N2684+MAX(0,ROUNDUP((TODAY()-N2684)/(J2684*7),0))*J2684*7)</f>
        <v/>
      </c>
      <c r="P2684" s="27" t="str">
        <f aca="false">IF(J2684="","",MOD(K2684-1,J2684*4))</f>
        <v/>
      </c>
      <c r="Q2684" s="27" t="str">
        <f aca="false">IF(J2684="","",MOD(P2684,4))</f>
        <v/>
      </c>
      <c r="R2684" s="27" t="str">
        <f aca="false">IF(J2684="","",INT(P2684/4))</f>
        <v/>
      </c>
      <c r="S2684" s="27" t="str">
        <f aca="false">IF(J2684="","",IF(AND('Daily Count Sheet'!$H$3=Q2684,MOD('Daily Count Sheet'!$I$3,J2684)=R2684),1,""))</f>
        <v/>
      </c>
      <c r="T2684" s="27" t="str">
        <f aca="false">IF(S2684=1,COUNTIF($S$2:S2684,1),"")</f>
        <v/>
      </c>
    </row>
    <row r="2685" customFormat="false" ht="15" hidden="false" customHeight="false" outlineLevel="0" collapsed="false">
      <c r="H2685" s="26"/>
      <c r="I2685" s="27" t="str">
        <f aca="false">IF(A2685="","",IF(H2685&lt;&gt;"",UPPER(TRIM(H2685)),IFERROR(CHOOSE(VALUE(E2685)+1,"A","B","C","D"),IF(OR(LEFT(UPPER(TRIM(E2685)),1)="F",UPPER(TRIM(E2685))="A"),"A",IF(OR(LEFT(UPPER(TRIM(E2685)),1)="M",UPPER(TRIM(E2685))="B"),"B",IF(OR(LEFT(UPPER(TRIM(E2685)),2)="SL",UPPER(TRIM(E2685))="C"),"C",IF(OR(LEFT(UPPER(TRIM(E2685)),1)="D",UPPER(TRIM(E2685))="D"),"D","")))))))</f>
        <v/>
      </c>
      <c r="J2685" s="27" t="str">
        <f aca="false">IF(I2685="","",IF(AND(I2685="D",Settings!$B$6&lt;&gt;"Yes"),"",IFERROR(INDEX(Settings!$C$9:$C$12,MATCH(I2685,Settings!$A$9:$A$12,0)),"")))</f>
        <v/>
      </c>
      <c r="K2685" s="27" t="str">
        <f aca="false">IF(J2685="","",COUNTIF($I$2:I2685,I2685))</f>
        <v/>
      </c>
      <c r="L2685" s="27" t="str">
        <f aca="false">IF(J2685="","",CHOOSE(Q2685+1,"Tue","Wed","Thu","Fri"))</f>
        <v/>
      </c>
      <c r="M2685" s="27" t="str">
        <f aca="false">IF(J2685="","",IF(J2685=1,"Every week",R2685+1&amp;" of "&amp;J2685))</f>
        <v/>
      </c>
      <c r="N2685" s="28" t="str">
        <f aca="false">IF(J2685="","",Settings!$B$4+R2685*7+Q2685)</f>
        <v/>
      </c>
      <c r="O2685" s="28" t="str">
        <f aca="true">IF(J2685="","",N2685+MAX(0,ROUNDUP((TODAY()-N2685)/(J2685*7),0))*J2685*7)</f>
        <v/>
      </c>
      <c r="P2685" s="27" t="str">
        <f aca="false">IF(J2685="","",MOD(K2685-1,J2685*4))</f>
        <v/>
      </c>
      <c r="Q2685" s="27" t="str">
        <f aca="false">IF(J2685="","",MOD(P2685,4))</f>
        <v/>
      </c>
      <c r="R2685" s="27" t="str">
        <f aca="false">IF(J2685="","",INT(P2685/4))</f>
        <v/>
      </c>
      <c r="S2685" s="27" t="str">
        <f aca="false">IF(J2685="","",IF(AND('Daily Count Sheet'!$H$3=Q2685,MOD('Daily Count Sheet'!$I$3,J2685)=R2685),1,""))</f>
        <v/>
      </c>
      <c r="T2685" s="27" t="str">
        <f aca="false">IF(S2685=1,COUNTIF($S$2:S2685,1),"")</f>
        <v/>
      </c>
    </row>
    <row r="2686" customFormat="false" ht="15" hidden="false" customHeight="false" outlineLevel="0" collapsed="false">
      <c r="H2686" s="26"/>
      <c r="I2686" s="27" t="str">
        <f aca="false">IF(A2686="","",IF(H2686&lt;&gt;"",UPPER(TRIM(H2686)),IFERROR(CHOOSE(VALUE(E2686)+1,"A","B","C","D"),IF(OR(LEFT(UPPER(TRIM(E2686)),1)="F",UPPER(TRIM(E2686))="A"),"A",IF(OR(LEFT(UPPER(TRIM(E2686)),1)="M",UPPER(TRIM(E2686))="B"),"B",IF(OR(LEFT(UPPER(TRIM(E2686)),2)="SL",UPPER(TRIM(E2686))="C"),"C",IF(OR(LEFT(UPPER(TRIM(E2686)),1)="D",UPPER(TRIM(E2686))="D"),"D","")))))))</f>
        <v/>
      </c>
      <c r="J2686" s="27" t="str">
        <f aca="false">IF(I2686="","",IF(AND(I2686="D",Settings!$B$6&lt;&gt;"Yes"),"",IFERROR(INDEX(Settings!$C$9:$C$12,MATCH(I2686,Settings!$A$9:$A$12,0)),"")))</f>
        <v/>
      </c>
      <c r="K2686" s="27" t="str">
        <f aca="false">IF(J2686="","",COUNTIF($I$2:I2686,I2686))</f>
        <v/>
      </c>
      <c r="L2686" s="27" t="str">
        <f aca="false">IF(J2686="","",CHOOSE(Q2686+1,"Tue","Wed","Thu","Fri"))</f>
        <v/>
      </c>
      <c r="M2686" s="27" t="str">
        <f aca="false">IF(J2686="","",IF(J2686=1,"Every week",R2686+1&amp;" of "&amp;J2686))</f>
        <v/>
      </c>
      <c r="N2686" s="28" t="str">
        <f aca="false">IF(J2686="","",Settings!$B$4+R2686*7+Q2686)</f>
        <v/>
      </c>
      <c r="O2686" s="28" t="str">
        <f aca="true">IF(J2686="","",N2686+MAX(0,ROUNDUP((TODAY()-N2686)/(J2686*7),0))*J2686*7)</f>
        <v/>
      </c>
      <c r="P2686" s="27" t="str">
        <f aca="false">IF(J2686="","",MOD(K2686-1,J2686*4))</f>
        <v/>
      </c>
      <c r="Q2686" s="27" t="str">
        <f aca="false">IF(J2686="","",MOD(P2686,4))</f>
        <v/>
      </c>
      <c r="R2686" s="27" t="str">
        <f aca="false">IF(J2686="","",INT(P2686/4))</f>
        <v/>
      </c>
      <c r="S2686" s="27" t="str">
        <f aca="false">IF(J2686="","",IF(AND('Daily Count Sheet'!$H$3=Q2686,MOD('Daily Count Sheet'!$I$3,J2686)=R2686),1,""))</f>
        <v/>
      </c>
      <c r="T2686" s="27" t="str">
        <f aca="false">IF(S2686=1,COUNTIF($S$2:S2686,1),"")</f>
        <v/>
      </c>
    </row>
    <row r="2687" customFormat="false" ht="15" hidden="false" customHeight="false" outlineLevel="0" collapsed="false">
      <c r="H2687" s="26"/>
      <c r="I2687" s="27" t="str">
        <f aca="false">IF(A2687="","",IF(H2687&lt;&gt;"",UPPER(TRIM(H2687)),IFERROR(CHOOSE(VALUE(E2687)+1,"A","B","C","D"),IF(OR(LEFT(UPPER(TRIM(E2687)),1)="F",UPPER(TRIM(E2687))="A"),"A",IF(OR(LEFT(UPPER(TRIM(E2687)),1)="M",UPPER(TRIM(E2687))="B"),"B",IF(OR(LEFT(UPPER(TRIM(E2687)),2)="SL",UPPER(TRIM(E2687))="C"),"C",IF(OR(LEFT(UPPER(TRIM(E2687)),1)="D",UPPER(TRIM(E2687))="D"),"D","")))))))</f>
        <v/>
      </c>
      <c r="J2687" s="27" t="str">
        <f aca="false">IF(I2687="","",IF(AND(I2687="D",Settings!$B$6&lt;&gt;"Yes"),"",IFERROR(INDEX(Settings!$C$9:$C$12,MATCH(I2687,Settings!$A$9:$A$12,0)),"")))</f>
        <v/>
      </c>
      <c r="K2687" s="27" t="str">
        <f aca="false">IF(J2687="","",COUNTIF($I$2:I2687,I2687))</f>
        <v/>
      </c>
      <c r="L2687" s="27" t="str">
        <f aca="false">IF(J2687="","",CHOOSE(Q2687+1,"Tue","Wed","Thu","Fri"))</f>
        <v/>
      </c>
      <c r="M2687" s="27" t="str">
        <f aca="false">IF(J2687="","",IF(J2687=1,"Every week",R2687+1&amp;" of "&amp;J2687))</f>
        <v/>
      </c>
      <c r="N2687" s="28" t="str">
        <f aca="false">IF(J2687="","",Settings!$B$4+R2687*7+Q2687)</f>
        <v/>
      </c>
      <c r="O2687" s="28" t="str">
        <f aca="true">IF(J2687="","",N2687+MAX(0,ROUNDUP((TODAY()-N2687)/(J2687*7),0))*J2687*7)</f>
        <v/>
      </c>
      <c r="P2687" s="27" t="str">
        <f aca="false">IF(J2687="","",MOD(K2687-1,J2687*4))</f>
        <v/>
      </c>
      <c r="Q2687" s="27" t="str">
        <f aca="false">IF(J2687="","",MOD(P2687,4))</f>
        <v/>
      </c>
      <c r="R2687" s="27" t="str">
        <f aca="false">IF(J2687="","",INT(P2687/4))</f>
        <v/>
      </c>
      <c r="S2687" s="27" t="str">
        <f aca="false">IF(J2687="","",IF(AND('Daily Count Sheet'!$H$3=Q2687,MOD('Daily Count Sheet'!$I$3,J2687)=R2687),1,""))</f>
        <v/>
      </c>
      <c r="T2687" s="27" t="str">
        <f aca="false">IF(S2687=1,COUNTIF($S$2:S2687,1),"")</f>
        <v/>
      </c>
    </row>
    <row r="2688" customFormat="false" ht="15" hidden="false" customHeight="false" outlineLevel="0" collapsed="false">
      <c r="H2688" s="26"/>
      <c r="I2688" s="27" t="str">
        <f aca="false">IF(A2688="","",IF(H2688&lt;&gt;"",UPPER(TRIM(H2688)),IFERROR(CHOOSE(VALUE(E2688)+1,"A","B","C","D"),IF(OR(LEFT(UPPER(TRIM(E2688)),1)="F",UPPER(TRIM(E2688))="A"),"A",IF(OR(LEFT(UPPER(TRIM(E2688)),1)="M",UPPER(TRIM(E2688))="B"),"B",IF(OR(LEFT(UPPER(TRIM(E2688)),2)="SL",UPPER(TRIM(E2688))="C"),"C",IF(OR(LEFT(UPPER(TRIM(E2688)),1)="D",UPPER(TRIM(E2688))="D"),"D","")))))))</f>
        <v/>
      </c>
      <c r="J2688" s="27" t="str">
        <f aca="false">IF(I2688="","",IF(AND(I2688="D",Settings!$B$6&lt;&gt;"Yes"),"",IFERROR(INDEX(Settings!$C$9:$C$12,MATCH(I2688,Settings!$A$9:$A$12,0)),"")))</f>
        <v/>
      </c>
      <c r="K2688" s="27" t="str">
        <f aca="false">IF(J2688="","",COUNTIF($I$2:I2688,I2688))</f>
        <v/>
      </c>
      <c r="L2688" s="27" t="str">
        <f aca="false">IF(J2688="","",CHOOSE(Q2688+1,"Tue","Wed","Thu","Fri"))</f>
        <v/>
      </c>
      <c r="M2688" s="27" t="str">
        <f aca="false">IF(J2688="","",IF(J2688=1,"Every week",R2688+1&amp;" of "&amp;J2688))</f>
        <v/>
      </c>
      <c r="N2688" s="28" t="str">
        <f aca="false">IF(J2688="","",Settings!$B$4+R2688*7+Q2688)</f>
        <v/>
      </c>
      <c r="O2688" s="28" t="str">
        <f aca="true">IF(J2688="","",N2688+MAX(0,ROUNDUP((TODAY()-N2688)/(J2688*7),0))*J2688*7)</f>
        <v/>
      </c>
      <c r="P2688" s="27" t="str">
        <f aca="false">IF(J2688="","",MOD(K2688-1,J2688*4))</f>
        <v/>
      </c>
      <c r="Q2688" s="27" t="str">
        <f aca="false">IF(J2688="","",MOD(P2688,4))</f>
        <v/>
      </c>
      <c r="R2688" s="27" t="str">
        <f aca="false">IF(J2688="","",INT(P2688/4))</f>
        <v/>
      </c>
      <c r="S2688" s="27" t="str">
        <f aca="false">IF(J2688="","",IF(AND('Daily Count Sheet'!$H$3=Q2688,MOD('Daily Count Sheet'!$I$3,J2688)=R2688),1,""))</f>
        <v/>
      </c>
      <c r="T2688" s="27" t="str">
        <f aca="false">IF(S2688=1,COUNTIF($S$2:S2688,1),"")</f>
        <v/>
      </c>
    </row>
    <row r="2689" customFormat="false" ht="15" hidden="false" customHeight="false" outlineLevel="0" collapsed="false">
      <c r="H2689" s="26"/>
      <c r="I2689" s="27" t="str">
        <f aca="false">IF(A2689="","",IF(H2689&lt;&gt;"",UPPER(TRIM(H2689)),IFERROR(CHOOSE(VALUE(E2689)+1,"A","B","C","D"),IF(OR(LEFT(UPPER(TRIM(E2689)),1)="F",UPPER(TRIM(E2689))="A"),"A",IF(OR(LEFT(UPPER(TRIM(E2689)),1)="M",UPPER(TRIM(E2689))="B"),"B",IF(OR(LEFT(UPPER(TRIM(E2689)),2)="SL",UPPER(TRIM(E2689))="C"),"C",IF(OR(LEFT(UPPER(TRIM(E2689)),1)="D",UPPER(TRIM(E2689))="D"),"D","")))))))</f>
        <v/>
      </c>
      <c r="J2689" s="27" t="str">
        <f aca="false">IF(I2689="","",IF(AND(I2689="D",Settings!$B$6&lt;&gt;"Yes"),"",IFERROR(INDEX(Settings!$C$9:$C$12,MATCH(I2689,Settings!$A$9:$A$12,0)),"")))</f>
        <v/>
      </c>
      <c r="K2689" s="27" t="str">
        <f aca="false">IF(J2689="","",COUNTIF($I$2:I2689,I2689))</f>
        <v/>
      </c>
      <c r="L2689" s="27" t="str">
        <f aca="false">IF(J2689="","",CHOOSE(Q2689+1,"Tue","Wed","Thu","Fri"))</f>
        <v/>
      </c>
      <c r="M2689" s="27" t="str">
        <f aca="false">IF(J2689="","",IF(J2689=1,"Every week",R2689+1&amp;" of "&amp;J2689))</f>
        <v/>
      </c>
      <c r="N2689" s="28" t="str">
        <f aca="false">IF(J2689="","",Settings!$B$4+R2689*7+Q2689)</f>
        <v/>
      </c>
      <c r="O2689" s="28" t="str">
        <f aca="true">IF(J2689="","",N2689+MAX(0,ROUNDUP((TODAY()-N2689)/(J2689*7),0))*J2689*7)</f>
        <v/>
      </c>
      <c r="P2689" s="27" t="str">
        <f aca="false">IF(J2689="","",MOD(K2689-1,J2689*4))</f>
        <v/>
      </c>
      <c r="Q2689" s="27" t="str">
        <f aca="false">IF(J2689="","",MOD(P2689,4))</f>
        <v/>
      </c>
      <c r="R2689" s="27" t="str">
        <f aca="false">IF(J2689="","",INT(P2689/4))</f>
        <v/>
      </c>
      <c r="S2689" s="27" t="str">
        <f aca="false">IF(J2689="","",IF(AND('Daily Count Sheet'!$H$3=Q2689,MOD('Daily Count Sheet'!$I$3,J2689)=R2689),1,""))</f>
        <v/>
      </c>
      <c r="T2689" s="27" t="str">
        <f aca="false">IF(S2689=1,COUNTIF($S$2:S2689,1),"")</f>
        <v/>
      </c>
    </row>
    <row r="2690" customFormat="false" ht="15" hidden="false" customHeight="false" outlineLevel="0" collapsed="false">
      <c r="H2690" s="26"/>
      <c r="I2690" s="27" t="str">
        <f aca="false">IF(A2690="","",IF(H2690&lt;&gt;"",UPPER(TRIM(H2690)),IFERROR(CHOOSE(VALUE(E2690)+1,"A","B","C","D"),IF(OR(LEFT(UPPER(TRIM(E2690)),1)="F",UPPER(TRIM(E2690))="A"),"A",IF(OR(LEFT(UPPER(TRIM(E2690)),1)="M",UPPER(TRIM(E2690))="B"),"B",IF(OR(LEFT(UPPER(TRIM(E2690)),2)="SL",UPPER(TRIM(E2690))="C"),"C",IF(OR(LEFT(UPPER(TRIM(E2690)),1)="D",UPPER(TRIM(E2690))="D"),"D","")))))))</f>
        <v/>
      </c>
      <c r="J2690" s="27" t="str">
        <f aca="false">IF(I2690="","",IF(AND(I2690="D",Settings!$B$6&lt;&gt;"Yes"),"",IFERROR(INDEX(Settings!$C$9:$C$12,MATCH(I2690,Settings!$A$9:$A$12,0)),"")))</f>
        <v/>
      </c>
      <c r="K2690" s="27" t="str">
        <f aca="false">IF(J2690="","",COUNTIF($I$2:I2690,I2690))</f>
        <v/>
      </c>
      <c r="L2690" s="27" t="str">
        <f aca="false">IF(J2690="","",CHOOSE(Q2690+1,"Tue","Wed","Thu","Fri"))</f>
        <v/>
      </c>
      <c r="M2690" s="27" t="str">
        <f aca="false">IF(J2690="","",IF(J2690=1,"Every week",R2690+1&amp;" of "&amp;J2690))</f>
        <v/>
      </c>
      <c r="N2690" s="28" t="str">
        <f aca="false">IF(J2690="","",Settings!$B$4+R2690*7+Q2690)</f>
        <v/>
      </c>
      <c r="O2690" s="28" t="str">
        <f aca="true">IF(J2690="","",N2690+MAX(0,ROUNDUP((TODAY()-N2690)/(J2690*7),0))*J2690*7)</f>
        <v/>
      </c>
      <c r="P2690" s="27" t="str">
        <f aca="false">IF(J2690="","",MOD(K2690-1,J2690*4))</f>
        <v/>
      </c>
      <c r="Q2690" s="27" t="str">
        <f aca="false">IF(J2690="","",MOD(P2690,4))</f>
        <v/>
      </c>
      <c r="R2690" s="27" t="str">
        <f aca="false">IF(J2690="","",INT(P2690/4))</f>
        <v/>
      </c>
      <c r="S2690" s="27" t="str">
        <f aca="false">IF(J2690="","",IF(AND('Daily Count Sheet'!$H$3=Q2690,MOD('Daily Count Sheet'!$I$3,J2690)=R2690),1,""))</f>
        <v/>
      </c>
      <c r="T2690" s="27" t="str">
        <f aca="false">IF(S2690=1,COUNTIF($S$2:S2690,1),"")</f>
        <v/>
      </c>
    </row>
    <row r="2691" customFormat="false" ht="15" hidden="false" customHeight="false" outlineLevel="0" collapsed="false">
      <c r="H2691" s="26"/>
      <c r="I2691" s="27" t="str">
        <f aca="false">IF(A2691="","",IF(H2691&lt;&gt;"",UPPER(TRIM(H2691)),IFERROR(CHOOSE(VALUE(E2691)+1,"A","B","C","D"),IF(OR(LEFT(UPPER(TRIM(E2691)),1)="F",UPPER(TRIM(E2691))="A"),"A",IF(OR(LEFT(UPPER(TRIM(E2691)),1)="M",UPPER(TRIM(E2691))="B"),"B",IF(OR(LEFT(UPPER(TRIM(E2691)),2)="SL",UPPER(TRIM(E2691))="C"),"C",IF(OR(LEFT(UPPER(TRIM(E2691)),1)="D",UPPER(TRIM(E2691))="D"),"D","")))))))</f>
        <v/>
      </c>
      <c r="J2691" s="27" t="str">
        <f aca="false">IF(I2691="","",IF(AND(I2691="D",Settings!$B$6&lt;&gt;"Yes"),"",IFERROR(INDEX(Settings!$C$9:$C$12,MATCH(I2691,Settings!$A$9:$A$12,0)),"")))</f>
        <v/>
      </c>
      <c r="K2691" s="27" t="str">
        <f aca="false">IF(J2691="","",COUNTIF($I$2:I2691,I2691))</f>
        <v/>
      </c>
      <c r="L2691" s="27" t="str">
        <f aca="false">IF(J2691="","",CHOOSE(Q2691+1,"Tue","Wed","Thu","Fri"))</f>
        <v/>
      </c>
      <c r="M2691" s="27" t="str">
        <f aca="false">IF(J2691="","",IF(J2691=1,"Every week",R2691+1&amp;" of "&amp;J2691))</f>
        <v/>
      </c>
      <c r="N2691" s="28" t="str">
        <f aca="false">IF(J2691="","",Settings!$B$4+R2691*7+Q2691)</f>
        <v/>
      </c>
      <c r="O2691" s="28" t="str">
        <f aca="true">IF(J2691="","",N2691+MAX(0,ROUNDUP((TODAY()-N2691)/(J2691*7),0))*J2691*7)</f>
        <v/>
      </c>
      <c r="P2691" s="27" t="str">
        <f aca="false">IF(J2691="","",MOD(K2691-1,J2691*4))</f>
        <v/>
      </c>
      <c r="Q2691" s="27" t="str">
        <f aca="false">IF(J2691="","",MOD(P2691,4))</f>
        <v/>
      </c>
      <c r="R2691" s="27" t="str">
        <f aca="false">IF(J2691="","",INT(P2691/4))</f>
        <v/>
      </c>
      <c r="S2691" s="27" t="str">
        <f aca="false">IF(J2691="","",IF(AND('Daily Count Sheet'!$H$3=Q2691,MOD('Daily Count Sheet'!$I$3,J2691)=R2691),1,""))</f>
        <v/>
      </c>
      <c r="T2691" s="27" t="str">
        <f aca="false">IF(S2691=1,COUNTIF($S$2:S2691,1),"")</f>
        <v/>
      </c>
    </row>
    <row r="2692" customFormat="false" ht="15" hidden="false" customHeight="false" outlineLevel="0" collapsed="false">
      <c r="H2692" s="26"/>
      <c r="I2692" s="27" t="str">
        <f aca="false">IF(A2692="","",IF(H2692&lt;&gt;"",UPPER(TRIM(H2692)),IFERROR(CHOOSE(VALUE(E2692)+1,"A","B","C","D"),IF(OR(LEFT(UPPER(TRIM(E2692)),1)="F",UPPER(TRIM(E2692))="A"),"A",IF(OR(LEFT(UPPER(TRIM(E2692)),1)="M",UPPER(TRIM(E2692))="B"),"B",IF(OR(LEFT(UPPER(TRIM(E2692)),2)="SL",UPPER(TRIM(E2692))="C"),"C",IF(OR(LEFT(UPPER(TRIM(E2692)),1)="D",UPPER(TRIM(E2692))="D"),"D","")))))))</f>
        <v/>
      </c>
      <c r="J2692" s="27" t="str">
        <f aca="false">IF(I2692="","",IF(AND(I2692="D",Settings!$B$6&lt;&gt;"Yes"),"",IFERROR(INDEX(Settings!$C$9:$C$12,MATCH(I2692,Settings!$A$9:$A$12,0)),"")))</f>
        <v/>
      </c>
      <c r="K2692" s="27" t="str">
        <f aca="false">IF(J2692="","",COUNTIF($I$2:I2692,I2692))</f>
        <v/>
      </c>
      <c r="L2692" s="27" t="str">
        <f aca="false">IF(J2692="","",CHOOSE(Q2692+1,"Tue","Wed","Thu","Fri"))</f>
        <v/>
      </c>
      <c r="M2692" s="27" t="str">
        <f aca="false">IF(J2692="","",IF(J2692=1,"Every week",R2692+1&amp;" of "&amp;J2692))</f>
        <v/>
      </c>
      <c r="N2692" s="28" t="str">
        <f aca="false">IF(J2692="","",Settings!$B$4+R2692*7+Q2692)</f>
        <v/>
      </c>
      <c r="O2692" s="28" t="str">
        <f aca="true">IF(J2692="","",N2692+MAX(0,ROUNDUP((TODAY()-N2692)/(J2692*7),0))*J2692*7)</f>
        <v/>
      </c>
      <c r="P2692" s="27" t="str">
        <f aca="false">IF(J2692="","",MOD(K2692-1,J2692*4))</f>
        <v/>
      </c>
      <c r="Q2692" s="27" t="str">
        <f aca="false">IF(J2692="","",MOD(P2692,4))</f>
        <v/>
      </c>
      <c r="R2692" s="27" t="str">
        <f aca="false">IF(J2692="","",INT(P2692/4))</f>
        <v/>
      </c>
      <c r="S2692" s="27" t="str">
        <f aca="false">IF(J2692="","",IF(AND('Daily Count Sheet'!$H$3=Q2692,MOD('Daily Count Sheet'!$I$3,J2692)=R2692),1,""))</f>
        <v/>
      </c>
      <c r="T2692" s="27" t="str">
        <f aca="false">IF(S2692=1,COUNTIF($S$2:S2692,1),"")</f>
        <v/>
      </c>
    </row>
    <row r="2693" customFormat="false" ht="15" hidden="false" customHeight="false" outlineLevel="0" collapsed="false">
      <c r="H2693" s="26"/>
      <c r="I2693" s="27" t="str">
        <f aca="false">IF(A2693="","",IF(H2693&lt;&gt;"",UPPER(TRIM(H2693)),IFERROR(CHOOSE(VALUE(E2693)+1,"A","B","C","D"),IF(OR(LEFT(UPPER(TRIM(E2693)),1)="F",UPPER(TRIM(E2693))="A"),"A",IF(OR(LEFT(UPPER(TRIM(E2693)),1)="M",UPPER(TRIM(E2693))="B"),"B",IF(OR(LEFT(UPPER(TRIM(E2693)),2)="SL",UPPER(TRIM(E2693))="C"),"C",IF(OR(LEFT(UPPER(TRIM(E2693)),1)="D",UPPER(TRIM(E2693))="D"),"D","")))))))</f>
        <v/>
      </c>
      <c r="J2693" s="27" t="str">
        <f aca="false">IF(I2693="","",IF(AND(I2693="D",Settings!$B$6&lt;&gt;"Yes"),"",IFERROR(INDEX(Settings!$C$9:$C$12,MATCH(I2693,Settings!$A$9:$A$12,0)),"")))</f>
        <v/>
      </c>
      <c r="K2693" s="27" t="str">
        <f aca="false">IF(J2693="","",COUNTIF($I$2:I2693,I2693))</f>
        <v/>
      </c>
      <c r="L2693" s="27" t="str">
        <f aca="false">IF(J2693="","",CHOOSE(Q2693+1,"Tue","Wed","Thu","Fri"))</f>
        <v/>
      </c>
      <c r="M2693" s="27" t="str">
        <f aca="false">IF(J2693="","",IF(J2693=1,"Every week",R2693+1&amp;" of "&amp;J2693))</f>
        <v/>
      </c>
      <c r="N2693" s="28" t="str">
        <f aca="false">IF(J2693="","",Settings!$B$4+R2693*7+Q2693)</f>
        <v/>
      </c>
      <c r="O2693" s="28" t="str">
        <f aca="true">IF(J2693="","",N2693+MAX(0,ROUNDUP((TODAY()-N2693)/(J2693*7),0))*J2693*7)</f>
        <v/>
      </c>
      <c r="P2693" s="27" t="str">
        <f aca="false">IF(J2693="","",MOD(K2693-1,J2693*4))</f>
        <v/>
      </c>
      <c r="Q2693" s="27" t="str">
        <f aca="false">IF(J2693="","",MOD(P2693,4))</f>
        <v/>
      </c>
      <c r="R2693" s="27" t="str">
        <f aca="false">IF(J2693="","",INT(P2693/4))</f>
        <v/>
      </c>
      <c r="S2693" s="27" t="str">
        <f aca="false">IF(J2693="","",IF(AND('Daily Count Sheet'!$H$3=Q2693,MOD('Daily Count Sheet'!$I$3,J2693)=R2693),1,""))</f>
        <v/>
      </c>
      <c r="T2693" s="27" t="str">
        <f aca="false">IF(S2693=1,COUNTIF($S$2:S2693,1),"")</f>
        <v/>
      </c>
    </row>
    <row r="2694" customFormat="false" ht="15" hidden="false" customHeight="false" outlineLevel="0" collapsed="false">
      <c r="H2694" s="26"/>
      <c r="I2694" s="27" t="str">
        <f aca="false">IF(A2694="","",IF(H2694&lt;&gt;"",UPPER(TRIM(H2694)),IFERROR(CHOOSE(VALUE(E2694)+1,"A","B","C","D"),IF(OR(LEFT(UPPER(TRIM(E2694)),1)="F",UPPER(TRIM(E2694))="A"),"A",IF(OR(LEFT(UPPER(TRIM(E2694)),1)="M",UPPER(TRIM(E2694))="B"),"B",IF(OR(LEFT(UPPER(TRIM(E2694)),2)="SL",UPPER(TRIM(E2694))="C"),"C",IF(OR(LEFT(UPPER(TRIM(E2694)),1)="D",UPPER(TRIM(E2694))="D"),"D","")))))))</f>
        <v/>
      </c>
      <c r="J2694" s="27" t="str">
        <f aca="false">IF(I2694="","",IF(AND(I2694="D",Settings!$B$6&lt;&gt;"Yes"),"",IFERROR(INDEX(Settings!$C$9:$C$12,MATCH(I2694,Settings!$A$9:$A$12,0)),"")))</f>
        <v/>
      </c>
      <c r="K2694" s="27" t="str">
        <f aca="false">IF(J2694="","",COUNTIF($I$2:I2694,I2694))</f>
        <v/>
      </c>
      <c r="L2694" s="27" t="str">
        <f aca="false">IF(J2694="","",CHOOSE(Q2694+1,"Tue","Wed","Thu","Fri"))</f>
        <v/>
      </c>
      <c r="M2694" s="27" t="str">
        <f aca="false">IF(J2694="","",IF(J2694=1,"Every week",R2694+1&amp;" of "&amp;J2694))</f>
        <v/>
      </c>
      <c r="N2694" s="28" t="str">
        <f aca="false">IF(J2694="","",Settings!$B$4+R2694*7+Q2694)</f>
        <v/>
      </c>
      <c r="O2694" s="28" t="str">
        <f aca="true">IF(J2694="","",N2694+MAX(0,ROUNDUP((TODAY()-N2694)/(J2694*7),0))*J2694*7)</f>
        <v/>
      </c>
      <c r="P2694" s="27" t="str">
        <f aca="false">IF(J2694="","",MOD(K2694-1,J2694*4))</f>
        <v/>
      </c>
      <c r="Q2694" s="27" t="str">
        <f aca="false">IF(J2694="","",MOD(P2694,4))</f>
        <v/>
      </c>
      <c r="R2694" s="27" t="str">
        <f aca="false">IF(J2694="","",INT(P2694/4))</f>
        <v/>
      </c>
      <c r="S2694" s="27" t="str">
        <f aca="false">IF(J2694="","",IF(AND('Daily Count Sheet'!$H$3=Q2694,MOD('Daily Count Sheet'!$I$3,J2694)=R2694),1,""))</f>
        <v/>
      </c>
      <c r="T2694" s="27" t="str">
        <f aca="false">IF(S2694=1,COUNTIF($S$2:S2694,1),"")</f>
        <v/>
      </c>
    </row>
    <row r="2695" customFormat="false" ht="15" hidden="false" customHeight="false" outlineLevel="0" collapsed="false">
      <c r="H2695" s="26"/>
      <c r="I2695" s="27" t="str">
        <f aca="false">IF(A2695="","",IF(H2695&lt;&gt;"",UPPER(TRIM(H2695)),IFERROR(CHOOSE(VALUE(E2695)+1,"A","B","C","D"),IF(OR(LEFT(UPPER(TRIM(E2695)),1)="F",UPPER(TRIM(E2695))="A"),"A",IF(OR(LEFT(UPPER(TRIM(E2695)),1)="M",UPPER(TRIM(E2695))="B"),"B",IF(OR(LEFT(UPPER(TRIM(E2695)),2)="SL",UPPER(TRIM(E2695))="C"),"C",IF(OR(LEFT(UPPER(TRIM(E2695)),1)="D",UPPER(TRIM(E2695))="D"),"D","")))))))</f>
        <v/>
      </c>
      <c r="J2695" s="27" t="str">
        <f aca="false">IF(I2695="","",IF(AND(I2695="D",Settings!$B$6&lt;&gt;"Yes"),"",IFERROR(INDEX(Settings!$C$9:$C$12,MATCH(I2695,Settings!$A$9:$A$12,0)),"")))</f>
        <v/>
      </c>
      <c r="K2695" s="27" t="str">
        <f aca="false">IF(J2695="","",COUNTIF($I$2:I2695,I2695))</f>
        <v/>
      </c>
      <c r="L2695" s="27" t="str">
        <f aca="false">IF(J2695="","",CHOOSE(Q2695+1,"Tue","Wed","Thu","Fri"))</f>
        <v/>
      </c>
      <c r="M2695" s="27" t="str">
        <f aca="false">IF(J2695="","",IF(J2695=1,"Every week",R2695+1&amp;" of "&amp;J2695))</f>
        <v/>
      </c>
      <c r="N2695" s="28" t="str">
        <f aca="false">IF(J2695="","",Settings!$B$4+R2695*7+Q2695)</f>
        <v/>
      </c>
      <c r="O2695" s="28" t="str">
        <f aca="true">IF(J2695="","",N2695+MAX(0,ROUNDUP((TODAY()-N2695)/(J2695*7),0))*J2695*7)</f>
        <v/>
      </c>
      <c r="P2695" s="27" t="str">
        <f aca="false">IF(J2695="","",MOD(K2695-1,J2695*4))</f>
        <v/>
      </c>
      <c r="Q2695" s="27" t="str">
        <f aca="false">IF(J2695="","",MOD(P2695,4))</f>
        <v/>
      </c>
      <c r="R2695" s="27" t="str">
        <f aca="false">IF(J2695="","",INT(P2695/4))</f>
        <v/>
      </c>
      <c r="S2695" s="27" t="str">
        <f aca="false">IF(J2695="","",IF(AND('Daily Count Sheet'!$H$3=Q2695,MOD('Daily Count Sheet'!$I$3,J2695)=R2695),1,""))</f>
        <v/>
      </c>
      <c r="T2695" s="27" t="str">
        <f aca="false">IF(S2695=1,COUNTIF($S$2:S2695,1),"")</f>
        <v/>
      </c>
    </row>
    <row r="2696" customFormat="false" ht="15" hidden="false" customHeight="false" outlineLevel="0" collapsed="false">
      <c r="H2696" s="26"/>
      <c r="I2696" s="27" t="str">
        <f aca="false">IF(A2696="","",IF(H2696&lt;&gt;"",UPPER(TRIM(H2696)),IFERROR(CHOOSE(VALUE(E2696)+1,"A","B","C","D"),IF(OR(LEFT(UPPER(TRIM(E2696)),1)="F",UPPER(TRIM(E2696))="A"),"A",IF(OR(LEFT(UPPER(TRIM(E2696)),1)="M",UPPER(TRIM(E2696))="B"),"B",IF(OR(LEFT(UPPER(TRIM(E2696)),2)="SL",UPPER(TRIM(E2696))="C"),"C",IF(OR(LEFT(UPPER(TRIM(E2696)),1)="D",UPPER(TRIM(E2696))="D"),"D","")))))))</f>
        <v/>
      </c>
      <c r="J2696" s="27" t="str">
        <f aca="false">IF(I2696="","",IF(AND(I2696="D",Settings!$B$6&lt;&gt;"Yes"),"",IFERROR(INDEX(Settings!$C$9:$C$12,MATCH(I2696,Settings!$A$9:$A$12,0)),"")))</f>
        <v/>
      </c>
      <c r="K2696" s="27" t="str">
        <f aca="false">IF(J2696="","",COUNTIF($I$2:I2696,I2696))</f>
        <v/>
      </c>
      <c r="L2696" s="27" t="str">
        <f aca="false">IF(J2696="","",CHOOSE(Q2696+1,"Tue","Wed","Thu","Fri"))</f>
        <v/>
      </c>
      <c r="M2696" s="27" t="str">
        <f aca="false">IF(J2696="","",IF(J2696=1,"Every week",R2696+1&amp;" of "&amp;J2696))</f>
        <v/>
      </c>
      <c r="N2696" s="28" t="str">
        <f aca="false">IF(J2696="","",Settings!$B$4+R2696*7+Q2696)</f>
        <v/>
      </c>
      <c r="O2696" s="28" t="str">
        <f aca="true">IF(J2696="","",N2696+MAX(0,ROUNDUP((TODAY()-N2696)/(J2696*7),0))*J2696*7)</f>
        <v/>
      </c>
      <c r="P2696" s="27" t="str">
        <f aca="false">IF(J2696="","",MOD(K2696-1,J2696*4))</f>
        <v/>
      </c>
      <c r="Q2696" s="27" t="str">
        <f aca="false">IF(J2696="","",MOD(P2696,4))</f>
        <v/>
      </c>
      <c r="R2696" s="27" t="str">
        <f aca="false">IF(J2696="","",INT(P2696/4))</f>
        <v/>
      </c>
      <c r="S2696" s="27" t="str">
        <f aca="false">IF(J2696="","",IF(AND('Daily Count Sheet'!$H$3=Q2696,MOD('Daily Count Sheet'!$I$3,J2696)=R2696),1,""))</f>
        <v/>
      </c>
      <c r="T2696" s="27" t="str">
        <f aca="false">IF(S2696=1,COUNTIF($S$2:S2696,1),"")</f>
        <v/>
      </c>
    </row>
    <row r="2697" customFormat="false" ht="15" hidden="false" customHeight="false" outlineLevel="0" collapsed="false">
      <c r="H2697" s="26"/>
      <c r="I2697" s="27" t="str">
        <f aca="false">IF(A2697="","",IF(H2697&lt;&gt;"",UPPER(TRIM(H2697)),IFERROR(CHOOSE(VALUE(E2697)+1,"A","B","C","D"),IF(OR(LEFT(UPPER(TRIM(E2697)),1)="F",UPPER(TRIM(E2697))="A"),"A",IF(OR(LEFT(UPPER(TRIM(E2697)),1)="M",UPPER(TRIM(E2697))="B"),"B",IF(OR(LEFT(UPPER(TRIM(E2697)),2)="SL",UPPER(TRIM(E2697))="C"),"C",IF(OR(LEFT(UPPER(TRIM(E2697)),1)="D",UPPER(TRIM(E2697))="D"),"D","")))))))</f>
        <v/>
      </c>
      <c r="J2697" s="27" t="str">
        <f aca="false">IF(I2697="","",IF(AND(I2697="D",Settings!$B$6&lt;&gt;"Yes"),"",IFERROR(INDEX(Settings!$C$9:$C$12,MATCH(I2697,Settings!$A$9:$A$12,0)),"")))</f>
        <v/>
      </c>
      <c r="K2697" s="27" t="str">
        <f aca="false">IF(J2697="","",COUNTIF($I$2:I2697,I2697))</f>
        <v/>
      </c>
      <c r="L2697" s="27" t="str">
        <f aca="false">IF(J2697="","",CHOOSE(Q2697+1,"Tue","Wed","Thu","Fri"))</f>
        <v/>
      </c>
      <c r="M2697" s="27" t="str">
        <f aca="false">IF(J2697="","",IF(J2697=1,"Every week",R2697+1&amp;" of "&amp;J2697))</f>
        <v/>
      </c>
      <c r="N2697" s="28" t="str">
        <f aca="false">IF(J2697="","",Settings!$B$4+R2697*7+Q2697)</f>
        <v/>
      </c>
      <c r="O2697" s="28" t="str">
        <f aca="true">IF(J2697="","",N2697+MAX(0,ROUNDUP((TODAY()-N2697)/(J2697*7),0))*J2697*7)</f>
        <v/>
      </c>
      <c r="P2697" s="27" t="str">
        <f aca="false">IF(J2697="","",MOD(K2697-1,J2697*4))</f>
        <v/>
      </c>
      <c r="Q2697" s="27" t="str">
        <f aca="false">IF(J2697="","",MOD(P2697,4))</f>
        <v/>
      </c>
      <c r="R2697" s="27" t="str">
        <f aca="false">IF(J2697="","",INT(P2697/4))</f>
        <v/>
      </c>
      <c r="S2697" s="27" t="str">
        <f aca="false">IF(J2697="","",IF(AND('Daily Count Sheet'!$H$3=Q2697,MOD('Daily Count Sheet'!$I$3,J2697)=R2697),1,""))</f>
        <v/>
      </c>
      <c r="T2697" s="27" t="str">
        <f aca="false">IF(S2697=1,COUNTIF($S$2:S2697,1),"")</f>
        <v/>
      </c>
    </row>
    <row r="2698" customFormat="false" ht="15" hidden="false" customHeight="false" outlineLevel="0" collapsed="false">
      <c r="H2698" s="26"/>
      <c r="I2698" s="27" t="str">
        <f aca="false">IF(A2698="","",IF(H2698&lt;&gt;"",UPPER(TRIM(H2698)),IFERROR(CHOOSE(VALUE(E2698)+1,"A","B","C","D"),IF(OR(LEFT(UPPER(TRIM(E2698)),1)="F",UPPER(TRIM(E2698))="A"),"A",IF(OR(LEFT(UPPER(TRIM(E2698)),1)="M",UPPER(TRIM(E2698))="B"),"B",IF(OR(LEFT(UPPER(TRIM(E2698)),2)="SL",UPPER(TRIM(E2698))="C"),"C",IF(OR(LEFT(UPPER(TRIM(E2698)),1)="D",UPPER(TRIM(E2698))="D"),"D","")))))))</f>
        <v/>
      </c>
      <c r="J2698" s="27" t="str">
        <f aca="false">IF(I2698="","",IF(AND(I2698="D",Settings!$B$6&lt;&gt;"Yes"),"",IFERROR(INDEX(Settings!$C$9:$C$12,MATCH(I2698,Settings!$A$9:$A$12,0)),"")))</f>
        <v/>
      </c>
      <c r="K2698" s="27" t="str">
        <f aca="false">IF(J2698="","",COUNTIF($I$2:I2698,I2698))</f>
        <v/>
      </c>
      <c r="L2698" s="27" t="str">
        <f aca="false">IF(J2698="","",CHOOSE(Q2698+1,"Tue","Wed","Thu","Fri"))</f>
        <v/>
      </c>
      <c r="M2698" s="27" t="str">
        <f aca="false">IF(J2698="","",IF(J2698=1,"Every week",R2698+1&amp;" of "&amp;J2698))</f>
        <v/>
      </c>
      <c r="N2698" s="28" t="str">
        <f aca="false">IF(J2698="","",Settings!$B$4+R2698*7+Q2698)</f>
        <v/>
      </c>
      <c r="O2698" s="28" t="str">
        <f aca="true">IF(J2698="","",N2698+MAX(0,ROUNDUP((TODAY()-N2698)/(J2698*7),0))*J2698*7)</f>
        <v/>
      </c>
      <c r="P2698" s="27" t="str">
        <f aca="false">IF(J2698="","",MOD(K2698-1,J2698*4))</f>
        <v/>
      </c>
      <c r="Q2698" s="27" t="str">
        <f aca="false">IF(J2698="","",MOD(P2698,4))</f>
        <v/>
      </c>
      <c r="R2698" s="27" t="str">
        <f aca="false">IF(J2698="","",INT(P2698/4))</f>
        <v/>
      </c>
      <c r="S2698" s="27" t="str">
        <f aca="false">IF(J2698="","",IF(AND('Daily Count Sheet'!$H$3=Q2698,MOD('Daily Count Sheet'!$I$3,J2698)=R2698),1,""))</f>
        <v/>
      </c>
      <c r="T2698" s="27" t="str">
        <f aca="false">IF(S2698=1,COUNTIF($S$2:S2698,1),"")</f>
        <v/>
      </c>
    </row>
    <row r="2699" customFormat="false" ht="15" hidden="false" customHeight="false" outlineLevel="0" collapsed="false">
      <c r="H2699" s="26"/>
      <c r="I2699" s="27" t="str">
        <f aca="false">IF(A2699="","",IF(H2699&lt;&gt;"",UPPER(TRIM(H2699)),IFERROR(CHOOSE(VALUE(E2699)+1,"A","B","C","D"),IF(OR(LEFT(UPPER(TRIM(E2699)),1)="F",UPPER(TRIM(E2699))="A"),"A",IF(OR(LEFT(UPPER(TRIM(E2699)),1)="M",UPPER(TRIM(E2699))="B"),"B",IF(OR(LEFT(UPPER(TRIM(E2699)),2)="SL",UPPER(TRIM(E2699))="C"),"C",IF(OR(LEFT(UPPER(TRIM(E2699)),1)="D",UPPER(TRIM(E2699))="D"),"D","")))))))</f>
        <v/>
      </c>
      <c r="J2699" s="27" t="str">
        <f aca="false">IF(I2699="","",IF(AND(I2699="D",Settings!$B$6&lt;&gt;"Yes"),"",IFERROR(INDEX(Settings!$C$9:$C$12,MATCH(I2699,Settings!$A$9:$A$12,0)),"")))</f>
        <v/>
      </c>
      <c r="K2699" s="27" t="str">
        <f aca="false">IF(J2699="","",COUNTIF($I$2:I2699,I2699))</f>
        <v/>
      </c>
      <c r="L2699" s="27" t="str">
        <f aca="false">IF(J2699="","",CHOOSE(Q2699+1,"Tue","Wed","Thu","Fri"))</f>
        <v/>
      </c>
      <c r="M2699" s="27" t="str">
        <f aca="false">IF(J2699="","",IF(J2699=1,"Every week",R2699+1&amp;" of "&amp;J2699))</f>
        <v/>
      </c>
      <c r="N2699" s="28" t="str">
        <f aca="false">IF(J2699="","",Settings!$B$4+R2699*7+Q2699)</f>
        <v/>
      </c>
      <c r="O2699" s="28" t="str">
        <f aca="true">IF(J2699="","",N2699+MAX(0,ROUNDUP((TODAY()-N2699)/(J2699*7),0))*J2699*7)</f>
        <v/>
      </c>
      <c r="P2699" s="27" t="str">
        <f aca="false">IF(J2699="","",MOD(K2699-1,J2699*4))</f>
        <v/>
      </c>
      <c r="Q2699" s="27" t="str">
        <f aca="false">IF(J2699="","",MOD(P2699,4))</f>
        <v/>
      </c>
      <c r="R2699" s="27" t="str">
        <f aca="false">IF(J2699="","",INT(P2699/4))</f>
        <v/>
      </c>
      <c r="S2699" s="27" t="str">
        <f aca="false">IF(J2699="","",IF(AND('Daily Count Sheet'!$H$3=Q2699,MOD('Daily Count Sheet'!$I$3,J2699)=R2699),1,""))</f>
        <v/>
      </c>
      <c r="T2699" s="27" t="str">
        <f aca="false">IF(S2699=1,COUNTIF($S$2:S2699,1),"")</f>
        <v/>
      </c>
    </row>
    <row r="2700" customFormat="false" ht="15" hidden="false" customHeight="false" outlineLevel="0" collapsed="false">
      <c r="H2700" s="26"/>
      <c r="I2700" s="27" t="str">
        <f aca="false">IF(A2700="","",IF(H2700&lt;&gt;"",UPPER(TRIM(H2700)),IFERROR(CHOOSE(VALUE(E2700)+1,"A","B","C","D"),IF(OR(LEFT(UPPER(TRIM(E2700)),1)="F",UPPER(TRIM(E2700))="A"),"A",IF(OR(LEFT(UPPER(TRIM(E2700)),1)="M",UPPER(TRIM(E2700))="B"),"B",IF(OR(LEFT(UPPER(TRIM(E2700)),2)="SL",UPPER(TRIM(E2700))="C"),"C",IF(OR(LEFT(UPPER(TRIM(E2700)),1)="D",UPPER(TRIM(E2700))="D"),"D","")))))))</f>
        <v/>
      </c>
      <c r="J2700" s="27" t="str">
        <f aca="false">IF(I2700="","",IF(AND(I2700="D",Settings!$B$6&lt;&gt;"Yes"),"",IFERROR(INDEX(Settings!$C$9:$C$12,MATCH(I2700,Settings!$A$9:$A$12,0)),"")))</f>
        <v/>
      </c>
      <c r="K2700" s="27" t="str">
        <f aca="false">IF(J2700="","",COUNTIF($I$2:I2700,I2700))</f>
        <v/>
      </c>
      <c r="L2700" s="27" t="str">
        <f aca="false">IF(J2700="","",CHOOSE(Q2700+1,"Tue","Wed","Thu","Fri"))</f>
        <v/>
      </c>
      <c r="M2700" s="27" t="str">
        <f aca="false">IF(J2700="","",IF(J2700=1,"Every week",R2700+1&amp;" of "&amp;J2700))</f>
        <v/>
      </c>
      <c r="N2700" s="28" t="str">
        <f aca="false">IF(J2700="","",Settings!$B$4+R2700*7+Q2700)</f>
        <v/>
      </c>
      <c r="O2700" s="28" t="str">
        <f aca="true">IF(J2700="","",N2700+MAX(0,ROUNDUP((TODAY()-N2700)/(J2700*7),0))*J2700*7)</f>
        <v/>
      </c>
      <c r="P2700" s="27" t="str">
        <f aca="false">IF(J2700="","",MOD(K2700-1,J2700*4))</f>
        <v/>
      </c>
      <c r="Q2700" s="27" t="str">
        <f aca="false">IF(J2700="","",MOD(P2700,4))</f>
        <v/>
      </c>
      <c r="R2700" s="27" t="str">
        <f aca="false">IF(J2700="","",INT(P2700/4))</f>
        <v/>
      </c>
      <c r="S2700" s="27" t="str">
        <f aca="false">IF(J2700="","",IF(AND('Daily Count Sheet'!$H$3=Q2700,MOD('Daily Count Sheet'!$I$3,J2700)=R2700),1,""))</f>
        <v/>
      </c>
      <c r="T2700" s="27" t="str">
        <f aca="false">IF(S2700=1,COUNTIF($S$2:S2700,1),"")</f>
        <v/>
      </c>
    </row>
    <row r="2701" customFormat="false" ht="15" hidden="false" customHeight="false" outlineLevel="0" collapsed="false">
      <c r="H2701" s="26"/>
      <c r="I2701" s="27" t="str">
        <f aca="false">IF(A2701="","",IF(H2701&lt;&gt;"",UPPER(TRIM(H2701)),IFERROR(CHOOSE(VALUE(E2701)+1,"A","B","C","D"),IF(OR(LEFT(UPPER(TRIM(E2701)),1)="F",UPPER(TRIM(E2701))="A"),"A",IF(OR(LEFT(UPPER(TRIM(E2701)),1)="M",UPPER(TRIM(E2701))="B"),"B",IF(OR(LEFT(UPPER(TRIM(E2701)),2)="SL",UPPER(TRIM(E2701))="C"),"C",IF(OR(LEFT(UPPER(TRIM(E2701)),1)="D",UPPER(TRIM(E2701))="D"),"D","")))))))</f>
        <v/>
      </c>
      <c r="J2701" s="27" t="str">
        <f aca="false">IF(I2701="","",IF(AND(I2701="D",Settings!$B$6&lt;&gt;"Yes"),"",IFERROR(INDEX(Settings!$C$9:$C$12,MATCH(I2701,Settings!$A$9:$A$12,0)),"")))</f>
        <v/>
      </c>
      <c r="K2701" s="27" t="str">
        <f aca="false">IF(J2701="","",COUNTIF($I$2:I2701,I2701))</f>
        <v/>
      </c>
      <c r="L2701" s="27" t="str">
        <f aca="false">IF(J2701="","",CHOOSE(Q2701+1,"Tue","Wed","Thu","Fri"))</f>
        <v/>
      </c>
      <c r="M2701" s="27" t="str">
        <f aca="false">IF(J2701="","",IF(J2701=1,"Every week",R2701+1&amp;" of "&amp;J2701))</f>
        <v/>
      </c>
      <c r="N2701" s="28" t="str">
        <f aca="false">IF(J2701="","",Settings!$B$4+R2701*7+Q2701)</f>
        <v/>
      </c>
      <c r="O2701" s="28" t="str">
        <f aca="true">IF(J2701="","",N2701+MAX(0,ROUNDUP((TODAY()-N2701)/(J2701*7),0))*J2701*7)</f>
        <v/>
      </c>
      <c r="P2701" s="27" t="str">
        <f aca="false">IF(J2701="","",MOD(K2701-1,J2701*4))</f>
        <v/>
      </c>
      <c r="Q2701" s="27" t="str">
        <f aca="false">IF(J2701="","",MOD(P2701,4))</f>
        <v/>
      </c>
      <c r="R2701" s="27" t="str">
        <f aca="false">IF(J2701="","",INT(P2701/4))</f>
        <v/>
      </c>
      <c r="S2701" s="27" t="str">
        <f aca="false">IF(J2701="","",IF(AND('Daily Count Sheet'!$H$3=Q2701,MOD('Daily Count Sheet'!$I$3,J2701)=R2701),1,""))</f>
        <v/>
      </c>
      <c r="T2701" s="27" t="str">
        <f aca="false">IF(S2701=1,COUNTIF($S$2:S2701,1),"")</f>
        <v/>
      </c>
    </row>
    <row r="2702" customFormat="false" ht="15" hidden="false" customHeight="false" outlineLevel="0" collapsed="false">
      <c r="H2702" s="26"/>
      <c r="I2702" s="27" t="str">
        <f aca="false">IF(A2702="","",IF(H2702&lt;&gt;"",UPPER(TRIM(H2702)),IFERROR(CHOOSE(VALUE(E2702)+1,"A","B","C","D"),IF(OR(LEFT(UPPER(TRIM(E2702)),1)="F",UPPER(TRIM(E2702))="A"),"A",IF(OR(LEFT(UPPER(TRIM(E2702)),1)="M",UPPER(TRIM(E2702))="B"),"B",IF(OR(LEFT(UPPER(TRIM(E2702)),2)="SL",UPPER(TRIM(E2702))="C"),"C",IF(OR(LEFT(UPPER(TRIM(E2702)),1)="D",UPPER(TRIM(E2702))="D"),"D","")))))))</f>
        <v/>
      </c>
      <c r="J2702" s="27" t="str">
        <f aca="false">IF(I2702="","",IF(AND(I2702="D",Settings!$B$6&lt;&gt;"Yes"),"",IFERROR(INDEX(Settings!$C$9:$C$12,MATCH(I2702,Settings!$A$9:$A$12,0)),"")))</f>
        <v/>
      </c>
      <c r="K2702" s="27" t="str">
        <f aca="false">IF(J2702="","",COUNTIF($I$2:I2702,I2702))</f>
        <v/>
      </c>
      <c r="L2702" s="27" t="str">
        <f aca="false">IF(J2702="","",CHOOSE(Q2702+1,"Tue","Wed","Thu","Fri"))</f>
        <v/>
      </c>
      <c r="M2702" s="27" t="str">
        <f aca="false">IF(J2702="","",IF(J2702=1,"Every week",R2702+1&amp;" of "&amp;J2702))</f>
        <v/>
      </c>
      <c r="N2702" s="28" t="str">
        <f aca="false">IF(J2702="","",Settings!$B$4+R2702*7+Q2702)</f>
        <v/>
      </c>
      <c r="O2702" s="28" t="str">
        <f aca="true">IF(J2702="","",N2702+MAX(0,ROUNDUP((TODAY()-N2702)/(J2702*7),0))*J2702*7)</f>
        <v/>
      </c>
      <c r="P2702" s="27" t="str">
        <f aca="false">IF(J2702="","",MOD(K2702-1,J2702*4))</f>
        <v/>
      </c>
      <c r="Q2702" s="27" t="str">
        <f aca="false">IF(J2702="","",MOD(P2702,4))</f>
        <v/>
      </c>
      <c r="R2702" s="27" t="str">
        <f aca="false">IF(J2702="","",INT(P2702/4))</f>
        <v/>
      </c>
      <c r="S2702" s="27" t="str">
        <f aca="false">IF(J2702="","",IF(AND('Daily Count Sheet'!$H$3=Q2702,MOD('Daily Count Sheet'!$I$3,J2702)=R2702),1,""))</f>
        <v/>
      </c>
      <c r="T2702" s="27" t="str">
        <f aca="false">IF(S2702=1,COUNTIF($S$2:S2702,1),"")</f>
        <v/>
      </c>
    </row>
    <row r="2703" customFormat="false" ht="15" hidden="false" customHeight="false" outlineLevel="0" collapsed="false">
      <c r="H2703" s="26"/>
      <c r="I2703" s="27" t="str">
        <f aca="false">IF(A2703="","",IF(H2703&lt;&gt;"",UPPER(TRIM(H2703)),IFERROR(CHOOSE(VALUE(E2703)+1,"A","B","C","D"),IF(OR(LEFT(UPPER(TRIM(E2703)),1)="F",UPPER(TRIM(E2703))="A"),"A",IF(OR(LEFT(UPPER(TRIM(E2703)),1)="M",UPPER(TRIM(E2703))="B"),"B",IF(OR(LEFT(UPPER(TRIM(E2703)),2)="SL",UPPER(TRIM(E2703))="C"),"C",IF(OR(LEFT(UPPER(TRIM(E2703)),1)="D",UPPER(TRIM(E2703))="D"),"D","")))))))</f>
        <v/>
      </c>
      <c r="J2703" s="27" t="str">
        <f aca="false">IF(I2703="","",IF(AND(I2703="D",Settings!$B$6&lt;&gt;"Yes"),"",IFERROR(INDEX(Settings!$C$9:$C$12,MATCH(I2703,Settings!$A$9:$A$12,0)),"")))</f>
        <v/>
      </c>
      <c r="K2703" s="27" t="str">
        <f aca="false">IF(J2703="","",COUNTIF($I$2:I2703,I2703))</f>
        <v/>
      </c>
      <c r="L2703" s="27" t="str">
        <f aca="false">IF(J2703="","",CHOOSE(Q2703+1,"Tue","Wed","Thu","Fri"))</f>
        <v/>
      </c>
      <c r="M2703" s="27" t="str">
        <f aca="false">IF(J2703="","",IF(J2703=1,"Every week",R2703+1&amp;" of "&amp;J2703))</f>
        <v/>
      </c>
      <c r="N2703" s="28" t="str">
        <f aca="false">IF(J2703="","",Settings!$B$4+R2703*7+Q2703)</f>
        <v/>
      </c>
      <c r="O2703" s="28" t="str">
        <f aca="true">IF(J2703="","",N2703+MAX(0,ROUNDUP((TODAY()-N2703)/(J2703*7),0))*J2703*7)</f>
        <v/>
      </c>
      <c r="P2703" s="27" t="str">
        <f aca="false">IF(J2703="","",MOD(K2703-1,J2703*4))</f>
        <v/>
      </c>
      <c r="Q2703" s="27" t="str">
        <f aca="false">IF(J2703="","",MOD(P2703,4))</f>
        <v/>
      </c>
      <c r="R2703" s="27" t="str">
        <f aca="false">IF(J2703="","",INT(P2703/4))</f>
        <v/>
      </c>
      <c r="S2703" s="27" t="str">
        <f aca="false">IF(J2703="","",IF(AND('Daily Count Sheet'!$H$3=Q2703,MOD('Daily Count Sheet'!$I$3,J2703)=R2703),1,""))</f>
        <v/>
      </c>
      <c r="T2703" s="27" t="str">
        <f aca="false">IF(S2703=1,COUNTIF($S$2:S2703,1),"")</f>
        <v/>
      </c>
    </row>
    <row r="2704" customFormat="false" ht="15" hidden="false" customHeight="false" outlineLevel="0" collapsed="false">
      <c r="H2704" s="26"/>
      <c r="I2704" s="27" t="str">
        <f aca="false">IF(A2704="","",IF(H2704&lt;&gt;"",UPPER(TRIM(H2704)),IFERROR(CHOOSE(VALUE(E2704)+1,"A","B","C","D"),IF(OR(LEFT(UPPER(TRIM(E2704)),1)="F",UPPER(TRIM(E2704))="A"),"A",IF(OR(LEFT(UPPER(TRIM(E2704)),1)="M",UPPER(TRIM(E2704))="B"),"B",IF(OR(LEFT(UPPER(TRIM(E2704)),2)="SL",UPPER(TRIM(E2704))="C"),"C",IF(OR(LEFT(UPPER(TRIM(E2704)),1)="D",UPPER(TRIM(E2704))="D"),"D","")))))))</f>
        <v/>
      </c>
      <c r="J2704" s="27" t="str">
        <f aca="false">IF(I2704="","",IF(AND(I2704="D",Settings!$B$6&lt;&gt;"Yes"),"",IFERROR(INDEX(Settings!$C$9:$C$12,MATCH(I2704,Settings!$A$9:$A$12,0)),"")))</f>
        <v/>
      </c>
      <c r="K2704" s="27" t="str">
        <f aca="false">IF(J2704="","",COUNTIF($I$2:I2704,I2704))</f>
        <v/>
      </c>
      <c r="L2704" s="27" t="str">
        <f aca="false">IF(J2704="","",CHOOSE(Q2704+1,"Tue","Wed","Thu","Fri"))</f>
        <v/>
      </c>
      <c r="M2704" s="27" t="str">
        <f aca="false">IF(J2704="","",IF(J2704=1,"Every week",R2704+1&amp;" of "&amp;J2704))</f>
        <v/>
      </c>
      <c r="N2704" s="28" t="str">
        <f aca="false">IF(J2704="","",Settings!$B$4+R2704*7+Q2704)</f>
        <v/>
      </c>
      <c r="O2704" s="28" t="str">
        <f aca="true">IF(J2704="","",N2704+MAX(0,ROUNDUP((TODAY()-N2704)/(J2704*7),0))*J2704*7)</f>
        <v/>
      </c>
      <c r="P2704" s="27" t="str">
        <f aca="false">IF(J2704="","",MOD(K2704-1,J2704*4))</f>
        <v/>
      </c>
      <c r="Q2704" s="27" t="str">
        <f aca="false">IF(J2704="","",MOD(P2704,4))</f>
        <v/>
      </c>
      <c r="R2704" s="27" t="str">
        <f aca="false">IF(J2704="","",INT(P2704/4))</f>
        <v/>
      </c>
      <c r="S2704" s="27" t="str">
        <f aca="false">IF(J2704="","",IF(AND('Daily Count Sheet'!$H$3=Q2704,MOD('Daily Count Sheet'!$I$3,J2704)=R2704),1,""))</f>
        <v/>
      </c>
      <c r="T2704" s="27" t="str">
        <f aca="false">IF(S2704=1,COUNTIF($S$2:S2704,1),"")</f>
        <v/>
      </c>
    </row>
    <row r="2705" customFormat="false" ht="15" hidden="false" customHeight="false" outlineLevel="0" collapsed="false">
      <c r="H2705" s="26"/>
      <c r="I2705" s="27" t="str">
        <f aca="false">IF(A2705="","",IF(H2705&lt;&gt;"",UPPER(TRIM(H2705)),IFERROR(CHOOSE(VALUE(E2705)+1,"A","B","C","D"),IF(OR(LEFT(UPPER(TRIM(E2705)),1)="F",UPPER(TRIM(E2705))="A"),"A",IF(OR(LEFT(UPPER(TRIM(E2705)),1)="M",UPPER(TRIM(E2705))="B"),"B",IF(OR(LEFT(UPPER(TRIM(E2705)),2)="SL",UPPER(TRIM(E2705))="C"),"C",IF(OR(LEFT(UPPER(TRIM(E2705)),1)="D",UPPER(TRIM(E2705))="D"),"D","")))))))</f>
        <v/>
      </c>
      <c r="J2705" s="27" t="str">
        <f aca="false">IF(I2705="","",IF(AND(I2705="D",Settings!$B$6&lt;&gt;"Yes"),"",IFERROR(INDEX(Settings!$C$9:$C$12,MATCH(I2705,Settings!$A$9:$A$12,0)),"")))</f>
        <v/>
      </c>
      <c r="K2705" s="27" t="str">
        <f aca="false">IF(J2705="","",COUNTIF($I$2:I2705,I2705))</f>
        <v/>
      </c>
      <c r="L2705" s="27" t="str">
        <f aca="false">IF(J2705="","",CHOOSE(Q2705+1,"Tue","Wed","Thu","Fri"))</f>
        <v/>
      </c>
      <c r="M2705" s="27" t="str">
        <f aca="false">IF(J2705="","",IF(J2705=1,"Every week",R2705+1&amp;" of "&amp;J2705))</f>
        <v/>
      </c>
      <c r="N2705" s="28" t="str">
        <f aca="false">IF(J2705="","",Settings!$B$4+R2705*7+Q2705)</f>
        <v/>
      </c>
      <c r="O2705" s="28" t="str">
        <f aca="true">IF(J2705="","",N2705+MAX(0,ROUNDUP((TODAY()-N2705)/(J2705*7),0))*J2705*7)</f>
        <v/>
      </c>
      <c r="P2705" s="27" t="str">
        <f aca="false">IF(J2705="","",MOD(K2705-1,J2705*4))</f>
        <v/>
      </c>
      <c r="Q2705" s="27" t="str">
        <f aca="false">IF(J2705="","",MOD(P2705,4))</f>
        <v/>
      </c>
      <c r="R2705" s="27" t="str">
        <f aca="false">IF(J2705="","",INT(P2705/4))</f>
        <v/>
      </c>
      <c r="S2705" s="27" t="str">
        <f aca="false">IF(J2705="","",IF(AND('Daily Count Sheet'!$H$3=Q2705,MOD('Daily Count Sheet'!$I$3,J2705)=R2705),1,""))</f>
        <v/>
      </c>
      <c r="T2705" s="27" t="str">
        <f aca="false">IF(S2705=1,COUNTIF($S$2:S2705,1),"")</f>
        <v/>
      </c>
    </row>
    <row r="2706" customFormat="false" ht="15" hidden="false" customHeight="false" outlineLevel="0" collapsed="false">
      <c r="H2706" s="26"/>
      <c r="I2706" s="27" t="str">
        <f aca="false">IF(A2706="","",IF(H2706&lt;&gt;"",UPPER(TRIM(H2706)),IFERROR(CHOOSE(VALUE(E2706)+1,"A","B","C","D"),IF(OR(LEFT(UPPER(TRIM(E2706)),1)="F",UPPER(TRIM(E2706))="A"),"A",IF(OR(LEFT(UPPER(TRIM(E2706)),1)="M",UPPER(TRIM(E2706))="B"),"B",IF(OR(LEFT(UPPER(TRIM(E2706)),2)="SL",UPPER(TRIM(E2706))="C"),"C",IF(OR(LEFT(UPPER(TRIM(E2706)),1)="D",UPPER(TRIM(E2706))="D"),"D","")))))))</f>
        <v/>
      </c>
      <c r="J2706" s="27" t="str">
        <f aca="false">IF(I2706="","",IF(AND(I2706="D",Settings!$B$6&lt;&gt;"Yes"),"",IFERROR(INDEX(Settings!$C$9:$C$12,MATCH(I2706,Settings!$A$9:$A$12,0)),"")))</f>
        <v/>
      </c>
      <c r="K2706" s="27" t="str">
        <f aca="false">IF(J2706="","",COUNTIF($I$2:I2706,I2706))</f>
        <v/>
      </c>
      <c r="L2706" s="27" t="str">
        <f aca="false">IF(J2706="","",CHOOSE(Q2706+1,"Tue","Wed","Thu","Fri"))</f>
        <v/>
      </c>
      <c r="M2706" s="27" t="str">
        <f aca="false">IF(J2706="","",IF(J2706=1,"Every week",R2706+1&amp;" of "&amp;J2706))</f>
        <v/>
      </c>
      <c r="N2706" s="28" t="str">
        <f aca="false">IF(J2706="","",Settings!$B$4+R2706*7+Q2706)</f>
        <v/>
      </c>
      <c r="O2706" s="28" t="str">
        <f aca="true">IF(J2706="","",N2706+MAX(0,ROUNDUP((TODAY()-N2706)/(J2706*7),0))*J2706*7)</f>
        <v/>
      </c>
      <c r="P2706" s="27" t="str">
        <f aca="false">IF(J2706="","",MOD(K2706-1,J2706*4))</f>
        <v/>
      </c>
      <c r="Q2706" s="27" t="str">
        <f aca="false">IF(J2706="","",MOD(P2706,4))</f>
        <v/>
      </c>
      <c r="R2706" s="27" t="str">
        <f aca="false">IF(J2706="","",INT(P2706/4))</f>
        <v/>
      </c>
      <c r="S2706" s="27" t="str">
        <f aca="false">IF(J2706="","",IF(AND('Daily Count Sheet'!$H$3=Q2706,MOD('Daily Count Sheet'!$I$3,J2706)=R2706),1,""))</f>
        <v/>
      </c>
      <c r="T2706" s="27" t="str">
        <f aca="false">IF(S2706=1,COUNTIF($S$2:S2706,1),"")</f>
        <v/>
      </c>
    </row>
    <row r="2707" customFormat="false" ht="15" hidden="false" customHeight="false" outlineLevel="0" collapsed="false">
      <c r="H2707" s="26"/>
      <c r="I2707" s="27" t="str">
        <f aca="false">IF(A2707="","",IF(H2707&lt;&gt;"",UPPER(TRIM(H2707)),IFERROR(CHOOSE(VALUE(E2707)+1,"A","B","C","D"),IF(OR(LEFT(UPPER(TRIM(E2707)),1)="F",UPPER(TRIM(E2707))="A"),"A",IF(OR(LEFT(UPPER(TRIM(E2707)),1)="M",UPPER(TRIM(E2707))="B"),"B",IF(OR(LEFT(UPPER(TRIM(E2707)),2)="SL",UPPER(TRIM(E2707))="C"),"C",IF(OR(LEFT(UPPER(TRIM(E2707)),1)="D",UPPER(TRIM(E2707))="D"),"D","")))))))</f>
        <v/>
      </c>
      <c r="J2707" s="27" t="str">
        <f aca="false">IF(I2707="","",IF(AND(I2707="D",Settings!$B$6&lt;&gt;"Yes"),"",IFERROR(INDEX(Settings!$C$9:$C$12,MATCH(I2707,Settings!$A$9:$A$12,0)),"")))</f>
        <v/>
      </c>
      <c r="K2707" s="27" t="str">
        <f aca="false">IF(J2707="","",COUNTIF($I$2:I2707,I2707))</f>
        <v/>
      </c>
      <c r="L2707" s="27" t="str">
        <f aca="false">IF(J2707="","",CHOOSE(Q2707+1,"Tue","Wed","Thu","Fri"))</f>
        <v/>
      </c>
      <c r="M2707" s="27" t="str">
        <f aca="false">IF(J2707="","",IF(J2707=1,"Every week",R2707+1&amp;" of "&amp;J2707))</f>
        <v/>
      </c>
      <c r="N2707" s="28" t="str">
        <f aca="false">IF(J2707="","",Settings!$B$4+R2707*7+Q2707)</f>
        <v/>
      </c>
      <c r="O2707" s="28" t="str">
        <f aca="true">IF(J2707="","",N2707+MAX(0,ROUNDUP((TODAY()-N2707)/(J2707*7),0))*J2707*7)</f>
        <v/>
      </c>
      <c r="P2707" s="27" t="str">
        <f aca="false">IF(J2707="","",MOD(K2707-1,J2707*4))</f>
        <v/>
      </c>
      <c r="Q2707" s="27" t="str">
        <f aca="false">IF(J2707="","",MOD(P2707,4))</f>
        <v/>
      </c>
      <c r="R2707" s="27" t="str">
        <f aca="false">IF(J2707="","",INT(P2707/4))</f>
        <v/>
      </c>
      <c r="S2707" s="27" t="str">
        <f aca="false">IF(J2707="","",IF(AND('Daily Count Sheet'!$H$3=Q2707,MOD('Daily Count Sheet'!$I$3,J2707)=R2707),1,""))</f>
        <v/>
      </c>
      <c r="T2707" s="27" t="str">
        <f aca="false">IF(S2707=1,COUNTIF($S$2:S2707,1),"")</f>
        <v/>
      </c>
    </row>
    <row r="2708" customFormat="false" ht="15" hidden="false" customHeight="false" outlineLevel="0" collapsed="false">
      <c r="H2708" s="26"/>
      <c r="I2708" s="27" t="str">
        <f aca="false">IF(A2708="","",IF(H2708&lt;&gt;"",UPPER(TRIM(H2708)),IFERROR(CHOOSE(VALUE(E2708)+1,"A","B","C","D"),IF(OR(LEFT(UPPER(TRIM(E2708)),1)="F",UPPER(TRIM(E2708))="A"),"A",IF(OR(LEFT(UPPER(TRIM(E2708)),1)="M",UPPER(TRIM(E2708))="B"),"B",IF(OR(LEFT(UPPER(TRIM(E2708)),2)="SL",UPPER(TRIM(E2708))="C"),"C",IF(OR(LEFT(UPPER(TRIM(E2708)),1)="D",UPPER(TRIM(E2708))="D"),"D","")))))))</f>
        <v/>
      </c>
      <c r="J2708" s="27" t="str">
        <f aca="false">IF(I2708="","",IF(AND(I2708="D",Settings!$B$6&lt;&gt;"Yes"),"",IFERROR(INDEX(Settings!$C$9:$C$12,MATCH(I2708,Settings!$A$9:$A$12,0)),"")))</f>
        <v/>
      </c>
      <c r="K2708" s="27" t="str">
        <f aca="false">IF(J2708="","",COUNTIF($I$2:I2708,I2708))</f>
        <v/>
      </c>
      <c r="L2708" s="27" t="str">
        <f aca="false">IF(J2708="","",CHOOSE(Q2708+1,"Tue","Wed","Thu","Fri"))</f>
        <v/>
      </c>
      <c r="M2708" s="27" t="str">
        <f aca="false">IF(J2708="","",IF(J2708=1,"Every week",R2708+1&amp;" of "&amp;J2708))</f>
        <v/>
      </c>
      <c r="N2708" s="28" t="str">
        <f aca="false">IF(J2708="","",Settings!$B$4+R2708*7+Q2708)</f>
        <v/>
      </c>
      <c r="O2708" s="28" t="str">
        <f aca="true">IF(J2708="","",N2708+MAX(0,ROUNDUP((TODAY()-N2708)/(J2708*7),0))*J2708*7)</f>
        <v/>
      </c>
      <c r="P2708" s="27" t="str">
        <f aca="false">IF(J2708="","",MOD(K2708-1,J2708*4))</f>
        <v/>
      </c>
      <c r="Q2708" s="27" t="str">
        <f aca="false">IF(J2708="","",MOD(P2708,4))</f>
        <v/>
      </c>
      <c r="R2708" s="27" t="str">
        <f aca="false">IF(J2708="","",INT(P2708/4))</f>
        <v/>
      </c>
      <c r="S2708" s="27" t="str">
        <f aca="false">IF(J2708="","",IF(AND('Daily Count Sheet'!$H$3=Q2708,MOD('Daily Count Sheet'!$I$3,J2708)=R2708),1,""))</f>
        <v/>
      </c>
      <c r="T2708" s="27" t="str">
        <f aca="false">IF(S2708=1,COUNTIF($S$2:S2708,1),"")</f>
        <v/>
      </c>
    </row>
    <row r="2709" customFormat="false" ht="15" hidden="false" customHeight="false" outlineLevel="0" collapsed="false">
      <c r="H2709" s="26"/>
      <c r="I2709" s="27" t="str">
        <f aca="false">IF(A2709="","",IF(H2709&lt;&gt;"",UPPER(TRIM(H2709)),IFERROR(CHOOSE(VALUE(E2709)+1,"A","B","C","D"),IF(OR(LEFT(UPPER(TRIM(E2709)),1)="F",UPPER(TRIM(E2709))="A"),"A",IF(OR(LEFT(UPPER(TRIM(E2709)),1)="M",UPPER(TRIM(E2709))="B"),"B",IF(OR(LEFT(UPPER(TRIM(E2709)),2)="SL",UPPER(TRIM(E2709))="C"),"C",IF(OR(LEFT(UPPER(TRIM(E2709)),1)="D",UPPER(TRIM(E2709))="D"),"D","")))))))</f>
        <v/>
      </c>
      <c r="J2709" s="27" t="str">
        <f aca="false">IF(I2709="","",IF(AND(I2709="D",Settings!$B$6&lt;&gt;"Yes"),"",IFERROR(INDEX(Settings!$C$9:$C$12,MATCH(I2709,Settings!$A$9:$A$12,0)),"")))</f>
        <v/>
      </c>
      <c r="K2709" s="27" t="str">
        <f aca="false">IF(J2709="","",COUNTIF($I$2:I2709,I2709))</f>
        <v/>
      </c>
      <c r="L2709" s="27" t="str">
        <f aca="false">IF(J2709="","",CHOOSE(Q2709+1,"Tue","Wed","Thu","Fri"))</f>
        <v/>
      </c>
      <c r="M2709" s="27" t="str">
        <f aca="false">IF(J2709="","",IF(J2709=1,"Every week",R2709+1&amp;" of "&amp;J2709))</f>
        <v/>
      </c>
      <c r="N2709" s="28" t="str">
        <f aca="false">IF(J2709="","",Settings!$B$4+R2709*7+Q2709)</f>
        <v/>
      </c>
      <c r="O2709" s="28" t="str">
        <f aca="true">IF(J2709="","",N2709+MAX(0,ROUNDUP((TODAY()-N2709)/(J2709*7),0))*J2709*7)</f>
        <v/>
      </c>
      <c r="P2709" s="27" t="str">
        <f aca="false">IF(J2709="","",MOD(K2709-1,J2709*4))</f>
        <v/>
      </c>
      <c r="Q2709" s="27" t="str">
        <f aca="false">IF(J2709="","",MOD(P2709,4))</f>
        <v/>
      </c>
      <c r="R2709" s="27" t="str">
        <f aca="false">IF(J2709="","",INT(P2709/4))</f>
        <v/>
      </c>
      <c r="S2709" s="27" t="str">
        <f aca="false">IF(J2709="","",IF(AND('Daily Count Sheet'!$H$3=Q2709,MOD('Daily Count Sheet'!$I$3,J2709)=R2709),1,""))</f>
        <v/>
      </c>
      <c r="T2709" s="27" t="str">
        <f aca="false">IF(S2709=1,COUNTIF($S$2:S2709,1),"")</f>
        <v/>
      </c>
    </row>
    <row r="2710" customFormat="false" ht="15" hidden="false" customHeight="false" outlineLevel="0" collapsed="false">
      <c r="H2710" s="26"/>
      <c r="I2710" s="27" t="str">
        <f aca="false">IF(A2710="","",IF(H2710&lt;&gt;"",UPPER(TRIM(H2710)),IFERROR(CHOOSE(VALUE(E2710)+1,"A","B","C","D"),IF(OR(LEFT(UPPER(TRIM(E2710)),1)="F",UPPER(TRIM(E2710))="A"),"A",IF(OR(LEFT(UPPER(TRIM(E2710)),1)="M",UPPER(TRIM(E2710))="B"),"B",IF(OR(LEFT(UPPER(TRIM(E2710)),2)="SL",UPPER(TRIM(E2710))="C"),"C",IF(OR(LEFT(UPPER(TRIM(E2710)),1)="D",UPPER(TRIM(E2710))="D"),"D","")))))))</f>
        <v/>
      </c>
      <c r="J2710" s="27" t="str">
        <f aca="false">IF(I2710="","",IF(AND(I2710="D",Settings!$B$6&lt;&gt;"Yes"),"",IFERROR(INDEX(Settings!$C$9:$C$12,MATCH(I2710,Settings!$A$9:$A$12,0)),"")))</f>
        <v/>
      </c>
      <c r="K2710" s="27" t="str">
        <f aca="false">IF(J2710="","",COUNTIF($I$2:I2710,I2710))</f>
        <v/>
      </c>
      <c r="L2710" s="27" t="str">
        <f aca="false">IF(J2710="","",CHOOSE(Q2710+1,"Tue","Wed","Thu","Fri"))</f>
        <v/>
      </c>
      <c r="M2710" s="27" t="str">
        <f aca="false">IF(J2710="","",IF(J2710=1,"Every week",R2710+1&amp;" of "&amp;J2710))</f>
        <v/>
      </c>
      <c r="N2710" s="28" t="str">
        <f aca="false">IF(J2710="","",Settings!$B$4+R2710*7+Q2710)</f>
        <v/>
      </c>
      <c r="O2710" s="28" t="str">
        <f aca="true">IF(J2710="","",N2710+MAX(0,ROUNDUP((TODAY()-N2710)/(J2710*7),0))*J2710*7)</f>
        <v/>
      </c>
      <c r="P2710" s="27" t="str">
        <f aca="false">IF(J2710="","",MOD(K2710-1,J2710*4))</f>
        <v/>
      </c>
      <c r="Q2710" s="27" t="str">
        <f aca="false">IF(J2710="","",MOD(P2710,4))</f>
        <v/>
      </c>
      <c r="R2710" s="27" t="str">
        <f aca="false">IF(J2710="","",INT(P2710/4))</f>
        <v/>
      </c>
      <c r="S2710" s="27" t="str">
        <f aca="false">IF(J2710="","",IF(AND('Daily Count Sheet'!$H$3=Q2710,MOD('Daily Count Sheet'!$I$3,J2710)=R2710),1,""))</f>
        <v/>
      </c>
      <c r="T2710" s="27" t="str">
        <f aca="false">IF(S2710=1,COUNTIF($S$2:S2710,1),"")</f>
        <v/>
      </c>
    </row>
    <row r="2711" customFormat="false" ht="15" hidden="false" customHeight="false" outlineLevel="0" collapsed="false">
      <c r="H2711" s="26"/>
      <c r="I2711" s="27" t="str">
        <f aca="false">IF(A2711="","",IF(H2711&lt;&gt;"",UPPER(TRIM(H2711)),IFERROR(CHOOSE(VALUE(E2711)+1,"A","B","C","D"),IF(OR(LEFT(UPPER(TRIM(E2711)),1)="F",UPPER(TRIM(E2711))="A"),"A",IF(OR(LEFT(UPPER(TRIM(E2711)),1)="M",UPPER(TRIM(E2711))="B"),"B",IF(OR(LEFT(UPPER(TRIM(E2711)),2)="SL",UPPER(TRIM(E2711))="C"),"C",IF(OR(LEFT(UPPER(TRIM(E2711)),1)="D",UPPER(TRIM(E2711))="D"),"D","")))))))</f>
        <v/>
      </c>
      <c r="J2711" s="27" t="str">
        <f aca="false">IF(I2711="","",IF(AND(I2711="D",Settings!$B$6&lt;&gt;"Yes"),"",IFERROR(INDEX(Settings!$C$9:$C$12,MATCH(I2711,Settings!$A$9:$A$12,0)),"")))</f>
        <v/>
      </c>
      <c r="K2711" s="27" t="str">
        <f aca="false">IF(J2711="","",COUNTIF($I$2:I2711,I2711))</f>
        <v/>
      </c>
      <c r="L2711" s="27" t="str">
        <f aca="false">IF(J2711="","",CHOOSE(Q2711+1,"Tue","Wed","Thu","Fri"))</f>
        <v/>
      </c>
      <c r="M2711" s="27" t="str">
        <f aca="false">IF(J2711="","",IF(J2711=1,"Every week",R2711+1&amp;" of "&amp;J2711))</f>
        <v/>
      </c>
      <c r="N2711" s="28" t="str">
        <f aca="false">IF(J2711="","",Settings!$B$4+R2711*7+Q2711)</f>
        <v/>
      </c>
      <c r="O2711" s="28" t="str">
        <f aca="true">IF(J2711="","",N2711+MAX(0,ROUNDUP((TODAY()-N2711)/(J2711*7),0))*J2711*7)</f>
        <v/>
      </c>
      <c r="P2711" s="27" t="str">
        <f aca="false">IF(J2711="","",MOD(K2711-1,J2711*4))</f>
        <v/>
      </c>
      <c r="Q2711" s="27" t="str">
        <f aca="false">IF(J2711="","",MOD(P2711,4))</f>
        <v/>
      </c>
      <c r="R2711" s="27" t="str">
        <f aca="false">IF(J2711="","",INT(P2711/4))</f>
        <v/>
      </c>
      <c r="S2711" s="27" t="str">
        <f aca="false">IF(J2711="","",IF(AND('Daily Count Sheet'!$H$3=Q2711,MOD('Daily Count Sheet'!$I$3,J2711)=R2711),1,""))</f>
        <v/>
      </c>
      <c r="T2711" s="27" t="str">
        <f aca="false">IF(S2711=1,COUNTIF($S$2:S2711,1),"")</f>
        <v/>
      </c>
    </row>
    <row r="2712" customFormat="false" ht="15" hidden="false" customHeight="false" outlineLevel="0" collapsed="false">
      <c r="H2712" s="26"/>
      <c r="I2712" s="27" t="str">
        <f aca="false">IF(A2712="","",IF(H2712&lt;&gt;"",UPPER(TRIM(H2712)),IFERROR(CHOOSE(VALUE(E2712)+1,"A","B","C","D"),IF(OR(LEFT(UPPER(TRIM(E2712)),1)="F",UPPER(TRIM(E2712))="A"),"A",IF(OR(LEFT(UPPER(TRIM(E2712)),1)="M",UPPER(TRIM(E2712))="B"),"B",IF(OR(LEFT(UPPER(TRIM(E2712)),2)="SL",UPPER(TRIM(E2712))="C"),"C",IF(OR(LEFT(UPPER(TRIM(E2712)),1)="D",UPPER(TRIM(E2712))="D"),"D","")))))))</f>
        <v/>
      </c>
      <c r="J2712" s="27" t="str">
        <f aca="false">IF(I2712="","",IF(AND(I2712="D",Settings!$B$6&lt;&gt;"Yes"),"",IFERROR(INDEX(Settings!$C$9:$C$12,MATCH(I2712,Settings!$A$9:$A$12,0)),"")))</f>
        <v/>
      </c>
      <c r="K2712" s="27" t="str">
        <f aca="false">IF(J2712="","",COUNTIF($I$2:I2712,I2712))</f>
        <v/>
      </c>
      <c r="L2712" s="27" t="str">
        <f aca="false">IF(J2712="","",CHOOSE(Q2712+1,"Tue","Wed","Thu","Fri"))</f>
        <v/>
      </c>
      <c r="M2712" s="27" t="str">
        <f aca="false">IF(J2712="","",IF(J2712=1,"Every week",R2712+1&amp;" of "&amp;J2712))</f>
        <v/>
      </c>
      <c r="N2712" s="28" t="str">
        <f aca="false">IF(J2712="","",Settings!$B$4+R2712*7+Q2712)</f>
        <v/>
      </c>
      <c r="O2712" s="28" t="str">
        <f aca="true">IF(J2712="","",N2712+MAX(0,ROUNDUP((TODAY()-N2712)/(J2712*7),0))*J2712*7)</f>
        <v/>
      </c>
      <c r="P2712" s="27" t="str">
        <f aca="false">IF(J2712="","",MOD(K2712-1,J2712*4))</f>
        <v/>
      </c>
      <c r="Q2712" s="27" t="str">
        <f aca="false">IF(J2712="","",MOD(P2712,4))</f>
        <v/>
      </c>
      <c r="R2712" s="27" t="str">
        <f aca="false">IF(J2712="","",INT(P2712/4))</f>
        <v/>
      </c>
      <c r="S2712" s="27" t="str">
        <f aca="false">IF(J2712="","",IF(AND('Daily Count Sheet'!$H$3=Q2712,MOD('Daily Count Sheet'!$I$3,J2712)=R2712),1,""))</f>
        <v/>
      </c>
      <c r="T2712" s="27" t="str">
        <f aca="false">IF(S2712=1,COUNTIF($S$2:S2712,1),"")</f>
        <v/>
      </c>
    </row>
    <row r="2713" customFormat="false" ht="15" hidden="false" customHeight="false" outlineLevel="0" collapsed="false">
      <c r="H2713" s="26"/>
      <c r="I2713" s="27" t="str">
        <f aca="false">IF(A2713="","",IF(H2713&lt;&gt;"",UPPER(TRIM(H2713)),IFERROR(CHOOSE(VALUE(E2713)+1,"A","B","C","D"),IF(OR(LEFT(UPPER(TRIM(E2713)),1)="F",UPPER(TRIM(E2713))="A"),"A",IF(OR(LEFT(UPPER(TRIM(E2713)),1)="M",UPPER(TRIM(E2713))="B"),"B",IF(OR(LEFT(UPPER(TRIM(E2713)),2)="SL",UPPER(TRIM(E2713))="C"),"C",IF(OR(LEFT(UPPER(TRIM(E2713)),1)="D",UPPER(TRIM(E2713))="D"),"D","")))))))</f>
        <v/>
      </c>
      <c r="J2713" s="27" t="str">
        <f aca="false">IF(I2713="","",IF(AND(I2713="D",Settings!$B$6&lt;&gt;"Yes"),"",IFERROR(INDEX(Settings!$C$9:$C$12,MATCH(I2713,Settings!$A$9:$A$12,0)),"")))</f>
        <v/>
      </c>
      <c r="K2713" s="27" t="str">
        <f aca="false">IF(J2713="","",COUNTIF($I$2:I2713,I2713))</f>
        <v/>
      </c>
      <c r="L2713" s="27" t="str">
        <f aca="false">IF(J2713="","",CHOOSE(Q2713+1,"Tue","Wed","Thu","Fri"))</f>
        <v/>
      </c>
      <c r="M2713" s="27" t="str">
        <f aca="false">IF(J2713="","",IF(J2713=1,"Every week",R2713+1&amp;" of "&amp;J2713))</f>
        <v/>
      </c>
      <c r="N2713" s="28" t="str">
        <f aca="false">IF(J2713="","",Settings!$B$4+R2713*7+Q2713)</f>
        <v/>
      </c>
      <c r="O2713" s="28" t="str">
        <f aca="true">IF(J2713="","",N2713+MAX(0,ROUNDUP((TODAY()-N2713)/(J2713*7),0))*J2713*7)</f>
        <v/>
      </c>
      <c r="P2713" s="27" t="str">
        <f aca="false">IF(J2713="","",MOD(K2713-1,J2713*4))</f>
        <v/>
      </c>
      <c r="Q2713" s="27" t="str">
        <f aca="false">IF(J2713="","",MOD(P2713,4))</f>
        <v/>
      </c>
      <c r="R2713" s="27" t="str">
        <f aca="false">IF(J2713="","",INT(P2713/4))</f>
        <v/>
      </c>
      <c r="S2713" s="27" t="str">
        <f aca="false">IF(J2713="","",IF(AND('Daily Count Sheet'!$H$3=Q2713,MOD('Daily Count Sheet'!$I$3,J2713)=R2713),1,""))</f>
        <v/>
      </c>
      <c r="T2713" s="27" t="str">
        <f aca="false">IF(S2713=1,COUNTIF($S$2:S2713,1),"")</f>
        <v/>
      </c>
    </row>
    <row r="2714" customFormat="false" ht="15" hidden="false" customHeight="false" outlineLevel="0" collapsed="false">
      <c r="H2714" s="26"/>
      <c r="I2714" s="27" t="str">
        <f aca="false">IF(A2714="","",IF(H2714&lt;&gt;"",UPPER(TRIM(H2714)),IFERROR(CHOOSE(VALUE(E2714)+1,"A","B","C","D"),IF(OR(LEFT(UPPER(TRIM(E2714)),1)="F",UPPER(TRIM(E2714))="A"),"A",IF(OR(LEFT(UPPER(TRIM(E2714)),1)="M",UPPER(TRIM(E2714))="B"),"B",IF(OR(LEFT(UPPER(TRIM(E2714)),2)="SL",UPPER(TRIM(E2714))="C"),"C",IF(OR(LEFT(UPPER(TRIM(E2714)),1)="D",UPPER(TRIM(E2714))="D"),"D","")))))))</f>
        <v/>
      </c>
      <c r="J2714" s="27" t="str">
        <f aca="false">IF(I2714="","",IF(AND(I2714="D",Settings!$B$6&lt;&gt;"Yes"),"",IFERROR(INDEX(Settings!$C$9:$C$12,MATCH(I2714,Settings!$A$9:$A$12,0)),"")))</f>
        <v/>
      </c>
      <c r="K2714" s="27" t="str">
        <f aca="false">IF(J2714="","",COUNTIF($I$2:I2714,I2714))</f>
        <v/>
      </c>
      <c r="L2714" s="27" t="str">
        <f aca="false">IF(J2714="","",CHOOSE(Q2714+1,"Tue","Wed","Thu","Fri"))</f>
        <v/>
      </c>
      <c r="M2714" s="27" t="str">
        <f aca="false">IF(J2714="","",IF(J2714=1,"Every week",R2714+1&amp;" of "&amp;J2714))</f>
        <v/>
      </c>
      <c r="N2714" s="28" t="str">
        <f aca="false">IF(J2714="","",Settings!$B$4+R2714*7+Q2714)</f>
        <v/>
      </c>
      <c r="O2714" s="28" t="str">
        <f aca="true">IF(J2714="","",N2714+MAX(0,ROUNDUP((TODAY()-N2714)/(J2714*7),0))*J2714*7)</f>
        <v/>
      </c>
      <c r="P2714" s="27" t="str">
        <f aca="false">IF(J2714="","",MOD(K2714-1,J2714*4))</f>
        <v/>
      </c>
      <c r="Q2714" s="27" t="str">
        <f aca="false">IF(J2714="","",MOD(P2714,4))</f>
        <v/>
      </c>
      <c r="R2714" s="27" t="str">
        <f aca="false">IF(J2714="","",INT(P2714/4))</f>
        <v/>
      </c>
      <c r="S2714" s="27" t="str">
        <f aca="false">IF(J2714="","",IF(AND('Daily Count Sheet'!$H$3=Q2714,MOD('Daily Count Sheet'!$I$3,J2714)=R2714),1,""))</f>
        <v/>
      </c>
      <c r="T2714" s="27" t="str">
        <f aca="false">IF(S2714=1,COUNTIF($S$2:S2714,1),"")</f>
        <v/>
      </c>
    </row>
    <row r="2715" customFormat="false" ht="15" hidden="false" customHeight="false" outlineLevel="0" collapsed="false">
      <c r="H2715" s="26"/>
      <c r="I2715" s="27" t="str">
        <f aca="false">IF(A2715="","",IF(H2715&lt;&gt;"",UPPER(TRIM(H2715)),IFERROR(CHOOSE(VALUE(E2715)+1,"A","B","C","D"),IF(OR(LEFT(UPPER(TRIM(E2715)),1)="F",UPPER(TRIM(E2715))="A"),"A",IF(OR(LEFT(UPPER(TRIM(E2715)),1)="M",UPPER(TRIM(E2715))="B"),"B",IF(OR(LEFT(UPPER(TRIM(E2715)),2)="SL",UPPER(TRIM(E2715))="C"),"C",IF(OR(LEFT(UPPER(TRIM(E2715)),1)="D",UPPER(TRIM(E2715))="D"),"D","")))))))</f>
        <v/>
      </c>
      <c r="J2715" s="27" t="str">
        <f aca="false">IF(I2715="","",IF(AND(I2715="D",Settings!$B$6&lt;&gt;"Yes"),"",IFERROR(INDEX(Settings!$C$9:$C$12,MATCH(I2715,Settings!$A$9:$A$12,0)),"")))</f>
        <v/>
      </c>
      <c r="K2715" s="27" t="str">
        <f aca="false">IF(J2715="","",COUNTIF($I$2:I2715,I2715))</f>
        <v/>
      </c>
      <c r="L2715" s="27" t="str">
        <f aca="false">IF(J2715="","",CHOOSE(Q2715+1,"Tue","Wed","Thu","Fri"))</f>
        <v/>
      </c>
      <c r="M2715" s="27" t="str">
        <f aca="false">IF(J2715="","",IF(J2715=1,"Every week",R2715+1&amp;" of "&amp;J2715))</f>
        <v/>
      </c>
      <c r="N2715" s="28" t="str">
        <f aca="false">IF(J2715="","",Settings!$B$4+R2715*7+Q2715)</f>
        <v/>
      </c>
      <c r="O2715" s="28" t="str">
        <f aca="true">IF(J2715="","",N2715+MAX(0,ROUNDUP((TODAY()-N2715)/(J2715*7),0))*J2715*7)</f>
        <v/>
      </c>
      <c r="P2715" s="27" t="str">
        <f aca="false">IF(J2715="","",MOD(K2715-1,J2715*4))</f>
        <v/>
      </c>
      <c r="Q2715" s="27" t="str">
        <f aca="false">IF(J2715="","",MOD(P2715,4))</f>
        <v/>
      </c>
      <c r="R2715" s="27" t="str">
        <f aca="false">IF(J2715="","",INT(P2715/4))</f>
        <v/>
      </c>
      <c r="S2715" s="27" t="str">
        <f aca="false">IF(J2715="","",IF(AND('Daily Count Sheet'!$H$3=Q2715,MOD('Daily Count Sheet'!$I$3,J2715)=R2715),1,""))</f>
        <v/>
      </c>
      <c r="T2715" s="27" t="str">
        <f aca="false">IF(S2715=1,COUNTIF($S$2:S2715,1),"")</f>
        <v/>
      </c>
    </row>
    <row r="2716" customFormat="false" ht="15" hidden="false" customHeight="false" outlineLevel="0" collapsed="false">
      <c r="H2716" s="26"/>
      <c r="I2716" s="27" t="str">
        <f aca="false">IF(A2716="","",IF(H2716&lt;&gt;"",UPPER(TRIM(H2716)),IFERROR(CHOOSE(VALUE(E2716)+1,"A","B","C","D"),IF(OR(LEFT(UPPER(TRIM(E2716)),1)="F",UPPER(TRIM(E2716))="A"),"A",IF(OR(LEFT(UPPER(TRIM(E2716)),1)="M",UPPER(TRIM(E2716))="B"),"B",IF(OR(LEFT(UPPER(TRIM(E2716)),2)="SL",UPPER(TRIM(E2716))="C"),"C",IF(OR(LEFT(UPPER(TRIM(E2716)),1)="D",UPPER(TRIM(E2716))="D"),"D","")))))))</f>
        <v/>
      </c>
      <c r="J2716" s="27" t="str">
        <f aca="false">IF(I2716="","",IF(AND(I2716="D",Settings!$B$6&lt;&gt;"Yes"),"",IFERROR(INDEX(Settings!$C$9:$C$12,MATCH(I2716,Settings!$A$9:$A$12,0)),"")))</f>
        <v/>
      </c>
      <c r="K2716" s="27" t="str">
        <f aca="false">IF(J2716="","",COUNTIF($I$2:I2716,I2716))</f>
        <v/>
      </c>
      <c r="L2716" s="27" t="str">
        <f aca="false">IF(J2716="","",CHOOSE(Q2716+1,"Tue","Wed","Thu","Fri"))</f>
        <v/>
      </c>
      <c r="M2716" s="27" t="str">
        <f aca="false">IF(J2716="","",IF(J2716=1,"Every week",R2716+1&amp;" of "&amp;J2716))</f>
        <v/>
      </c>
      <c r="N2716" s="28" t="str">
        <f aca="false">IF(J2716="","",Settings!$B$4+R2716*7+Q2716)</f>
        <v/>
      </c>
      <c r="O2716" s="28" t="str">
        <f aca="true">IF(J2716="","",N2716+MAX(0,ROUNDUP((TODAY()-N2716)/(J2716*7),0))*J2716*7)</f>
        <v/>
      </c>
      <c r="P2716" s="27" t="str">
        <f aca="false">IF(J2716="","",MOD(K2716-1,J2716*4))</f>
        <v/>
      </c>
      <c r="Q2716" s="27" t="str">
        <f aca="false">IF(J2716="","",MOD(P2716,4))</f>
        <v/>
      </c>
      <c r="R2716" s="27" t="str">
        <f aca="false">IF(J2716="","",INT(P2716/4))</f>
        <v/>
      </c>
      <c r="S2716" s="27" t="str">
        <f aca="false">IF(J2716="","",IF(AND('Daily Count Sheet'!$H$3=Q2716,MOD('Daily Count Sheet'!$I$3,J2716)=R2716),1,""))</f>
        <v/>
      </c>
      <c r="T2716" s="27" t="str">
        <f aca="false">IF(S2716=1,COUNTIF($S$2:S2716,1),"")</f>
        <v/>
      </c>
    </row>
    <row r="2717" customFormat="false" ht="15" hidden="false" customHeight="false" outlineLevel="0" collapsed="false">
      <c r="H2717" s="26"/>
      <c r="I2717" s="27" t="str">
        <f aca="false">IF(A2717="","",IF(H2717&lt;&gt;"",UPPER(TRIM(H2717)),IFERROR(CHOOSE(VALUE(E2717)+1,"A","B","C","D"),IF(OR(LEFT(UPPER(TRIM(E2717)),1)="F",UPPER(TRIM(E2717))="A"),"A",IF(OR(LEFT(UPPER(TRIM(E2717)),1)="M",UPPER(TRIM(E2717))="B"),"B",IF(OR(LEFT(UPPER(TRIM(E2717)),2)="SL",UPPER(TRIM(E2717))="C"),"C",IF(OR(LEFT(UPPER(TRIM(E2717)),1)="D",UPPER(TRIM(E2717))="D"),"D","")))))))</f>
        <v/>
      </c>
      <c r="J2717" s="27" t="str">
        <f aca="false">IF(I2717="","",IF(AND(I2717="D",Settings!$B$6&lt;&gt;"Yes"),"",IFERROR(INDEX(Settings!$C$9:$C$12,MATCH(I2717,Settings!$A$9:$A$12,0)),"")))</f>
        <v/>
      </c>
      <c r="K2717" s="27" t="str">
        <f aca="false">IF(J2717="","",COUNTIF($I$2:I2717,I2717))</f>
        <v/>
      </c>
      <c r="L2717" s="27" t="str">
        <f aca="false">IF(J2717="","",CHOOSE(Q2717+1,"Tue","Wed","Thu","Fri"))</f>
        <v/>
      </c>
      <c r="M2717" s="27" t="str">
        <f aca="false">IF(J2717="","",IF(J2717=1,"Every week",R2717+1&amp;" of "&amp;J2717))</f>
        <v/>
      </c>
      <c r="N2717" s="28" t="str">
        <f aca="false">IF(J2717="","",Settings!$B$4+R2717*7+Q2717)</f>
        <v/>
      </c>
      <c r="O2717" s="28" t="str">
        <f aca="true">IF(J2717="","",N2717+MAX(0,ROUNDUP((TODAY()-N2717)/(J2717*7),0))*J2717*7)</f>
        <v/>
      </c>
      <c r="P2717" s="27" t="str">
        <f aca="false">IF(J2717="","",MOD(K2717-1,J2717*4))</f>
        <v/>
      </c>
      <c r="Q2717" s="27" t="str">
        <f aca="false">IF(J2717="","",MOD(P2717,4))</f>
        <v/>
      </c>
      <c r="R2717" s="27" t="str">
        <f aca="false">IF(J2717="","",INT(P2717/4))</f>
        <v/>
      </c>
      <c r="S2717" s="27" t="str">
        <f aca="false">IF(J2717="","",IF(AND('Daily Count Sheet'!$H$3=Q2717,MOD('Daily Count Sheet'!$I$3,J2717)=R2717),1,""))</f>
        <v/>
      </c>
      <c r="T2717" s="27" t="str">
        <f aca="false">IF(S2717=1,COUNTIF($S$2:S2717,1),"")</f>
        <v/>
      </c>
    </row>
    <row r="2718" customFormat="false" ht="15" hidden="false" customHeight="false" outlineLevel="0" collapsed="false">
      <c r="H2718" s="26"/>
      <c r="I2718" s="27" t="str">
        <f aca="false">IF(A2718="","",IF(H2718&lt;&gt;"",UPPER(TRIM(H2718)),IFERROR(CHOOSE(VALUE(E2718)+1,"A","B","C","D"),IF(OR(LEFT(UPPER(TRIM(E2718)),1)="F",UPPER(TRIM(E2718))="A"),"A",IF(OR(LEFT(UPPER(TRIM(E2718)),1)="M",UPPER(TRIM(E2718))="B"),"B",IF(OR(LEFT(UPPER(TRIM(E2718)),2)="SL",UPPER(TRIM(E2718))="C"),"C",IF(OR(LEFT(UPPER(TRIM(E2718)),1)="D",UPPER(TRIM(E2718))="D"),"D","")))))))</f>
        <v/>
      </c>
      <c r="J2718" s="27" t="str">
        <f aca="false">IF(I2718="","",IF(AND(I2718="D",Settings!$B$6&lt;&gt;"Yes"),"",IFERROR(INDEX(Settings!$C$9:$C$12,MATCH(I2718,Settings!$A$9:$A$12,0)),"")))</f>
        <v/>
      </c>
      <c r="K2718" s="27" t="str">
        <f aca="false">IF(J2718="","",COUNTIF($I$2:I2718,I2718))</f>
        <v/>
      </c>
      <c r="L2718" s="27" t="str">
        <f aca="false">IF(J2718="","",CHOOSE(Q2718+1,"Tue","Wed","Thu","Fri"))</f>
        <v/>
      </c>
      <c r="M2718" s="27" t="str">
        <f aca="false">IF(J2718="","",IF(J2718=1,"Every week",R2718+1&amp;" of "&amp;J2718))</f>
        <v/>
      </c>
      <c r="N2718" s="28" t="str">
        <f aca="false">IF(J2718="","",Settings!$B$4+R2718*7+Q2718)</f>
        <v/>
      </c>
      <c r="O2718" s="28" t="str">
        <f aca="true">IF(J2718="","",N2718+MAX(0,ROUNDUP((TODAY()-N2718)/(J2718*7),0))*J2718*7)</f>
        <v/>
      </c>
      <c r="P2718" s="27" t="str">
        <f aca="false">IF(J2718="","",MOD(K2718-1,J2718*4))</f>
        <v/>
      </c>
      <c r="Q2718" s="27" t="str">
        <f aca="false">IF(J2718="","",MOD(P2718,4))</f>
        <v/>
      </c>
      <c r="R2718" s="27" t="str">
        <f aca="false">IF(J2718="","",INT(P2718/4))</f>
        <v/>
      </c>
      <c r="S2718" s="27" t="str">
        <f aca="false">IF(J2718="","",IF(AND('Daily Count Sheet'!$H$3=Q2718,MOD('Daily Count Sheet'!$I$3,J2718)=R2718),1,""))</f>
        <v/>
      </c>
      <c r="T2718" s="27" t="str">
        <f aca="false">IF(S2718=1,COUNTIF($S$2:S2718,1),"")</f>
        <v/>
      </c>
    </row>
    <row r="2719" customFormat="false" ht="15" hidden="false" customHeight="false" outlineLevel="0" collapsed="false">
      <c r="H2719" s="26"/>
      <c r="I2719" s="27" t="str">
        <f aca="false">IF(A2719="","",IF(H2719&lt;&gt;"",UPPER(TRIM(H2719)),IFERROR(CHOOSE(VALUE(E2719)+1,"A","B","C","D"),IF(OR(LEFT(UPPER(TRIM(E2719)),1)="F",UPPER(TRIM(E2719))="A"),"A",IF(OR(LEFT(UPPER(TRIM(E2719)),1)="M",UPPER(TRIM(E2719))="B"),"B",IF(OR(LEFT(UPPER(TRIM(E2719)),2)="SL",UPPER(TRIM(E2719))="C"),"C",IF(OR(LEFT(UPPER(TRIM(E2719)),1)="D",UPPER(TRIM(E2719))="D"),"D","")))))))</f>
        <v/>
      </c>
      <c r="J2719" s="27" t="str">
        <f aca="false">IF(I2719="","",IF(AND(I2719="D",Settings!$B$6&lt;&gt;"Yes"),"",IFERROR(INDEX(Settings!$C$9:$C$12,MATCH(I2719,Settings!$A$9:$A$12,0)),"")))</f>
        <v/>
      </c>
      <c r="K2719" s="27" t="str">
        <f aca="false">IF(J2719="","",COUNTIF($I$2:I2719,I2719))</f>
        <v/>
      </c>
      <c r="L2719" s="27" t="str">
        <f aca="false">IF(J2719="","",CHOOSE(Q2719+1,"Tue","Wed","Thu","Fri"))</f>
        <v/>
      </c>
      <c r="M2719" s="27" t="str">
        <f aca="false">IF(J2719="","",IF(J2719=1,"Every week",R2719+1&amp;" of "&amp;J2719))</f>
        <v/>
      </c>
      <c r="N2719" s="28" t="str">
        <f aca="false">IF(J2719="","",Settings!$B$4+R2719*7+Q2719)</f>
        <v/>
      </c>
      <c r="O2719" s="28" t="str">
        <f aca="true">IF(J2719="","",N2719+MAX(0,ROUNDUP((TODAY()-N2719)/(J2719*7),0))*J2719*7)</f>
        <v/>
      </c>
      <c r="P2719" s="27" t="str">
        <f aca="false">IF(J2719="","",MOD(K2719-1,J2719*4))</f>
        <v/>
      </c>
      <c r="Q2719" s="27" t="str">
        <f aca="false">IF(J2719="","",MOD(P2719,4))</f>
        <v/>
      </c>
      <c r="R2719" s="27" t="str">
        <f aca="false">IF(J2719="","",INT(P2719/4))</f>
        <v/>
      </c>
      <c r="S2719" s="27" t="str">
        <f aca="false">IF(J2719="","",IF(AND('Daily Count Sheet'!$H$3=Q2719,MOD('Daily Count Sheet'!$I$3,J2719)=R2719),1,""))</f>
        <v/>
      </c>
      <c r="T2719" s="27" t="str">
        <f aca="false">IF(S2719=1,COUNTIF($S$2:S2719,1),"")</f>
        <v/>
      </c>
    </row>
    <row r="2720" customFormat="false" ht="15" hidden="false" customHeight="false" outlineLevel="0" collapsed="false">
      <c r="H2720" s="26"/>
      <c r="I2720" s="27" t="str">
        <f aca="false">IF(A2720="","",IF(H2720&lt;&gt;"",UPPER(TRIM(H2720)),IFERROR(CHOOSE(VALUE(E2720)+1,"A","B","C","D"),IF(OR(LEFT(UPPER(TRIM(E2720)),1)="F",UPPER(TRIM(E2720))="A"),"A",IF(OR(LEFT(UPPER(TRIM(E2720)),1)="M",UPPER(TRIM(E2720))="B"),"B",IF(OR(LEFT(UPPER(TRIM(E2720)),2)="SL",UPPER(TRIM(E2720))="C"),"C",IF(OR(LEFT(UPPER(TRIM(E2720)),1)="D",UPPER(TRIM(E2720))="D"),"D","")))))))</f>
        <v/>
      </c>
      <c r="J2720" s="27" t="str">
        <f aca="false">IF(I2720="","",IF(AND(I2720="D",Settings!$B$6&lt;&gt;"Yes"),"",IFERROR(INDEX(Settings!$C$9:$C$12,MATCH(I2720,Settings!$A$9:$A$12,0)),"")))</f>
        <v/>
      </c>
      <c r="K2720" s="27" t="str">
        <f aca="false">IF(J2720="","",COUNTIF($I$2:I2720,I2720))</f>
        <v/>
      </c>
      <c r="L2720" s="27" t="str">
        <f aca="false">IF(J2720="","",CHOOSE(Q2720+1,"Tue","Wed","Thu","Fri"))</f>
        <v/>
      </c>
      <c r="M2720" s="27" t="str">
        <f aca="false">IF(J2720="","",IF(J2720=1,"Every week",R2720+1&amp;" of "&amp;J2720))</f>
        <v/>
      </c>
      <c r="N2720" s="28" t="str">
        <f aca="false">IF(J2720="","",Settings!$B$4+R2720*7+Q2720)</f>
        <v/>
      </c>
      <c r="O2720" s="28" t="str">
        <f aca="true">IF(J2720="","",N2720+MAX(0,ROUNDUP((TODAY()-N2720)/(J2720*7),0))*J2720*7)</f>
        <v/>
      </c>
      <c r="P2720" s="27" t="str">
        <f aca="false">IF(J2720="","",MOD(K2720-1,J2720*4))</f>
        <v/>
      </c>
      <c r="Q2720" s="27" t="str">
        <f aca="false">IF(J2720="","",MOD(P2720,4))</f>
        <v/>
      </c>
      <c r="R2720" s="27" t="str">
        <f aca="false">IF(J2720="","",INT(P2720/4))</f>
        <v/>
      </c>
      <c r="S2720" s="27" t="str">
        <f aca="false">IF(J2720="","",IF(AND('Daily Count Sheet'!$H$3=Q2720,MOD('Daily Count Sheet'!$I$3,J2720)=R2720),1,""))</f>
        <v/>
      </c>
      <c r="T2720" s="27" t="str">
        <f aca="false">IF(S2720=1,COUNTIF($S$2:S2720,1),"")</f>
        <v/>
      </c>
    </row>
    <row r="2721" customFormat="false" ht="15" hidden="false" customHeight="false" outlineLevel="0" collapsed="false">
      <c r="H2721" s="26"/>
      <c r="I2721" s="27" t="str">
        <f aca="false">IF(A2721="","",IF(H2721&lt;&gt;"",UPPER(TRIM(H2721)),IFERROR(CHOOSE(VALUE(E2721)+1,"A","B","C","D"),IF(OR(LEFT(UPPER(TRIM(E2721)),1)="F",UPPER(TRIM(E2721))="A"),"A",IF(OR(LEFT(UPPER(TRIM(E2721)),1)="M",UPPER(TRIM(E2721))="B"),"B",IF(OR(LEFT(UPPER(TRIM(E2721)),2)="SL",UPPER(TRIM(E2721))="C"),"C",IF(OR(LEFT(UPPER(TRIM(E2721)),1)="D",UPPER(TRIM(E2721))="D"),"D","")))))))</f>
        <v/>
      </c>
      <c r="J2721" s="27" t="str">
        <f aca="false">IF(I2721="","",IF(AND(I2721="D",Settings!$B$6&lt;&gt;"Yes"),"",IFERROR(INDEX(Settings!$C$9:$C$12,MATCH(I2721,Settings!$A$9:$A$12,0)),"")))</f>
        <v/>
      </c>
      <c r="K2721" s="27" t="str">
        <f aca="false">IF(J2721="","",COUNTIF($I$2:I2721,I2721))</f>
        <v/>
      </c>
      <c r="L2721" s="27" t="str">
        <f aca="false">IF(J2721="","",CHOOSE(Q2721+1,"Tue","Wed","Thu","Fri"))</f>
        <v/>
      </c>
      <c r="M2721" s="27" t="str">
        <f aca="false">IF(J2721="","",IF(J2721=1,"Every week",R2721+1&amp;" of "&amp;J2721))</f>
        <v/>
      </c>
      <c r="N2721" s="28" t="str">
        <f aca="false">IF(J2721="","",Settings!$B$4+R2721*7+Q2721)</f>
        <v/>
      </c>
      <c r="O2721" s="28" t="str">
        <f aca="true">IF(J2721="","",N2721+MAX(0,ROUNDUP((TODAY()-N2721)/(J2721*7),0))*J2721*7)</f>
        <v/>
      </c>
      <c r="P2721" s="27" t="str">
        <f aca="false">IF(J2721="","",MOD(K2721-1,J2721*4))</f>
        <v/>
      </c>
      <c r="Q2721" s="27" t="str">
        <f aca="false">IF(J2721="","",MOD(P2721,4))</f>
        <v/>
      </c>
      <c r="R2721" s="27" t="str">
        <f aca="false">IF(J2721="","",INT(P2721/4))</f>
        <v/>
      </c>
      <c r="S2721" s="27" t="str">
        <f aca="false">IF(J2721="","",IF(AND('Daily Count Sheet'!$H$3=Q2721,MOD('Daily Count Sheet'!$I$3,J2721)=R2721),1,""))</f>
        <v/>
      </c>
      <c r="T2721" s="27" t="str">
        <f aca="false">IF(S2721=1,COUNTIF($S$2:S2721,1),"")</f>
        <v/>
      </c>
    </row>
    <row r="2722" customFormat="false" ht="15" hidden="false" customHeight="false" outlineLevel="0" collapsed="false">
      <c r="H2722" s="26"/>
      <c r="I2722" s="27" t="str">
        <f aca="false">IF(A2722="","",IF(H2722&lt;&gt;"",UPPER(TRIM(H2722)),IFERROR(CHOOSE(VALUE(E2722)+1,"A","B","C","D"),IF(OR(LEFT(UPPER(TRIM(E2722)),1)="F",UPPER(TRIM(E2722))="A"),"A",IF(OR(LEFT(UPPER(TRIM(E2722)),1)="M",UPPER(TRIM(E2722))="B"),"B",IF(OR(LEFT(UPPER(TRIM(E2722)),2)="SL",UPPER(TRIM(E2722))="C"),"C",IF(OR(LEFT(UPPER(TRIM(E2722)),1)="D",UPPER(TRIM(E2722))="D"),"D","")))))))</f>
        <v/>
      </c>
      <c r="J2722" s="27" t="str">
        <f aca="false">IF(I2722="","",IF(AND(I2722="D",Settings!$B$6&lt;&gt;"Yes"),"",IFERROR(INDEX(Settings!$C$9:$C$12,MATCH(I2722,Settings!$A$9:$A$12,0)),"")))</f>
        <v/>
      </c>
      <c r="K2722" s="27" t="str">
        <f aca="false">IF(J2722="","",COUNTIF($I$2:I2722,I2722))</f>
        <v/>
      </c>
      <c r="L2722" s="27" t="str">
        <f aca="false">IF(J2722="","",CHOOSE(Q2722+1,"Tue","Wed","Thu","Fri"))</f>
        <v/>
      </c>
      <c r="M2722" s="27" t="str">
        <f aca="false">IF(J2722="","",IF(J2722=1,"Every week",R2722+1&amp;" of "&amp;J2722))</f>
        <v/>
      </c>
      <c r="N2722" s="28" t="str">
        <f aca="false">IF(J2722="","",Settings!$B$4+R2722*7+Q2722)</f>
        <v/>
      </c>
      <c r="O2722" s="28" t="str">
        <f aca="true">IF(J2722="","",N2722+MAX(0,ROUNDUP((TODAY()-N2722)/(J2722*7),0))*J2722*7)</f>
        <v/>
      </c>
      <c r="P2722" s="27" t="str">
        <f aca="false">IF(J2722="","",MOD(K2722-1,J2722*4))</f>
        <v/>
      </c>
      <c r="Q2722" s="27" t="str">
        <f aca="false">IF(J2722="","",MOD(P2722,4))</f>
        <v/>
      </c>
      <c r="R2722" s="27" t="str">
        <f aca="false">IF(J2722="","",INT(P2722/4))</f>
        <v/>
      </c>
      <c r="S2722" s="27" t="str">
        <f aca="false">IF(J2722="","",IF(AND('Daily Count Sheet'!$H$3=Q2722,MOD('Daily Count Sheet'!$I$3,J2722)=R2722),1,""))</f>
        <v/>
      </c>
      <c r="T2722" s="27" t="str">
        <f aca="false">IF(S2722=1,COUNTIF($S$2:S2722,1),"")</f>
        <v/>
      </c>
    </row>
    <row r="2723" customFormat="false" ht="15" hidden="false" customHeight="false" outlineLevel="0" collapsed="false">
      <c r="H2723" s="26"/>
      <c r="I2723" s="27" t="str">
        <f aca="false">IF(A2723="","",IF(H2723&lt;&gt;"",UPPER(TRIM(H2723)),IFERROR(CHOOSE(VALUE(E2723)+1,"A","B","C","D"),IF(OR(LEFT(UPPER(TRIM(E2723)),1)="F",UPPER(TRIM(E2723))="A"),"A",IF(OR(LEFT(UPPER(TRIM(E2723)),1)="M",UPPER(TRIM(E2723))="B"),"B",IF(OR(LEFT(UPPER(TRIM(E2723)),2)="SL",UPPER(TRIM(E2723))="C"),"C",IF(OR(LEFT(UPPER(TRIM(E2723)),1)="D",UPPER(TRIM(E2723))="D"),"D","")))))))</f>
        <v/>
      </c>
      <c r="J2723" s="27" t="str">
        <f aca="false">IF(I2723="","",IF(AND(I2723="D",Settings!$B$6&lt;&gt;"Yes"),"",IFERROR(INDEX(Settings!$C$9:$C$12,MATCH(I2723,Settings!$A$9:$A$12,0)),"")))</f>
        <v/>
      </c>
      <c r="K2723" s="27" t="str">
        <f aca="false">IF(J2723="","",COUNTIF($I$2:I2723,I2723))</f>
        <v/>
      </c>
      <c r="L2723" s="27" t="str">
        <f aca="false">IF(J2723="","",CHOOSE(Q2723+1,"Tue","Wed","Thu","Fri"))</f>
        <v/>
      </c>
      <c r="M2723" s="27" t="str">
        <f aca="false">IF(J2723="","",IF(J2723=1,"Every week",R2723+1&amp;" of "&amp;J2723))</f>
        <v/>
      </c>
      <c r="N2723" s="28" t="str">
        <f aca="false">IF(J2723="","",Settings!$B$4+R2723*7+Q2723)</f>
        <v/>
      </c>
      <c r="O2723" s="28" t="str">
        <f aca="true">IF(J2723="","",N2723+MAX(0,ROUNDUP((TODAY()-N2723)/(J2723*7),0))*J2723*7)</f>
        <v/>
      </c>
      <c r="P2723" s="27" t="str">
        <f aca="false">IF(J2723="","",MOD(K2723-1,J2723*4))</f>
        <v/>
      </c>
      <c r="Q2723" s="27" t="str">
        <f aca="false">IF(J2723="","",MOD(P2723,4))</f>
        <v/>
      </c>
      <c r="R2723" s="27" t="str">
        <f aca="false">IF(J2723="","",INT(P2723/4))</f>
        <v/>
      </c>
      <c r="S2723" s="27" t="str">
        <f aca="false">IF(J2723="","",IF(AND('Daily Count Sheet'!$H$3=Q2723,MOD('Daily Count Sheet'!$I$3,J2723)=R2723),1,""))</f>
        <v/>
      </c>
      <c r="T2723" s="27" t="str">
        <f aca="false">IF(S2723=1,COUNTIF($S$2:S2723,1),"")</f>
        <v/>
      </c>
    </row>
    <row r="2724" customFormat="false" ht="15" hidden="false" customHeight="false" outlineLevel="0" collapsed="false">
      <c r="H2724" s="26"/>
      <c r="I2724" s="27" t="str">
        <f aca="false">IF(A2724="","",IF(H2724&lt;&gt;"",UPPER(TRIM(H2724)),IFERROR(CHOOSE(VALUE(E2724)+1,"A","B","C","D"),IF(OR(LEFT(UPPER(TRIM(E2724)),1)="F",UPPER(TRIM(E2724))="A"),"A",IF(OR(LEFT(UPPER(TRIM(E2724)),1)="M",UPPER(TRIM(E2724))="B"),"B",IF(OR(LEFT(UPPER(TRIM(E2724)),2)="SL",UPPER(TRIM(E2724))="C"),"C",IF(OR(LEFT(UPPER(TRIM(E2724)),1)="D",UPPER(TRIM(E2724))="D"),"D","")))))))</f>
        <v/>
      </c>
      <c r="J2724" s="27" t="str">
        <f aca="false">IF(I2724="","",IF(AND(I2724="D",Settings!$B$6&lt;&gt;"Yes"),"",IFERROR(INDEX(Settings!$C$9:$C$12,MATCH(I2724,Settings!$A$9:$A$12,0)),"")))</f>
        <v/>
      </c>
      <c r="K2724" s="27" t="str">
        <f aca="false">IF(J2724="","",COUNTIF($I$2:I2724,I2724))</f>
        <v/>
      </c>
      <c r="L2724" s="27" t="str">
        <f aca="false">IF(J2724="","",CHOOSE(Q2724+1,"Tue","Wed","Thu","Fri"))</f>
        <v/>
      </c>
      <c r="M2724" s="27" t="str">
        <f aca="false">IF(J2724="","",IF(J2724=1,"Every week",R2724+1&amp;" of "&amp;J2724))</f>
        <v/>
      </c>
      <c r="N2724" s="28" t="str">
        <f aca="false">IF(J2724="","",Settings!$B$4+R2724*7+Q2724)</f>
        <v/>
      </c>
      <c r="O2724" s="28" t="str">
        <f aca="true">IF(J2724="","",N2724+MAX(0,ROUNDUP((TODAY()-N2724)/(J2724*7),0))*J2724*7)</f>
        <v/>
      </c>
      <c r="P2724" s="27" t="str">
        <f aca="false">IF(J2724="","",MOD(K2724-1,J2724*4))</f>
        <v/>
      </c>
      <c r="Q2724" s="27" t="str">
        <f aca="false">IF(J2724="","",MOD(P2724,4))</f>
        <v/>
      </c>
      <c r="R2724" s="27" t="str">
        <f aca="false">IF(J2724="","",INT(P2724/4))</f>
        <v/>
      </c>
      <c r="S2724" s="27" t="str">
        <f aca="false">IF(J2724="","",IF(AND('Daily Count Sheet'!$H$3=Q2724,MOD('Daily Count Sheet'!$I$3,J2724)=R2724),1,""))</f>
        <v/>
      </c>
      <c r="T2724" s="27" t="str">
        <f aca="false">IF(S2724=1,COUNTIF($S$2:S2724,1),"")</f>
        <v/>
      </c>
    </row>
    <row r="2725" customFormat="false" ht="15" hidden="false" customHeight="false" outlineLevel="0" collapsed="false">
      <c r="H2725" s="26"/>
      <c r="I2725" s="27" t="str">
        <f aca="false">IF(A2725="","",IF(H2725&lt;&gt;"",UPPER(TRIM(H2725)),IFERROR(CHOOSE(VALUE(E2725)+1,"A","B","C","D"),IF(OR(LEFT(UPPER(TRIM(E2725)),1)="F",UPPER(TRIM(E2725))="A"),"A",IF(OR(LEFT(UPPER(TRIM(E2725)),1)="M",UPPER(TRIM(E2725))="B"),"B",IF(OR(LEFT(UPPER(TRIM(E2725)),2)="SL",UPPER(TRIM(E2725))="C"),"C",IF(OR(LEFT(UPPER(TRIM(E2725)),1)="D",UPPER(TRIM(E2725))="D"),"D","")))))))</f>
        <v/>
      </c>
      <c r="J2725" s="27" t="str">
        <f aca="false">IF(I2725="","",IF(AND(I2725="D",Settings!$B$6&lt;&gt;"Yes"),"",IFERROR(INDEX(Settings!$C$9:$C$12,MATCH(I2725,Settings!$A$9:$A$12,0)),"")))</f>
        <v/>
      </c>
      <c r="K2725" s="27" t="str">
        <f aca="false">IF(J2725="","",COUNTIF($I$2:I2725,I2725))</f>
        <v/>
      </c>
      <c r="L2725" s="27" t="str">
        <f aca="false">IF(J2725="","",CHOOSE(Q2725+1,"Tue","Wed","Thu","Fri"))</f>
        <v/>
      </c>
      <c r="M2725" s="27" t="str">
        <f aca="false">IF(J2725="","",IF(J2725=1,"Every week",R2725+1&amp;" of "&amp;J2725))</f>
        <v/>
      </c>
      <c r="N2725" s="28" t="str">
        <f aca="false">IF(J2725="","",Settings!$B$4+R2725*7+Q2725)</f>
        <v/>
      </c>
      <c r="O2725" s="28" t="str">
        <f aca="true">IF(J2725="","",N2725+MAX(0,ROUNDUP((TODAY()-N2725)/(J2725*7),0))*J2725*7)</f>
        <v/>
      </c>
      <c r="P2725" s="27" t="str">
        <f aca="false">IF(J2725="","",MOD(K2725-1,J2725*4))</f>
        <v/>
      </c>
      <c r="Q2725" s="27" t="str">
        <f aca="false">IF(J2725="","",MOD(P2725,4))</f>
        <v/>
      </c>
      <c r="R2725" s="27" t="str">
        <f aca="false">IF(J2725="","",INT(P2725/4))</f>
        <v/>
      </c>
      <c r="S2725" s="27" t="str">
        <f aca="false">IF(J2725="","",IF(AND('Daily Count Sheet'!$H$3=Q2725,MOD('Daily Count Sheet'!$I$3,J2725)=R2725),1,""))</f>
        <v/>
      </c>
      <c r="T2725" s="27" t="str">
        <f aca="false">IF(S2725=1,COUNTIF($S$2:S2725,1),"")</f>
        <v/>
      </c>
    </row>
    <row r="2726" customFormat="false" ht="15" hidden="false" customHeight="false" outlineLevel="0" collapsed="false">
      <c r="H2726" s="26"/>
      <c r="I2726" s="27" t="str">
        <f aca="false">IF(A2726="","",IF(H2726&lt;&gt;"",UPPER(TRIM(H2726)),IFERROR(CHOOSE(VALUE(E2726)+1,"A","B","C","D"),IF(OR(LEFT(UPPER(TRIM(E2726)),1)="F",UPPER(TRIM(E2726))="A"),"A",IF(OR(LEFT(UPPER(TRIM(E2726)),1)="M",UPPER(TRIM(E2726))="B"),"B",IF(OR(LEFT(UPPER(TRIM(E2726)),2)="SL",UPPER(TRIM(E2726))="C"),"C",IF(OR(LEFT(UPPER(TRIM(E2726)),1)="D",UPPER(TRIM(E2726))="D"),"D","")))))))</f>
        <v/>
      </c>
      <c r="J2726" s="27" t="str">
        <f aca="false">IF(I2726="","",IF(AND(I2726="D",Settings!$B$6&lt;&gt;"Yes"),"",IFERROR(INDEX(Settings!$C$9:$C$12,MATCH(I2726,Settings!$A$9:$A$12,0)),"")))</f>
        <v/>
      </c>
      <c r="K2726" s="27" t="str">
        <f aca="false">IF(J2726="","",COUNTIF($I$2:I2726,I2726))</f>
        <v/>
      </c>
      <c r="L2726" s="27" t="str">
        <f aca="false">IF(J2726="","",CHOOSE(Q2726+1,"Tue","Wed","Thu","Fri"))</f>
        <v/>
      </c>
      <c r="M2726" s="27" t="str">
        <f aca="false">IF(J2726="","",IF(J2726=1,"Every week",R2726+1&amp;" of "&amp;J2726))</f>
        <v/>
      </c>
      <c r="N2726" s="28" t="str">
        <f aca="false">IF(J2726="","",Settings!$B$4+R2726*7+Q2726)</f>
        <v/>
      </c>
      <c r="O2726" s="28" t="str">
        <f aca="true">IF(J2726="","",N2726+MAX(0,ROUNDUP((TODAY()-N2726)/(J2726*7),0))*J2726*7)</f>
        <v/>
      </c>
      <c r="P2726" s="27" t="str">
        <f aca="false">IF(J2726="","",MOD(K2726-1,J2726*4))</f>
        <v/>
      </c>
      <c r="Q2726" s="27" t="str">
        <f aca="false">IF(J2726="","",MOD(P2726,4))</f>
        <v/>
      </c>
      <c r="R2726" s="27" t="str">
        <f aca="false">IF(J2726="","",INT(P2726/4))</f>
        <v/>
      </c>
      <c r="S2726" s="27" t="str">
        <f aca="false">IF(J2726="","",IF(AND('Daily Count Sheet'!$H$3=Q2726,MOD('Daily Count Sheet'!$I$3,J2726)=R2726),1,""))</f>
        <v/>
      </c>
      <c r="T2726" s="27" t="str">
        <f aca="false">IF(S2726=1,COUNTIF($S$2:S2726,1),"")</f>
        <v/>
      </c>
    </row>
    <row r="2727" customFormat="false" ht="15" hidden="false" customHeight="false" outlineLevel="0" collapsed="false">
      <c r="H2727" s="26"/>
      <c r="I2727" s="27" t="str">
        <f aca="false">IF(A2727="","",IF(H2727&lt;&gt;"",UPPER(TRIM(H2727)),IFERROR(CHOOSE(VALUE(E2727)+1,"A","B","C","D"),IF(OR(LEFT(UPPER(TRIM(E2727)),1)="F",UPPER(TRIM(E2727))="A"),"A",IF(OR(LEFT(UPPER(TRIM(E2727)),1)="M",UPPER(TRIM(E2727))="B"),"B",IF(OR(LEFT(UPPER(TRIM(E2727)),2)="SL",UPPER(TRIM(E2727))="C"),"C",IF(OR(LEFT(UPPER(TRIM(E2727)),1)="D",UPPER(TRIM(E2727))="D"),"D","")))))))</f>
        <v/>
      </c>
      <c r="J2727" s="27" t="str">
        <f aca="false">IF(I2727="","",IF(AND(I2727="D",Settings!$B$6&lt;&gt;"Yes"),"",IFERROR(INDEX(Settings!$C$9:$C$12,MATCH(I2727,Settings!$A$9:$A$12,0)),"")))</f>
        <v/>
      </c>
      <c r="K2727" s="27" t="str">
        <f aca="false">IF(J2727="","",COUNTIF($I$2:I2727,I2727))</f>
        <v/>
      </c>
      <c r="L2727" s="27" t="str">
        <f aca="false">IF(J2727="","",CHOOSE(Q2727+1,"Tue","Wed","Thu","Fri"))</f>
        <v/>
      </c>
      <c r="M2727" s="27" t="str">
        <f aca="false">IF(J2727="","",IF(J2727=1,"Every week",R2727+1&amp;" of "&amp;J2727))</f>
        <v/>
      </c>
      <c r="N2727" s="28" t="str">
        <f aca="false">IF(J2727="","",Settings!$B$4+R2727*7+Q2727)</f>
        <v/>
      </c>
      <c r="O2727" s="28" t="str">
        <f aca="true">IF(J2727="","",N2727+MAX(0,ROUNDUP((TODAY()-N2727)/(J2727*7),0))*J2727*7)</f>
        <v/>
      </c>
      <c r="P2727" s="27" t="str">
        <f aca="false">IF(J2727="","",MOD(K2727-1,J2727*4))</f>
        <v/>
      </c>
      <c r="Q2727" s="27" t="str">
        <f aca="false">IF(J2727="","",MOD(P2727,4))</f>
        <v/>
      </c>
      <c r="R2727" s="27" t="str">
        <f aca="false">IF(J2727="","",INT(P2727/4))</f>
        <v/>
      </c>
      <c r="S2727" s="27" t="str">
        <f aca="false">IF(J2727="","",IF(AND('Daily Count Sheet'!$H$3=Q2727,MOD('Daily Count Sheet'!$I$3,J2727)=R2727),1,""))</f>
        <v/>
      </c>
      <c r="T2727" s="27" t="str">
        <f aca="false">IF(S2727=1,COUNTIF($S$2:S2727,1),"")</f>
        <v/>
      </c>
    </row>
    <row r="2728" customFormat="false" ht="15" hidden="false" customHeight="false" outlineLevel="0" collapsed="false">
      <c r="H2728" s="26"/>
      <c r="I2728" s="27" t="str">
        <f aca="false">IF(A2728="","",IF(H2728&lt;&gt;"",UPPER(TRIM(H2728)),IFERROR(CHOOSE(VALUE(E2728)+1,"A","B","C","D"),IF(OR(LEFT(UPPER(TRIM(E2728)),1)="F",UPPER(TRIM(E2728))="A"),"A",IF(OR(LEFT(UPPER(TRIM(E2728)),1)="M",UPPER(TRIM(E2728))="B"),"B",IF(OR(LEFT(UPPER(TRIM(E2728)),2)="SL",UPPER(TRIM(E2728))="C"),"C",IF(OR(LEFT(UPPER(TRIM(E2728)),1)="D",UPPER(TRIM(E2728))="D"),"D","")))))))</f>
        <v/>
      </c>
      <c r="J2728" s="27" t="str">
        <f aca="false">IF(I2728="","",IF(AND(I2728="D",Settings!$B$6&lt;&gt;"Yes"),"",IFERROR(INDEX(Settings!$C$9:$C$12,MATCH(I2728,Settings!$A$9:$A$12,0)),"")))</f>
        <v/>
      </c>
      <c r="K2728" s="27" t="str">
        <f aca="false">IF(J2728="","",COUNTIF($I$2:I2728,I2728))</f>
        <v/>
      </c>
      <c r="L2728" s="27" t="str">
        <f aca="false">IF(J2728="","",CHOOSE(Q2728+1,"Tue","Wed","Thu","Fri"))</f>
        <v/>
      </c>
      <c r="M2728" s="27" t="str">
        <f aca="false">IF(J2728="","",IF(J2728=1,"Every week",R2728+1&amp;" of "&amp;J2728))</f>
        <v/>
      </c>
      <c r="N2728" s="28" t="str">
        <f aca="false">IF(J2728="","",Settings!$B$4+R2728*7+Q2728)</f>
        <v/>
      </c>
      <c r="O2728" s="28" t="str">
        <f aca="true">IF(J2728="","",N2728+MAX(0,ROUNDUP((TODAY()-N2728)/(J2728*7),0))*J2728*7)</f>
        <v/>
      </c>
      <c r="P2728" s="27" t="str">
        <f aca="false">IF(J2728="","",MOD(K2728-1,J2728*4))</f>
        <v/>
      </c>
      <c r="Q2728" s="27" t="str">
        <f aca="false">IF(J2728="","",MOD(P2728,4))</f>
        <v/>
      </c>
      <c r="R2728" s="27" t="str">
        <f aca="false">IF(J2728="","",INT(P2728/4))</f>
        <v/>
      </c>
      <c r="S2728" s="27" t="str">
        <f aca="false">IF(J2728="","",IF(AND('Daily Count Sheet'!$H$3=Q2728,MOD('Daily Count Sheet'!$I$3,J2728)=R2728),1,""))</f>
        <v/>
      </c>
      <c r="T2728" s="27" t="str">
        <f aca="false">IF(S2728=1,COUNTIF($S$2:S2728,1),"")</f>
        <v/>
      </c>
    </row>
    <row r="2729" customFormat="false" ht="15" hidden="false" customHeight="false" outlineLevel="0" collapsed="false">
      <c r="H2729" s="26"/>
      <c r="I2729" s="27" t="str">
        <f aca="false">IF(A2729="","",IF(H2729&lt;&gt;"",UPPER(TRIM(H2729)),IFERROR(CHOOSE(VALUE(E2729)+1,"A","B","C","D"),IF(OR(LEFT(UPPER(TRIM(E2729)),1)="F",UPPER(TRIM(E2729))="A"),"A",IF(OR(LEFT(UPPER(TRIM(E2729)),1)="M",UPPER(TRIM(E2729))="B"),"B",IF(OR(LEFT(UPPER(TRIM(E2729)),2)="SL",UPPER(TRIM(E2729))="C"),"C",IF(OR(LEFT(UPPER(TRIM(E2729)),1)="D",UPPER(TRIM(E2729))="D"),"D","")))))))</f>
        <v/>
      </c>
      <c r="J2729" s="27" t="str">
        <f aca="false">IF(I2729="","",IF(AND(I2729="D",Settings!$B$6&lt;&gt;"Yes"),"",IFERROR(INDEX(Settings!$C$9:$C$12,MATCH(I2729,Settings!$A$9:$A$12,0)),"")))</f>
        <v/>
      </c>
      <c r="K2729" s="27" t="str">
        <f aca="false">IF(J2729="","",COUNTIF($I$2:I2729,I2729))</f>
        <v/>
      </c>
      <c r="L2729" s="27" t="str">
        <f aca="false">IF(J2729="","",CHOOSE(Q2729+1,"Tue","Wed","Thu","Fri"))</f>
        <v/>
      </c>
      <c r="M2729" s="27" t="str">
        <f aca="false">IF(J2729="","",IF(J2729=1,"Every week",R2729+1&amp;" of "&amp;J2729))</f>
        <v/>
      </c>
      <c r="N2729" s="28" t="str">
        <f aca="false">IF(J2729="","",Settings!$B$4+R2729*7+Q2729)</f>
        <v/>
      </c>
      <c r="O2729" s="28" t="str">
        <f aca="true">IF(J2729="","",N2729+MAX(0,ROUNDUP((TODAY()-N2729)/(J2729*7),0))*J2729*7)</f>
        <v/>
      </c>
      <c r="P2729" s="27" t="str">
        <f aca="false">IF(J2729="","",MOD(K2729-1,J2729*4))</f>
        <v/>
      </c>
      <c r="Q2729" s="27" t="str">
        <f aca="false">IF(J2729="","",MOD(P2729,4))</f>
        <v/>
      </c>
      <c r="R2729" s="27" t="str">
        <f aca="false">IF(J2729="","",INT(P2729/4))</f>
        <v/>
      </c>
      <c r="S2729" s="27" t="str">
        <f aca="false">IF(J2729="","",IF(AND('Daily Count Sheet'!$H$3=Q2729,MOD('Daily Count Sheet'!$I$3,J2729)=R2729),1,""))</f>
        <v/>
      </c>
      <c r="T2729" s="27" t="str">
        <f aca="false">IF(S2729=1,COUNTIF($S$2:S2729,1),"")</f>
        <v/>
      </c>
    </row>
    <row r="2730" customFormat="false" ht="15" hidden="false" customHeight="false" outlineLevel="0" collapsed="false">
      <c r="H2730" s="26"/>
      <c r="I2730" s="27" t="str">
        <f aca="false">IF(A2730="","",IF(H2730&lt;&gt;"",UPPER(TRIM(H2730)),IFERROR(CHOOSE(VALUE(E2730)+1,"A","B","C","D"),IF(OR(LEFT(UPPER(TRIM(E2730)),1)="F",UPPER(TRIM(E2730))="A"),"A",IF(OR(LEFT(UPPER(TRIM(E2730)),1)="M",UPPER(TRIM(E2730))="B"),"B",IF(OR(LEFT(UPPER(TRIM(E2730)),2)="SL",UPPER(TRIM(E2730))="C"),"C",IF(OR(LEFT(UPPER(TRIM(E2730)),1)="D",UPPER(TRIM(E2730))="D"),"D","")))))))</f>
        <v/>
      </c>
      <c r="J2730" s="27" t="str">
        <f aca="false">IF(I2730="","",IF(AND(I2730="D",Settings!$B$6&lt;&gt;"Yes"),"",IFERROR(INDEX(Settings!$C$9:$C$12,MATCH(I2730,Settings!$A$9:$A$12,0)),"")))</f>
        <v/>
      </c>
      <c r="K2730" s="27" t="str">
        <f aca="false">IF(J2730="","",COUNTIF($I$2:I2730,I2730))</f>
        <v/>
      </c>
      <c r="L2730" s="27" t="str">
        <f aca="false">IF(J2730="","",CHOOSE(Q2730+1,"Tue","Wed","Thu","Fri"))</f>
        <v/>
      </c>
      <c r="M2730" s="27" t="str">
        <f aca="false">IF(J2730="","",IF(J2730=1,"Every week",R2730+1&amp;" of "&amp;J2730))</f>
        <v/>
      </c>
      <c r="N2730" s="28" t="str">
        <f aca="false">IF(J2730="","",Settings!$B$4+R2730*7+Q2730)</f>
        <v/>
      </c>
      <c r="O2730" s="28" t="str">
        <f aca="true">IF(J2730="","",N2730+MAX(0,ROUNDUP((TODAY()-N2730)/(J2730*7),0))*J2730*7)</f>
        <v/>
      </c>
      <c r="P2730" s="27" t="str">
        <f aca="false">IF(J2730="","",MOD(K2730-1,J2730*4))</f>
        <v/>
      </c>
      <c r="Q2730" s="27" t="str">
        <f aca="false">IF(J2730="","",MOD(P2730,4))</f>
        <v/>
      </c>
      <c r="R2730" s="27" t="str">
        <f aca="false">IF(J2730="","",INT(P2730/4))</f>
        <v/>
      </c>
      <c r="S2730" s="27" t="str">
        <f aca="false">IF(J2730="","",IF(AND('Daily Count Sheet'!$H$3=Q2730,MOD('Daily Count Sheet'!$I$3,J2730)=R2730),1,""))</f>
        <v/>
      </c>
      <c r="T2730" s="27" t="str">
        <f aca="false">IF(S2730=1,COUNTIF($S$2:S2730,1),"")</f>
        <v/>
      </c>
    </row>
    <row r="2731" customFormat="false" ht="15" hidden="false" customHeight="false" outlineLevel="0" collapsed="false">
      <c r="H2731" s="26"/>
      <c r="I2731" s="27" t="str">
        <f aca="false">IF(A2731="","",IF(H2731&lt;&gt;"",UPPER(TRIM(H2731)),IFERROR(CHOOSE(VALUE(E2731)+1,"A","B","C","D"),IF(OR(LEFT(UPPER(TRIM(E2731)),1)="F",UPPER(TRIM(E2731))="A"),"A",IF(OR(LEFT(UPPER(TRIM(E2731)),1)="M",UPPER(TRIM(E2731))="B"),"B",IF(OR(LEFT(UPPER(TRIM(E2731)),2)="SL",UPPER(TRIM(E2731))="C"),"C",IF(OR(LEFT(UPPER(TRIM(E2731)),1)="D",UPPER(TRIM(E2731))="D"),"D","")))))))</f>
        <v/>
      </c>
      <c r="J2731" s="27" t="str">
        <f aca="false">IF(I2731="","",IF(AND(I2731="D",Settings!$B$6&lt;&gt;"Yes"),"",IFERROR(INDEX(Settings!$C$9:$C$12,MATCH(I2731,Settings!$A$9:$A$12,0)),"")))</f>
        <v/>
      </c>
      <c r="K2731" s="27" t="str">
        <f aca="false">IF(J2731="","",COUNTIF($I$2:I2731,I2731))</f>
        <v/>
      </c>
      <c r="L2731" s="27" t="str">
        <f aca="false">IF(J2731="","",CHOOSE(Q2731+1,"Tue","Wed","Thu","Fri"))</f>
        <v/>
      </c>
      <c r="M2731" s="27" t="str">
        <f aca="false">IF(J2731="","",IF(J2731=1,"Every week",R2731+1&amp;" of "&amp;J2731))</f>
        <v/>
      </c>
      <c r="N2731" s="28" t="str">
        <f aca="false">IF(J2731="","",Settings!$B$4+R2731*7+Q2731)</f>
        <v/>
      </c>
      <c r="O2731" s="28" t="str">
        <f aca="true">IF(J2731="","",N2731+MAX(0,ROUNDUP((TODAY()-N2731)/(J2731*7),0))*J2731*7)</f>
        <v/>
      </c>
      <c r="P2731" s="27" t="str">
        <f aca="false">IF(J2731="","",MOD(K2731-1,J2731*4))</f>
        <v/>
      </c>
      <c r="Q2731" s="27" t="str">
        <f aca="false">IF(J2731="","",MOD(P2731,4))</f>
        <v/>
      </c>
      <c r="R2731" s="27" t="str">
        <f aca="false">IF(J2731="","",INT(P2731/4))</f>
        <v/>
      </c>
      <c r="S2731" s="27" t="str">
        <f aca="false">IF(J2731="","",IF(AND('Daily Count Sheet'!$H$3=Q2731,MOD('Daily Count Sheet'!$I$3,J2731)=R2731),1,""))</f>
        <v/>
      </c>
      <c r="T2731" s="27" t="str">
        <f aca="false">IF(S2731=1,COUNTIF($S$2:S2731,1),"")</f>
        <v/>
      </c>
    </row>
    <row r="2732" customFormat="false" ht="15" hidden="false" customHeight="false" outlineLevel="0" collapsed="false">
      <c r="H2732" s="26"/>
      <c r="I2732" s="27" t="str">
        <f aca="false">IF(A2732="","",IF(H2732&lt;&gt;"",UPPER(TRIM(H2732)),IFERROR(CHOOSE(VALUE(E2732)+1,"A","B","C","D"),IF(OR(LEFT(UPPER(TRIM(E2732)),1)="F",UPPER(TRIM(E2732))="A"),"A",IF(OR(LEFT(UPPER(TRIM(E2732)),1)="M",UPPER(TRIM(E2732))="B"),"B",IF(OR(LEFT(UPPER(TRIM(E2732)),2)="SL",UPPER(TRIM(E2732))="C"),"C",IF(OR(LEFT(UPPER(TRIM(E2732)),1)="D",UPPER(TRIM(E2732))="D"),"D","")))))))</f>
        <v/>
      </c>
      <c r="J2732" s="27" t="str">
        <f aca="false">IF(I2732="","",IF(AND(I2732="D",Settings!$B$6&lt;&gt;"Yes"),"",IFERROR(INDEX(Settings!$C$9:$C$12,MATCH(I2732,Settings!$A$9:$A$12,0)),"")))</f>
        <v/>
      </c>
      <c r="K2732" s="27" t="str">
        <f aca="false">IF(J2732="","",COUNTIF($I$2:I2732,I2732))</f>
        <v/>
      </c>
      <c r="L2732" s="27" t="str">
        <f aca="false">IF(J2732="","",CHOOSE(Q2732+1,"Tue","Wed","Thu","Fri"))</f>
        <v/>
      </c>
      <c r="M2732" s="27" t="str">
        <f aca="false">IF(J2732="","",IF(J2732=1,"Every week",R2732+1&amp;" of "&amp;J2732))</f>
        <v/>
      </c>
      <c r="N2732" s="28" t="str">
        <f aca="false">IF(J2732="","",Settings!$B$4+R2732*7+Q2732)</f>
        <v/>
      </c>
      <c r="O2732" s="28" t="str">
        <f aca="true">IF(J2732="","",N2732+MAX(0,ROUNDUP((TODAY()-N2732)/(J2732*7),0))*J2732*7)</f>
        <v/>
      </c>
      <c r="P2732" s="27" t="str">
        <f aca="false">IF(J2732="","",MOD(K2732-1,J2732*4))</f>
        <v/>
      </c>
      <c r="Q2732" s="27" t="str">
        <f aca="false">IF(J2732="","",MOD(P2732,4))</f>
        <v/>
      </c>
      <c r="R2732" s="27" t="str">
        <f aca="false">IF(J2732="","",INT(P2732/4))</f>
        <v/>
      </c>
      <c r="S2732" s="27" t="str">
        <f aca="false">IF(J2732="","",IF(AND('Daily Count Sheet'!$H$3=Q2732,MOD('Daily Count Sheet'!$I$3,J2732)=R2732),1,""))</f>
        <v/>
      </c>
      <c r="T2732" s="27" t="str">
        <f aca="false">IF(S2732=1,COUNTIF($S$2:S2732,1),"")</f>
        <v/>
      </c>
    </row>
    <row r="2733" customFormat="false" ht="15" hidden="false" customHeight="false" outlineLevel="0" collapsed="false">
      <c r="H2733" s="26"/>
      <c r="I2733" s="27" t="str">
        <f aca="false">IF(A2733="","",IF(H2733&lt;&gt;"",UPPER(TRIM(H2733)),IFERROR(CHOOSE(VALUE(E2733)+1,"A","B","C","D"),IF(OR(LEFT(UPPER(TRIM(E2733)),1)="F",UPPER(TRIM(E2733))="A"),"A",IF(OR(LEFT(UPPER(TRIM(E2733)),1)="M",UPPER(TRIM(E2733))="B"),"B",IF(OR(LEFT(UPPER(TRIM(E2733)),2)="SL",UPPER(TRIM(E2733))="C"),"C",IF(OR(LEFT(UPPER(TRIM(E2733)),1)="D",UPPER(TRIM(E2733))="D"),"D","")))))))</f>
        <v/>
      </c>
      <c r="J2733" s="27" t="str">
        <f aca="false">IF(I2733="","",IF(AND(I2733="D",Settings!$B$6&lt;&gt;"Yes"),"",IFERROR(INDEX(Settings!$C$9:$C$12,MATCH(I2733,Settings!$A$9:$A$12,0)),"")))</f>
        <v/>
      </c>
      <c r="K2733" s="27" t="str">
        <f aca="false">IF(J2733="","",COUNTIF($I$2:I2733,I2733))</f>
        <v/>
      </c>
      <c r="L2733" s="27" t="str">
        <f aca="false">IF(J2733="","",CHOOSE(Q2733+1,"Tue","Wed","Thu","Fri"))</f>
        <v/>
      </c>
      <c r="M2733" s="27" t="str">
        <f aca="false">IF(J2733="","",IF(J2733=1,"Every week",R2733+1&amp;" of "&amp;J2733))</f>
        <v/>
      </c>
      <c r="N2733" s="28" t="str">
        <f aca="false">IF(J2733="","",Settings!$B$4+R2733*7+Q2733)</f>
        <v/>
      </c>
      <c r="O2733" s="28" t="str">
        <f aca="true">IF(J2733="","",N2733+MAX(0,ROUNDUP((TODAY()-N2733)/(J2733*7),0))*J2733*7)</f>
        <v/>
      </c>
      <c r="P2733" s="27" t="str">
        <f aca="false">IF(J2733="","",MOD(K2733-1,J2733*4))</f>
        <v/>
      </c>
      <c r="Q2733" s="27" t="str">
        <f aca="false">IF(J2733="","",MOD(P2733,4))</f>
        <v/>
      </c>
      <c r="R2733" s="27" t="str">
        <f aca="false">IF(J2733="","",INT(P2733/4))</f>
        <v/>
      </c>
      <c r="S2733" s="27" t="str">
        <f aca="false">IF(J2733="","",IF(AND('Daily Count Sheet'!$H$3=Q2733,MOD('Daily Count Sheet'!$I$3,J2733)=R2733),1,""))</f>
        <v/>
      </c>
      <c r="T2733" s="27" t="str">
        <f aca="false">IF(S2733=1,COUNTIF($S$2:S2733,1),"")</f>
        <v/>
      </c>
    </row>
    <row r="2734" customFormat="false" ht="15" hidden="false" customHeight="false" outlineLevel="0" collapsed="false">
      <c r="H2734" s="26"/>
      <c r="I2734" s="27" t="str">
        <f aca="false">IF(A2734="","",IF(H2734&lt;&gt;"",UPPER(TRIM(H2734)),IFERROR(CHOOSE(VALUE(E2734)+1,"A","B","C","D"),IF(OR(LEFT(UPPER(TRIM(E2734)),1)="F",UPPER(TRIM(E2734))="A"),"A",IF(OR(LEFT(UPPER(TRIM(E2734)),1)="M",UPPER(TRIM(E2734))="B"),"B",IF(OR(LEFT(UPPER(TRIM(E2734)),2)="SL",UPPER(TRIM(E2734))="C"),"C",IF(OR(LEFT(UPPER(TRIM(E2734)),1)="D",UPPER(TRIM(E2734))="D"),"D","")))))))</f>
        <v/>
      </c>
      <c r="J2734" s="27" t="str">
        <f aca="false">IF(I2734="","",IF(AND(I2734="D",Settings!$B$6&lt;&gt;"Yes"),"",IFERROR(INDEX(Settings!$C$9:$C$12,MATCH(I2734,Settings!$A$9:$A$12,0)),"")))</f>
        <v/>
      </c>
      <c r="K2734" s="27" t="str">
        <f aca="false">IF(J2734="","",COUNTIF($I$2:I2734,I2734))</f>
        <v/>
      </c>
      <c r="L2734" s="27" t="str">
        <f aca="false">IF(J2734="","",CHOOSE(Q2734+1,"Tue","Wed","Thu","Fri"))</f>
        <v/>
      </c>
      <c r="M2734" s="27" t="str">
        <f aca="false">IF(J2734="","",IF(J2734=1,"Every week",R2734+1&amp;" of "&amp;J2734))</f>
        <v/>
      </c>
      <c r="N2734" s="28" t="str">
        <f aca="false">IF(J2734="","",Settings!$B$4+R2734*7+Q2734)</f>
        <v/>
      </c>
      <c r="O2734" s="28" t="str">
        <f aca="true">IF(J2734="","",N2734+MAX(0,ROUNDUP((TODAY()-N2734)/(J2734*7),0))*J2734*7)</f>
        <v/>
      </c>
      <c r="P2734" s="27" t="str">
        <f aca="false">IF(J2734="","",MOD(K2734-1,J2734*4))</f>
        <v/>
      </c>
      <c r="Q2734" s="27" t="str">
        <f aca="false">IF(J2734="","",MOD(P2734,4))</f>
        <v/>
      </c>
      <c r="R2734" s="27" t="str">
        <f aca="false">IF(J2734="","",INT(P2734/4))</f>
        <v/>
      </c>
      <c r="S2734" s="27" t="str">
        <f aca="false">IF(J2734="","",IF(AND('Daily Count Sheet'!$H$3=Q2734,MOD('Daily Count Sheet'!$I$3,J2734)=R2734),1,""))</f>
        <v/>
      </c>
      <c r="T2734" s="27" t="str">
        <f aca="false">IF(S2734=1,COUNTIF($S$2:S2734,1),"")</f>
        <v/>
      </c>
    </row>
    <row r="2735" customFormat="false" ht="15" hidden="false" customHeight="false" outlineLevel="0" collapsed="false">
      <c r="H2735" s="26"/>
      <c r="I2735" s="27" t="str">
        <f aca="false">IF(A2735="","",IF(H2735&lt;&gt;"",UPPER(TRIM(H2735)),IFERROR(CHOOSE(VALUE(E2735)+1,"A","B","C","D"),IF(OR(LEFT(UPPER(TRIM(E2735)),1)="F",UPPER(TRIM(E2735))="A"),"A",IF(OR(LEFT(UPPER(TRIM(E2735)),1)="M",UPPER(TRIM(E2735))="B"),"B",IF(OR(LEFT(UPPER(TRIM(E2735)),2)="SL",UPPER(TRIM(E2735))="C"),"C",IF(OR(LEFT(UPPER(TRIM(E2735)),1)="D",UPPER(TRIM(E2735))="D"),"D","")))))))</f>
        <v/>
      </c>
      <c r="J2735" s="27" t="str">
        <f aca="false">IF(I2735="","",IF(AND(I2735="D",Settings!$B$6&lt;&gt;"Yes"),"",IFERROR(INDEX(Settings!$C$9:$C$12,MATCH(I2735,Settings!$A$9:$A$12,0)),"")))</f>
        <v/>
      </c>
      <c r="K2735" s="27" t="str">
        <f aca="false">IF(J2735="","",COUNTIF($I$2:I2735,I2735))</f>
        <v/>
      </c>
      <c r="L2735" s="27" t="str">
        <f aca="false">IF(J2735="","",CHOOSE(Q2735+1,"Tue","Wed","Thu","Fri"))</f>
        <v/>
      </c>
      <c r="M2735" s="27" t="str">
        <f aca="false">IF(J2735="","",IF(J2735=1,"Every week",R2735+1&amp;" of "&amp;J2735))</f>
        <v/>
      </c>
      <c r="N2735" s="28" t="str">
        <f aca="false">IF(J2735="","",Settings!$B$4+R2735*7+Q2735)</f>
        <v/>
      </c>
      <c r="O2735" s="28" t="str">
        <f aca="true">IF(J2735="","",N2735+MAX(0,ROUNDUP((TODAY()-N2735)/(J2735*7),0))*J2735*7)</f>
        <v/>
      </c>
      <c r="P2735" s="27" t="str">
        <f aca="false">IF(J2735="","",MOD(K2735-1,J2735*4))</f>
        <v/>
      </c>
      <c r="Q2735" s="27" t="str">
        <f aca="false">IF(J2735="","",MOD(P2735,4))</f>
        <v/>
      </c>
      <c r="R2735" s="27" t="str">
        <f aca="false">IF(J2735="","",INT(P2735/4))</f>
        <v/>
      </c>
      <c r="S2735" s="27" t="str">
        <f aca="false">IF(J2735="","",IF(AND('Daily Count Sheet'!$H$3=Q2735,MOD('Daily Count Sheet'!$I$3,J2735)=R2735),1,""))</f>
        <v/>
      </c>
      <c r="T2735" s="27" t="str">
        <f aca="false">IF(S2735=1,COUNTIF($S$2:S2735,1),"")</f>
        <v/>
      </c>
    </row>
    <row r="2736" customFormat="false" ht="15" hidden="false" customHeight="false" outlineLevel="0" collapsed="false">
      <c r="H2736" s="26"/>
      <c r="I2736" s="27" t="str">
        <f aca="false">IF(A2736="","",IF(H2736&lt;&gt;"",UPPER(TRIM(H2736)),IFERROR(CHOOSE(VALUE(E2736)+1,"A","B","C","D"),IF(OR(LEFT(UPPER(TRIM(E2736)),1)="F",UPPER(TRIM(E2736))="A"),"A",IF(OR(LEFT(UPPER(TRIM(E2736)),1)="M",UPPER(TRIM(E2736))="B"),"B",IF(OR(LEFT(UPPER(TRIM(E2736)),2)="SL",UPPER(TRIM(E2736))="C"),"C",IF(OR(LEFT(UPPER(TRIM(E2736)),1)="D",UPPER(TRIM(E2736))="D"),"D","")))))))</f>
        <v/>
      </c>
      <c r="J2736" s="27" t="str">
        <f aca="false">IF(I2736="","",IF(AND(I2736="D",Settings!$B$6&lt;&gt;"Yes"),"",IFERROR(INDEX(Settings!$C$9:$C$12,MATCH(I2736,Settings!$A$9:$A$12,0)),"")))</f>
        <v/>
      </c>
      <c r="K2736" s="27" t="str">
        <f aca="false">IF(J2736="","",COUNTIF($I$2:I2736,I2736))</f>
        <v/>
      </c>
      <c r="L2736" s="27" t="str">
        <f aca="false">IF(J2736="","",CHOOSE(Q2736+1,"Tue","Wed","Thu","Fri"))</f>
        <v/>
      </c>
      <c r="M2736" s="27" t="str">
        <f aca="false">IF(J2736="","",IF(J2736=1,"Every week",R2736+1&amp;" of "&amp;J2736))</f>
        <v/>
      </c>
      <c r="N2736" s="28" t="str">
        <f aca="false">IF(J2736="","",Settings!$B$4+R2736*7+Q2736)</f>
        <v/>
      </c>
      <c r="O2736" s="28" t="str">
        <f aca="true">IF(J2736="","",N2736+MAX(0,ROUNDUP((TODAY()-N2736)/(J2736*7),0))*J2736*7)</f>
        <v/>
      </c>
      <c r="P2736" s="27" t="str">
        <f aca="false">IF(J2736="","",MOD(K2736-1,J2736*4))</f>
        <v/>
      </c>
      <c r="Q2736" s="27" t="str">
        <f aca="false">IF(J2736="","",MOD(P2736,4))</f>
        <v/>
      </c>
      <c r="R2736" s="27" t="str">
        <f aca="false">IF(J2736="","",INT(P2736/4))</f>
        <v/>
      </c>
      <c r="S2736" s="27" t="str">
        <f aca="false">IF(J2736="","",IF(AND('Daily Count Sheet'!$H$3=Q2736,MOD('Daily Count Sheet'!$I$3,J2736)=R2736),1,""))</f>
        <v/>
      </c>
      <c r="T2736" s="27" t="str">
        <f aca="false">IF(S2736=1,COUNTIF($S$2:S2736,1),"")</f>
        <v/>
      </c>
    </row>
    <row r="2737" customFormat="false" ht="15" hidden="false" customHeight="false" outlineLevel="0" collapsed="false">
      <c r="H2737" s="26"/>
      <c r="I2737" s="27" t="str">
        <f aca="false">IF(A2737="","",IF(H2737&lt;&gt;"",UPPER(TRIM(H2737)),IFERROR(CHOOSE(VALUE(E2737)+1,"A","B","C","D"),IF(OR(LEFT(UPPER(TRIM(E2737)),1)="F",UPPER(TRIM(E2737))="A"),"A",IF(OR(LEFT(UPPER(TRIM(E2737)),1)="M",UPPER(TRIM(E2737))="B"),"B",IF(OR(LEFT(UPPER(TRIM(E2737)),2)="SL",UPPER(TRIM(E2737))="C"),"C",IF(OR(LEFT(UPPER(TRIM(E2737)),1)="D",UPPER(TRIM(E2737))="D"),"D","")))))))</f>
        <v/>
      </c>
      <c r="J2737" s="27" t="str">
        <f aca="false">IF(I2737="","",IF(AND(I2737="D",Settings!$B$6&lt;&gt;"Yes"),"",IFERROR(INDEX(Settings!$C$9:$C$12,MATCH(I2737,Settings!$A$9:$A$12,0)),"")))</f>
        <v/>
      </c>
      <c r="K2737" s="27" t="str">
        <f aca="false">IF(J2737="","",COUNTIF($I$2:I2737,I2737))</f>
        <v/>
      </c>
      <c r="L2737" s="27" t="str">
        <f aca="false">IF(J2737="","",CHOOSE(Q2737+1,"Tue","Wed","Thu","Fri"))</f>
        <v/>
      </c>
      <c r="M2737" s="27" t="str">
        <f aca="false">IF(J2737="","",IF(J2737=1,"Every week",R2737+1&amp;" of "&amp;J2737))</f>
        <v/>
      </c>
      <c r="N2737" s="28" t="str">
        <f aca="false">IF(J2737="","",Settings!$B$4+R2737*7+Q2737)</f>
        <v/>
      </c>
      <c r="O2737" s="28" t="str">
        <f aca="true">IF(J2737="","",N2737+MAX(0,ROUNDUP((TODAY()-N2737)/(J2737*7),0))*J2737*7)</f>
        <v/>
      </c>
      <c r="P2737" s="27" t="str">
        <f aca="false">IF(J2737="","",MOD(K2737-1,J2737*4))</f>
        <v/>
      </c>
      <c r="Q2737" s="27" t="str">
        <f aca="false">IF(J2737="","",MOD(P2737,4))</f>
        <v/>
      </c>
      <c r="R2737" s="27" t="str">
        <f aca="false">IF(J2737="","",INT(P2737/4))</f>
        <v/>
      </c>
      <c r="S2737" s="27" t="str">
        <f aca="false">IF(J2737="","",IF(AND('Daily Count Sheet'!$H$3=Q2737,MOD('Daily Count Sheet'!$I$3,J2737)=R2737),1,""))</f>
        <v/>
      </c>
      <c r="T2737" s="27" t="str">
        <f aca="false">IF(S2737=1,COUNTIF($S$2:S2737,1),"")</f>
        <v/>
      </c>
    </row>
    <row r="2738" customFormat="false" ht="15" hidden="false" customHeight="false" outlineLevel="0" collapsed="false">
      <c r="H2738" s="26"/>
      <c r="I2738" s="27" t="str">
        <f aca="false">IF(A2738="","",IF(H2738&lt;&gt;"",UPPER(TRIM(H2738)),IFERROR(CHOOSE(VALUE(E2738)+1,"A","B","C","D"),IF(OR(LEFT(UPPER(TRIM(E2738)),1)="F",UPPER(TRIM(E2738))="A"),"A",IF(OR(LEFT(UPPER(TRIM(E2738)),1)="M",UPPER(TRIM(E2738))="B"),"B",IF(OR(LEFT(UPPER(TRIM(E2738)),2)="SL",UPPER(TRIM(E2738))="C"),"C",IF(OR(LEFT(UPPER(TRIM(E2738)),1)="D",UPPER(TRIM(E2738))="D"),"D","")))))))</f>
        <v/>
      </c>
      <c r="J2738" s="27" t="str">
        <f aca="false">IF(I2738="","",IF(AND(I2738="D",Settings!$B$6&lt;&gt;"Yes"),"",IFERROR(INDEX(Settings!$C$9:$C$12,MATCH(I2738,Settings!$A$9:$A$12,0)),"")))</f>
        <v/>
      </c>
      <c r="K2738" s="27" t="str">
        <f aca="false">IF(J2738="","",COUNTIF($I$2:I2738,I2738))</f>
        <v/>
      </c>
      <c r="L2738" s="27" t="str">
        <f aca="false">IF(J2738="","",CHOOSE(Q2738+1,"Tue","Wed","Thu","Fri"))</f>
        <v/>
      </c>
      <c r="M2738" s="27" t="str">
        <f aca="false">IF(J2738="","",IF(J2738=1,"Every week",R2738+1&amp;" of "&amp;J2738))</f>
        <v/>
      </c>
      <c r="N2738" s="28" t="str">
        <f aca="false">IF(J2738="","",Settings!$B$4+R2738*7+Q2738)</f>
        <v/>
      </c>
      <c r="O2738" s="28" t="str">
        <f aca="true">IF(J2738="","",N2738+MAX(0,ROUNDUP((TODAY()-N2738)/(J2738*7),0))*J2738*7)</f>
        <v/>
      </c>
      <c r="P2738" s="27" t="str">
        <f aca="false">IF(J2738="","",MOD(K2738-1,J2738*4))</f>
        <v/>
      </c>
      <c r="Q2738" s="27" t="str">
        <f aca="false">IF(J2738="","",MOD(P2738,4))</f>
        <v/>
      </c>
      <c r="R2738" s="27" t="str">
        <f aca="false">IF(J2738="","",INT(P2738/4))</f>
        <v/>
      </c>
      <c r="S2738" s="27" t="str">
        <f aca="false">IF(J2738="","",IF(AND('Daily Count Sheet'!$H$3=Q2738,MOD('Daily Count Sheet'!$I$3,J2738)=R2738),1,""))</f>
        <v/>
      </c>
      <c r="T2738" s="27" t="str">
        <f aca="false">IF(S2738=1,COUNTIF($S$2:S2738,1),"")</f>
        <v/>
      </c>
    </row>
    <row r="2739" customFormat="false" ht="15" hidden="false" customHeight="false" outlineLevel="0" collapsed="false">
      <c r="H2739" s="26"/>
      <c r="I2739" s="27" t="str">
        <f aca="false">IF(A2739="","",IF(H2739&lt;&gt;"",UPPER(TRIM(H2739)),IFERROR(CHOOSE(VALUE(E2739)+1,"A","B","C","D"),IF(OR(LEFT(UPPER(TRIM(E2739)),1)="F",UPPER(TRIM(E2739))="A"),"A",IF(OR(LEFT(UPPER(TRIM(E2739)),1)="M",UPPER(TRIM(E2739))="B"),"B",IF(OR(LEFT(UPPER(TRIM(E2739)),2)="SL",UPPER(TRIM(E2739))="C"),"C",IF(OR(LEFT(UPPER(TRIM(E2739)),1)="D",UPPER(TRIM(E2739))="D"),"D","")))))))</f>
        <v/>
      </c>
      <c r="J2739" s="27" t="str">
        <f aca="false">IF(I2739="","",IF(AND(I2739="D",Settings!$B$6&lt;&gt;"Yes"),"",IFERROR(INDEX(Settings!$C$9:$C$12,MATCH(I2739,Settings!$A$9:$A$12,0)),"")))</f>
        <v/>
      </c>
      <c r="K2739" s="27" t="str">
        <f aca="false">IF(J2739="","",COUNTIF($I$2:I2739,I2739))</f>
        <v/>
      </c>
      <c r="L2739" s="27" t="str">
        <f aca="false">IF(J2739="","",CHOOSE(Q2739+1,"Tue","Wed","Thu","Fri"))</f>
        <v/>
      </c>
      <c r="M2739" s="27" t="str">
        <f aca="false">IF(J2739="","",IF(J2739=1,"Every week",R2739+1&amp;" of "&amp;J2739))</f>
        <v/>
      </c>
      <c r="N2739" s="28" t="str">
        <f aca="false">IF(J2739="","",Settings!$B$4+R2739*7+Q2739)</f>
        <v/>
      </c>
      <c r="O2739" s="28" t="str">
        <f aca="true">IF(J2739="","",N2739+MAX(0,ROUNDUP((TODAY()-N2739)/(J2739*7),0))*J2739*7)</f>
        <v/>
      </c>
      <c r="P2739" s="27" t="str">
        <f aca="false">IF(J2739="","",MOD(K2739-1,J2739*4))</f>
        <v/>
      </c>
      <c r="Q2739" s="27" t="str">
        <f aca="false">IF(J2739="","",MOD(P2739,4))</f>
        <v/>
      </c>
      <c r="R2739" s="27" t="str">
        <f aca="false">IF(J2739="","",INT(P2739/4))</f>
        <v/>
      </c>
      <c r="S2739" s="27" t="str">
        <f aca="false">IF(J2739="","",IF(AND('Daily Count Sheet'!$H$3=Q2739,MOD('Daily Count Sheet'!$I$3,J2739)=R2739),1,""))</f>
        <v/>
      </c>
      <c r="T2739" s="27" t="str">
        <f aca="false">IF(S2739=1,COUNTIF($S$2:S2739,1),"")</f>
        <v/>
      </c>
    </row>
    <row r="2740" customFormat="false" ht="15" hidden="false" customHeight="false" outlineLevel="0" collapsed="false">
      <c r="H2740" s="26"/>
      <c r="I2740" s="27" t="str">
        <f aca="false">IF(A2740="","",IF(H2740&lt;&gt;"",UPPER(TRIM(H2740)),IFERROR(CHOOSE(VALUE(E2740)+1,"A","B","C","D"),IF(OR(LEFT(UPPER(TRIM(E2740)),1)="F",UPPER(TRIM(E2740))="A"),"A",IF(OR(LEFT(UPPER(TRIM(E2740)),1)="M",UPPER(TRIM(E2740))="B"),"B",IF(OR(LEFT(UPPER(TRIM(E2740)),2)="SL",UPPER(TRIM(E2740))="C"),"C",IF(OR(LEFT(UPPER(TRIM(E2740)),1)="D",UPPER(TRIM(E2740))="D"),"D","")))))))</f>
        <v/>
      </c>
      <c r="J2740" s="27" t="str">
        <f aca="false">IF(I2740="","",IF(AND(I2740="D",Settings!$B$6&lt;&gt;"Yes"),"",IFERROR(INDEX(Settings!$C$9:$C$12,MATCH(I2740,Settings!$A$9:$A$12,0)),"")))</f>
        <v/>
      </c>
      <c r="K2740" s="27" t="str">
        <f aca="false">IF(J2740="","",COUNTIF($I$2:I2740,I2740))</f>
        <v/>
      </c>
      <c r="L2740" s="27" t="str">
        <f aca="false">IF(J2740="","",CHOOSE(Q2740+1,"Tue","Wed","Thu","Fri"))</f>
        <v/>
      </c>
      <c r="M2740" s="27" t="str">
        <f aca="false">IF(J2740="","",IF(J2740=1,"Every week",R2740+1&amp;" of "&amp;J2740))</f>
        <v/>
      </c>
      <c r="N2740" s="28" t="str">
        <f aca="false">IF(J2740="","",Settings!$B$4+R2740*7+Q2740)</f>
        <v/>
      </c>
      <c r="O2740" s="28" t="str">
        <f aca="true">IF(J2740="","",N2740+MAX(0,ROUNDUP((TODAY()-N2740)/(J2740*7),0))*J2740*7)</f>
        <v/>
      </c>
      <c r="P2740" s="27" t="str">
        <f aca="false">IF(J2740="","",MOD(K2740-1,J2740*4))</f>
        <v/>
      </c>
      <c r="Q2740" s="27" t="str">
        <f aca="false">IF(J2740="","",MOD(P2740,4))</f>
        <v/>
      </c>
      <c r="R2740" s="27" t="str">
        <f aca="false">IF(J2740="","",INT(P2740/4))</f>
        <v/>
      </c>
      <c r="S2740" s="27" t="str">
        <f aca="false">IF(J2740="","",IF(AND('Daily Count Sheet'!$H$3=Q2740,MOD('Daily Count Sheet'!$I$3,J2740)=R2740),1,""))</f>
        <v/>
      </c>
      <c r="T2740" s="27" t="str">
        <f aca="false">IF(S2740=1,COUNTIF($S$2:S2740,1),"")</f>
        <v/>
      </c>
    </row>
    <row r="2741" customFormat="false" ht="15" hidden="false" customHeight="false" outlineLevel="0" collapsed="false">
      <c r="H2741" s="26"/>
      <c r="I2741" s="27" t="str">
        <f aca="false">IF(A2741="","",IF(H2741&lt;&gt;"",UPPER(TRIM(H2741)),IFERROR(CHOOSE(VALUE(E2741)+1,"A","B","C","D"),IF(OR(LEFT(UPPER(TRIM(E2741)),1)="F",UPPER(TRIM(E2741))="A"),"A",IF(OR(LEFT(UPPER(TRIM(E2741)),1)="M",UPPER(TRIM(E2741))="B"),"B",IF(OR(LEFT(UPPER(TRIM(E2741)),2)="SL",UPPER(TRIM(E2741))="C"),"C",IF(OR(LEFT(UPPER(TRIM(E2741)),1)="D",UPPER(TRIM(E2741))="D"),"D","")))))))</f>
        <v/>
      </c>
      <c r="J2741" s="27" t="str">
        <f aca="false">IF(I2741="","",IF(AND(I2741="D",Settings!$B$6&lt;&gt;"Yes"),"",IFERROR(INDEX(Settings!$C$9:$C$12,MATCH(I2741,Settings!$A$9:$A$12,0)),"")))</f>
        <v/>
      </c>
      <c r="K2741" s="27" t="str">
        <f aca="false">IF(J2741="","",COUNTIF($I$2:I2741,I2741))</f>
        <v/>
      </c>
      <c r="L2741" s="27" t="str">
        <f aca="false">IF(J2741="","",CHOOSE(Q2741+1,"Tue","Wed","Thu","Fri"))</f>
        <v/>
      </c>
      <c r="M2741" s="27" t="str">
        <f aca="false">IF(J2741="","",IF(J2741=1,"Every week",R2741+1&amp;" of "&amp;J2741))</f>
        <v/>
      </c>
      <c r="N2741" s="28" t="str">
        <f aca="false">IF(J2741="","",Settings!$B$4+R2741*7+Q2741)</f>
        <v/>
      </c>
      <c r="O2741" s="28" t="str">
        <f aca="true">IF(J2741="","",N2741+MAX(0,ROUNDUP((TODAY()-N2741)/(J2741*7),0))*J2741*7)</f>
        <v/>
      </c>
      <c r="P2741" s="27" t="str">
        <f aca="false">IF(J2741="","",MOD(K2741-1,J2741*4))</f>
        <v/>
      </c>
      <c r="Q2741" s="27" t="str">
        <f aca="false">IF(J2741="","",MOD(P2741,4))</f>
        <v/>
      </c>
      <c r="R2741" s="27" t="str">
        <f aca="false">IF(J2741="","",INT(P2741/4))</f>
        <v/>
      </c>
      <c r="S2741" s="27" t="str">
        <f aca="false">IF(J2741="","",IF(AND('Daily Count Sheet'!$H$3=Q2741,MOD('Daily Count Sheet'!$I$3,J2741)=R2741),1,""))</f>
        <v/>
      </c>
      <c r="T2741" s="27" t="str">
        <f aca="false">IF(S2741=1,COUNTIF($S$2:S2741,1),"")</f>
        <v/>
      </c>
    </row>
    <row r="2742" customFormat="false" ht="15" hidden="false" customHeight="false" outlineLevel="0" collapsed="false">
      <c r="H2742" s="26"/>
      <c r="I2742" s="27" t="str">
        <f aca="false">IF(A2742="","",IF(H2742&lt;&gt;"",UPPER(TRIM(H2742)),IFERROR(CHOOSE(VALUE(E2742)+1,"A","B","C","D"),IF(OR(LEFT(UPPER(TRIM(E2742)),1)="F",UPPER(TRIM(E2742))="A"),"A",IF(OR(LEFT(UPPER(TRIM(E2742)),1)="M",UPPER(TRIM(E2742))="B"),"B",IF(OR(LEFT(UPPER(TRIM(E2742)),2)="SL",UPPER(TRIM(E2742))="C"),"C",IF(OR(LEFT(UPPER(TRIM(E2742)),1)="D",UPPER(TRIM(E2742))="D"),"D","")))))))</f>
        <v/>
      </c>
      <c r="J2742" s="27" t="str">
        <f aca="false">IF(I2742="","",IF(AND(I2742="D",Settings!$B$6&lt;&gt;"Yes"),"",IFERROR(INDEX(Settings!$C$9:$C$12,MATCH(I2742,Settings!$A$9:$A$12,0)),"")))</f>
        <v/>
      </c>
      <c r="K2742" s="27" t="str">
        <f aca="false">IF(J2742="","",COUNTIF($I$2:I2742,I2742))</f>
        <v/>
      </c>
      <c r="L2742" s="27" t="str">
        <f aca="false">IF(J2742="","",CHOOSE(Q2742+1,"Tue","Wed","Thu","Fri"))</f>
        <v/>
      </c>
      <c r="M2742" s="27" t="str">
        <f aca="false">IF(J2742="","",IF(J2742=1,"Every week",R2742+1&amp;" of "&amp;J2742))</f>
        <v/>
      </c>
      <c r="N2742" s="28" t="str">
        <f aca="false">IF(J2742="","",Settings!$B$4+R2742*7+Q2742)</f>
        <v/>
      </c>
      <c r="O2742" s="28" t="str">
        <f aca="true">IF(J2742="","",N2742+MAX(0,ROUNDUP((TODAY()-N2742)/(J2742*7),0))*J2742*7)</f>
        <v/>
      </c>
      <c r="P2742" s="27" t="str">
        <f aca="false">IF(J2742="","",MOD(K2742-1,J2742*4))</f>
        <v/>
      </c>
      <c r="Q2742" s="27" t="str">
        <f aca="false">IF(J2742="","",MOD(P2742,4))</f>
        <v/>
      </c>
      <c r="R2742" s="27" t="str">
        <f aca="false">IF(J2742="","",INT(P2742/4))</f>
        <v/>
      </c>
      <c r="S2742" s="27" t="str">
        <f aca="false">IF(J2742="","",IF(AND('Daily Count Sheet'!$H$3=Q2742,MOD('Daily Count Sheet'!$I$3,J2742)=R2742),1,""))</f>
        <v/>
      </c>
      <c r="T2742" s="27" t="str">
        <f aca="false">IF(S2742=1,COUNTIF($S$2:S2742,1),"")</f>
        <v/>
      </c>
    </row>
    <row r="2743" customFormat="false" ht="15" hidden="false" customHeight="false" outlineLevel="0" collapsed="false">
      <c r="H2743" s="26"/>
      <c r="I2743" s="27" t="str">
        <f aca="false">IF(A2743="","",IF(H2743&lt;&gt;"",UPPER(TRIM(H2743)),IFERROR(CHOOSE(VALUE(E2743)+1,"A","B","C","D"),IF(OR(LEFT(UPPER(TRIM(E2743)),1)="F",UPPER(TRIM(E2743))="A"),"A",IF(OR(LEFT(UPPER(TRIM(E2743)),1)="M",UPPER(TRIM(E2743))="B"),"B",IF(OR(LEFT(UPPER(TRIM(E2743)),2)="SL",UPPER(TRIM(E2743))="C"),"C",IF(OR(LEFT(UPPER(TRIM(E2743)),1)="D",UPPER(TRIM(E2743))="D"),"D","")))))))</f>
        <v/>
      </c>
      <c r="J2743" s="27" t="str">
        <f aca="false">IF(I2743="","",IF(AND(I2743="D",Settings!$B$6&lt;&gt;"Yes"),"",IFERROR(INDEX(Settings!$C$9:$C$12,MATCH(I2743,Settings!$A$9:$A$12,0)),"")))</f>
        <v/>
      </c>
      <c r="K2743" s="27" t="str">
        <f aca="false">IF(J2743="","",COUNTIF($I$2:I2743,I2743))</f>
        <v/>
      </c>
      <c r="L2743" s="27" t="str">
        <f aca="false">IF(J2743="","",CHOOSE(Q2743+1,"Tue","Wed","Thu","Fri"))</f>
        <v/>
      </c>
      <c r="M2743" s="27" t="str">
        <f aca="false">IF(J2743="","",IF(J2743=1,"Every week",R2743+1&amp;" of "&amp;J2743))</f>
        <v/>
      </c>
      <c r="N2743" s="28" t="str">
        <f aca="false">IF(J2743="","",Settings!$B$4+R2743*7+Q2743)</f>
        <v/>
      </c>
      <c r="O2743" s="28" t="str">
        <f aca="true">IF(J2743="","",N2743+MAX(0,ROUNDUP((TODAY()-N2743)/(J2743*7),0))*J2743*7)</f>
        <v/>
      </c>
      <c r="P2743" s="27" t="str">
        <f aca="false">IF(J2743="","",MOD(K2743-1,J2743*4))</f>
        <v/>
      </c>
      <c r="Q2743" s="27" t="str">
        <f aca="false">IF(J2743="","",MOD(P2743,4))</f>
        <v/>
      </c>
      <c r="R2743" s="27" t="str">
        <f aca="false">IF(J2743="","",INT(P2743/4))</f>
        <v/>
      </c>
      <c r="S2743" s="27" t="str">
        <f aca="false">IF(J2743="","",IF(AND('Daily Count Sheet'!$H$3=Q2743,MOD('Daily Count Sheet'!$I$3,J2743)=R2743),1,""))</f>
        <v/>
      </c>
      <c r="T2743" s="27" t="str">
        <f aca="false">IF(S2743=1,COUNTIF($S$2:S2743,1),"")</f>
        <v/>
      </c>
    </row>
    <row r="2744" customFormat="false" ht="15" hidden="false" customHeight="false" outlineLevel="0" collapsed="false">
      <c r="H2744" s="26"/>
      <c r="I2744" s="27" t="str">
        <f aca="false">IF(A2744="","",IF(H2744&lt;&gt;"",UPPER(TRIM(H2744)),IFERROR(CHOOSE(VALUE(E2744)+1,"A","B","C","D"),IF(OR(LEFT(UPPER(TRIM(E2744)),1)="F",UPPER(TRIM(E2744))="A"),"A",IF(OR(LEFT(UPPER(TRIM(E2744)),1)="M",UPPER(TRIM(E2744))="B"),"B",IF(OR(LEFT(UPPER(TRIM(E2744)),2)="SL",UPPER(TRIM(E2744))="C"),"C",IF(OR(LEFT(UPPER(TRIM(E2744)),1)="D",UPPER(TRIM(E2744))="D"),"D","")))))))</f>
        <v/>
      </c>
      <c r="J2744" s="27" t="str">
        <f aca="false">IF(I2744="","",IF(AND(I2744="D",Settings!$B$6&lt;&gt;"Yes"),"",IFERROR(INDEX(Settings!$C$9:$C$12,MATCH(I2744,Settings!$A$9:$A$12,0)),"")))</f>
        <v/>
      </c>
      <c r="K2744" s="27" t="str">
        <f aca="false">IF(J2744="","",COUNTIF($I$2:I2744,I2744))</f>
        <v/>
      </c>
      <c r="L2744" s="27" t="str">
        <f aca="false">IF(J2744="","",CHOOSE(Q2744+1,"Tue","Wed","Thu","Fri"))</f>
        <v/>
      </c>
      <c r="M2744" s="27" t="str">
        <f aca="false">IF(J2744="","",IF(J2744=1,"Every week",R2744+1&amp;" of "&amp;J2744))</f>
        <v/>
      </c>
      <c r="N2744" s="28" t="str">
        <f aca="false">IF(J2744="","",Settings!$B$4+R2744*7+Q2744)</f>
        <v/>
      </c>
      <c r="O2744" s="28" t="str">
        <f aca="true">IF(J2744="","",N2744+MAX(0,ROUNDUP((TODAY()-N2744)/(J2744*7),0))*J2744*7)</f>
        <v/>
      </c>
      <c r="P2744" s="27" t="str">
        <f aca="false">IF(J2744="","",MOD(K2744-1,J2744*4))</f>
        <v/>
      </c>
      <c r="Q2744" s="27" t="str">
        <f aca="false">IF(J2744="","",MOD(P2744,4))</f>
        <v/>
      </c>
      <c r="R2744" s="27" t="str">
        <f aca="false">IF(J2744="","",INT(P2744/4))</f>
        <v/>
      </c>
      <c r="S2744" s="27" t="str">
        <f aca="false">IF(J2744="","",IF(AND('Daily Count Sheet'!$H$3=Q2744,MOD('Daily Count Sheet'!$I$3,J2744)=R2744),1,""))</f>
        <v/>
      </c>
      <c r="T2744" s="27" t="str">
        <f aca="false">IF(S2744=1,COUNTIF($S$2:S2744,1),"")</f>
        <v/>
      </c>
    </row>
    <row r="2745" customFormat="false" ht="15" hidden="false" customHeight="false" outlineLevel="0" collapsed="false">
      <c r="H2745" s="26"/>
      <c r="I2745" s="27" t="str">
        <f aca="false">IF(A2745="","",IF(H2745&lt;&gt;"",UPPER(TRIM(H2745)),IFERROR(CHOOSE(VALUE(E2745)+1,"A","B","C","D"),IF(OR(LEFT(UPPER(TRIM(E2745)),1)="F",UPPER(TRIM(E2745))="A"),"A",IF(OR(LEFT(UPPER(TRIM(E2745)),1)="M",UPPER(TRIM(E2745))="B"),"B",IF(OR(LEFT(UPPER(TRIM(E2745)),2)="SL",UPPER(TRIM(E2745))="C"),"C",IF(OR(LEFT(UPPER(TRIM(E2745)),1)="D",UPPER(TRIM(E2745))="D"),"D","")))))))</f>
        <v/>
      </c>
      <c r="J2745" s="27" t="str">
        <f aca="false">IF(I2745="","",IF(AND(I2745="D",Settings!$B$6&lt;&gt;"Yes"),"",IFERROR(INDEX(Settings!$C$9:$C$12,MATCH(I2745,Settings!$A$9:$A$12,0)),"")))</f>
        <v/>
      </c>
      <c r="K2745" s="27" t="str">
        <f aca="false">IF(J2745="","",COUNTIF($I$2:I2745,I2745))</f>
        <v/>
      </c>
      <c r="L2745" s="27" t="str">
        <f aca="false">IF(J2745="","",CHOOSE(Q2745+1,"Tue","Wed","Thu","Fri"))</f>
        <v/>
      </c>
      <c r="M2745" s="27" t="str">
        <f aca="false">IF(J2745="","",IF(J2745=1,"Every week",R2745+1&amp;" of "&amp;J2745))</f>
        <v/>
      </c>
      <c r="N2745" s="28" t="str">
        <f aca="false">IF(J2745="","",Settings!$B$4+R2745*7+Q2745)</f>
        <v/>
      </c>
      <c r="O2745" s="28" t="str">
        <f aca="true">IF(J2745="","",N2745+MAX(0,ROUNDUP((TODAY()-N2745)/(J2745*7),0))*J2745*7)</f>
        <v/>
      </c>
      <c r="P2745" s="27" t="str">
        <f aca="false">IF(J2745="","",MOD(K2745-1,J2745*4))</f>
        <v/>
      </c>
      <c r="Q2745" s="27" t="str">
        <f aca="false">IF(J2745="","",MOD(P2745,4))</f>
        <v/>
      </c>
      <c r="R2745" s="27" t="str">
        <f aca="false">IF(J2745="","",INT(P2745/4))</f>
        <v/>
      </c>
      <c r="S2745" s="27" t="str">
        <f aca="false">IF(J2745="","",IF(AND('Daily Count Sheet'!$H$3=Q2745,MOD('Daily Count Sheet'!$I$3,J2745)=R2745),1,""))</f>
        <v/>
      </c>
      <c r="T2745" s="27" t="str">
        <f aca="false">IF(S2745=1,COUNTIF($S$2:S2745,1),"")</f>
        <v/>
      </c>
    </row>
    <row r="2746" customFormat="false" ht="15" hidden="false" customHeight="false" outlineLevel="0" collapsed="false">
      <c r="H2746" s="26"/>
      <c r="I2746" s="27" t="str">
        <f aca="false">IF(A2746="","",IF(H2746&lt;&gt;"",UPPER(TRIM(H2746)),IFERROR(CHOOSE(VALUE(E2746)+1,"A","B","C","D"),IF(OR(LEFT(UPPER(TRIM(E2746)),1)="F",UPPER(TRIM(E2746))="A"),"A",IF(OR(LEFT(UPPER(TRIM(E2746)),1)="M",UPPER(TRIM(E2746))="B"),"B",IF(OR(LEFT(UPPER(TRIM(E2746)),2)="SL",UPPER(TRIM(E2746))="C"),"C",IF(OR(LEFT(UPPER(TRIM(E2746)),1)="D",UPPER(TRIM(E2746))="D"),"D","")))))))</f>
        <v/>
      </c>
      <c r="J2746" s="27" t="str">
        <f aca="false">IF(I2746="","",IF(AND(I2746="D",Settings!$B$6&lt;&gt;"Yes"),"",IFERROR(INDEX(Settings!$C$9:$C$12,MATCH(I2746,Settings!$A$9:$A$12,0)),"")))</f>
        <v/>
      </c>
      <c r="K2746" s="27" t="str">
        <f aca="false">IF(J2746="","",COUNTIF($I$2:I2746,I2746))</f>
        <v/>
      </c>
      <c r="L2746" s="27" t="str">
        <f aca="false">IF(J2746="","",CHOOSE(Q2746+1,"Tue","Wed","Thu","Fri"))</f>
        <v/>
      </c>
      <c r="M2746" s="27" t="str">
        <f aca="false">IF(J2746="","",IF(J2746=1,"Every week",R2746+1&amp;" of "&amp;J2746))</f>
        <v/>
      </c>
      <c r="N2746" s="28" t="str">
        <f aca="false">IF(J2746="","",Settings!$B$4+R2746*7+Q2746)</f>
        <v/>
      </c>
      <c r="O2746" s="28" t="str">
        <f aca="true">IF(J2746="","",N2746+MAX(0,ROUNDUP((TODAY()-N2746)/(J2746*7),0))*J2746*7)</f>
        <v/>
      </c>
      <c r="P2746" s="27" t="str">
        <f aca="false">IF(J2746="","",MOD(K2746-1,J2746*4))</f>
        <v/>
      </c>
      <c r="Q2746" s="27" t="str">
        <f aca="false">IF(J2746="","",MOD(P2746,4))</f>
        <v/>
      </c>
      <c r="R2746" s="27" t="str">
        <f aca="false">IF(J2746="","",INT(P2746/4))</f>
        <v/>
      </c>
      <c r="S2746" s="27" t="str">
        <f aca="false">IF(J2746="","",IF(AND('Daily Count Sheet'!$H$3=Q2746,MOD('Daily Count Sheet'!$I$3,J2746)=R2746),1,""))</f>
        <v/>
      </c>
      <c r="T2746" s="27" t="str">
        <f aca="false">IF(S2746=1,COUNTIF($S$2:S2746,1),"")</f>
        <v/>
      </c>
    </row>
    <row r="2747" customFormat="false" ht="15" hidden="false" customHeight="false" outlineLevel="0" collapsed="false">
      <c r="H2747" s="26"/>
      <c r="I2747" s="27" t="str">
        <f aca="false">IF(A2747="","",IF(H2747&lt;&gt;"",UPPER(TRIM(H2747)),IFERROR(CHOOSE(VALUE(E2747)+1,"A","B","C","D"),IF(OR(LEFT(UPPER(TRIM(E2747)),1)="F",UPPER(TRIM(E2747))="A"),"A",IF(OR(LEFT(UPPER(TRIM(E2747)),1)="M",UPPER(TRIM(E2747))="B"),"B",IF(OR(LEFT(UPPER(TRIM(E2747)),2)="SL",UPPER(TRIM(E2747))="C"),"C",IF(OR(LEFT(UPPER(TRIM(E2747)),1)="D",UPPER(TRIM(E2747))="D"),"D","")))))))</f>
        <v/>
      </c>
      <c r="J2747" s="27" t="str">
        <f aca="false">IF(I2747="","",IF(AND(I2747="D",Settings!$B$6&lt;&gt;"Yes"),"",IFERROR(INDEX(Settings!$C$9:$C$12,MATCH(I2747,Settings!$A$9:$A$12,0)),"")))</f>
        <v/>
      </c>
      <c r="K2747" s="27" t="str">
        <f aca="false">IF(J2747="","",COUNTIF($I$2:I2747,I2747))</f>
        <v/>
      </c>
      <c r="L2747" s="27" t="str">
        <f aca="false">IF(J2747="","",CHOOSE(Q2747+1,"Tue","Wed","Thu","Fri"))</f>
        <v/>
      </c>
      <c r="M2747" s="27" t="str">
        <f aca="false">IF(J2747="","",IF(J2747=1,"Every week",R2747+1&amp;" of "&amp;J2747))</f>
        <v/>
      </c>
      <c r="N2747" s="28" t="str">
        <f aca="false">IF(J2747="","",Settings!$B$4+R2747*7+Q2747)</f>
        <v/>
      </c>
      <c r="O2747" s="28" t="str">
        <f aca="true">IF(J2747="","",N2747+MAX(0,ROUNDUP((TODAY()-N2747)/(J2747*7),0))*J2747*7)</f>
        <v/>
      </c>
      <c r="P2747" s="27" t="str">
        <f aca="false">IF(J2747="","",MOD(K2747-1,J2747*4))</f>
        <v/>
      </c>
      <c r="Q2747" s="27" t="str">
        <f aca="false">IF(J2747="","",MOD(P2747,4))</f>
        <v/>
      </c>
      <c r="R2747" s="27" t="str">
        <f aca="false">IF(J2747="","",INT(P2747/4))</f>
        <v/>
      </c>
      <c r="S2747" s="27" t="str">
        <f aca="false">IF(J2747="","",IF(AND('Daily Count Sheet'!$H$3=Q2747,MOD('Daily Count Sheet'!$I$3,J2747)=R2747),1,""))</f>
        <v/>
      </c>
      <c r="T2747" s="27" t="str">
        <f aca="false">IF(S2747=1,COUNTIF($S$2:S2747,1),"")</f>
        <v/>
      </c>
    </row>
    <row r="2748" customFormat="false" ht="15" hidden="false" customHeight="false" outlineLevel="0" collapsed="false">
      <c r="H2748" s="26"/>
      <c r="I2748" s="27" t="str">
        <f aca="false">IF(A2748="","",IF(H2748&lt;&gt;"",UPPER(TRIM(H2748)),IFERROR(CHOOSE(VALUE(E2748)+1,"A","B","C","D"),IF(OR(LEFT(UPPER(TRIM(E2748)),1)="F",UPPER(TRIM(E2748))="A"),"A",IF(OR(LEFT(UPPER(TRIM(E2748)),1)="M",UPPER(TRIM(E2748))="B"),"B",IF(OR(LEFT(UPPER(TRIM(E2748)),2)="SL",UPPER(TRIM(E2748))="C"),"C",IF(OR(LEFT(UPPER(TRIM(E2748)),1)="D",UPPER(TRIM(E2748))="D"),"D","")))))))</f>
        <v/>
      </c>
      <c r="J2748" s="27" t="str">
        <f aca="false">IF(I2748="","",IF(AND(I2748="D",Settings!$B$6&lt;&gt;"Yes"),"",IFERROR(INDEX(Settings!$C$9:$C$12,MATCH(I2748,Settings!$A$9:$A$12,0)),"")))</f>
        <v/>
      </c>
      <c r="K2748" s="27" t="str">
        <f aca="false">IF(J2748="","",COUNTIF($I$2:I2748,I2748))</f>
        <v/>
      </c>
      <c r="L2748" s="27" t="str">
        <f aca="false">IF(J2748="","",CHOOSE(Q2748+1,"Tue","Wed","Thu","Fri"))</f>
        <v/>
      </c>
      <c r="M2748" s="27" t="str">
        <f aca="false">IF(J2748="","",IF(J2748=1,"Every week",R2748+1&amp;" of "&amp;J2748))</f>
        <v/>
      </c>
      <c r="N2748" s="28" t="str">
        <f aca="false">IF(J2748="","",Settings!$B$4+R2748*7+Q2748)</f>
        <v/>
      </c>
      <c r="O2748" s="28" t="str">
        <f aca="true">IF(J2748="","",N2748+MAX(0,ROUNDUP((TODAY()-N2748)/(J2748*7),0))*J2748*7)</f>
        <v/>
      </c>
      <c r="P2748" s="27" t="str">
        <f aca="false">IF(J2748="","",MOD(K2748-1,J2748*4))</f>
        <v/>
      </c>
      <c r="Q2748" s="27" t="str">
        <f aca="false">IF(J2748="","",MOD(P2748,4))</f>
        <v/>
      </c>
      <c r="R2748" s="27" t="str">
        <f aca="false">IF(J2748="","",INT(P2748/4))</f>
        <v/>
      </c>
      <c r="S2748" s="27" t="str">
        <f aca="false">IF(J2748="","",IF(AND('Daily Count Sheet'!$H$3=Q2748,MOD('Daily Count Sheet'!$I$3,J2748)=R2748),1,""))</f>
        <v/>
      </c>
      <c r="T2748" s="27" t="str">
        <f aca="false">IF(S2748=1,COUNTIF($S$2:S2748,1),"")</f>
        <v/>
      </c>
    </row>
    <row r="2749" customFormat="false" ht="15" hidden="false" customHeight="false" outlineLevel="0" collapsed="false">
      <c r="H2749" s="26"/>
      <c r="I2749" s="27" t="str">
        <f aca="false">IF(A2749="","",IF(H2749&lt;&gt;"",UPPER(TRIM(H2749)),IFERROR(CHOOSE(VALUE(E2749)+1,"A","B","C","D"),IF(OR(LEFT(UPPER(TRIM(E2749)),1)="F",UPPER(TRIM(E2749))="A"),"A",IF(OR(LEFT(UPPER(TRIM(E2749)),1)="M",UPPER(TRIM(E2749))="B"),"B",IF(OR(LEFT(UPPER(TRIM(E2749)),2)="SL",UPPER(TRIM(E2749))="C"),"C",IF(OR(LEFT(UPPER(TRIM(E2749)),1)="D",UPPER(TRIM(E2749))="D"),"D","")))))))</f>
        <v/>
      </c>
      <c r="J2749" s="27" t="str">
        <f aca="false">IF(I2749="","",IF(AND(I2749="D",Settings!$B$6&lt;&gt;"Yes"),"",IFERROR(INDEX(Settings!$C$9:$C$12,MATCH(I2749,Settings!$A$9:$A$12,0)),"")))</f>
        <v/>
      </c>
      <c r="K2749" s="27" t="str">
        <f aca="false">IF(J2749="","",COUNTIF($I$2:I2749,I2749))</f>
        <v/>
      </c>
      <c r="L2749" s="27" t="str">
        <f aca="false">IF(J2749="","",CHOOSE(Q2749+1,"Tue","Wed","Thu","Fri"))</f>
        <v/>
      </c>
      <c r="M2749" s="27" t="str">
        <f aca="false">IF(J2749="","",IF(J2749=1,"Every week",R2749+1&amp;" of "&amp;J2749))</f>
        <v/>
      </c>
      <c r="N2749" s="28" t="str">
        <f aca="false">IF(J2749="","",Settings!$B$4+R2749*7+Q2749)</f>
        <v/>
      </c>
      <c r="O2749" s="28" t="str">
        <f aca="true">IF(J2749="","",N2749+MAX(0,ROUNDUP((TODAY()-N2749)/(J2749*7),0))*J2749*7)</f>
        <v/>
      </c>
      <c r="P2749" s="27" t="str">
        <f aca="false">IF(J2749="","",MOD(K2749-1,J2749*4))</f>
        <v/>
      </c>
      <c r="Q2749" s="27" t="str">
        <f aca="false">IF(J2749="","",MOD(P2749,4))</f>
        <v/>
      </c>
      <c r="R2749" s="27" t="str">
        <f aca="false">IF(J2749="","",INT(P2749/4))</f>
        <v/>
      </c>
      <c r="S2749" s="27" t="str">
        <f aca="false">IF(J2749="","",IF(AND('Daily Count Sheet'!$H$3=Q2749,MOD('Daily Count Sheet'!$I$3,J2749)=R2749),1,""))</f>
        <v/>
      </c>
      <c r="T2749" s="27" t="str">
        <f aca="false">IF(S2749=1,COUNTIF($S$2:S2749,1),"")</f>
        <v/>
      </c>
    </row>
    <row r="2750" customFormat="false" ht="15" hidden="false" customHeight="false" outlineLevel="0" collapsed="false">
      <c r="H2750" s="26"/>
      <c r="I2750" s="27" t="str">
        <f aca="false">IF(A2750="","",IF(H2750&lt;&gt;"",UPPER(TRIM(H2750)),IFERROR(CHOOSE(VALUE(E2750)+1,"A","B","C","D"),IF(OR(LEFT(UPPER(TRIM(E2750)),1)="F",UPPER(TRIM(E2750))="A"),"A",IF(OR(LEFT(UPPER(TRIM(E2750)),1)="M",UPPER(TRIM(E2750))="B"),"B",IF(OR(LEFT(UPPER(TRIM(E2750)),2)="SL",UPPER(TRIM(E2750))="C"),"C",IF(OR(LEFT(UPPER(TRIM(E2750)),1)="D",UPPER(TRIM(E2750))="D"),"D","")))))))</f>
        <v/>
      </c>
      <c r="J2750" s="27" t="str">
        <f aca="false">IF(I2750="","",IF(AND(I2750="D",Settings!$B$6&lt;&gt;"Yes"),"",IFERROR(INDEX(Settings!$C$9:$C$12,MATCH(I2750,Settings!$A$9:$A$12,0)),"")))</f>
        <v/>
      </c>
      <c r="K2750" s="27" t="str">
        <f aca="false">IF(J2750="","",COUNTIF($I$2:I2750,I2750))</f>
        <v/>
      </c>
      <c r="L2750" s="27" t="str">
        <f aca="false">IF(J2750="","",CHOOSE(Q2750+1,"Tue","Wed","Thu","Fri"))</f>
        <v/>
      </c>
      <c r="M2750" s="27" t="str">
        <f aca="false">IF(J2750="","",IF(J2750=1,"Every week",R2750+1&amp;" of "&amp;J2750))</f>
        <v/>
      </c>
      <c r="N2750" s="28" t="str">
        <f aca="false">IF(J2750="","",Settings!$B$4+R2750*7+Q2750)</f>
        <v/>
      </c>
      <c r="O2750" s="28" t="str">
        <f aca="true">IF(J2750="","",N2750+MAX(0,ROUNDUP((TODAY()-N2750)/(J2750*7),0))*J2750*7)</f>
        <v/>
      </c>
      <c r="P2750" s="27" t="str">
        <f aca="false">IF(J2750="","",MOD(K2750-1,J2750*4))</f>
        <v/>
      </c>
      <c r="Q2750" s="27" t="str">
        <f aca="false">IF(J2750="","",MOD(P2750,4))</f>
        <v/>
      </c>
      <c r="R2750" s="27" t="str">
        <f aca="false">IF(J2750="","",INT(P2750/4))</f>
        <v/>
      </c>
      <c r="S2750" s="27" t="str">
        <f aca="false">IF(J2750="","",IF(AND('Daily Count Sheet'!$H$3=Q2750,MOD('Daily Count Sheet'!$I$3,J2750)=R2750),1,""))</f>
        <v/>
      </c>
      <c r="T2750" s="27" t="str">
        <f aca="false">IF(S2750=1,COUNTIF($S$2:S2750,1),"")</f>
        <v/>
      </c>
    </row>
    <row r="2751" customFormat="false" ht="15" hidden="false" customHeight="false" outlineLevel="0" collapsed="false">
      <c r="H2751" s="26"/>
      <c r="I2751" s="27" t="str">
        <f aca="false">IF(A2751="","",IF(H2751&lt;&gt;"",UPPER(TRIM(H2751)),IFERROR(CHOOSE(VALUE(E2751)+1,"A","B","C","D"),IF(OR(LEFT(UPPER(TRIM(E2751)),1)="F",UPPER(TRIM(E2751))="A"),"A",IF(OR(LEFT(UPPER(TRIM(E2751)),1)="M",UPPER(TRIM(E2751))="B"),"B",IF(OR(LEFT(UPPER(TRIM(E2751)),2)="SL",UPPER(TRIM(E2751))="C"),"C",IF(OR(LEFT(UPPER(TRIM(E2751)),1)="D",UPPER(TRIM(E2751))="D"),"D","")))))))</f>
        <v/>
      </c>
      <c r="J2751" s="27" t="str">
        <f aca="false">IF(I2751="","",IF(AND(I2751="D",Settings!$B$6&lt;&gt;"Yes"),"",IFERROR(INDEX(Settings!$C$9:$C$12,MATCH(I2751,Settings!$A$9:$A$12,0)),"")))</f>
        <v/>
      </c>
      <c r="K2751" s="27" t="str">
        <f aca="false">IF(J2751="","",COUNTIF($I$2:I2751,I2751))</f>
        <v/>
      </c>
      <c r="L2751" s="27" t="str">
        <f aca="false">IF(J2751="","",CHOOSE(Q2751+1,"Tue","Wed","Thu","Fri"))</f>
        <v/>
      </c>
      <c r="M2751" s="27" t="str">
        <f aca="false">IF(J2751="","",IF(J2751=1,"Every week",R2751+1&amp;" of "&amp;J2751))</f>
        <v/>
      </c>
      <c r="N2751" s="28" t="str">
        <f aca="false">IF(J2751="","",Settings!$B$4+R2751*7+Q2751)</f>
        <v/>
      </c>
      <c r="O2751" s="28" t="str">
        <f aca="true">IF(J2751="","",N2751+MAX(0,ROUNDUP((TODAY()-N2751)/(J2751*7),0))*J2751*7)</f>
        <v/>
      </c>
      <c r="P2751" s="27" t="str">
        <f aca="false">IF(J2751="","",MOD(K2751-1,J2751*4))</f>
        <v/>
      </c>
      <c r="Q2751" s="27" t="str">
        <f aca="false">IF(J2751="","",MOD(P2751,4))</f>
        <v/>
      </c>
      <c r="R2751" s="27" t="str">
        <f aca="false">IF(J2751="","",INT(P2751/4))</f>
        <v/>
      </c>
      <c r="S2751" s="27" t="str">
        <f aca="false">IF(J2751="","",IF(AND('Daily Count Sheet'!$H$3=Q2751,MOD('Daily Count Sheet'!$I$3,J2751)=R2751),1,""))</f>
        <v/>
      </c>
      <c r="T2751" s="27" t="str">
        <f aca="false">IF(S2751=1,COUNTIF($S$2:S2751,1),"")</f>
        <v/>
      </c>
    </row>
    <row r="2752" customFormat="false" ht="15" hidden="false" customHeight="false" outlineLevel="0" collapsed="false">
      <c r="H2752" s="26"/>
      <c r="I2752" s="27" t="str">
        <f aca="false">IF(A2752="","",IF(H2752&lt;&gt;"",UPPER(TRIM(H2752)),IFERROR(CHOOSE(VALUE(E2752)+1,"A","B","C","D"),IF(OR(LEFT(UPPER(TRIM(E2752)),1)="F",UPPER(TRIM(E2752))="A"),"A",IF(OR(LEFT(UPPER(TRIM(E2752)),1)="M",UPPER(TRIM(E2752))="B"),"B",IF(OR(LEFT(UPPER(TRIM(E2752)),2)="SL",UPPER(TRIM(E2752))="C"),"C",IF(OR(LEFT(UPPER(TRIM(E2752)),1)="D",UPPER(TRIM(E2752))="D"),"D","")))))))</f>
        <v/>
      </c>
      <c r="J2752" s="27" t="str">
        <f aca="false">IF(I2752="","",IF(AND(I2752="D",Settings!$B$6&lt;&gt;"Yes"),"",IFERROR(INDEX(Settings!$C$9:$C$12,MATCH(I2752,Settings!$A$9:$A$12,0)),"")))</f>
        <v/>
      </c>
      <c r="K2752" s="27" t="str">
        <f aca="false">IF(J2752="","",COUNTIF($I$2:I2752,I2752))</f>
        <v/>
      </c>
      <c r="L2752" s="27" t="str">
        <f aca="false">IF(J2752="","",CHOOSE(Q2752+1,"Tue","Wed","Thu","Fri"))</f>
        <v/>
      </c>
      <c r="M2752" s="27" t="str">
        <f aca="false">IF(J2752="","",IF(J2752=1,"Every week",R2752+1&amp;" of "&amp;J2752))</f>
        <v/>
      </c>
      <c r="N2752" s="28" t="str">
        <f aca="false">IF(J2752="","",Settings!$B$4+R2752*7+Q2752)</f>
        <v/>
      </c>
      <c r="O2752" s="28" t="str">
        <f aca="true">IF(J2752="","",N2752+MAX(0,ROUNDUP((TODAY()-N2752)/(J2752*7),0))*J2752*7)</f>
        <v/>
      </c>
      <c r="P2752" s="27" t="str">
        <f aca="false">IF(J2752="","",MOD(K2752-1,J2752*4))</f>
        <v/>
      </c>
      <c r="Q2752" s="27" t="str">
        <f aca="false">IF(J2752="","",MOD(P2752,4))</f>
        <v/>
      </c>
      <c r="R2752" s="27" t="str">
        <f aca="false">IF(J2752="","",INT(P2752/4))</f>
        <v/>
      </c>
      <c r="S2752" s="27" t="str">
        <f aca="false">IF(J2752="","",IF(AND('Daily Count Sheet'!$H$3=Q2752,MOD('Daily Count Sheet'!$I$3,J2752)=R2752),1,""))</f>
        <v/>
      </c>
      <c r="T2752" s="27" t="str">
        <f aca="false">IF(S2752=1,COUNTIF($S$2:S2752,1),"")</f>
        <v/>
      </c>
    </row>
    <row r="2753" customFormat="false" ht="15" hidden="false" customHeight="false" outlineLevel="0" collapsed="false">
      <c r="H2753" s="26"/>
      <c r="I2753" s="27" t="str">
        <f aca="false">IF(A2753="","",IF(H2753&lt;&gt;"",UPPER(TRIM(H2753)),IFERROR(CHOOSE(VALUE(E2753)+1,"A","B","C","D"),IF(OR(LEFT(UPPER(TRIM(E2753)),1)="F",UPPER(TRIM(E2753))="A"),"A",IF(OR(LEFT(UPPER(TRIM(E2753)),1)="M",UPPER(TRIM(E2753))="B"),"B",IF(OR(LEFT(UPPER(TRIM(E2753)),2)="SL",UPPER(TRIM(E2753))="C"),"C",IF(OR(LEFT(UPPER(TRIM(E2753)),1)="D",UPPER(TRIM(E2753))="D"),"D","")))))))</f>
        <v/>
      </c>
      <c r="J2753" s="27" t="str">
        <f aca="false">IF(I2753="","",IF(AND(I2753="D",Settings!$B$6&lt;&gt;"Yes"),"",IFERROR(INDEX(Settings!$C$9:$C$12,MATCH(I2753,Settings!$A$9:$A$12,0)),"")))</f>
        <v/>
      </c>
      <c r="K2753" s="27" t="str">
        <f aca="false">IF(J2753="","",COUNTIF($I$2:I2753,I2753))</f>
        <v/>
      </c>
      <c r="L2753" s="27" t="str">
        <f aca="false">IF(J2753="","",CHOOSE(Q2753+1,"Tue","Wed","Thu","Fri"))</f>
        <v/>
      </c>
      <c r="M2753" s="27" t="str">
        <f aca="false">IF(J2753="","",IF(J2753=1,"Every week",R2753+1&amp;" of "&amp;J2753))</f>
        <v/>
      </c>
      <c r="N2753" s="28" t="str">
        <f aca="false">IF(J2753="","",Settings!$B$4+R2753*7+Q2753)</f>
        <v/>
      </c>
      <c r="O2753" s="28" t="str">
        <f aca="true">IF(J2753="","",N2753+MAX(0,ROUNDUP((TODAY()-N2753)/(J2753*7),0))*J2753*7)</f>
        <v/>
      </c>
      <c r="P2753" s="27" t="str">
        <f aca="false">IF(J2753="","",MOD(K2753-1,J2753*4))</f>
        <v/>
      </c>
      <c r="Q2753" s="27" t="str">
        <f aca="false">IF(J2753="","",MOD(P2753,4))</f>
        <v/>
      </c>
      <c r="R2753" s="27" t="str">
        <f aca="false">IF(J2753="","",INT(P2753/4))</f>
        <v/>
      </c>
      <c r="S2753" s="27" t="str">
        <f aca="false">IF(J2753="","",IF(AND('Daily Count Sheet'!$H$3=Q2753,MOD('Daily Count Sheet'!$I$3,J2753)=R2753),1,""))</f>
        <v/>
      </c>
      <c r="T2753" s="27" t="str">
        <f aca="false">IF(S2753=1,COUNTIF($S$2:S2753,1),"")</f>
        <v/>
      </c>
    </row>
    <row r="2754" customFormat="false" ht="15" hidden="false" customHeight="false" outlineLevel="0" collapsed="false">
      <c r="H2754" s="26"/>
      <c r="I2754" s="27" t="str">
        <f aca="false">IF(A2754="","",IF(H2754&lt;&gt;"",UPPER(TRIM(H2754)),IFERROR(CHOOSE(VALUE(E2754)+1,"A","B","C","D"),IF(OR(LEFT(UPPER(TRIM(E2754)),1)="F",UPPER(TRIM(E2754))="A"),"A",IF(OR(LEFT(UPPER(TRIM(E2754)),1)="M",UPPER(TRIM(E2754))="B"),"B",IF(OR(LEFT(UPPER(TRIM(E2754)),2)="SL",UPPER(TRIM(E2754))="C"),"C",IF(OR(LEFT(UPPER(TRIM(E2754)),1)="D",UPPER(TRIM(E2754))="D"),"D","")))))))</f>
        <v/>
      </c>
      <c r="J2754" s="27" t="str">
        <f aca="false">IF(I2754="","",IF(AND(I2754="D",Settings!$B$6&lt;&gt;"Yes"),"",IFERROR(INDEX(Settings!$C$9:$C$12,MATCH(I2754,Settings!$A$9:$A$12,0)),"")))</f>
        <v/>
      </c>
      <c r="K2754" s="27" t="str">
        <f aca="false">IF(J2754="","",COUNTIF($I$2:I2754,I2754))</f>
        <v/>
      </c>
      <c r="L2754" s="27" t="str">
        <f aca="false">IF(J2754="","",CHOOSE(Q2754+1,"Tue","Wed","Thu","Fri"))</f>
        <v/>
      </c>
      <c r="M2754" s="27" t="str">
        <f aca="false">IF(J2754="","",IF(J2754=1,"Every week",R2754+1&amp;" of "&amp;J2754))</f>
        <v/>
      </c>
      <c r="N2754" s="28" t="str">
        <f aca="false">IF(J2754="","",Settings!$B$4+R2754*7+Q2754)</f>
        <v/>
      </c>
      <c r="O2754" s="28" t="str">
        <f aca="true">IF(J2754="","",N2754+MAX(0,ROUNDUP((TODAY()-N2754)/(J2754*7),0))*J2754*7)</f>
        <v/>
      </c>
      <c r="P2754" s="27" t="str">
        <f aca="false">IF(J2754="","",MOD(K2754-1,J2754*4))</f>
        <v/>
      </c>
      <c r="Q2754" s="27" t="str">
        <f aca="false">IF(J2754="","",MOD(P2754,4))</f>
        <v/>
      </c>
      <c r="R2754" s="27" t="str">
        <f aca="false">IF(J2754="","",INT(P2754/4))</f>
        <v/>
      </c>
      <c r="S2754" s="27" t="str">
        <f aca="false">IF(J2754="","",IF(AND('Daily Count Sheet'!$H$3=Q2754,MOD('Daily Count Sheet'!$I$3,J2754)=R2754),1,""))</f>
        <v/>
      </c>
      <c r="T2754" s="27" t="str">
        <f aca="false">IF(S2754=1,COUNTIF($S$2:S2754,1),"")</f>
        <v/>
      </c>
    </row>
    <row r="2755" customFormat="false" ht="15" hidden="false" customHeight="false" outlineLevel="0" collapsed="false">
      <c r="H2755" s="26"/>
      <c r="I2755" s="27" t="str">
        <f aca="false">IF(A2755="","",IF(H2755&lt;&gt;"",UPPER(TRIM(H2755)),IFERROR(CHOOSE(VALUE(E2755)+1,"A","B","C","D"),IF(OR(LEFT(UPPER(TRIM(E2755)),1)="F",UPPER(TRIM(E2755))="A"),"A",IF(OR(LEFT(UPPER(TRIM(E2755)),1)="M",UPPER(TRIM(E2755))="B"),"B",IF(OR(LEFT(UPPER(TRIM(E2755)),2)="SL",UPPER(TRIM(E2755))="C"),"C",IF(OR(LEFT(UPPER(TRIM(E2755)),1)="D",UPPER(TRIM(E2755))="D"),"D","")))))))</f>
        <v/>
      </c>
      <c r="J2755" s="27" t="str">
        <f aca="false">IF(I2755="","",IF(AND(I2755="D",Settings!$B$6&lt;&gt;"Yes"),"",IFERROR(INDEX(Settings!$C$9:$C$12,MATCH(I2755,Settings!$A$9:$A$12,0)),"")))</f>
        <v/>
      </c>
      <c r="K2755" s="27" t="str">
        <f aca="false">IF(J2755="","",COUNTIF($I$2:I2755,I2755))</f>
        <v/>
      </c>
      <c r="L2755" s="27" t="str">
        <f aca="false">IF(J2755="","",CHOOSE(Q2755+1,"Tue","Wed","Thu","Fri"))</f>
        <v/>
      </c>
      <c r="M2755" s="27" t="str">
        <f aca="false">IF(J2755="","",IF(J2755=1,"Every week",R2755+1&amp;" of "&amp;J2755))</f>
        <v/>
      </c>
      <c r="N2755" s="28" t="str">
        <f aca="false">IF(J2755="","",Settings!$B$4+R2755*7+Q2755)</f>
        <v/>
      </c>
      <c r="O2755" s="28" t="str">
        <f aca="true">IF(J2755="","",N2755+MAX(0,ROUNDUP((TODAY()-N2755)/(J2755*7),0))*J2755*7)</f>
        <v/>
      </c>
      <c r="P2755" s="27" t="str">
        <f aca="false">IF(J2755="","",MOD(K2755-1,J2755*4))</f>
        <v/>
      </c>
      <c r="Q2755" s="27" t="str">
        <f aca="false">IF(J2755="","",MOD(P2755,4))</f>
        <v/>
      </c>
      <c r="R2755" s="27" t="str">
        <f aca="false">IF(J2755="","",INT(P2755/4))</f>
        <v/>
      </c>
      <c r="S2755" s="27" t="str">
        <f aca="false">IF(J2755="","",IF(AND('Daily Count Sheet'!$H$3=Q2755,MOD('Daily Count Sheet'!$I$3,J2755)=R2755),1,""))</f>
        <v/>
      </c>
      <c r="T2755" s="27" t="str">
        <f aca="false">IF(S2755=1,COUNTIF($S$2:S2755,1),"")</f>
        <v/>
      </c>
    </row>
    <row r="2756" customFormat="false" ht="15" hidden="false" customHeight="false" outlineLevel="0" collapsed="false">
      <c r="H2756" s="26"/>
      <c r="I2756" s="27" t="str">
        <f aca="false">IF(A2756="","",IF(H2756&lt;&gt;"",UPPER(TRIM(H2756)),IFERROR(CHOOSE(VALUE(E2756)+1,"A","B","C","D"),IF(OR(LEFT(UPPER(TRIM(E2756)),1)="F",UPPER(TRIM(E2756))="A"),"A",IF(OR(LEFT(UPPER(TRIM(E2756)),1)="M",UPPER(TRIM(E2756))="B"),"B",IF(OR(LEFT(UPPER(TRIM(E2756)),2)="SL",UPPER(TRIM(E2756))="C"),"C",IF(OR(LEFT(UPPER(TRIM(E2756)),1)="D",UPPER(TRIM(E2756))="D"),"D","")))))))</f>
        <v/>
      </c>
      <c r="J2756" s="27" t="str">
        <f aca="false">IF(I2756="","",IF(AND(I2756="D",Settings!$B$6&lt;&gt;"Yes"),"",IFERROR(INDEX(Settings!$C$9:$C$12,MATCH(I2756,Settings!$A$9:$A$12,0)),"")))</f>
        <v/>
      </c>
      <c r="K2756" s="27" t="str">
        <f aca="false">IF(J2756="","",COUNTIF($I$2:I2756,I2756))</f>
        <v/>
      </c>
      <c r="L2756" s="27" t="str">
        <f aca="false">IF(J2756="","",CHOOSE(Q2756+1,"Tue","Wed","Thu","Fri"))</f>
        <v/>
      </c>
      <c r="M2756" s="27" t="str">
        <f aca="false">IF(J2756="","",IF(J2756=1,"Every week",R2756+1&amp;" of "&amp;J2756))</f>
        <v/>
      </c>
      <c r="N2756" s="28" t="str">
        <f aca="false">IF(J2756="","",Settings!$B$4+R2756*7+Q2756)</f>
        <v/>
      </c>
      <c r="O2756" s="28" t="str">
        <f aca="true">IF(J2756="","",N2756+MAX(0,ROUNDUP((TODAY()-N2756)/(J2756*7),0))*J2756*7)</f>
        <v/>
      </c>
      <c r="P2756" s="27" t="str">
        <f aca="false">IF(J2756="","",MOD(K2756-1,J2756*4))</f>
        <v/>
      </c>
      <c r="Q2756" s="27" t="str">
        <f aca="false">IF(J2756="","",MOD(P2756,4))</f>
        <v/>
      </c>
      <c r="R2756" s="27" t="str">
        <f aca="false">IF(J2756="","",INT(P2756/4))</f>
        <v/>
      </c>
      <c r="S2756" s="27" t="str">
        <f aca="false">IF(J2756="","",IF(AND('Daily Count Sheet'!$H$3=Q2756,MOD('Daily Count Sheet'!$I$3,J2756)=R2756),1,""))</f>
        <v/>
      </c>
      <c r="T2756" s="27" t="str">
        <f aca="false">IF(S2756=1,COUNTIF($S$2:S2756,1),"")</f>
        <v/>
      </c>
    </row>
    <row r="2757" customFormat="false" ht="15" hidden="false" customHeight="false" outlineLevel="0" collapsed="false">
      <c r="H2757" s="26"/>
      <c r="I2757" s="27" t="str">
        <f aca="false">IF(A2757="","",IF(H2757&lt;&gt;"",UPPER(TRIM(H2757)),IFERROR(CHOOSE(VALUE(E2757)+1,"A","B","C","D"),IF(OR(LEFT(UPPER(TRIM(E2757)),1)="F",UPPER(TRIM(E2757))="A"),"A",IF(OR(LEFT(UPPER(TRIM(E2757)),1)="M",UPPER(TRIM(E2757))="B"),"B",IF(OR(LEFT(UPPER(TRIM(E2757)),2)="SL",UPPER(TRIM(E2757))="C"),"C",IF(OR(LEFT(UPPER(TRIM(E2757)),1)="D",UPPER(TRIM(E2757))="D"),"D","")))))))</f>
        <v/>
      </c>
      <c r="J2757" s="27" t="str">
        <f aca="false">IF(I2757="","",IF(AND(I2757="D",Settings!$B$6&lt;&gt;"Yes"),"",IFERROR(INDEX(Settings!$C$9:$C$12,MATCH(I2757,Settings!$A$9:$A$12,0)),"")))</f>
        <v/>
      </c>
      <c r="K2757" s="27" t="str">
        <f aca="false">IF(J2757="","",COUNTIF($I$2:I2757,I2757))</f>
        <v/>
      </c>
      <c r="L2757" s="27" t="str">
        <f aca="false">IF(J2757="","",CHOOSE(Q2757+1,"Tue","Wed","Thu","Fri"))</f>
        <v/>
      </c>
      <c r="M2757" s="27" t="str">
        <f aca="false">IF(J2757="","",IF(J2757=1,"Every week",R2757+1&amp;" of "&amp;J2757))</f>
        <v/>
      </c>
      <c r="N2757" s="28" t="str">
        <f aca="false">IF(J2757="","",Settings!$B$4+R2757*7+Q2757)</f>
        <v/>
      </c>
      <c r="O2757" s="28" t="str">
        <f aca="true">IF(J2757="","",N2757+MAX(0,ROUNDUP((TODAY()-N2757)/(J2757*7),0))*J2757*7)</f>
        <v/>
      </c>
      <c r="P2757" s="27" t="str">
        <f aca="false">IF(J2757="","",MOD(K2757-1,J2757*4))</f>
        <v/>
      </c>
      <c r="Q2757" s="27" t="str">
        <f aca="false">IF(J2757="","",MOD(P2757,4))</f>
        <v/>
      </c>
      <c r="R2757" s="27" t="str">
        <f aca="false">IF(J2757="","",INT(P2757/4))</f>
        <v/>
      </c>
      <c r="S2757" s="27" t="str">
        <f aca="false">IF(J2757="","",IF(AND('Daily Count Sheet'!$H$3=Q2757,MOD('Daily Count Sheet'!$I$3,J2757)=R2757),1,""))</f>
        <v/>
      </c>
      <c r="T2757" s="27" t="str">
        <f aca="false">IF(S2757=1,COUNTIF($S$2:S2757,1),"")</f>
        <v/>
      </c>
    </row>
    <row r="2758" customFormat="false" ht="15" hidden="false" customHeight="false" outlineLevel="0" collapsed="false">
      <c r="H2758" s="26"/>
      <c r="I2758" s="27" t="str">
        <f aca="false">IF(A2758="","",IF(H2758&lt;&gt;"",UPPER(TRIM(H2758)),IFERROR(CHOOSE(VALUE(E2758)+1,"A","B","C","D"),IF(OR(LEFT(UPPER(TRIM(E2758)),1)="F",UPPER(TRIM(E2758))="A"),"A",IF(OR(LEFT(UPPER(TRIM(E2758)),1)="M",UPPER(TRIM(E2758))="B"),"B",IF(OR(LEFT(UPPER(TRIM(E2758)),2)="SL",UPPER(TRIM(E2758))="C"),"C",IF(OR(LEFT(UPPER(TRIM(E2758)),1)="D",UPPER(TRIM(E2758))="D"),"D","")))))))</f>
        <v/>
      </c>
      <c r="J2758" s="27" t="str">
        <f aca="false">IF(I2758="","",IF(AND(I2758="D",Settings!$B$6&lt;&gt;"Yes"),"",IFERROR(INDEX(Settings!$C$9:$C$12,MATCH(I2758,Settings!$A$9:$A$12,0)),"")))</f>
        <v/>
      </c>
      <c r="K2758" s="27" t="str">
        <f aca="false">IF(J2758="","",COUNTIF($I$2:I2758,I2758))</f>
        <v/>
      </c>
      <c r="L2758" s="27" t="str">
        <f aca="false">IF(J2758="","",CHOOSE(Q2758+1,"Tue","Wed","Thu","Fri"))</f>
        <v/>
      </c>
      <c r="M2758" s="27" t="str">
        <f aca="false">IF(J2758="","",IF(J2758=1,"Every week",R2758+1&amp;" of "&amp;J2758))</f>
        <v/>
      </c>
      <c r="N2758" s="28" t="str">
        <f aca="false">IF(J2758="","",Settings!$B$4+R2758*7+Q2758)</f>
        <v/>
      </c>
      <c r="O2758" s="28" t="str">
        <f aca="true">IF(J2758="","",N2758+MAX(0,ROUNDUP((TODAY()-N2758)/(J2758*7),0))*J2758*7)</f>
        <v/>
      </c>
      <c r="P2758" s="27" t="str">
        <f aca="false">IF(J2758="","",MOD(K2758-1,J2758*4))</f>
        <v/>
      </c>
      <c r="Q2758" s="27" t="str">
        <f aca="false">IF(J2758="","",MOD(P2758,4))</f>
        <v/>
      </c>
      <c r="R2758" s="27" t="str">
        <f aca="false">IF(J2758="","",INT(P2758/4))</f>
        <v/>
      </c>
      <c r="S2758" s="27" t="str">
        <f aca="false">IF(J2758="","",IF(AND('Daily Count Sheet'!$H$3=Q2758,MOD('Daily Count Sheet'!$I$3,J2758)=R2758),1,""))</f>
        <v/>
      </c>
      <c r="T2758" s="27" t="str">
        <f aca="false">IF(S2758=1,COUNTIF($S$2:S2758,1),"")</f>
        <v/>
      </c>
    </row>
    <row r="2759" customFormat="false" ht="15" hidden="false" customHeight="false" outlineLevel="0" collapsed="false">
      <c r="H2759" s="26"/>
      <c r="I2759" s="27" t="str">
        <f aca="false">IF(A2759="","",IF(H2759&lt;&gt;"",UPPER(TRIM(H2759)),IFERROR(CHOOSE(VALUE(E2759)+1,"A","B","C","D"),IF(OR(LEFT(UPPER(TRIM(E2759)),1)="F",UPPER(TRIM(E2759))="A"),"A",IF(OR(LEFT(UPPER(TRIM(E2759)),1)="M",UPPER(TRIM(E2759))="B"),"B",IF(OR(LEFT(UPPER(TRIM(E2759)),2)="SL",UPPER(TRIM(E2759))="C"),"C",IF(OR(LEFT(UPPER(TRIM(E2759)),1)="D",UPPER(TRIM(E2759))="D"),"D","")))))))</f>
        <v/>
      </c>
      <c r="J2759" s="27" t="str">
        <f aca="false">IF(I2759="","",IF(AND(I2759="D",Settings!$B$6&lt;&gt;"Yes"),"",IFERROR(INDEX(Settings!$C$9:$C$12,MATCH(I2759,Settings!$A$9:$A$12,0)),"")))</f>
        <v/>
      </c>
      <c r="K2759" s="27" t="str">
        <f aca="false">IF(J2759="","",COUNTIF($I$2:I2759,I2759))</f>
        <v/>
      </c>
      <c r="L2759" s="27" t="str">
        <f aca="false">IF(J2759="","",CHOOSE(Q2759+1,"Tue","Wed","Thu","Fri"))</f>
        <v/>
      </c>
      <c r="M2759" s="27" t="str">
        <f aca="false">IF(J2759="","",IF(J2759=1,"Every week",R2759+1&amp;" of "&amp;J2759))</f>
        <v/>
      </c>
      <c r="N2759" s="28" t="str">
        <f aca="false">IF(J2759="","",Settings!$B$4+R2759*7+Q2759)</f>
        <v/>
      </c>
      <c r="O2759" s="28" t="str">
        <f aca="true">IF(J2759="","",N2759+MAX(0,ROUNDUP((TODAY()-N2759)/(J2759*7),0))*J2759*7)</f>
        <v/>
      </c>
      <c r="P2759" s="27" t="str">
        <f aca="false">IF(J2759="","",MOD(K2759-1,J2759*4))</f>
        <v/>
      </c>
      <c r="Q2759" s="27" t="str">
        <f aca="false">IF(J2759="","",MOD(P2759,4))</f>
        <v/>
      </c>
      <c r="R2759" s="27" t="str">
        <f aca="false">IF(J2759="","",INT(P2759/4))</f>
        <v/>
      </c>
      <c r="S2759" s="27" t="str">
        <f aca="false">IF(J2759="","",IF(AND('Daily Count Sheet'!$H$3=Q2759,MOD('Daily Count Sheet'!$I$3,J2759)=R2759),1,""))</f>
        <v/>
      </c>
      <c r="T2759" s="27" t="str">
        <f aca="false">IF(S2759=1,COUNTIF($S$2:S2759,1),"")</f>
        <v/>
      </c>
    </row>
    <row r="2760" customFormat="false" ht="15" hidden="false" customHeight="false" outlineLevel="0" collapsed="false">
      <c r="H2760" s="26"/>
      <c r="I2760" s="27" t="str">
        <f aca="false">IF(A2760="","",IF(H2760&lt;&gt;"",UPPER(TRIM(H2760)),IFERROR(CHOOSE(VALUE(E2760)+1,"A","B","C","D"),IF(OR(LEFT(UPPER(TRIM(E2760)),1)="F",UPPER(TRIM(E2760))="A"),"A",IF(OR(LEFT(UPPER(TRIM(E2760)),1)="M",UPPER(TRIM(E2760))="B"),"B",IF(OR(LEFT(UPPER(TRIM(E2760)),2)="SL",UPPER(TRIM(E2760))="C"),"C",IF(OR(LEFT(UPPER(TRIM(E2760)),1)="D",UPPER(TRIM(E2760))="D"),"D","")))))))</f>
        <v/>
      </c>
      <c r="J2760" s="27" t="str">
        <f aca="false">IF(I2760="","",IF(AND(I2760="D",Settings!$B$6&lt;&gt;"Yes"),"",IFERROR(INDEX(Settings!$C$9:$C$12,MATCH(I2760,Settings!$A$9:$A$12,0)),"")))</f>
        <v/>
      </c>
      <c r="K2760" s="27" t="str">
        <f aca="false">IF(J2760="","",COUNTIF($I$2:I2760,I2760))</f>
        <v/>
      </c>
      <c r="L2760" s="27" t="str">
        <f aca="false">IF(J2760="","",CHOOSE(Q2760+1,"Tue","Wed","Thu","Fri"))</f>
        <v/>
      </c>
      <c r="M2760" s="27" t="str">
        <f aca="false">IF(J2760="","",IF(J2760=1,"Every week",R2760+1&amp;" of "&amp;J2760))</f>
        <v/>
      </c>
      <c r="N2760" s="28" t="str">
        <f aca="false">IF(J2760="","",Settings!$B$4+R2760*7+Q2760)</f>
        <v/>
      </c>
      <c r="O2760" s="28" t="str">
        <f aca="true">IF(J2760="","",N2760+MAX(0,ROUNDUP((TODAY()-N2760)/(J2760*7),0))*J2760*7)</f>
        <v/>
      </c>
      <c r="P2760" s="27" t="str">
        <f aca="false">IF(J2760="","",MOD(K2760-1,J2760*4))</f>
        <v/>
      </c>
      <c r="Q2760" s="27" t="str">
        <f aca="false">IF(J2760="","",MOD(P2760,4))</f>
        <v/>
      </c>
      <c r="R2760" s="27" t="str">
        <f aca="false">IF(J2760="","",INT(P2760/4))</f>
        <v/>
      </c>
      <c r="S2760" s="27" t="str">
        <f aca="false">IF(J2760="","",IF(AND('Daily Count Sheet'!$H$3=Q2760,MOD('Daily Count Sheet'!$I$3,J2760)=R2760),1,""))</f>
        <v/>
      </c>
      <c r="T2760" s="27" t="str">
        <f aca="false">IF(S2760=1,COUNTIF($S$2:S2760,1),"")</f>
        <v/>
      </c>
    </row>
    <row r="2761" customFormat="false" ht="15" hidden="false" customHeight="false" outlineLevel="0" collapsed="false">
      <c r="H2761" s="26"/>
      <c r="I2761" s="27" t="str">
        <f aca="false">IF(A2761="","",IF(H2761&lt;&gt;"",UPPER(TRIM(H2761)),IFERROR(CHOOSE(VALUE(E2761)+1,"A","B","C","D"),IF(OR(LEFT(UPPER(TRIM(E2761)),1)="F",UPPER(TRIM(E2761))="A"),"A",IF(OR(LEFT(UPPER(TRIM(E2761)),1)="M",UPPER(TRIM(E2761))="B"),"B",IF(OR(LEFT(UPPER(TRIM(E2761)),2)="SL",UPPER(TRIM(E2761))="C"),"C",IF(OR(LEFT(UPPER(TRIM(E2761)),1)="D",UPPER(TRIM(E2761))="D"),"D","")))))))</f>
        <v/>
      </c>
      <c r="J2761" s="27" t="str">
        <f aca="false">IF(I2761="","",IF(AND(I2761="D",Settings!$B$6&lt;&gt;"Yes"),"",IFERROR(INDEX(Settings!$C$9:$C$12,MATCH(I2761,Settings!$A$9:$A$12,0)),"")))</f>
        <v/>
      </c>
      <c r="K2761" s="27" t="str">
        <f aca="false">IF(J2761="","",COUNTIF($I$2:I2761,I2761))</f>
        <v/>
      </c>
      <c r="L2761" s="27" t="str">
        <f aca="false">IF(J2761="","",CHOOSE(Q2761+1,"Tue","Wed","Thu","Fri"))</f>
        <v/>
      </c>
      <c r="M2761" s="27" t="str">
        <f aca="false">IF(J2761="","",IF(J2761=1,"Every week",R2761+1&amp;" of "&amp;J2761))</f>
        <v/>
      </c>
      <c r="N2761" s="28" t="str">
        <f aca="false">IF(J2761="","",Settings!$B$4+R2761*7+Q2761)</f>
        <v/>
      </c>
      <c r="O2761" s="28" t="str">
        <f aca="true">IF(J2761="","",N2761+MAX(0,ROUNDUP((TODAY()-N2761)/(J2761*7),0))*J2761*7)</f>
        <v/>
      </c>
      <c r="P2761" s="27" t="str">
        <f aca="false">IF(J2761="","",MOD(K2761-1,J2761*4))</f>
        <v/>
      </c>
      <c r="Q2761" s="27" t="str">
        <f aca="false">IF(J2761="","",MOD(P2761,4))</f>
        <v/>
      </c>
      <c r="R2761" s="27" t="str">
        <f aca="false">IF(J2761="","",INT(P2761/4))</f>
        <v/>
      </c>
      <c r="S2761" s="27" t="str">
        <f aca="false">IF(J2761="","",IF(AND('Daily Count Sheet'!$H$3=Q2761,MOD('Daily Count Sheet'!$I$3,J2761)=R2761),1,""))</f>
        <v/>
      </c>
      <c r="T2761" s="27" t="str">
        <f aca="false">IF(S2761=1,COUNTIF($S$2:S2761,1),"")</f>
        <v/>
      </c>
    </row>
    <row r="2762" customFormat="false" ht="15" hidden="false" customHeight="false" outlineLevel="0" collapsed="false">
      <c r="H2762" s="26"/>
      <c r="I2762" s="27" t="str">
        <f aca="false">IF(A2762="","",IF(H2762&lt;&gt;"",UPPER(TRIM(H2762)),IFERROR(CHOOSE(VALUE(E2762)+1,"A","B","C","D"),IF(OR(LEFT(UPPER(TRIM(E2762)),1)="F",UPPER(TRIM(E2762))="A"),"A",IF(OR(LEFT(UPPER(TRIM(E2762)),1)="M",UPPER(TRIM(E2762))="B"),"B",IF(OR(LEFT(UPPER(TRIM(E2762)),2)="SL",UPPER(TRIM(E2762))="C"),"C",IF(OR(LEFT(UPPER(TRIM(E2762)),1)="D",UPPER(TRIM(E2762))="D"),"D","")))))))</f>
        <v/>
      </c>
      <c r="J2762" s="27" t="str">
        <f aca="false">IF(I2762="","",IF(AND(I2762="D",Settings!$B$6&lt;&gt;"Yes"),"",IFERROR(INDEX(Settings!$C$9:$C$12,MATCH(I2762,Settings!$A$9:$A$12,0)),"")))</f>
        <v/>
      </c>
      <c r="K2762" s="27" t="str">
        <f aca="false">IF(J2762="","",COUNTIF($I$2:I2762,I2762))</f>
        <v/>
      </c>
      <c r="L2762" s="27" t="str">
        <f aca="false">IF(J2762="","",CHOOSE(Q2762+1,"Tue","Wed","Thu","Fri"))</f>
        <v/>
      </c>
      <c r="M2762" s="27" t="str">
        <f aca="false">IF(J2762="","",IF(J2762=1,"Every week",R2762+1&amp;" of "&amp;J2762))</f>
        <v/>
      </c>
      <c r="N2762" s="28" t="str">
        <f aca="false">IF(J2762="","",Settings!$B$4+R2762*7+Q2762)</f>
        <v/>
      </c>
      <c r="O2762" s="28" t="str">
        <f aca="true">IF(J2762="","",N2762+MAX(0,ROUNDUP((TODAY()-N2762)/(J2762*7),0))*J2762*7)</f>
        <v/>
      </c>
      <c r="P2762" s="27" t="str">
        <f aca="false">IF(J2762="","",MOD(K2762-1,J2762*4))</f>
        <v/>
      </c>
      <c r="Q2762" s="27" t="str">
        <f aca="false">IF(J2762="","",MOD(P2762,4))</f>
        <v/>
      </c>
      <c r="R2762" s="27" t="str">
        <f aca="false">IF(J2762="","",INT(P2762/4))</f>
        <v/>
      </c>
      <c r="S2762" s="27" t="str">
        <f aca="false">IF(J2762="","",IF(AND('Daily Count Sheet'!$H$3=Q2762,MOD('Daily Count Sheet'!$I$3,J2762)=R2762),1,""))</f>
        <v/>
      </c>
      <c r="T2762" s="27" t="str">
        <f aca="false">IF(S2762=1,COUNTIF($S$2:S2762,1),"")</f>
        <v/>
      </c>
    </row>
    <row r="2763" customFormat="false" ht="15" hidden="false" customHeight="false" outlineLevel="0" collapsed="false">
      <c r="H2763" s="26"/>
      <c r="I2763" s="27" t="str">
        <f aca="false">IF(A2763="","",IF(H2763&lt;&gt;"",UPPER(TRIM(H2763)),IFERROR(CHOOSE(VALUE(E2763)+1,"A","B","C","D"),IF(OR(LEFT(UPPER(TRIM(E2763)),1)="F",UPPER(TRIM(E2763))="A"),"A",IF(OR(LEFT(UPPER(TRIM(E2763)),1)="M",UPPER(TRIM(E2763))="B"),"B",IF(OR(LEFT(UPPER(TRIM(E2763)),2)="SL",UPPER(TRIM(E2763))="C"),"C",IF(OR(LEFT(UPPER(TRIM(E2763)),1)="D",UPPER(TRIM(E2763))="D"),"D","")))))))</f>
        <v/>
      </c>
      <c r="J2763" s="27" t="str">
        <f aca="false">IF(I2763="","",IF(AND(I2763="D",Settings!$B$6&lt;&gt;"Yes"),"",IFERROR(INDEX(Settings!$C$9:$C$12,MATCH(I2763,Settings!$A$9:$A$12,0)),"")))</f>
        <v/>
      </c>
      <c r="K2763" s="27" t="str">
        <f aca="false">IF(J2763="","",COUNTIF($I$2:I2763,I2763))</f>
        <v/>
      </c>
      <c r="L2763" s="27" t="str">
        <f aca="false">IF(J2763="","",CHOOSE(Q2763+1,"Tue","Wed","Thu","Fri"))</f>
        <v/>
      </c>
      <c r="M2763" s="27" t="str">
        <f aca="false">IF(J2763="","",IF(J2763=1,"Every week",R2763+1&amp;" of "&amp;J2763))</f>
        <v/>
      </c>
      <c r="N2763" s="28" t="str">
        <f aca="false">IF(J2763="","",Settings!$B$4+R2763*7+Q2763)</f>
        <v/>
      </c>
      <c r="O2763" s="28" t="str">
        <f aca="true">IF(J2763="","",N2763+MAX(0,ROUNDUP((TODAY()-N2763)/(J2763*7),0))*J2763*7)</f>
        <v/>
      </c>
      <c r="P2763" s="27" t="str">
        <f aca="false">IF(J2763="","",MOD(K2763-1,J2763*4))</f>
        <v/>
      </c>
      <c r="Q2763" s="27" t="str">
        <f aca="false">IF(J2763="","",MOD(P2763,4))</f>
        <v/>
      </c>
      <c r="R2763" s="27" t="str">
        <f aca="false">IF(J2763="","",INT(P2763/4))</f>
        <v/>
      </c>
      <c r="S2763" s="27" t="str">
        <f aca="false">IF(J2763="","",IF(AND('Daily Count Sheet'!$H$3=Q2763,MOD('Daily Count Sheet'!$I$3,J2763)=R2763),1,""))</f>
        <v/>
      </c>
      <c r="T2763" s="27" t="str">
        <f aca="false">IF(S2763=1,COUNTIF($S$2:S2763,1),"")</f>
        <v/>
      </c>
    </row>
    <row r="2764" customFormat="false" ht="15" hidden="false" customHeight="false" outlineLevel="0" collapsed="false">
      <c r="H2764" s="26"/>
      <c r="I2764" s="27" t="str">
        <f aca="false">IF(A2764="","",IF(H2764&lt;&gt;"",UPPER(TRIM(H2764)),IFERROR(CHOOSE(VALUE(E2764)+1,"A","B","C","D"),IF(OR(LEFT(UPPER(TRIM(E2764)),1)="F",UPPER(TRIM(E2764))="A"),"A",IF(OR(LEFT(UPPER(TRIM(E2764)),1)="M",UPPER(TRIM(E2764))="B"),"B",IF(OR(LEFT(UPPER(TRIM(E2764)),2)="SL",UPPER(TRIM(E2764))="C"),"C",IF(OR(LEFT(UPPER(TRIM(E2764)),1)="D",UPPER(TRIM(E2764))="D"),"D","")))))))</f>
        <v/>
      </c>
      <c r="J2764" s="27" t="str">
        <f aca="false">IF(I2764="","",IF(AND(I2764="D",Settings!$B$6&lt;&gt;"Yes"),"",IFERROR(INDEX(Settings!$C$9:$C$12,MATCH(I2764,Settings!$A$9:$A$12,0)),"")))</f>
        <v/>
      </c>
      <c r="K2764" s="27" t="str">
        <f aca="false">IF(J2764="","",COUNTIF($I$2:I2764,I2764))</f>
        <v/>
      </c>
      <c r="L2764" s="27" t="str">
        <f aca="false">IF(J2764="","",CHOOSE(Q2764+1,"Tue","Wed","Thu","Fri"))</f>
        <v/>
      </c>
      <c r="M2764" s="27" t="str">
        <f aca="false">IF(J2764="","",IF(J2764=1,"Every week",R2764+1&amp;" of "&amp;J2764))</f>
        <v/>
      </c>
      <c r="N2764" s="28" t="str">
        <f aca="false">IF(J2764="","",Settings!$B$4+R2764*7+Q2764)</f>
        <v/>
      </c>
      <c r="O2764" s="28" t="str">
        <f aca="true">IF(J2764="","",N2764+MAX(0,ROUNDUP((TODAY()-N2764)/(J2764*7),0))*J2764*7)</f>
        <v/>
      </c>
      <c r="P2764" s="27" t="str">
        <f aca="false">IF(J2764="","",MOD(K2764-1,J2764*4))</f>
        <v/>
      </c>
      <c r="Q2764" s="27" t="str">
        <f aca="false">IF(J2764="","",MOD(P2764,4))</f>
        <v/>
      </c>
      <c r="R2764" s="27" t="str">
        <f aca="false">IF(J2764="","",INT(P2764/4))</f>
        <v/>
      </c>
      <c r="S2764" s="27" t="str">
        <f aca="false">IF(J2764="","",IF(AND('Daily Count Sheet'!$H$3=Q2764,MOD('Daily Count Sheet'!$I$3,J2764)=R2764),1,""))</f>
        <v/>
      </c>
      <c r="T2764" s="27" t="str">
        <f aca="false">IF(S2764=1,COUNTIF($S$2:S2764,1),"")</f>
        <v/>
      </c>
    </row>
    <row r="2765" customFormat="false" ht="15" hidden="false" customHeight="false" outlineLevel="0" collapsed="false">
      <c r="H2765" s="26"/>
      <c r="I2765" s="27" t="str">
        <f aca="false">IF(A2765="","",IF(H2765&lt;&gt;"",UPPER(TRIM(H2765)),IFERROR(CHOOSE(VALUE(E2765)+1,"A","B","C","D"),IF(OR(LEFT(UPPER(TRIM(E2765)),1)="F",UPPER(TRIM(E2765))="A"),"A",IF(OR(LEFT(UPPER(TRIM(E2765)),1)="M",UPPER(TRIM(E2765))="B"),"B",IF(OR(LEFT(UPPER(TRIM(E2765)),2)="SL",UPPER(TRIM(E2765))="C"),"C",IF(OR(LEFT(UPPER(TRIM(E2765)),1)="D",UPPER(TRIM(E2765))="D"),"D","")))))))</f>
        <v/>
      </c>
      <c r="J2765" s="27" t="str">
        <f aca="false">IF(I2765="","",IF(AND(I2765="D",Settings!$B$6&lt;&gt;"Yes"),"",IFERROR(INDEX(Settings!$C$9:$C$12,MATCH(I2765,Settings!$A$9:$A$12,0)),"")))</f>
        <v/>
      </c>
      <c r="K2765" s="27" t="str">
        <f aca="false">IF(J2765="","",COUNTIF($I$2:I2765,I2765))</f>
        <v/>
      </c>
      <c r="L2765" s="27" t="str">
        <f aca="false">IF(J2765="","",CHOOSE(Q2765+1,"Tue","Wed","Thu","Fri"))</f>
        <v/>
      </c>
      <c r="M2765" s="27" t="str">
        <f aca="false">IF(J2765="","",IF(J2765=1,"Every week",R2765+1&amp;" of "&amp;J2765))</f>
        <v/>
      </c>
      <c r="N2765" s="28" t="str">
        <f aca="false">IF(J2765="","",Settings!$B$4+R2765*7+Q2765)</f>
        <v/>
      </c>
      <c r="O2765" s="28" t="str">
        <f aca="true">IF(J2765="","",N2765+MAX(0,ROUNDUP((TODAY()-N2765)/(J2765*7),0))*J2765*7)</f>
        <v/>
      </c>
      <c r="P2765" s="27" t="str">
        <f aca="false">IF(J2765="","",MOD(K2765-1,J2765*4))</f>
        <v/>
      </c>
      <c r="Q2765" s="27" t="str">
        <f aca="false">IF(J2765="","",MOD(P2765,4))</f>
        <v/>
      </c>
      <c r="R2765" s="27" t="str">
        <f aca="false">IF(J2765="","",INT(P2765/4))</f>
        <v/>
      </c>
      <c r="S2765" s="27" t="str">
        <f aca="false">IF(J2765="","",IF(AND('Daily Count Sheet'!$H$3=Q2765,MOD('Daily Count Sheet'!$I$3,J2765)=R2765),1,""))</f>
        <v/>
      </c>
      <c r="T2765" s="27" t="str">
        <f aca="false">IF(S2765=1,COUNTIF($S$2:S2765,1),"")</f>
        <v/>
      </c>
    </row>
    <row r="2766" customFormat="false" ht="15" hidden="false" customHeight="false" outlineLevel="0" collapsed="false">
      <c r="H2766" s="26"/>
      <c r="I2766" s="27" t="str">
        <f aca="false">IF(A2766="","",IF(H2766&lt;&gt;"",UPPER(TRIM(H2766)),IFERROR(CHOOSE(VALUE(E2766)+1,"A","B","C","D"),IF(OR(LEFT(UPPER(TRIM(E2766)),1)="F",UPPER(TRIM(E2766))="A"),"A",IF(OR(LEFT(UPPER(TRIM(E2766)),1)="M",UPPER(TRIM(E2766))="B"),"B",IF(OR(LEFT(UPPER(TRIM(E2766)),2)="SL",UPPER(TRIM(E2766))="C"),"C",IF(OR(LEFT(UPPER(TRIM(E2766)),1)="D",UPPER(TRIM(E2766))="D"),"D","")))))))</f>
        <v/>
      </c>
      <c r="J2766" s="27" t="str">
        <f aca="false">IF(I2766="","",IF(AND(I2766="D",Settings!$B$6&lt;&gt;"Yes"),"",IFERROR(INDEX(Settings!$C$9:$C$12,MATCH(I2766,Settings!$A$9:$A$12,0)),"")))</f>
        <v/>
      </c>
      <c r="K2766" s="27" t="str">
        <f aca="false">IF(J2766="","",COUNTIF($I$2:I2766,I2766))</f>
        <v/>
      </c>
      <c r="L2766" s="27" t="str">
        <f aca="false">IF(J2766="","",CHOOSE(Q2766+1,"Tue","Wed","Thu","Fri"))</f>
        <v/>
      </c>
      <c r="M2766" s="27" t="str">
        <f aca="false">IF(J2766="","",IF(J2766=1,"Every week",R2766+1&amp;" of "&amp;J2766))</f>
        <v/>
      </c>
      <c r="N2766" s="28" t="str">
        <f aca="false">IF(J2766="","",Settings!$B$4+R2766*7+Q2766)</f>
        <v/>
      </c>
      <c r="O2766" s="28" t="str">
        <f aca="true">IF(J2766="","",N2766+MAX(0,ROUNDUP((TODAY()-N2766)/(J2766*7),0))*J2766*7)</f>
        <v/>
      </c>
      <c r="P2766" s="27" t="str">
        <f aca="false">IF(J2766="","",MOD(K2766-1,J2766*4))</f>
        <v/>
      </c>
      <c r="Q2766" s="27" t="str">
        <f aca="false">IF(J2766="","",MOD(P2766,4))</f>
        <v/>
      </c>
      <c r="R2766" s="27" t="str">
        <f aca="false">IF(J2766="","",INT(P2766/4))</f>
        <v/>
      </c>
      <c r="S2766" s="27" t="str">
        <f aca="false">IF(J2766="","",IF(AND('Daily Count Sheet'!$H$3=Q2766,MOD('Daily Count Sheet'!$I$3,J2766)=R2766),1,""))</f>
        <v/>
      </c>
      <c r="T2766" s="27" t="str">
        <f aca="false">IF(S2766=1,COUNTIF($S$2:S2766,1),"")</f>
        <v/>
      </c>
    </row>
    <row r="2767" customFormat="false" ht="15" hidden="false" customHeight="false" outlineLevel="0" collapsed="false">
      <c r="H2767" s="26"/>
      <c r="I2767" s="27" t="str">
        <f aca="false">IF(A2767="","",IF(H2767&lt;&gt;"",UPPER(TRIM(H2767)),IFERROR(CHOOSE(VALUE(E2767)+1,"A","B","C","D"),IF(OR(LEFT(UPPER(TRIM(E2767)),1)="F",UPPER(TRIM(E2767))="A"),"A",IF(OR(LEFT(UPPER(TRIM(E2767)),1)="M",UPPER(TRIM(E2767))="B"),"B",IF(OR(LEFT(UPPER(TRIM(E2767)),2)="SL",UPPER(TRIM(E2767))="C"),"C",IF(OR(LEFT(UPPER(TRIM(E2767)),1)="D",UPPER(TRIM(E2767))="D"),"D","")))))))</f>
        <v/>
      </c>
      <c r="J2767" s="27" t="str">
        <f aca="false">IF(I2767="","",IF(AND(I2767="D",Settings!$B$6&lt;&gt;"Yes"),"",IFERROR(INDEX(Settings!$C$9:$C$12,MATCH(I2767,Settings!$A$9:$A$12,0)),"")))</f>
        <v/>
      </c>
      <c r="K2767" s="27" t="str">
        <f aca="false">IF(J2767="","",COUNTIF($I$2:I2767,I2767))</f>
        <v/>
      </c>
      <c r="L2767" s="27" t="str">
        <f aca="false">IF(J2767="","",CHOOSE(Q2767+1,"Tue","Wed","Thu","Fri"))</f>
        <v/>
      </c>
      <c r="M2767" s="27" t="str">
        <f aca="false">IF(J2767="","",IF(J2767=1,"Every week",R2767+1&amp;" of "&amp;J2767))</f>
        <v/>
      </c>
      <c r="N2767" s="28" t="str">
        <f aca="false">IF(J2767="","",Settings!$B$4+R2767*7+Q2767)</f>
        <v/>
      </c>
      <c r="O2767" s="28" t="str">
        <f aca="true">IF(J2767="","",N2767+MAX(0,ROUNDUP((TODAY()-N2767)/(J2767*7),0))*J2767*7)</f>
        <v/>
      </c>
      <c r="P2767" s="27" t="str">
        <f aca="false">IF(J2767="","",MOD(K2767-1,J2767*4))</f>
        <v/>
      </c>
      <c r="Q2767" s="27" t="str">
        <f aca="false">IF(J2767="","",MOD(P2767,4))</f>
        <v/>
      </c>
      <c r="R2767" s="27" t="str">
        <f aca="false">IF(J2767="","",INT(P2767/4))</f>
        <v/>
      </c>
      <c r="S2767" s="27" t="str">
        <f aca="false">IF(J2767="","",IF(AND('Daily Count Sheet'!$H$3=Q2767,MOD('Daily Count Sheet'!$I$3,J2767)=R2767),1,""))</f>
        <v/>
      </c>
      <c r="T2767" s="27" t="str">
        <f aca="false">IF(S2767=1,COUNTIF($S$2:S2767,1),"")</f>
        <v/>
      </c>
    </row>
    <row r="2768" customFormat="false" ht="15" hidden="false" customHeight="false" outlineLevel="0" collapsed="false">
      <c r="H2768" s="26"/>
      <c r="I2768" s="27" t="str">
        <f aca="false">IF(A2768="","",IF(H2768&lt;&gt;"",UPPER(TRIM(H2768)),IFERROR(CHOOSE(VALUE(E2768)+1,"A","B","C","D"),IF(OR(LEFT(UPPER(TRIM(E2768)),1)="F",UPPER(TRIM(E2768))="A"),"A",IF(OR(LEFT(UPPER(TRIM(E2768)),1)="M",UPPER(TRIM(E2768))="B"),"B",IF(OR(LEFT(UPPER(TRIM(E2768)),2)="SL",UPPER(TRIM(E2768))="C"),"C",IF(OR(LEFT(UPPER(TRIM(E2768)),1)="D",UPPER(TRIM(E2768))="D"),"D","")))))))</f>
        <v/>
      </c>
      <c r="J2768" s="27" t="str">
        <f aca="false">IF(I2768="","",IF(AND(I2768="D",Settings!$B$6&lt;&gt;"Yes"),"",IFERROR(INDEX(Settings!$C$9:$C$12,MATCH(I2768,Settings!$A$9:$A$12,0)),"")))</f>
        <v/>
      </c>
      <c r="K2768" s="27" t="str">
        <f aca="false">IF(J2768="","",COUNTIF($I$2:I2768,I2768))</f>
        <v/>
      </c>
      <c r="L2768" s="27" t="str">
        <f aca="false">IF(J2768="","",CHOOSE(Q2768+1,"Tue","Wed","Thu","Fri"))</f>
        <v/>
      </c>
      <c r="M2768" s="27" t="str">
        <f aca="false">IF(J2768="","",IF(J2768=1,"Every week",R2768+1&amp;" of "&amp;J2768))</f>
        <v/>
      </c>
      <c r="N2768" s="28" t="str">
        <f aca="false">IF(J2768="","",Settings!$B$4+R2768*7+Q2768)</f>
        <v/>
      </c>
      <c r="O2768" s="28" t="str">
        <f aca="true">IF(J2768="","",N2768+MAX(0,ROUNDUP((TODAY()-N2768)/(J2768*7),0))*J2768*7)</f>
        <v/>
      </c>
      <c r="P2768" s="27" t="str">
        <f aca="false">IF(J2768="","",MOD(K2768-1,J2768*4))</f>
        <v/>
      </c>
      <c r="Q2768" s="27" t="str">
        <f aca="false">IF(J2768="","",MOD(P2768,4))</f>
        <v/>
      </c>
      <c r="R2768" s="27" t="str">
        <f aca="false">IF(J2768="","",INT(P2768/4))</f>
        <v/>
      </c>
      <c r="S2768" s="27" t="str">
        <f aca="false">IF(J2768="","",IF(AND('Daily Count Sheet'!$H$3=Q2768,MOD('Daily Count Sheet'!$I$3,J2768)=R2768),1,""))</f>
        <v/>
      </c>
      <c r="T2768" s="27" t="str">
        <f aca="false">IF(S2768=1,COUNTIF($S$2:S2768,1),"")</f>
        <v/>
      </c>
    </row>
    <row r="2769" customFormat="false" ht="15" hidden="false" customHeight="false" outlineLevel="0" collapsed="false">
      <c r="H2769" s="26"/>
      <c r="I2769" s="27" t="str">
        <f aca="false">IF(A2769="","",IF(H2769&lt;&gt;"",UPPER(TRIM(H2769)),IFERROR(CHOOSE(VALUE(E2769)+1,"A","B","C","D"),IF(OR(LEFT(UPPER(TRIM(E2769)),1)="F",UPPER(TRIM(E2769))="A"),"A",IF(OR(LEFT(UPPER(TRIM(E2769)),1)="M",UPPER(TRIM(E2769))="B"),"B",IF(OR(LEFT(UPPER(TRIM(E2769)),2)="SL",UPPER(TRIM(E2769))="C"),"C",IF(OR(LEFT(UPPER(TRIM(E2769)),1)="D",UPPER(TRIM(E2769))="D"),"D","")))))))</f>
        <v/>
      </c>
      <c r="J2769" s="27" t="str">
        <f aca="false">IF(I2769="","",IF(AND(I2769="D",Settings!$B$6&lt;&gt;"Yes"),"",IFERROR(INDEX(Settings!$C$9:$C$12,MATCH(I2769,Settings!$A$9:$A$12,0)),"")))</f>
        <v/>
      </c>
      <c r="K2769" s="27" t="str">
        <f aca="false">IF(J2769="","",COUNTIF($I$2:I2769,I2769))</f>
        <v/>
      </c>
      <c r="L2769" s="27" t="str">
        <f aca="false">IF(J2769="","",CHOOSE(Q2769+1,"Tue","Wed","Thu","Fri"))</f>
        <v/>
      </c>
      <c r="M2769" s="27" t="str">
        <f aca="false">IF(J2769="","",IF(J2769=1,"Every week",R2769+1&amp;" of "&amp;J2769))</f>
        <v/>
      </c>
      <c r="N2769" s="28" t="str">
        <f aca="false">IF(J2769="","",Settings!$B$4+R2769*7+Q2769)</f>
        <v/>
      </c>
      <c r="O2769" s="28" t="str">
        <f aca="true">IF(J2769="","",N2769+MAX(0,ROUNDUP((TODAY()-N2769)/(J2769*7),0))*J2769*7)</f>
        <v/>
      </c>
      <c r="P2769" s="27" t="str">
        <f aca="false">IF(J2769="","",MOD(K2769-1,J2769*4))</f>
        <v/>
      </c>
      <c r="Q2769" s="27" t="str">
        <f aca="false">IF(J2769="","",MOD(P2769,4))</f>
        <v/>
      </c>
      <c r="R2769" s="27" t="str">
        <f aca="false">IF(J2769="","",INT(P2769/4))</f>
        <v/>
      </c>
      <c r="S2769" s="27" t="str">
        <f aca="false">IF(J2769="","",IF(AND('Daily Count Sheet'!$H$3=Q2769,MOD('Daily Count Sheet'!$I$3,J2769)=R2769),1,""))</f>
        <v/>
      </c>
      <c r="T2769" s="27" t="str">
        <f aca="false">IF(S2769=1,COUNTIF($S$2:S2769,1),"")</f>
        <v/>
      </c>
    </row>
    <row r="2770" customFormat="false" ht="15" hidden="false" customHeight="false" outlineLevel="0" collapsed="false">
      <c r="H2770" s="26"/>
      <c r="I2770" s="27" t="str">
        <f aca="false">IF(A2770="","",IF(H2770&lt;&gt;"",UPPER(TRIM(H2770)),IFERROR(CHOOSE(VALUE(E2770)+1,"A","B","C","D"),IF(OR(LEFT(UPPER(TRIM(E2770)),1)="F",UPPER(TRIM(E2770))="A"),"A",IF(OR(LEFT(UPPER(TRIM(E2770)),1)="M",UPPER(TRIM(E2770))="B"),"B",IF(OR(LEFT(UPPER(TRIM(E2770)),2)="SL",UPPER(TRIM(E2770))="C"),"C",IF(OR(LEFT(UPPER(TRIM(E2770)),1)="D",UPPER(TRIM(E2770))="D"),"D","")))))))</f>
        <v/>
      </c>
      <c r="J2770" s="27" t="str">
        <f aca="false">IF(I2770="","",IF(AND(I2770="D",Settings!$B$6&lt;&gt;"Yes"),"",IFERROR(INDEX(Settings!$C$9:$C$12,MATCH(I2770,Settings!$A$9:$A$12,0)),"")))</f>
        <v/>
      </c>
      <c r="K2770" s="27" t="str">
        <f aca="false">IF(J2770="","",COUNTIF($I$2:I2770,I2770))</f>
        <v/>
      </c>
      <c r="L2770" s="27" t="str">
        <f aca="false">IF(J2770="","",CHOOSE(Q2770+1,"Tue","Wed","Thu","Fri"))</f>
        <v/>
      </c>
      <c r="M2770" s="27" t="str">
        <f aca="false">IF(J2770="","",IF(J2770=1,"Every week",R2770+1&amp;" of "&amp;J2770))</f>
        <v/>
      </c>
      <c r="N2770" s="28" t="str">
        <f aca="false">IF(J2770="","",Settings!$B$4+R2770*7+Q2770)</f>
        <v/>
      </c>
      <c r="O2770" s="28" t="str">
        <f aca="true">IF(J2770="","",N2770+MAX(0,ROUNDUP((TODAY()-N2770)/(J2770*7),0))*J2770*7)</f>
        <v/>
      </c>
      <c r="P2770" s="27" t="str">
        <f aca="false">IF(J2770="","",MOD(K2770-1,J2770*4))</f>
        <v/>
      </c>
      <c r="Q2770" s="27" t="str">
        <f aca="false">IF(J2770="","",MOD(P2770,4))</f>
        <v/>
      </c>
      <c r="R2770" s="27" t="str">
        <f aca="false">IF(J2770="","",INT(P2770/4))</f>
        <v/>
      </c>
      <c r="S2770" s="27" t="str">
        <f aca="false">IF(J2770="","",IF(AND('Daily Count Sheet'!$H$3=Q2770,MOD('Daily Count Sheet'!$I$3,J2770)=R2770),1,""))</f>
        <v/>
      </c>
      <c r="T2770" s="27" t="str">
        <f aca="false">IF(S2770=1,COUNTIF($S$2:S2770,1),"")</f>
        <v/>
      </c>
    </row>
    <row r="2771" customFormat="false" ht="15" hidden="false" customHeight="false" outlineLevel="0" collapsed="false">
      <c r="H2771" s="26"/>
      <c r="I2771" s="27" t="str">
        <f aca="false">IF(A2771="","",IF(H2771&lt;&gt;"",UPPER(TRIM(H2771)),IFERROR(CHOOSE(VALUE(E2771)+1,"A","B","C","D"),IF(OR(LEFT(UPPER(TRIM(E2771)),1)="F",UPPER(TRIM(E2771))="A"),"A",IF(OR(LEFT(UPPER(TRIM(E2771)),1)="M",UPPER(TRIM(E2771))="B"),"B",IF(OR(LEFT(UPPER(TRIM(E2771)),2)="SL",UPPER(TRIM(E2771))="C"),"C",IF(OR(LEFT(UPPER(TRIM(E2771)),1)="D",UPPER(TRIM(E2771))="D"),"D","")))))))</f>
        <v/>
      </c>
      <c r="J2771" s="27" t="str">
        <f aca="false">IF(I2771="","",IF(AND(I2771="D",Settings!$B$6&lt;&gt;"Yes"),"",IFERROR(INDEX(Settings!$C$9:$C$12,MATCH(I2771,Settings!$A$9:$A$12,0)),"")))</f>
        <v/>
      </c>
      <c r="K2771" s="27" t="str">
        <f aca="false">IF(J2771="","",COUNTIF($I$2:I2771,I2771))</f>
        <v/>
      </c>
      <c r="L2771" s="27" t="str">
        <f aca="false">IF(J2771="","",CHOOSE(Q2771+1,"Tue","Wed","Thu","Fri"))</f>
        <v/>
      </c>
      <c r="M2771" s="27" t="str">
        <f aca="false">IF(J2771="","",IF(J2771=1,"Every week",R2771+1&amp;" of "&amp;J2771))</f>
        <v/>
      </c>
      <c r="N2771" s="28" t="str">
        <f aca="false">IF(J2771="","",Settings!$B$4+R2771*7+Q2771)</f>
        <v/>
      </c>
      <c r="O2771" s="28" t="str">
        <f aca="true">IF(J2771="","",N2771+MAX(0,ROUNDUP((TODAY()-N2771)/(J2771*7),0))*J2771*7)</f>
        <v/>
      </c>
      <c r="P2771" s="27" t="str">
        <f aca="false">IF(J2771="","",MOD(K2771-1,J2771*4))</f>
        <v/>
      </c>
      <c r="Q2771" s="27" t="str">
        <f aca="false">IF(J2771="","",MOD(P2771,4))</f>
        <v/>
      </c>
      <c r="R2771" s="27" t="str">
        <f aca="false">IF(J2771="","",INT(P2771/4))</f>
        <v/>
      </c>
      <c r="S2771" s="27" t="str">
        <f aca="false">IF(J2771="","",IF(AND('Daily Count Sheet'!$H$3=Q2771,MOD('Daily Count Sheet'!$I$3,J2771)=R2771),1,""))</f>
        <v/>
      </c>
      <c r="T2771" s="27" t="str">
        <f aca="false">IF(S2771=1,COUNTIF($S$2:S2771,1),"")</f>
        <v/>
      </c>
    </row>
    <row r="2772" customFormat="false" ht="15" hidden="false" customHeight="false" outlineLevel="0" collapsed="false">
      <c r="H2772" s="26"/>
      <c r="I2772" s="27" t="str">
        <f aca="false">IF(A2772="","",IF(H2772&lt;&gt;"",UPPER(TRIM(H2772)),IFERROR(CHOOSE(VALUE(E2772)+1,"A","B","C","D"),IF(OR(LEFT(UPPER(TRIM(E2772)),1)="F",UPPER(TRIM(E2772))="A"),"A",IF(OR(LEFT(UPPER(TRIM(E2772)),1)="M",UPPER(TRIM(E2772))="B"),"B",IF(OR(LEFT(UPPER(TRIM(E2772)),2)="SL",UPPER(TRIM(E2772))="C"),"C",IF(OR(LEFT(UPPER(TRIM(E2772)),1)="D",UPPER(TRIM(E2772))="D"),"D","")))))))</f>
        <v/>
      </c>
      <c r="J2772" s="27" t="str">
        <f aca="false">IF(I2772="","",IF(AND(I2772="D",Settings!$B$6&lt;&gt;"Yes"),"",IFERROR(INDEX(Settings!$C$9:$C$12,MATCH(I2772,Settings!$A$9:$A$12,0)),"")))</f>
        <v/>
      </c>
      <c r="K2772" s="27" t="str">
        <f aca="false">IF(J2772="","",COUNTIF($I$2:I2772,I2772))</f>
        <v/>
      </c>
      <c r="L2772" s="27" t="str">
        <f aca="false">IF(J2772="","",CHOOSE(Q2772+1,"Tue","Wed","Thu","Fri"))</f>
        <v/>
      </c>
      <c r="M2772" s="27" t="str">
        <f aca="false">IF(J2772="","",IF(J2772=1,"Every week",R2772+1&amp;" of "&amp;J2772))</f>
        <v/>
      </c>
      <c r="N2772" s="28" t="str">
        <f aca="false">IF(J2772="","",Settings!$B$4+R2772*7+Q2772)</f>
        <v/>
      </c>
      <c r="O2772" s="28" t="str">
        <f aca="true">IF(J2772="","",N2772+MAX(0,ROUNDUP((TODAY()-N2772)/(J2772*7),0))*J2772*7)</f>
        <v/>
      </c>
      <c r="P2772" s="27" t="str">
        <f aca="false">IF(J2772="","",MOD(K2772-1,J2772*4))</f>
        <v/>
      </c>
      <c r="Q2772" s="27" t="str">
        <f aca="false">IF(J2772="","",MOD(P2772,4))</f>
        <v/>
      </c>
      <c r="R2772" s="27" t="str">
        <f aca="false">IF(J2772="","",INT(P2772/4))</f>
        <v/>
      </c>
      <c r="S2772" s="27" t="str">
        <f aca="false">IF(J2772="","",IF(AND('Daily Count Sheet'!$H$3=Q2772,MOD('Daily Count Sheet'!$I$3,J2772)=R2772),1,""))</f>
        <v/>
      </c>
      <c r="T2772" s="27" t="str">
        <f aca="false">IF(S2772=1,COUNTIF($S$2:S2772,1),"")</f>
        <v/>
      </c>
    </row>
    <row r="2773" customFormat="false" ht="15" hidden="false" customHeight="false" outlineLevel="0" collapsed="false">
      <c r="H2773" s="26"/>
      <c r="I2773" s="27" t="str">
        <f aca="false">IF(A2773="","",IF(H2773&lt;&gt;"",UPPER(TRIM(H2773)),IFERROR(CHOOSE(VALUE(E2773)+1,"A","B","C","D"),IF(OR(LEFT(UPPER(TRIM(E2773)),1)="F",UPPER(TRIM(E2773))="A"),"A",IF(OR(LEFT(UPPER(TRIM(E2773)),1)="M",UPPER(TRIM(E2773))="B"),"B",IF(OR(LEFT(UPPER(TRIM(E2773)),2)="SL",UPPER(TRIM(E2773))="C"),"C",IF(OR(LEFT(UPPER(TRIM(E2773)),1)="D",UPPER(TRIM(E2773))="D"),"D","")))))))</f>
        <v/>
      </c>
      <c r="J2773" s="27" t="str">
        <f aca="false">IF(I2773="","",IF(AND(I2773="D",Settings!$B$6&lt;&gt;"Yes"),"",IFERROR(INDEX(Settings!$C$9:$C$12,MATCH(I2773,Settings!$A$9:$A$12,0)),"")))</f>
        <v/>
      </c>
      <c r="K2773" s="27" t="str">
        <f aca="false">IF(J2773="","",COUNTIF($I$2:I2773,I2773))</f>
        <v/>
      </c>
      <c r="L2773" s="27" t="str">
        <f aca="false">IF(J2773="","",CHOOSE(Q2773+1,"Tue","Wed","Thu","Fri"))</f>
        <v/>
      </c>
      <c r="M2773" s="27" t="str">
        <f aca="false">IF(J2773="","",IF(J2773=1,"Every week",R2773+1&amp;" of "&amp;J2773))</f>
        <v/>
      </c>
      <c r="N2773" s="28" t="str">
        <f aca="false">IF(J2773="","",Settings!$B$4+R2773*7+Q2773)</f>
        <v/>
      </c>
      <c r="O2773" s="28" t="str">
        <f aca="true">IF(J2773="","",N2773+MAX(0,ROUNDUP((TODAY()-N2773)/(J2773*7),0))*J2773*7)</f>
        <v/>
      </c>
      <c r="P2773" s="27" t="str">
        <f aca="false">IF(J2773="","",MOD(K2773-1,J2773*4))</f>
        <v/>
      </c>
      <c r="Q2773" s="27" t="str">
        <f aca="false">IF(J2773="","",MOD(P2773,4))</f>
        <v/>
      </c>
      <c r="R2773" s="27" t="str">
        <f aca="false">IF(J2773="","",INT(P2773/4))</f>
        <v/>
      </c>
      <c r="S2773" s="27" t="str">
        <f aca="false">IF(J2773="","",IF(AND('Daily Count Sheet'!$H$3=Q2773,MOD('Daily Count Sheet'!$I$3,J2773)=R2773),1,""))</f>
        <v/>
      </c>
      <c r="T2773" s="27" t="str">
        <f aca="false">IF(S2773=1,COUNTIF($S$2:S2773,1),"")</f>
        <v/>
      </c>
    </row>
    <row r="2774" customFormat="false" ht="15" hidden="false" customHeight="false" outlineLevel="0" collapsed="false">
      <c r="H2774" s="26"/>
      <c r="I2774" s="27" t="str">
        <f aca="false">IF(A2774="","",IF(H2774&lt;&gt;"",UPPER(TRIM(H2774)),IFERROR(CHOOSE(VALUE(E2774)+1,"A","B","C","D"),IF(OR(LEFT(UPPER(TRIM(E2774)),1)="F",UPPER(TRIM(E2774))="A"),"A",IF(OR(LEFT(UPPER(TRIM(E2774)),1)="M",UPPER(TRIM(E2774))="B"),"B",IF(OR(LEFT(UPPER(TRIM(E2774)),2)="SL",UPPER(TRIM(E2774))="C"),"C",IF(OR(LEFT(UPPER(TRIM(E2774)),1)="D",UPPER(TRIM(E2774))="D"),"D","")))))))</f>
        <v/>
      </c>
      <c r="J2774" s="27" t="str">
        <f aca="false">IF(I2774="","",IF(AND(I2774="D",Settings!$B$6&lt;&gt;"Yes"),"",IFERROR(INDEX(Settings!$C$9:$C$12,MATCH(I2774,Settings!$A$9:$A$12,0)),"")))</f>
        <v/>
      </c>
      <c r="K2774" s="27" t="str">
        <f aca="false">IF(J2774="","",COUNTIF($I$2:I2774,I2774))</f>
        <v/>
      </c>
      <c r="L2774" s="27" t="str">
        <f aca="false">IF(J2774="","",CHOOSE(Q2774+1,"Tue","Wed","Thu","Fri"))</f>
        <v/>
      </c>
      <c r="M2774" s="27" t="str">
        <f aca="false">IF(J2774="","",IF(J2774=1,"Every week",R2774+1&amp;" of "&amp;J2774))</f>
        <v/>
      </c>
      <c r="N2774" s="28" t="str">
        <f aca="false">IF(J2774="","",Settings!$B$4+R2774*7+Q2774)</f>
        <v/>
      </c>
      <c r="O2774" s="28" t="str">
        <f aca="true">IF(J2774="","",N2774+MAX(0,ROUNDUP((TODAY()-N2774)/(J2774*7),0))*J2774*7)</f>
        <v/>
      </c>
      <c r="P2774" s="27" t="str">
        <f aca="false">IF(J2774="","",MOD(K2774-1,J2774*4))</f>
        <v/>
      </c>
      <c r="Q2774" s="27" t="str">
        <f aca="false">IF(J2774="","",MOD(P2774,4))</f>
        <v/>
      </c>
      <c r="R2774" s="27" t="str">
        <f aca="false">IF(J2774="","",INT(P2774/4))</f>
        <v/>
      </c>
      <c r="S2774" s="27" t="str">
        <f aca="false">IF(J2774="","",IF(AND('Daily Count Sheet'!$H$3=Q2774,MOD('Daily Count Sheet'!$I$3,J2774)=R2774),1,""))</f>
        <v/>
      </c>
      <c r="T2774" s="27" t="str">
        <f aca="false">IF(S2774=1,COUNTIF($S$2:S2774,1),"")</f>
        <v/>
      </c>
    </row>
    <row r="2775" customFormat="false" ht="15" hidden="false" customHeight="false" outlineLevel="0" collapsed="false">
      <c r="H2775" s="26"/>
      <c r="I2775" s="27" t="str">
        <f aca="false">IF(A2775="","",IF(H2775&lt;&gt;"",UPPER(TRIM(H2775)),IFERROR(CHOOSE(VALUE(E2775)+1,"A","B","C","D"),IF(OR(LEFT(UPPER(TRIM(E2775)),1)="F",UPPER(TRIM(E2775))="A"),"A",IF(OR(LEFT(UPPER(TRIM(E2775)),1)="M",UPPER(TRIM(E2775))="B"),"B",IF(OR(LEFT(UPPER(TRIM(E2775)),2)="SL",UPPER(TRIM(E2775))="C"),"C",IF(OR(LEFT(UPPER(TRIM(E2775)),1)="D",UPPER(TRIM(E2775))="D"),"D","")))))))</f>
        <v/>
      </c>
      <c r="J2775" s="27" t="str">
        <f aca="false">IF(I2775="","",IF(AND(I2775="D",Settings!$B$6&lt;&gt;"Yes"),"",IFERROR(INDEX(Settings!$C$9:$C$12,MATCH(I2775,Settings!$A$9:$A$12,0)),"")))</f>
        <v/>
      </c>
      <c r="K2775" s="27" t="str">
        <f aca="false">IF(J2775="","",COUNTIF($I$2:I2775,I2775))</f>
        <v/>
      </c>
      <c r="L2775" s="27" t="str">
        <f aca="false">IF(J2775="","",CHOOSE(Q2775+1,"Tue","Wed","Thu","Fri"))</f>
        <v/>
      </c>
      <c r="M2775" s="27" t="str">
        <f aca="false">IF(J2775="","",IF(J2775=1,"Every week",R2775+1&amp;" of "&amp;J2775))</f>
        <v/>
      </c>
      <c r="N2775" s="28" t="str">
        <f aca="false">IF(J2775="","",Settings!$B$4+R2775*7+Q2775)</f>
        <v/>
      </c>
      <c r="O2775" s="28" t="str">
        <f aca="true">IF(J2775="","",N2775+MAX(0,ROUNDUP((TODAY()-N2775)/(J2775*7),0))*J2775*7)</f>
        <v/>
      </c>
      <c r="P2775" s="27" t="str">
        <f aca="false">IF(J2775="","",MOD(K2775-1,J2775*4))</f>
        <v/>
      </c>
      <c r="Q2775" s="27" t="str">
        <f aca="false">IF(J2775="","",MOD(P2775,4))</f>
        <v/>
      </c>
      <c r="R2775" s="27" t="str">
        <f aca="false">IF(J2775="","",INT(P2775/4))</f>
        <v/>
      </c>
      <c r="S2775" s="27" t="str">
        <f aca="false">IF(J2775="","",IF(AND('Daily Count Sheet'!$H$3=Q2775,MOD('Daily Count Sheet'!$I$3,J2775)=R2775),1,""))</f>
        <v/>
      </c>
      <c r="T2775" s="27" t="str">
        <f aca="false">IF(S2775=1,COUNTIF($S$2:S2775,1),"")</f>
        <v/>
      </c>
    </row>
    <row r="2776" customFormat="false" ht="15" hidden="false" customHeight="false" outlineLevel="0" collapsed="false">
      <c r="H2776" s="26"/>
      <c r="I2776" s="27" t="str">
        <f aca="false">IF(A2776="","",IF(H2776&lt;&gt;"",UPPER(TRIM(H2776)),IFERROR(CHOOSE(VALUE(E2776)+1,"A","B","C","D"),IF(OR(LEFT(UPPER(TRIM(E2776)),1)="F",UPPER(TRIM(E2776))="A"),"A",IF(OR(LEFT(UPPER(TRIM(E2776)),1)="M",UPPER(TRIM(E2776))="B"),"B",IF(OR(LEFT(UPPER(TRIM(E2776)),2)="SL",UPPER(TRIM(E2776))="C"),"C",IF(OR(LEFT(UPPER(TRIM(E2776)),1)="D",UPPER(TRIM(E2776))="D"),"D","")))))))</f>
        <v/>
      </c>
      <c r="J2776" s="27" t="str">
        <f aca="false">IF(I2776="","",IF(AND(I2776="D",Settings!$B$6&lt;&gt;"Yes"),"",IFERROR(INDEX(Settings!$C$9:$C$12,MATCH(I2776,Settings!$A$9:$A$12,0)),"")))</f>
        <v/>
      </c>
      <c r="K2776" s="27" t="str">
        <f aca="false">IF(J2776="","",COUNTIF($I$2:I2776,I2776))</f>
        <v/>
      </c>
      <c r="L2776" s="27" t="str">
        <f aca="false">IF(J2776="","",CHOOSE(Q2776+1,"Tue","Wed","Thu","Fri"))</f>
        <v/>
      </c>
      <c r="M2776" s="27" t="str">
        <f aca="false">IF(J2776="","",IF(J2776=1,"Every week",R2776+1&amp;" of "&amp;J2776))</f>
        <v/>
      </c>
      <c r="N2776" s="28" t="str">
        <f aca="false">IF(J2776="","",Settings!$B$4+R2776*7+Q2776)</f>
        <v/>
      </c>
      <c r="O2776" s="28" t="str">
        <f aca="true">IF(J2776="","",N2776+MAX(0,ROUNDUP((TODAY()-N2776)/(J2776*7),0))*J2776*7)</f>
        <v/>
      </c>
      <c r="P2776" s="27" t="str">
        <f aca="false">IF(J2776="","",MOD(K2776-1,J2776*4))</f>
        <v/>
      </c>
      <c r="Q2776" s="27" t="str">
        <f aca="false">IF(J2776="","",MOD(P2776,4))</f>
        <v/>
      </c>
      <c r="R2776" s="27" t="str">
        <f aca="false">IF(J2776="","",INT(P2776/4))</f>
        <v/>
      </c>
      <c r="S2776" s="27" t="str">
        <f aca="false">IF(J2776="","",IF(AND('Daily Count Sheet'!$H$3=Q2776,MOD('Daily Count Sheet'!$I$3,J2776)=R2776),1,""))</f>
        <v/>
      </c>
      <c r="T2776" s="27" t="str">
        <f aca="false">IF(S2776=1,COUNTIF($S$2:S2776,1),"")</f>
        <v/>
      </c>
    </row>
    <row r="2777" customFormat="false" ht="15" hidden="false" customHeight="false" outlineLevel="0" collapsed="false">
      <c r="H2777" s="26"/>
      <c r="I2777" s="27" t="str">
        <f aca="false">IF(A2777="","",IF(H2777&lt;&gt;"",UPPER(TRIM(H2777)),IFERROR(CHOOSE(VALUE(E2777)+1,"A","B","C","D"),IF(OR(LEFT(UPPER(TRIM(E2777)),1)="F",UPPER(TRIM(E2777))="A"),"A",IF(OR(LEFT(UPPER(TRIM(E2777)),1)="M",UPPER(TRIM(E2777))="B"),"B",IF(OR(LEFT(UPPER(TRIM(E2777)),2)="SL",UPPER(TRIM(E2777))="C"),"C",IF(OR(LEFT(UPPER(TRIM(E2777)),1)="D",UPPER(TRIM(E2777))="D"),"D","")))))))</f>
        <v/>
      </c>
      <c r="J2777" s="27" t="str">
        <f aca="false">IF(I2777="","",IF(AND(I2777="D",Settings!$B$6&lt;&gt;"Yes"),"",IFERROR(INDEX(Settings!$C$9:$C$12,MATCH(I2777,Settings!$A$9:$A$12,0)),"")))</f>
        <v/>
      </c>
      <c r="K2777" s="27" t="str">
        <f aca="false">IF(J2777="","",COUNTIF($I$2:I2777,I2777))</f>
        <v/>
      </c>
      <c r="L2777" s="27" t="str">
        <f aca="false">IF(J2777="","",CHOOSE(Q2777+1,"Tue","Wed","Thu","Fri"))</f>
        <v/>
      </c>
      <c r="M2777" s="27" t="str">
        <f aca="false">IF(J2777="","",IF(J2777=1,"Every week",R2777+1&amp;" of "&amp;J2777))</f>
        <v/>
      </c>
      <c r="N2777" s="28" t="str">
        <f aca="false">IF(J2777="","",Settings!$B$4+R2777*7+Q2777)</f>
        <v/>
      </c>
      <c r="O2777" s="28" t="str">
        <f aca="true">IF(J2777="","",N2777+MAX(0,ROUNDUP((TODAY()-N2777)/(J2777*7),0))*J2777*7)</f>
        <v/>
      </c>
      <c r="P2777" s="27" t="str">
        <f aca="false">IF(J2777="","",MOD(K2777-1,J2777*4))</f>
        <v/>
      </c>
      <c r="Q2777" s="27" t="str">
        <f aca="false">IF(J2777="","",MOD(P2777,4))</f>
        <v/>
      </c>
      <c r="R2777" s="27" t="str">
        <f aca="false">IF(J2777="","",INT(P2777/4))</f>
        <v/>
      </c>
      <c r="S2777" s="27" t="str">
        <f aca="false">IF(J2777="","",IF(AND('Daily Count Sheet'!$H$3=Q2777,MOD('Daily Count Sheet'!$I$3,J2777)=R2777),1,""))</f>
        <v/>
      </c>
      <c r="T2777" s="27" t="str">
        <f aca="false">IF(S2777=1,COUNTIF($S$2:S2777,1),"")</f>
        <v/>
      </c>
    </row>
    <row r="2778" customFormat="false" ht="15" hidden="false" customHeight="false" outlineLevel="0" collapsed="false">
      <c r="H2778" s="26"/>
      <c r="I2778" s="27" t="str">
        <f aca="false">IF(A2778="","",IF(H2778&lt;&gt;"",UPPER(TRIM(H2778)),IFERROR(CHOOSE(VALUE(E2778)+1,"A","B","C","D"),IF(OR(LEFT(UPPER(TRIM(E2778)),1)="F",UPPER(TRIM(E2778))="A"),"A",IF(OR(LEFT(UPPER(TRIM(E2778)),1)="M",UPPER(TRIM(E2778))="B"),"B",IF(OR(LEFT(UPPER(TRIM(E2778)),2)="SL",UPPER(TRIM(E2778))="C"),"C",IF(OR(LEFT(UPPER(TRIM(E2778)),1)="D",UPPER(TRIM(E2778))="D"),"D","")))))))</f>
        <v/>
      </c>
      <c r="J2778" s="27" t="str">
        <f aca="false">IF(I2778="","",IF(AND(I2778="D",Settings!$B$6&lt;&gt;"Yes"),"",IFERROR(INDEX(Settings!$C$9:$C$12,MATCH(I2778,Settings!$A$9:$A$12,0)),"")))</f>
        <v/>
      </c>
      <c r="K2778" s="27" t="str">
        <f aca="false">IF(J2778="","",COUNTIF($I$2:I2778,I2778))</f>
        <v/>
      </c>
      <c r="L2778" s="27" t="str">
        <f aca="false">IF(J2778="","",CHOOSE(Q2778+1,"Tue","Wed","Thu","Fri"))</f>
        <v/>
      </c>
      <c r="M2778" s="27" t="str">
        <f aca="false">IF(J2778="","",IF(J2778=1,"Every week",R2778+1&amp;" of "&amp;J2778))</f>
        <v/>
      </c>
      <c r="N2778" s="28" t="str">
        <f aca="false">IF(J2778="","",Settings!$B$4+R2778*7+Q2778)</f>
        <v/>
      </c>
      <c r="O2778" s="28" t="str">
        <f aca="true">IF(J2778="","",N2778+MAX(0,ROUNDUP((TODAY()-N2778)/(J2778*7),0))*J2778*7)</f>
        <v/>
      </c>
      <c r="P2778" s="27" t="str">
        <f aca="false">IF(J2778="","",MOD(K2778-1,J2778*4))</f>
        <v/>
      </c>
      <c r="Q2778" s="27" t="str">
        <f aca="false">IF(J2778="","",MOD(P2778,4))</f>
        <v/>
      </c>
      <c r="R2778" s="27" t="str">
        <f aca="false">IF(J2778="","",INT(P2778/4))</f>
        <v/>
      </c>
      <c r="S2778" s="27" t="str">
        <f aca="false">IF(J2778="","",IF(AND('Daily Count Sheet'!$H$3=Q2778,MOD('Daily Count Sheet'!$I$3,J2778)=R2778),1,""))</f>
        <v/>
      </c>
      <c r="T2778" s="27" t="str">
        <f aca="false">IF(S2778=1,COUNTIF($S$2:S2778,1),"")</f>
        <v/>
      </c>
    </row>
    <row r="2779" customFormat="false" ht="15" hidden="false" customHeight="false" outlineLevel="0" collapsed="false">
      <c r="H2779" s="26"/>
      <c r="I2779" s="27" t="str">
        <f aca="false">IF(A2779="","",IF(H2779&lt;&gt;"",UPPER(TRIM(H2779)),IFERROR(CHOOSE(VALUE(E2779)+1,"A","B","C","D"),IF(OR(LEFT(UPPER(TRIM(E2779)),1)="F",UPPER(TRIM(E2779))="A"),"A",IF(OR(LEFT(UPPER(TRIM(E2779)),1)="M",UPPER(TRIM(E2779))="B"),"B",IF(OR(LEFT(UPPER(TRIM(E2779)),2)="SL",UPPER(TRIM(E2779))="C"),"C",IF(OR(LEFT(UPPER(TRIM(E2779)),1)="D",UPPER(TRIM(E2779))="D"),"D","")))))))</f>
        <v/>
      </c>
      <c r="J2779" s="27" t="str">
        <f aca="false">IF(I2779="","",IF(AND(I2779="D",Settings!$B$6&lt;&gt;"Yes"),"",IFERROR(INDEX(Settings!$C$9:$C$12,MATCH(I2779,Settings!$A$9:$A$12,0)),"")))</f>
        <v/>
      </c>
      <c r="K2779" s="27" t="str">
        <f aca="false">IF(J2779="","",COUNTIF($I$2:I2779,I2779))</f>
        <v/>
      </c>
      <c r="L2779" s="27" t="str">
        <f aca="false">IF(J2779="","",CHOOSE(Q2779+1,"Tue","Wed","Thu","Fri"))</f>
        <v/>
      </c>
      <c r="M2779" s="27" t="str">
        <f aca="false">IF(J2779="","",IF(J2779=1,"Every week",R2779+1&amp;" of "&amp;J2779))</f>
        <v/>
      </c>
      <c r="N2779" s="28" t="str">
        <f aca="false">IF(J2779="","",Settings!$B$4+R2779*7+Q2779)</f>
        <v/>
      </c>
      <c r="O2779" s="28" t="str">
        <f aca="true">IF(J2779="","",N2779+MAX(0,ROUNDUP((TODAY()-N2779)/(J2779*7),0))*J2779*7)</f>
        <v/>
      </c>
      <c r="P2779" s="27" t="str">
        <f aca="false">IF(J2779="","",MOD(K2779-1,J2779*4))</f>
        <v/>
      </c>
      <c r="Q2779" s="27" t="str">
        <f aca="false">IF(J2779="","",MOD(P2779,4))</f>
        <v/>
      </c>
      <c r="R2779" s="27" t="str">
        <f aca="false">IF(J2779="","",INT(P2779/4))</f>
        <v/>
      </c>
      <c r="S2779" s="27" t="str">
        <f aca="false">IF(J2779="","",IF(AND('Daily Count Sheet'!$H$3=Q2779,MOD('Daily Count Sheet'!$I$3,J2779)=R2779),1,""))</f>
        <v/>
      </c>
      <c r="T2779" s="27" t="str">
        <f aca="false">IF(S2779=1,COUNTIF($S$2:S2779,1),"")</f>
        <v/>
      </c>
    </row>
    <row r="2780" customFormat="false" ht="15" hidden="false" customHeight="false" outlineLevel="0" collapsed="false">
      <c r="H2780" s="26"/>
      <c r="I2780" s="27" t="str">
        <f aca="false">IF(A2780="","",IF(H2780&lt;&gt;"",UPPER(TRIM(H2780)),IFERROR(CHOOSE(VALUE(E2780)+1,"A","B","C","D"),IF(OR(LEFT(UPPER(TRIM(E2780)),1)="F",UPPER(TRIM(E2780))="A"),"A",IF(OR(LEFT(UPPER(TRIM(E2780)),1)="M",UPPER(TRIM(E2780))="B"),"B",IF(OR(LEFT(UPPER(TRIM(E2780)),2)="SL",UPPER(TRIM(E2780))="C"),"C",IF(OR(LEFT(UPPER(TRIM(E2780)),1)="D",UPPER(TRIM(E2780))="D"),"D","")))))))</f>
        <v/>
      </c>
      <c r="J2780" s="27" t="str">
        <f aca="false">IF(I2780="","",IF(AND(I2780="D",Settings!$B$6&lt;&gt;"Yes"),"",IFERROR(INDEX(Settings!$C$9:$C$12,MATCH(I2780,Settings!$A$9:$A$12,0)),"")))</f>
        <v/>
      </c>
      <c r="K2780" s="27" t="str">
        <f aca="false">IF(J2780="","",COUNTIF($I$2:I2780,I2780))</f>
        <v/>
      </c>
      <c r="L2780" s="27" t="str">
        <f aca="false">IF(J2780="","",CHOOSE(Q2780+1,"Tue","Wed","Thu","Fri"))</f>
        <v/>
      </c>
      <c r="M2780" s="27" t="str">
        <f aca="false">IF(J2780="","",IF(J2780=1,"Every week",R2780+1&amp;" of "&amp;J2780))</f>
        <v/>
      </c>
      <c r="N2780" s="28" t="str">
        <f aca="false">IF(J2780="","",Settings!$B$4+R2780*7+Q2780)</f>
        <v/>
      </c>
      <c r="O2780" s="28" t="str">
        <f aca="true">IF(J2780="","",N2780+MAX(0,ROUNDUP((TODAY()-N2780)/(J2780*7),0))*J2780*7)</f>
        <v/>
      </c>
      <c r="P2780" s="27" t="str">
        <f aca="false">IF(J2780="","",MOD(K2780-1,J2780*4))</f>
        <v/>
      </c>
      <c r="Q2780" s="27" t="str">
        <f aca="false">IF(J2780="","",MOD(P2780,4))</f>
        <v/>
      </c>
      <c r="R2780" s="27" t="str">
        <f aca="false">IF(J2780="","",INT(P2780/4))</f>
        <v/>
      </c>
      <c r="S2780" s="27" t="str">
        <f aca="false">IF(J2780="","",IF(AND('Daily Count Sheet'!$H$3=Q2780,MOD('Daily Count Sheet'!$I$3,J2780)=R2780),1,""))</f>
        <v/>
      </c>
      <c r="T2780" s="27" t="str">
        <f aca="false">IF(S2780=1,COUNTIF($S$2:S2780,1),"")</f>
        <v/>
      </c>
    </row>
    <row r="2781" customFormat="false" ht="15" hidden="false" customHeight="false" outlineLevel="0" collapsed="false">
      <c r="H2781" s="26"/>
      <c r="I2781" s="27" t="str">
        <f aca="false">IF(A2781="","",IF(H2781&lt;&gt;"",UPPER(TRIM(H2781)),IFERROR(CHOOSE(VALUE(E2781)+1,"A","B","C","D"),IF(OR(LEFT(UPPER(TRIM(E2781)),1)="F",UPPER(TRIM(E2781))="A"),"A",IF(OR(LEFT(UPPER(TRIM(E2781)),1)="M",UPPER(TRIM(E2781))="B"),"B",IF(OR(LEFT(UPPER(TRIM(E2781)),2)="SL",UPPER(TRIM(E2781))="C"),"C",IF(OR(LEFT(UPPER(TRIM(E2781)),1)="D",UPPER(TRIM(E2781))="D"),"D","")))))))</f>
        <v/>
      </c>
      <c r="J2781" s="27" t="str">
        <f aca="false">IF(I2781="","",IF(AND(I2781="D",Settings!$B$6&lt;&gt;"Yes"),"",IFERROR(INDEX(Settings!$C$9:$C$12,MATCH(I2781,Settings!$A$9:$A$12,0)),"")))</f>
        <v/>
      </c>
      <c r="K2781" s="27" t="str">
        <f aca="false">IF(J2781="","",COUNTIF($I$2:I2781,I2781))</f>
        <v/>
      </c>
      <c r="L2781" s="27" t="str">
        <f aca="false">IF(J2781="","",CHOOSE(Q2781+1,"Tue","Wed","Thu","Fri"))</f>
        <v/>
      </c>
      <c r="M2781" s="27" t="str">
        <f aca="false">IF(J2781="","",IF(J2781=1,"Every week",R2781+1&amp;" of "&amp;J2781))</f>
        <v/>
      </c>
      <c r="N2781" s="28" t="str">
        <f aca="false">IF(J2781="","",Settings!$B$4+R2781*7+Q2781)</f>
        <v/>
      </c>
      <c r="O2781" s="28" t="str">
        <f aca="true">IF(J2781="","",N2781+MAX(0,ROUNDUP((TODAY()-N2781)/(J2781*7),0))*J2781*7)</f>
        <v/>
      </c>
      <c r="P2781" s="27" t="str">
        <f aca="false">IF(J2781="","",MOD(K2781-1,J2781*4))</f>
        <v/>
      </c>
      <c r="Q2781" s="27" t="str">
        <f aca="false">IF(J2781="","",MOD(P2781,4))</f>
        <v/>
      </c>
      <c r="R2781" s="27" t="str">
        <f aca="false">IF(J2781="","",INT(P2781/4))</f>
        <v/>
      </c>
      <c r="S2781" s="27" t="str">
        <f aca="false">IF(J2781="","",IF(AND('Daily Count Sheet'!$H$3=Q2781,MOD('Daily Count Sheet'!$I$3,J2781)=R2781),1,""))</f>
        <v/>
      </c>
      <c r="T2781" s="27" t="str">
        <f aca="false">IF(S2781=1,COUNTIF($S$2:S2781,1),"")</f>
        <v/>
      </c>
    </row>
    <row r="2782" customFormat="false" ht="15" hidden="false" customHeight="false" outlineLevel="0" collapsed="false">
      <c r="H2782" s="26"/>
      <c r="I2782" s="27" t="str">
        <f aca="false">IF(A2782="","",IF(H2782&lt;&gt;"",UPPER(TRIM(H2782)),IFERROR(CHOOSE(VALUE(E2782)+1,"A","B","C","D"),IF(OR(LEFT(UPPER(TRIM(E2782)),1)="F",UPPER(TRIM(E2782))="A"),"A",IF(OR(LEFT(UPPER(TRIM(E2782)),1)="M",UPPER(TRIM(E2782))="B"),"B",IF(OR(LEFT(UPPER(TRIM(E2782)),2)="SL",UPPER(TRIM(E2782))="C"),"C",IF(OR(LEFT(UPPER(TRIM(E2782)),1)="D",UPPER(TRIM(E2782))="D"),"D","")))))))</f>
        <v/>
      </c>
      <c r="J2782" s="27" t="str">
        <f aca="false">IF(I2782="","",IF(AND(I2782="D",Settings!$B$6&lt;&gt;"Yes"),"",IFERROR(INDEX(Settings!$C$9:$C$12,MATCH(I2782,Settings!$A$9:$A$12,0)),"")))</f>
        <v/>
      </c>
      <c r="K2782" s="27" t="str">
        <f aca="false">IF(J2782="","",COUNTIF($I$2:I2782,I2782))</f>
        <v/>
      </c>
      <c r="L2782" s="27" t="str">
        <f aca="false">IF(J2782="","",CHOOSE(Q2782+1,"Tue","Wed","Thu","Fri"))</f>
        <v/>
      </c>
      <c r="M2782" s="27" t="str">
        <f aca="false">IF(J2782="","",IF(J2782=1,"Every week",R2782+1&amp;" of "&amp;J2782))</f>
        <v/>
      </c>
      <c r="N2782" s="28" t="str">
        <f aca="false">IF(J2782="","",Settings!$B$4+R2782*7+Q2782)</f>
        <v/>
      </c>
      <c r="O2782" s="28" t="str">
        <f aca="true">IF(J2782="","",N2782+MAX(0,ROUNDUP((TODAY()-N2782)/(J2782*7),0))*J2782*7)</f>
        <v/>
      </c>
      <c r="P2782" s="27" t="str">
        <f aca="false">IF(J2782="","",MOD(K2782-1,J2782*4))</f>
        <v/>
      </c>
      <c r="Q2782" s="27" t="str">
        <f aca="false">IF(J2782="","",MOD(P2782,4))</f>
        <v/>
      </c>
      <c r="R2782" s="27" t="str">
        <f aca="false">IF(J2782="","",INT(P2782/4))</f>
        <v/>
      </c>
      <c r="S2782" s="27" t="str">
        <f aca="false">IF(J2782="","",IF(AND('Daily Count Sheet'!$H$3=Q2782,MOD('Daily Count Sheet'!$I$3,J2782)=R2782),1,""))</f>
        <v/>
      </c>
      <c r="T2782" s="27" t="str">
        <f aca="false">IF(S2782=1,COUNTIF($S$2:S2782,1),"")</f>
        <v/>
      </c>
    </row>
    <row r="2783" customFormat="false" ht="15" hidden="false" customHeight="false" outlineLevel="0" collapsed="false">
      <c r="H2783" s="26"/>
      <c r="I2783" s="27" t="str">
        <f aca="false">IF(A2783="","",IF(H2783&lt;&gt;"",UPPER(TRIM(H2783)),IFERROR(CHOOSE(VALUE(E2783)+1,"A","B","C","D"),IF(OR(LEFT(UPPER(TRIM(E2783)),1)="F",UPPER(TRIM(E2783))="A"),"A",IF(OR(LEFT(UPPER(TRIM(E2783)),1)="M",UPPER(TRIM(E2783))="B"),"B",IF(OR(LEFT(UPPER(TRIM(E2783)),2)="SL",UPPER(TRIM(E2783))="C"),"C",IF(OR(LEFT(UPPER(TRIM(E2783)),1)="D",UPPER(TRIM(E2783))="D"),"D","")))))))</f>
        <v/>
      </c>
      <c r="J2783" s="27" t="str">
        <f aca="false">IF(I2783="","",IF(AND(I2783="D",Settings!$B$6&lt;&gt;"Yes"),"",IFERROR(INDEX(Settings!$C$9:$C$12,MATCH(I2783,Settings!$A$9:$A$12,0)),"")))</f>
        <v/>
      </c>
      <c r="K2783" s="27" t="str">
        <f aca="false">IF(J2783="","",COUNTIF($I$2:I2783,I2783))</f>
        <v/>
      </c>
      <c r="L2783" s="27" t="str">
        <f aca="false">IF(J2783="","",CHOOSE(Q2783+1,"Tue","Wed","Thu","Fri"))</f>
        <v/>
      </c>
      <c r="M2783" s="27" t="str">
        <f aca="false">IF(J2783="","",IF(J2783=1,"Every week",R2783+1&amp;" of "&amp;J2783))</f>
        <v/>
      </c>
      <c r="N2783" s="28" t="str">
        <f aca="false">IF(J2783="","",Settings!$B$4+R2783*7+Q2783)</f>
        <v/>
      </c>
      <c r="O2783" s="28" t="str">
        <f aca="true">IF(J2783="","",N2783+MAX(0,ROUNDUP((TODAY()-N2783)/(J2783*7),0))*J2783*7)</f>
        <v/>
      </c>
      <c r="P2783" s="27" t="str">
        <f aca="false">IF(J2783="","",MOD(K2783-1,J2783*4))</f>
        <v/>
      </c>
      <c r="Q2783" s="27" t="str">
        <f aca="false">IF(J2783="","",MOD(P2783,4))</f>
        <v/>
      </c>
      <c r="R2783" s="27" t="str">
        <f aca="false">IF(J2783="","",INT(P2783/4))</f>
        <v/>
      </c>
      <c r="S2783" s="27" t="str">
        <f aca="false">IF(J2783="","",IF(AND('Daily Count Sheet'!$H$3=Q2783,MOD('Daily Count Sheet'!$I$3,J2783)=R2783),1,""))</f>
        <v/>
      </c>
      <c r="T2783" s="27" t="str">
        <f aca="false">IF(S2783=1,COUNTIF($S$2:S2783,1),"")</f>
        <v/>
      </c>
    </row>
    <row r="2784" customFormat="false" ht="15" hidden="false" customHeight="false" outlineLevel="0" collapsed="false">
      <c r="H2784" s="26"/>
      <c r="I2784" s="27" t="str">
        <f aca="false">IF(A2784="","",IF(H2784&lt;&gt;"",UPPER(TRIM(H2784)),IFERROR(CHOOSE(VALUE(E2784)+1,"A","B","C","D"),IF(OR(LEFT(UPPER(TRIM(E2784)),1)="F",UPPER(TRIM(E2784))="A"),"A",IF(OR(LEFT(UPPER(TRIM(E2784)),1)="M",UPPER(TRIM(E2784))="B"),"B",IF(OR(LEFT(UPPER(TRIM(E2784)),2)="SL",UPPER(TRIM(E2784))="C"),"C",IF(OR(LEFT(UPPER(TRIM(E2784)),1)="D",UPPER(TRIM(E2784))="D"),"D","")))))))</f>
        <v/>
      </c>
      <c r="J2784" s="27" t="str">
        <f aca="false">IF(I2784="","",IF(AND(I2784="D",Settings!$B$6&lt;&gt;"Yes"),"",IFERROR(INDEX(Settings!$C$9:$C$12,MATCH(I2784,Settings!$A$9:$A$12,0)),"")))</f>
        <v/>
      </c>
      <c r="K2784" s="27" t="str">
        <f aca="false">IF(J2784="","",COUNTIF($I$2:I2784,I2784))</f>
        <v/>
      </c>
      <c r="L2784" s="27" t="str">
        <f aca="false">IF(J2784="","",CHOOSE(Q2784+1,"Tue","Wed","Thu","Fri"))</f>
        <v/>
      </c>
      <c r="M2784" s="27" t="str">
        <f aca="false">IF(J2784="","",IF(J2784=1,"Every week",R2784+1&amp;" of "&amp;J2784))</f>
        <v/>
      </c>
      <c r="N2784" s="28" t="str">
        <f aca="false">IF(J2784="","",Settings!$B$4+R2784*7+Q2784)</f>
        <v/>
      </c>
      <c r="O2784" s="28" t="str">
        <f aca="true">IF(J2784="","",N2784+MAX(0,ROUNDUP((TODAY()-N2784)/(J2784*7),0))*J2784*7)</f>
        <v/>
      </c>
      <c r="P2784" s="27" t="str">
        <f aca="false">IF(J2784="","",MOD(K2784-1,J2784*4))</f>
        <v/>
      </c>
      <c r="Q2784" s="27" t="str">
        <f aca="false">IF(J2784="","",MOD(P2784,4))</f>
        <v/>
      </c>
      <c r="R2784" s="27" t="str">
        <f aca="false">IF(J2784="","",INT(P2784/4))</f>
        <v/>
      </c>
      <c r="S2784" s="27" t="str">
        <f aca="false">IF(J2784="","",IF(AND('Daily Count Sheet'!$H$3=Q2784,MOD('Daily Count Sheet'!$I$3,J2784)=R2784),1,""))</f>
        <v/>
      </c>
      <c r="T2784" s="27" t="str">
        <f aca="false">IF(S2784=1,COUNTIF($S$2:S2784,1),"")</f>
        <v/>
      </c>
    </row>
    <row r="2785" customFormat="false" ht="15" hidden="false" customHeight="false" outlineLevel="0" collapsed="false">
      <c r="H2785" s="26"/>
      <c r="I2785" s="27" t="str">
        <f aca="false">IF(A2785="","",IF(H2785&lt;&gt;"",UPPER(TRIM(H2785)),IFERROR(CHOOSE(VALUE(E2785)+1,"A","B","C","D"),IF(OR(LEFT(UPPER(TRIM(E2785)),1)="F",UPPER(TRIM(E2785))="A"),"A",IF(OR(LEFT(UPPER(TRIM(E2785)),1)="M",UPPER(TRIM(E2785))="B"),"B",IF(OR(LEFT(UPPER(TRIM(E2785)),2)="SL",UPPER(TRIM(E2785))="C"),"C",IF(OR(LEFT(UPPER(TRIM(E2785)),1)="D",UPPER(TRIM(E2785))="D"),"D","")))))))</f>
        <v/>
      </c>
      <c r="J2785" s="27" t="str">
        <f aca="false">IF(I2785="","",IF(AND(I2785="D",Settings!$B$6&lt;&gt;"Yes"),"",IFERROR(INDEX(Settings!$C$9:$C$12,MATCH(I2785,Settings!$A$9:$A$12,0)),"")))</f>
        <v/>
      </c>
      <c r="K2785" s="27" t="str">
        <f aca="false">IF(J2785="","",COUNTIF($I$2:I2785,I2785))</f>
        <v/>
      </c>
      <c r="L2785" s="27" t="str">
        <f aca="false">IF(J2785="","",CHOOSE(Q2785+1,"Tue","Wed","Thu","Fri"))</f>
        <v/>
      </c>
      <c r="M2785" s="27" t="str">
        <f aca="false">IF(J2785="","",IF(J2785=1,"Every week",R2785+1&amp;" of "&amp;J2785))</f>
        <v/>
      </c>
      <c r="N2785" s="28" t="str">
        <f aca="false">IF(J2785="","",Settings!$B$4+R2785*7+Q2785)</f>
        <v/>
      </c>
      <c r="O2785" s="28" t="str">
        <f aca="true">IF(J2785="","",N2785+MAX(0,ROUNDUP((TODAY()-N2785)/(J2785*7),0))*J2785*7)</f>
        <v/>
      </c>
      <c r="P2785" s="27" t="str">
        <f aca="false">IF(J2785="","",MOD(K2785-1,J2785*4))</f>
        <v/>
      </c>
      <c r="Q2785" s="27" t="str">
        <f aca="false">IF(J2785="","",MOD(P2785,4))</f>
        <v/>
      </c>
      <c r="R2785" s="27" t="str">
        <f aca="false">IF(J2785="","",INT(P2785/4))</f>
        <v/>
      </c>
      <c r="S2785" s="27" t="str">
        <f aca="false">IF(J2785="","",IF(AND('Daily Count Sheet'!$H$3=Q2785,MOD('Daily Count Sheet'!$I$3,J2785)=R2785),1,""))</f>
        <v/>
      </c>
      <c r="T2785" s="27" t="str">
        <f aca="false">IF(S2785=1,COUNTIF($S$2:S2785,1),"")</f>
        <v/>
      </c>
    </row>
    <row r="2786" customFormat="false" ht="15" hidden="false" customHeight="false" outlineLevel="0" collapsed="false">
      <c r="H2786" s="26"/>
      <c r="I2786" s="27" t="str">
        <f aca="false">IF(A2786="","",IF(H2786&lt;&gt;"",UPPER(TRIM(H2786)),IFERROR(CHOOSE(VALUE(E2786)+1,"A","B","C","D"),IF(OR(LEFT(UPPER(TRIM(E2786)),1)="F",UPPER(TRIM(E2786))="A"),"A",IF(OR(LEFT(UPPER(TRIM(E2786)),1)="M",UPPER(TRIM(E2786))="B"),"B",IF(OR(LEFT(UPPER(TRIM(E2786)),2)="SL",UPPER(TRIM(E2786))="C"),"C",IF(OR(LEFT(UPPER(TRIM(E2786)),1)="D",UPPER(TRIM(E2786))="D"),"D","")))))))</f>
        <v/>
      </c>
      <c r="J2786" s="27" t="str">
        <f aca="false">IF(I2786="","",IF(AND(I2786="D",Settings!$B$6&lt;&gt;"Yes"),"",IFERROR(INDEX(Settings!$C$9:$C$12,MATCH(I2786,Settings!$A$9:$A$12,0)),"")))</f>
        <v/>
      </c>
      <c r="K2786" s="27" t="str">
        <f aca="false">IF(J2786="","",COUNTIF($I$2:I2786,I2786))</f>
        <v/>
      </c>
      <c r="L2786" s="27" t="str">
        <f aca="false">IF(J2786="","",CHOOSE(Q2786+1,"Tue","Wed","Thu","Fri"))</f>
        <v/>
      </c>
      <c r="M2786" s="27" t="str">
        <f aca="false">IF(J2786="","",IF(J2786=1,"Every week",R2786+1&amp;" of "&amp;J2786))</f>
        <v/>
      </c>
      <c r="N2786" s="28" t="str">
        <f aca="false">IF(J2786="","",Settings!$B$4+R2786*7+Q2786)</f>
        <v/>
      </c>
      <c r="O2786" s="28" t="str">
        <f aca="true">IF(J2786="","",N2786+MAX(0,ROUNDUP((TODAY()-N2786)/(J2786*7),0))*J2786*7)</f>
        <v/>
      </c>
      <c r="P2786" s="27" t="str">
        <f aca="false">IF(J2786="","",MOD(K2786-1,J2786*4))</f>
        <v/>
      </c>
      <c r="Q2786" s="27" t="str">
        <f aca="false">IF(J2786="","",MOD(P2786,4))</f>
        <v/>
      </c>
      <c r="R2786" s="27" t="str">
        <f aca="false">IF(J2786="","",INT(P2786/4))</f>
        <v/>
      </c>
      <c r="S2786" s="27" t="str">
        <f aca="false">IF(J2786="","",IF(AND('Daily Count Sheet'!$H$3=Q2786,MOD('Daily Count Sheet'!$I$3,J2786)=R2786),1,""))</f>
        <v/>
      </c>
      <c r="T2786" s="27" t="str">
        <f aca="false">IF(S2786=1,COUNTIF($S$2:S2786,1),"")</f>
        <v/>
      </c>
    </row>
    <row r="2787" customFormat="false" ht="15" hidden="false" customHeight="false" outlineLevel="0" collapsed="false">
      <c r="H2787" s="26"/>
      <c r="I2787" s="27" t="str">
        <f aca="false">IF(A2787="","",IF(H2787&lt;&gt;"",UPPER(TRIM(H2787)),IFERROR(CHOOSE(VALUE(E2787)+1,"A","B","C","D"),IF(OR(LEFT(UPPER(TRIM(E2787)),1)="F",UPPER(TRIM(E2787))="A"),"A",IF(OR(LEFT(UPPER(TRIM(E2787)),1)="M",UPPER(TRIM(E2787))="B"),"B",IF(OR(LEFT(UPPER(TRIM(E2787)),2)="SL",UPPER(TRIM(E2787))="C"),"C",IF(OR(LEFT(UPPER(TRIM(E2787)),1)="D",UPPER(TRIM(E2787))="D"),"D","")))))))</f>
        <v/>
      </c>
      <c r="J2787" s="27" t="str">
        <f aca="false">IF(I2787="","",IF(AND(I2787="D",Settings!$B$6&lt;&gt;"Yes"),"",IFERROR(INDEX(Settings!$C$9:$C$12,MATCH(I2787,Settings!$A$9:$A$12,0)),"")))</f>
        <v/>
      </c>
      <c r="K2787" s="27" t="str">
        <f aca="false">IF(J2787="","",COUNTIF($I$2:I2787,I2787))</f>
        <v/>
      </c>
      <c r="L2787" s="27" t="str">
        <f aca="false">IF(J2787="","",CHOOSE(Q2787+1,"Tue","Wed","Thu","Fri"))</f>
        <v/>
      </c>
      <c r="M2787" s="27" t="str">
        <f aca="false">IF(J2787="","",IF(J2787=1,"Every week",R2787+1&amp;" of "&amp;J2787))</f>
        <v/>
      </c>
      <c r="N2787" s="28" t="str">
        <f aca="false">IF(J2787="","",Settings!$B$4+R2787*7+Q2787)</f>
        <v/>
      </c>
      <c r="O2787" s="28" t="str">
        <f aca="true">IF(J2787="","",N2787+MAX(0,ROUNDUP((TODAY()-N2787)/(J2787*7),0))*J2787*7)</f>
        <v/>
      </c>
      <c r="P2787" s="27" t="str">
        <f aca="false">IF(J2787="","",MOD(K2787-1,J2787*4))</f>
        <v/>
      </c>
      <c r="Q2787" s="27" t="str">
        <f aca="false">IF(J2787="","",MOD(P2787,4))</f>
        <v/>
      </c>
      <c r="R2787" s="27" t="str">
        <f aca="false">IF(J2787="","",INT(P2787/4))</f>
        <v/>
      </c>
      <c r="S2787" s="27" t="str">
        <f aca="false">IF(J2787="","",IF(AND('Daily Count Sheet'!$H$3=Q2787,MOD('Daily Count Sheet'!$I$3,J2787)=R2787),1,""))</f>
        <v/>
      </c>
      <c r="T2787" s="27" t="str">
        <f aca="false">IF(S2787=1,COUNTIF($S$2:S2787,1),"")</f>
        <v/>
      </c>
    </row>
    <row r="2788" customFormat="false" ht="15" hidden="false" customHeight="false" outlineLevel="0" collapsed="false">
      <c r="H2788" s="26"/>
      <c r="I2788" s="27" t="str">
        <f aca="false">IF(A2788="","",IF(H2788&lt;&gt;"",UPPER(TRIM(H2788)),IFERROR(CHOOSE(VALUE(E2788)+1,"A","B","C","D"),IF(OR(LEFT(UPPER(TRIM(E2788)),1)="F",UPPER(TRIM(E2788))="A"),"A",IF(OR(LEFT(UPPER(TRIM(E2788)),1)="M",UPPER(TRIM(E2788))="B"),"B",IF(OR(LEFT(UPPER(TRIM(E2788)),2)="SL",UPPER(TRIM(E2788))="C"),"C",IF(OR(LEFT(UPPER(TRIM(E2788)),1)="D",UPPER(TRIM(E2788))="D"),"D","")))))))</f>
        <v/>
      </c>
      <c r="J2788" s="27" t="str">
        <f aca="false">IF(I2788="","",IF(AND(I2788="D",Settings!$B$6&lt;&gt;"Yes"),"",IFERROR(INDEX(Settings!$C$9:$C$12,MATCH(I2788,Settings!$A$9:$A$12,0)),"")))</f>
        <v/>
      </c>
      <c r="K2788" s="27" t="str">
        <f aca="false">IF(J2788="","",COUNTIF($I$2:I2788,I2788))</f>
        <v/>
      </c>
      <c r="L2788" s="27" t="str">
        <f aca="false">IF(J2788="","",CHOOSE(Q2788+1,"Tue","Wed","Thu","Fri"))</f>
        <v/>
      </c>
      <c r="M2788" s="27" t="str">
        <f aca="false">IF(J2788="","",IF(J2788=1,"Every week",R2788+1&amp;" of "&amp;J2788))</f>
        <v/>
      </c>
      <c r="N2788" s="28" t="str">
        <f aca="false">IF(J2788="","",Settings!$B$4+R2788*7+Q2788)</f>
        <v/>
      </c>
      <c r="O2788" s="28" t="str">
        <f aca="true">IF(J2788="","",N2788+MAX(0,ROUNDUP((TODAY()-N2788)/(J2788*7),0))*J2788*7)</f>
        <v/>
      </c>
      <c r="P2788" s="27" t="str">
        <f aca="false">IF(J2788="","",MOD(K2788-1,J2788*4))</f>
        <v/>
      </c>
      <c r="Q2788" s="27" t="str">
        <f aca="false">IF(J2788="","",MOD(P2788,4))</f>
        <v/>
      </c>
      <c r="R2788" s="27" t="str">
        <f aca="false">IF(J2788="","",INT(P2788/4))</f>
        <v/>
      </c>
      <c r="S2788" s="27" t="str">
        <f aca="false">IF(J2788="","",IF(AND('Daily Count Sheet'!$H$3=Q2788,MOD('Daily Count Sheet'!$I$3,J2788)=R2788),1,""))</f>
        <v/>
      </c>
      <c r="T2788" s="27" t="str">
        <f aca="false">IF(S2788=1,COUNTIF($S$2:S2788,1),"")</f>
        <v/>
      </c>
    </row>
    <row r="2789" customFormat="false" ht="15" hidden="false" customHeight="false" outlineLevel="0" collapsed="false">
      <c r="H2789" s="26"/>
      <c r="I2789" s="27" t="str">
        <f aca="false">IF(A2789="","",IF(H2789&lt;&gt;"",UPPER(TRIM(H2789)),IFERROR(CHOOSE(VALUE(E2789)+1,"A","B","C","D"),IF(OR(LEFT(UPPER(TRIM(E2789)),1)="F",UPPER(TRIM(E2789))="A"),"A",IF(OR(LEFT(UPPER(TRIM(E2789)),1)="M",UPPER(TRIM(E2789))="B"),"B",IF(OR(LEFT(UPPER(TRIM(E2789)),2)="SL",UPPER(TRIM(E2789))="C"),"C",IF(OR(LEFT(UPPER(TRIM(E2789)),1)="D",UPPER(TRIM(E2789))="D"),"D","")))))))</f>
        <v/>
      </c>
      <c r="J2789" s="27" t="str">
        <f aca="false">IF(I2789="","",IF(AND(I2789="D",Settings!$B$6&lt;&gt;"Yes"),"",IFERROR(INDEX(Settings!$C$9:$C$12,MATCH(I2789,Settings!$A$9:$A$12,0)),"")))</f>
        <v/>
      </c>
      <c r="K2789" s="27" t="str">
        <f aca="false">IF(J2789="","",COUNTIF($I$2:I2789,I2789))</f>
        <v/>
      </c>
      <c r="L2789" s="27" t="str">
        <f aca="false">IF(J2789="","",CHOOSE(Q2789+1,"Tue","Wed","Thu","Fri"))</f>
        <v/>
      </c>
      <c r="M2789" s="27" t="str">
        <f aca="false">IF(J2789="","",IF(J2789=1,"Every week",R2789+1&amp;" of "&amp;J2789))</f>
        <v/>
      </c>
      <c r="N2789" s="28" t="str">
        <f aca="false">IF(J2789="","",Settings!$B$4+R2789*7+Q2789)</f>
        <v/>
      </c>
      <c r="O2789" s="28" t="str">
        <f aca="true">IF(J2789="","",N2789+MAX(0,ROUNDUP((TODAY()-N2789)/(J2789*7),0))*J2789*7)</f>
        <v/>
      </c>
      <c r="P2789" s="27" t="str">
        <f aca="false">IF(J2789="","",MOD(K2789-1,J2789*4))</f>
        <v/>
      </c>
      <c r="Q2789" s="27" t="str">
        <f aca="false">IF(J2789="","",MOD(P2789,4))</f>
        <v/>
      </c>
      <c r="R2789" s="27" t="str">
        <f aca="false">IF(J2789="","",INT(P2789/4))</f>
        <v/>
      </c>
      <c r="S2789" s="27" t="str">
        <f aca="false">IF(J2789="","",IF(AND('Daily Count Sheet'!$H$3=Q2789,MOD('Daily Count Sheet'!$I$3,J2789)=R2789),1,""))</f>
        <v/>
      </c>
      <c r="T2789" s="27" t="str">
        <f aca="false">IF(S2789=1,COUNTIF($S$2:S2789,1),"")</f>
        <v/>
      </c>
    </row>
    <row r="2790" customFormat="false" ht="15" hidden="false" customHeight="false" outlineLevel="0" collapsed="false">
      <c r="H2790" s="26"/>
      <c r="I2790" s="27" t="str">
        <f aca="false">IF(A2790="","",IF(H2790&lt;&gt;"",UPPER(TRIM(H2790)),IFERROR(CHOOSE(VALUE(E2790)+1,"A","B","C","D"),IF(OR(LEFT(UPPER(TRIM(E2790)),1)="F",UPPER(TRIM(E2790))="A"),"A",IF(OR(LEFT(UPPER(TRIM(E2790)),1)="M",UPPER(TRIM(E2790))="B"),"B",IF(OR(LEFT(UPPER(TRIM(E2790)),2)="SL",UPPER(TRIM(E2790))="C"),"C",IF(OR(LEFT(UPPER(TRIM(E2790)),1)="D",UPPER(TRIM(E2790))="D"),"D","")))))))</f>
        <v/>
      </c>
      <c r="J2790" s="27" t="str">
        <f aca="false">IF(I2790="","",IF(AND(I2790="D",Settings!$B$6&lt;&gt;"Yes"),"",IFERROR(INDEX(Settings!$C$9:$C$12,MATCH(I2790,Settings!$A$9:$A$12,0)),"")))</f>
        <v/>
      </c>
      <c r="K2790" s="27" t="str">
        <f aca="false">IF(J2790="","",COUNTIF($I$2:I2790,I2790))</f>
        <v/>
      </c>
      <c r="L2790" s="27" t="str">
        <f aca="false">IF(J2790="","",CHOOSE(Q2790+1,"Tue","Wed","Thu","Fri"))</f>
        <v/>
      </c>
      <c r="M2790" s="27" t="str">
        <f aca="false">IF(J2790="","",IF(J2790=1,"Every week",R2790+1&amp;" of "&amp;J2790))</f>
        <v/>
      </c>
      <c r="N2790" s="28" t="str">
        <f aca="false">IF(J2790="","",Settings!$B$4+R2790*7+Q2790)</f>
        <v/>
      </c>
      <c r="O2790" s="28" t="str">
        <f aca="true">IF(J2790="","",N2790+MAX(0,ROUNDUP((TODAY()-N2790)/(J2790*7),0))*J2790*7)</f>
        <v/>
      </c>
      <c r="P2790" s="27" t="str">
        <f aca="false">IF(J2790="","",MOD(K2790-1,J2790*4))</f>
        <v/>
      </c>
      <c r="Q2790" s="27" t="str">
        <f aca="false">IF(J2790="","",MOD(P2790,4))</f>
        <v/>
      </c>
      <c r="R2790" s="27" t="str">
        <f aca="false">IF(J2790="","",INT(P2790/4))</f>
        <v/>
      </c>
      <c r="S2790" s="27" t="str">
        <f aca="false">IF(J2790="","",IF(AND('Daily Count Sheet'!$H$3=Q2790,MOD('Daily Count Sheet'!$I$3,J2790)=R2790),1,""))</f>
        <v/>
      </c>
      <c r="T2790" s="27" t="str">
        <f aca="false">IF(S2790=1,COUNTIF($S$2:S2790,1),"")</f>
        <v/>
      </c>
    </row>
    <row r="2791" customFormat="false" ht="15" hidden="false" customHeight="false" outlineLevel="0" collapsed="false">
      <c r="H2791" s="26"/>
      <c r="I2791" s="27" t="str">
        <f aca="false">IF(A2791="","",IF(H2791&lt;&gt;"",UPPER(TRIM(H2791)),IFERROR(CHOOSE(VALUE(E2791)+1,"A","B","C","D"),IF(OR(LEFT(UPPER(TRIM(E2791)),1)="F",UPPER(TRIM(E2791))="A"),"A",IF(OR(LEFT(UPPER(TRIM(E2791)),1)="M",UPPER(TRIM(E2791))="B"),"B",IF(OR(LEFT(UPPER(TRIM(E2791)),2)="SL",UPPER(TRIM(E2791))="C"),"C",IF(OR(LEFT(UPPER(TRIM(E2791)),1)="D",UPPER(TRIM(E2791))="D"),"D","")))))))</f>
        <v/>
      </c>
      <c r="J2791" s="27" t="str">
        <f aca="false">IF(I2791="","",IF(AND(I2791="D",Settings!$B$6&lt;&gt;"Yes"),"",IFERROR(INDEX(Settings!$C$9:$C$12,MATCH(I2791,Settings!$A$9:$A$12,0)),"")))</f>
        <v/>
      </c>
      <c r="K2791" s="27" t="str">
        <f aca="false">IF(J2791="","",COUNTIF($I$2:I2791,I2791))</f>
        <v/>
      </c>
      <c r="L2791" s="27" t="str">
        <f aca="false">IF(J2791="","",CHOOSE(Q2791+1,"Tue","Wed","Thu","Fri"))</f>
        <v/>
      </c>
      <c r="M2791" s="27" t="str">
        <f aca="false">IF(J2791="","",IF(J2791=1,"Every week",R2791+1&amp;" of "&amp;J2791))</f>
        <v/>
      </c>
      <c r="N2791" s="28" t="str">
        <f aca="false">IF(J2791="","",Settings!$B$4+R2791*7+Q2791)</f>
        <v/>
      </c>
      <c r="O2791" s="28" t="str">
        <f aca="true">IF(J2791="","",N2791+MAX(0,ROUNDUP((TODAY()-N2791)/(J2791*7),0))*J2791*7)</f>
        <v/>
      </c>
      <c r="P2791" s="27" t="str">
        <f aca="false">IF(J2791="","",MOD(K2791-1,J2791*4))</f>
        <v/>
      </c>
      <c r="Q2791" s="27" t="str">
        <f aca="false">IF(J2791="","",MOD(P2791,4))</f>
        <v/>
      </c>
      <c r="R2791" s="27" t="str">
        <f aca="false">IF(J2791="","",INT(P2791/4))</f>
        <v/>
      </c>
      <c r="S2791" s="27" t="str">
        <f aca="false">IF(J2791="","",IF(AND('Daily Count Sheet'!$H$3=Q2791,MOD('Daily Count Sheet'!$I$3,J2791)=R2791),1,""))</f>
        <v/>
      </c>
      <c r="T2791" s="27" t="str">
        <f aca="false">IF(S2791=1,COUNTIF($S$2:S2791,1),"")</f>
        <v/>
      </c>
    </row>
    <row r="2792" customFormat="false" ht="15" hidden="false" customHeight="false" outlineLevel="0" collapsed="false">
      <c r="H2792" s="26"/>
      <c r="I2792" s="27" t="str">
        <f aca="false">IF(A2792="","",IF(H2792&lt;&gt;"",UPPER(TRIM(H2792)),IFERROR(CHOOSE(VALUE(E2792)+1,"A","B","C","D"),IF(OR(LEFT(UPPER(TRIM(E2792)),1)="F",UPPER(TRIM(E2792))="A"),"A",IF(OR(LEFT(UPPER(TRIM(E2792)),1)="M",UPPER(TRIM(E2792))="B"),"B",IF(OR(LEFT(UPPER(TRIM(E2792)),2)="SL",UPPER(TRIM(E2792))="C"),"C",IF(OR(LEFT(UPPER(TRIM(E2792)),1)="D",UPPER(TRIM(E2792))="D"),"D","")))))))</f>
        <v/>
      </c>
      <c r="J2792" s="27" t="str">
        <f aca="false">IF(I2792="","",IF(AND(I2792="D",Settings!$B$6&lt;&gt;"Yes"),"",IFERROR(INDEX(Settings!$C$9:$C$12,MATCH(I2792,Settings!$A$9:$A$12,0)),"")))</f>
        <v/>
      </c>
      <c r="K2792" s="27" t="str">
        <f aca="false">IF(J2792="","",COUNTIF($I$2:I2792,I2792))</f>
        <v/>
      </c>
      <c r="L2792" s="27" t="str">
        <f aca="false">IF(J2792="","",CHOOSE(Q2792+1,"Tue","Wed","Thu","Fri"))</f>
        <v/>
      </c>
      <c r="M2792" s="27" t="str">
        <f aca="false">IF(J2792="","",IF(J2792=1,"Every week",R2792+1&amp;" of "&amp;J2792))</f>
        <v/>
      </c>
      <c r="N2792" s="28" t="str">
        <f aca="false">IF(J2792="","",Settings!$B$4+R2792*7+Q2792)</f>
        <v/>
      </c>
      <c r="O2792" s="28" t="str">
        <f aca="true">IF(J2792="","",N2792+MAX(0,ROUNDUP((TODAY()-N2792)/(J2792*7),0))*J2792*7)</f>
        <v/>
      </c>
      <c r="P2792" s="27" t="str">
        <f aca="false">IF(J2792="","",MOD(K2792-1,J2792*4))</f>
        <v/>
      </c>
      <c r="Q2792" s="27" t="str">
        <f aca="false">IF(J2792="","",MOD(P2792,4))</f>
        <v/>
      </c>
      <c r="R2792" s="27" t="str">
        <f aca="false">IF(J2792="","",INT(P2792/4))</f>
        <v/>
      </c>
      <c r="S2792" s="27" t="str">
        <f aca="false">IF(J2792="","",IF(AND('Daily Count Sheet'!$H$3=Q2792,MOD('Daily Count Sheet'!$I$3,J2792)=R2792),1,""))</f>
        <v/>
      </c>
      <c r="T2792" s="27" t="str">
        <f aca="false">IF(S2792=1,COUNTIF($S$2:S2792,1),"")</f>
        <v/>
      </c>
    </row>
    <row r="2793" customFormat="false" ht="15" hidden="false" customHeight="false" outlineLevel="0" collapsed="false">
      <c r="H2793" s="26"/>
      <c r="I2793" s="27" t="str">
        <f aca="false">IF(A2793="","",IF(H2793&lt;&gt;"",UPPER(TRIM(H2793)),IFERROR(CHOOSE(VALUE(E2793)+1,"A","B","C","D"),IF(OR(LEFT(UPPER(TRIM(E2793)),1)="F",UPPER(TRIM(E2793))="A"),"A",IF(OR(LEFT(UPPER(TRIM(E2793)),1)="M",UPPER(TRIM(E2793))="B"),"B",IF(OR(LEFT(UPPER(TRIM(E2793)),2)="SL",UPPER(TRIM(E2793))="C"),"C",IF(OR(LEFT(UPPER(TRIM(E2793)),1)="D",UPPER(TRIM(E2793))="D"),"D","")))))))</f>
        <v/>
      </c>
      <c r="J2793" s="27" t="str">
        <f aca="false">IF(I2793="","",IF(AND(I2793="D",Settings!$B$6&lt;&gt;"Yes"),"",IFERROR(INDEX(Settings!$C$9:$C$12,MATCH(I2793,Settings!$A$9:$A$12,0)),"")))</f>
        <v/>
      </c>
      <c r="K2793" s="27" t="str">
        <f aca="false">IF(J2793="","",COUNTIF($I$2:I2793,I2793))</f>
        <v/>
      </c>
      <c r="L2793" s="27" t="str">
        <f aca="false">IF(J2793="","",CHOOSE(Q2793+1,"Tue","Wed","Thu","Fri"))</f>
        <v/>
      </c>
      <c r="M2793" s="27" t="str">
        <f aca="false">IF(J2793="","",IF(J2793=1,"Every week",R2793+1&amp;" of "&amp;J2793))</f>
        <v/>
      </c>
      <c r="N2793" s="28" t="str">
        <f aca="false">IF(J2793="","",Settings!$B$4+R2793*7+Q2793)</f>
        <v/>
      </c>
      <c r="O2793" s="28" t="str">
        <f aca="true">IF(J2793="","",N2793+MAX(0,ROUNDUP((TODAY()-N2793)/(J2793*7),0))*J2793*7)</f>
        <v/>
      </c>
      <c r="P2793" s="27" t="str">
        <f aca="false">IF(J2793="","",MOD(K2793-1,J2793*4))</f>
        <v/>
      </c>
      <c r="Q2793" s="27" t="str">
        <f aca="false">IF(J2793="","",MOD(P2793,4))</f>
        <v/>
      </c>
      <c r="R2793" s="27" t="str">
        <f aca="false">IF(J2793="","",INT(P2793/4))</f>
        <v/>
      </c>
      <c r="S2793" s="27" t="str">
        <f aca="false">IF(J2793="","",IF(AND('Daily Count Sheet'!$H$3=Q2793,MOD('Daily Count Sheet'!$I$3,J2793)=R2793),1,""))</f>
        <v/>
      </c>
      <c r="T2793" s="27" t="str">
        <f aca="false">IF(S2793=1,COUNTIF($S$2:S2793,1),"")</f>
        <v/>
      </c>
    </row>
    <row r="2794" customFormat="false" ht="15" hidden="false" customHeight="false" outlineLevel="0" collapsed="false">
      <c r="H2794" s="26"/>
      <c r="I2794" s="27" t="str">
        <f aca="false">IF(A2794="","",IF(H2794&lt;&gt;"",UPPER(TRIM(H2794)),IFERROR(CHOOSE(VALUE(E2794)+1,"A","B","C","D"),IF(OR(LEFT(UPPER(TRIM(E2794)),1)="F",UPPER(TRIM(E2794))="A"),"A",IF(OR(LEFT(UPPER(TRIM(E2794)),1)="M",UPPER(TRIM(E2794))="B"),"B",IF(OR(LEFT(UPPER(TRIM(E2794)),2)="SL",UPPER(TRIM(E2794))="C"),"C",IF(OR(LEFT(UPPER(TRIM(E2794)),1)="D",UPPER(TRIM(E2794))="D"),"D","")))))))</f>
        <v/>
      </c>
      <c r="J2794" s="27" t="str">
        <f aca="false">IF(I2794="","",IF(AND(I2794="D",Settings!$B$6&lt;&gt;"Yes"),"",IFERROR(INDEX(Settings!$C$9:$C$12,MATCH(I2794,Settings!$A$9:$A$12,0)),"")))</f>
        <v/>
      </c>
      <c r="K2794" s="27" t="str">
        <f aca="false">IF(J2794="","",COUNTIF($I$2:I2794,I2794))</f>
        <v/>
      </c>
      <c r="L2794" s="27" t="str">
        <f aca="false">IF(J2794="","",CHOOSE(Q2794+1,"Tue","Wed","Thu","Fri"))</f>
        <v/>
      </c>
      <c r="M2794" s="27" t="str">
        <f aca="false">IF(J2794="","",IF(J2794=1,"Every week",R2794+1&amp;" of "&amp;J2794))</f>
        <v/>
      </c>
      <c r="N2794" s="28" t="str">
        <f aca="false">IF(J2794="","",Settings!$B$4+R2794*7+Q2794)</f>
        <v/>
      </c>
      <c r="O2794" s="28" t="str">
        <f aca="true">IF(J2794="","",N2794+MAX(0,ROUNDUP((TODAY()-N2794)/(J2794*7),0))*J2794*7)</f>
        <v/>
      </c>
      <c r="P2794" s="27" t="str">
        <f aca="false">IF(J2794="","",MOD(K2794-1,J2794*4))</f>
        <v/>
      </c>
      <c r="Q2794" s="27" t="str">
        <f aca="false">IF(J2794="","",MOD(P2794,4))</f>
        <v/>
      </c>
      <c r="R2794" s="27" t="str">
        <f aca="false">IF(J2794="","",INT(P2794/4))</f>
        <v/>
      </c>
      <c r="S2794" s="27" t="str">
        <f aca="false">IF(J2794="","",IF(AND('Daily Count Sheet'!$H$3=Q2794,MOD('Daily Count Sheet'!$I$3,J2794)=R2794),1,""))</f>
        <v/>
      </c>
      <c r="T2794" s="27" t="str">
        <f aca="false">IF(S2794=1,COUNTIF($S$2:S2794,1),"")</f>
        <v/>
      </c>
    </row>
    <row r="2795" customFormat="false" ht="15" hidden="false" customHeight="false" outlineLevel="0" collapsed="false">
      <c r="H2795" s="26"/>
      <c r="I2795" s="27" t="str">
        <f aca="false">IF(A2795="","",IF(H2795&lt;&gt;"",UPPER(TRIM(H2795)),IFERROR(CHOOSE(VALUE(E2795)+1,"A","B","C","D"),IF(OR(LEFT(UPPER(TRIM(E2795)),1)="F",UPPER(TRIM(E2795))="A"),"A",IF(OR(LEFT(UPPER(TRIM(E2795)),1)="M",UPPER(TRIM(E2795))="B"),"B",IF(OR(LEFT(UPPER(TRIM(E2795)),2)="SL",UPPER(TRIM(E2795))="C"),"C",IF(OR(LEFT(UPPER(TRIM(E2795)),1)="D",UPPER(TRIM(E2795))="D"),"D","")))))))</f>
        <v/>
      </c>
      <c r="J2795" s="27" t="str">
        <f aca="false">IF(I2795="","",IF(AND(I2795="D",Settings!$B$6&lt;&gt;"Yes"),"",IFERROR(INDEX(Settings!$C$9:$C$12,MATCH(I2795,Settings!$A$9:$A$12,0)),"")))</f>
        <v/>
      </c>
      <c r="K2795" s="27" t="str">
        <f aca="false">IF(J2795="","",COUNTIF($I$2:I2795,I2795))</f>
        <v/>
      </c>
      <c r="L2795" s="27" t="str">
        <f aca="false">IF(J2795="","",CHOOSE(Q2795+1,"Tue","Wed","Thu","Fri"))</f>
        <v/>
      </c>
      <c r="M2795" s="27" t="str">
        <f aca="false">IF(J2795="","",IF(J2795=1,"Every week",R2795+1&amp;" of "&amp;J2795))</f>
        <v/>
      </c>
      <c r="N2795" s="28" t="str">
        <f aca="false">IF(J2795="","",Settings!$B$4+R2795*7+Q2795)</f>
        <v/>
      </c>
      <c r="O2795" s="28" t="str">
        <f aca="true">IF(J2795="","",N2795+MAX(0,ROUNDUP((TODAY()-N2795)/(J2795*7),0))*J2795*7)</f>
        <v/>
      </c>
      <c r="P2795" s="27" t="str">
        <f aca="false">IF(J2795="","",MOD(K2795-1,J2795*4))</f>
        <v/>
      </c>
      <c r="Q2795" s="27" t="str">
        <f aca="false">IF(J2795="","",MOD(P2795,4))</f>
        <v/>
      </c>
      <c r="R2795" s="27" t="str">
        <f aca="false">IF(J2795="","",INT(P2795/4))</f>
        <v/>
      </c>
      <c r="S2795" s="27" t="str">
        <f aca="false">IF(J2795="","",IF(AND('Daily Count Sheet'!$H$3=Q2795,MOD('Daily Count Sheet'!$I$3,J2795)=R2795),1,""))</f>
        <v/>
      </c>
      <c r="T2795" s="27" t="str">
        <f aca="false">IF(S2795=1,COUNTIF($S$2:S2795,1),"")</f>
        <v/>
      </c>
    </row>
    <row r="2796" customFormat="false" ht="15" hidden="false" customHeight="false" outlineLevel="0" collapsed="false">
      <c r="H2796" s="26"/>
      <c r="I2796" s="27" t="str">
        <f aca="false">IF(A2796="","",IF(H2796&lt;&gt;"",UPPER(TRIM(H2796)),IFERROR(CHOOSE(VALUE(E2796)+1,"A","B","C","D"),IF(OR(LEFT(UPPER(TRIM(E2796)),1)="F",UPPER(TRIM(E2796))="A"),"A",IF(OR(LEFT(UPPER(TRIM(E2796)),1)="M",UPPER(TRIM(E2796))="B"),"B",IF(OR(LEFT(UPPER(TRIM(E2796)),2)="SL",UPPER(TRIM(E2796))="C"),"C",IF(OR(LEFT(UPPER(TRIM(E2796)),1)="D",UPPER(TRIM(E2796))="D"),"D","")))))))</f>
        <v/>
      </c>
      <c r="J2796" s="27" t="str">
        <f aca="false">IF(I2796="","",IF(AND(I2796="D",Settings!$B$6&lt;&gt;"Yes"),"",IFERROR(INDEX(Settings!$C$9:$C$12,MATCH(I2796,Settings!$A$9:$A$12,0)),"")))</f>
        <v/>
      </c>
      <c r="K2796" s="27" t="str">
        <f aca="false">IF(J2796="","",COUNTIF($I$2:I2796,I2796))</f>
        <v/>
      </c>
      <c r="L2796" s="27" t="str">
        <f aca="false">IF(J2796="","",CHOOSE(Q2796+1,"Tue","Wed","Thu","Fri"))</f>
        <v/>
      </c>
      <c r="M2796" s="27" t="str">
        <f aca="false">IF(J2796="","",IF(J2796=1,"Every week",R2796+1&amp;" of "&amp;J2796))</f>
        <v/>
      </c>
      <c r="N2796" s="28" t="str">
        <f aca="false">IF(J2796="","",Settings!$B$4+R2796*7+Q2796)</f>
        <v/>
      </c>
      <c r="O2796" s="28" t="str">
        <f aca="true">IF(J2796="","",N2796+MAX(0,ROUNDUP((TODAY()-N2796)/(J2796*7),0))*J2796*7)</f>
        <v/>
      </c>
      <c r="P2796" s="27" t="str">
        <f aca="false">IF(J2796="","",MOD(K2796-1,J2796*4))</f>
        <v/>
      </c>
      <c r="Q2796" s="27" t="str">
        <f aca="false">IF(J2796="","",MOD(P2796,4))</f>
        <v/>
      </c>
      <c r="R2796" s="27" t="str">
        <f aca="false">IF(J2796="","",INT(P2796/4))</f>
        <v/>
      </c>
      <c r="S2796" s="27" t="str">
        <f aca="false">IF(J2796="","",IF(AND('Daily Count Sheet'!$H$3=Q2796,MOD('Daily Count Sheet'!$I$3,J2796)=R2796),1,""))</f>
        <v/>
      </c>
      <c r="T2796" s="27" t="str">
        <f aca="false">IF(S2796=1,COUNTIF($S$2:S2796,1),"")</f>
        <v/>
      </c>
    </row>
    <row r="2797" customFormat="false" ht="15" hidden="false" customHeight="false" outlineLevel="0" collapsed="false">
      <c r="H2797" s="26"/>
      <c r="I2797" s="27" t="str">
        <f aca="false">IF(A2797="","",IF(H2797&lt;&gt;"",UPPER(TRIM(H2797)),IFERROR(CHOOSE(VALUE(E2797)+1,"A","B","C","D"),IF(OR(LEFT(UPPER(TRIM(E2797)),1)="F",UPPER(TRIM(E2797))="A"),"A",IF(OR(LEFT(UPPER(TRIM(E2797)),1)="M",UPPER(TRIM(E2797))="B"),"B",IF(OR(LEFT(UPPER(TRIM(E2797)),2)="SL",UPPER(TRIM(E2797))="C"),"C",IF(OR(LEFT(UPPER(TRIM(E2797)),1)="D",UPPER(TRIM(E2797))="D"),"D","")))))))</f>
        <v/>
      </c>
      <c r="J2797" s="27" t="str">
        <f aca="false">IF(I2797="","",IF(AND(I2797="D",Settings!$B$6&lt;&gt;"Yes"),"",IFERROR(INDEX(Settings!$C$9:$C$12,MATCH(I2797,Settings!$A$9:$A$12,0)),"")))</f>
        <v/>
      </c>
      <c r="K2797" s="27" t="str">
        <f aca="false">IF(J2797="","",COUNTIF($I$2:I2797,I2797))</f>
        <v/>
      </c>
      <c r="L2797" s="27" t="str">
        <f aca="false">IF(J2797="","",CHOOSE(Q2797+1,"Tue","Wed","Thu","Fri"))</f>
        <v/>
      </c>
      <c r="M2797" s="27" t="str">
        <f aca="false">IF(J2797="","",IF(J2797=1,"Every week",R2797+1&amp;" of "&amp;J2797))</f>
        <v/>
      </c>
      <c r="N2797" s="28" t="str">
        <f aca="false">IF(J2797="","",Settings!$B$4+R2797*7+Q2797)</f>
        <v/>
      </c>
      <c r="O2797" s="28" t="str">
        <f aca="true">IF(J2797="","",N2797+MAX(0,ROUNDUP((TODAY()-N2797)/(J2797*7),0))*J2797*7)</f>
        <v/>
      </c>
      <c r="P2797" s="27" t="str">
        <f aca="false">IF(J2797="","",MOD(K2797-1,J2797*4))</f>
        <v/>
      </c>
      <c r="Q2797" s="27" t="str">
        <f aca="false">IF(J2797="","",MOD(P2797,4))</f>
        <v/>
      </c>
      <c r="R2797" s="27" t="str">
        <f aca="false">IF(J2797="","",INT(P2797/4))</f>
        <v/>
      </c>
      <c r="S2797" s="27" t="str">
        <f aca="false">IF(J2797="","",IF(AND('Daily Count Sheet'!$H$3=Q2797,MOD('Daily Count Sheet'!$I$3,J2797)=R2797),1,""))</f>
        <v/>
      </c>
      <c r="T2797" s="27" t="str">
        <f aca="false">IF(S2797=1,COUNTIF($S$2:S2797,1),"")</f>
        <v/>
      </c>
    </row>
    <row r="2798" customFormat="false" ht="15" hidden="false" customHeight="false" outlineLevel="0" collapsed="false">
      <c r="H2798" s="26"/>
      <c r="I2798" s="27" t="str">
        <f aca="false">IF(A2798="","",IF(H2798&lt;&gt;"",UPPER(TRIM(H2798)),IFERROR(CHOOSE(VALUE(E2798)+1,"A","B","C","D"),IF(OR(LEFT(UPPER(TRIM(E2798)),1)="F",UPPER(TRIM(E2798))="A"),"A",IF(OR(LEFT(UPPER(TRIM(E2798)),1)="M",UPPER(TRIM(E2798))="B"),"B",IF(OR(LEFT(UPPER(TRIM(E2798)),2)="SL",UPPER(TRIM(E2798))="C"),"C",IF(OR(LEFT(UPPER(TRIM(E2798)),1)="D",UPPER(TRIM(E2798))="D"),"D","")))))))</f>
        <v/>
      </c>
      <c r="J2798" s="27" t="str">
        <f aca="false">IF(I2798="","",IF(AND(I2798="D",Settings!$B$6&lt;&gt;"Yes"),"",IFERROR(INDEX(Settings!$C$9:$C$12,MATCH(I2798,Settings!$A$9:$A$12,0)),"")))</f>
        <v/>
      </c>
      <c r="K2798" s="27" t="str">
        <f aca="false">IF(J2798="","",COUNTIF($I$2:I2798,I2798))</f>
        <v/>
      </c>
      <c r="L2798" s="27" t="str">
        <f aca="false">IF(J2798="","",CHOOSE(Q2798+1,"Tue","Wed","Thu","Fri"))</f>
        <v/>
      </c>
      <c r="M2798" s="27" t="str">
        <f aca="false">IF(J2798="","",IF(J2798=1,"Every week",R2798+1&amp;" of "&amp;J2798))</f>
        <v/>
      </c>
      <c r="N2798" s="28" t="str">
        <f aca="false">IF(J2798="","",Settings!$B$4+R2798*7+Q2798)</f>
        <v/>
      </c>
      <c r="O2798" s="28" t="str">
        <f aca="true">IF(J2798="","",N2798+MAX(0,ROUNDUP((TODAY()-N2798)/(J2798*7),0))*J2798*7)</f>
        <v/>
      </c>
      <c r="P2798" s="27" t="str">
        <f aca="false">IF(J2798="","",MOD(K2798-1,J2798*4))</f>
        <v/>
      </c>
      <c r="Q2798" s="27" t="str">
        <f aca="false">IF(J2798="","",MOD(P2798,4))</f>
        <v/>
      </c>
      <c r="R2798" s="27" t="str">
        <f aca="false">IF(J2798="","",INT(P2798/4))</f>
        <v/>
      </c>
      <c r="S2798" s="27" t="str">
        <f aca="false">IF(J2798="","",IF(AND('Daily Count Sheet'!$H$3=Q2798,MOD('Daily Count Sheet'!$I$3,J2798)=R2798),1,""))</f>
        <v/>
      </c>
      <c r="T2798" s="27" t="str">
        <f aca="false">IF(S2798=1,COUNTIF($S$2:S2798,1),"")</f>
        <v/>
      </c>
    </row>
    <row r="2799" customFormat="false" ht="15" hidden="false" customHeight="false" outlineLevel="0" collapsed="false">
      <c r="H2799" s="26"/>
      <c r="I2799" s="27" t="str">
        <f aca="false">IF(A2799="","",IF(H2799&lt;&gt;"",UPPER(TRIM(H2799)),IFERROR(CHOOSE(VALUE(E2799)+1,"A","B","C","D"),IF(OR(LEFT(UPPER(TRIM(E2799)),1)="F",UPPER(TRIM(E2799))="A"),"A",IF(OR(LEFT(UPPER(TRIM(E2799)),1)="M",UPPER(TRIM(E2799))="B"),"B",IF(OR(LEFT(UPPER(TRIM(E2799)),2)="SL",UPPER(TRIM(E2799))="C"),"C",IF(OR(LEFT(UPPER(TRIM(E2799)),1)="D",UPPER(TRIM(E2799))="D"),"D","")))))))</f>
        <v/>
      </c>
      <c r="J2799" s="27" t="str">
        <f aca="false">IF(I2799="","",IF(AND(I2799="D",Settings!$B$6&lt;&gt;"Yes"),"",IFERROR(INDEX(Settings!$C$9:$C$12,MATCH(I2799,Settings!$A$9:$A$12,0)),"")))</f>
        <v/>
      </c>
      <c r="K2799" s="27" t="str">
        <f aca="false">IF(J2799="","",COUNTIF($I$2:I2799,I2799))</f>
        <v/>
      </c>
      <c r="L2799" s="27" t="str">
        <f aca="false">IF(J2799="","",CHOOSE(Q2799+1,"Tue","Wed","Thu","Fri"))</f>
        <v/>
      </c>
      <c r="M2799" s="27" t="str">
        <f aca="false">IF(J2799="","",IF(J2799=1,"Every week",R2799+1&amp;" of "&amp;J2799))</f>
        <v/>
      </c>
      <c r="N2799" s="28" t="str">
        <f aca="false">IF(J2799="","",Settings!$B$4+R2799*7+Q2799)</f>
        <v/>
      </c>
      <c r="O2799" s="28" t="str">
        <f aca="true">IF(J2799="","",N2799+MAX(0,ROUNDUP((TODAY()-N2799)/(J2799*7),0))*J2799*7)</f>
        <v/>
      </c>
      <c r="P2799" s="27" t="str">
        <f aca="false">IF(J2799="","",MOD(K2799-1,J2799*4))</f>
        <v/>
      </c>
      <c r="Q2799" s="27" t="str">
        <f aca="false">IF(J2799="","",MOD(P2799,4))</f>
        <v/>
      </c>
      <c r="R2799" s="27" t="str">
        <f aca="false">IF(J2799="","",INT(P2799/4))</f>
        <v/>
      </c>
      <c r="S2799" s="27" t="str">
        <f aca="false">IF(J2799="","",IF(AND('Daily Count Sheet'!$H$3=Q2799,MOD('Daily Count Sheet'!$I$3,J2799)=R2799),1,""))</f>
        <v/>
      </c>
      <c r="T2799" s="27" t="str">
        <f aca="false">IF(S2799=1,COUNTIF($S$2:S2799,1),"")</f>
        <v/>
      </c>
    </row>
    <row r="2800" customFormat="false" ht="15" hidden="false" customHeight="false" outlineLevel="0" collapsed="false">
      <c r="H2800" s="26"/>
      <c r="I2800" s="27" t="str">
        <f aca="false">IF(A2800="","",IF(H2800&lt;&gt;"",UPPER(TRIM(H2800)),IFERROR(CHOOSE(VALUE(E2800)+1,"A","B","C","D"),IF(OR(LEFT(UPPER(TRIM(E2800)),1)="F",UPPER(TRIM(E2800))="A"),"A",IF(OR(LEFT(UPPER(TRIM(E2800)),1)="M",UPPER(TRIM(E2800))="B"),"B",IF(OR(LEFT(UPPER(TRIM(E2800)),2)="SL",UPPER(TRIM(E2800))="C"),"C",IF(OR(LEFT(UPPER(TRIM(E2800)),1)="D",UPPER(TRIM(E2800))="D"),"D","")))))))</f>
        <v/>
      </c>
      <c r="J2800" s="27" t="str">
        <f aca="false">IF(I2800="","",IF(AND(I2800="D",Settings!$B$6&lt;&gt;"Yes"),"",IFERROR(INDEX(Settings!$C$9:$C$12,MATCH(I2800,Settings!$A$9:$A$12,0)),"")))</f>
        <v/>
      </c>
      <c r="K2800" s="27" t="str">
        <f aca="false">IF(J2800="","",COUNTIF($I$2:I2800,I2800))</f>
        <v/>
      </c>
      <c r="L2800" s="27" t="str">
        <f aca="false">IF(J2800="","",CHOOSE(Q2800+1,"Tue","Wed","Thu","Fri"))</f>
        <v/>
      </c>
      <c r="M2800" s="27" t="str">
        <f aca="false">IF(J2800="","",IF(J2800=1,"Every week",R2800+1&amp;" of "&amp;J2800))</f>
        <v/>
      </c>
      <c r="N2800" s="28" t="str">
        <f aca="false">IF(J2800="","",Settings!$B$4+R2800*7+Q2800)</f>
        <v/>
      </c>
      <c r="O2800" s="28" t="str">
        <f aca="true">IF(J2800="","",N2800+MAX(0,ROUNDUP((TODAY()-N2800)/(J2800*7),0))*J2800*7)</f>
        <v/>
      </c>
      <c r="P2800" s="27" t="str">
        <f aca="false">IF(J2800="","",MOD(K2800-1,J2800*4))</f>
        <v/>
      </c>
      <c r="Q2800" s="27" t="str">
        <f aca="false">IF(J2800="","",MOD(P2800,4))</f>
        <v/>
      </c>
      <c r="R2800" s="27" t="str">
        <f aca="false">IF(J2800="","",INT(P2800/4))</f>
        <v/>
      </c>
      <c r="S2800" s="27" t="str">
        <f aca="false">IF(J2800="","",IF(AND('Daily Count Sheet'!$H$3=Q2800,MOD('Daily Count Sheet'!$I$3,J2800)=R2800),1,""))</f>
        <v/>
      </c>
      <c r="T2800" s="27" t="str">
        <f aca="false">IF(S2800=1,COUNTIF($S$2:S2800,1),"")</f>
        <v/>
      </c>
    </row>
    <row r="2801" customFormat="false" ht="15" hidden="false" customHeight="false" outlineLevel="0" collapsed="false">
      <c r="H2801" s="26"/>
      <c r="I2801" s="27" t="str">
        <f aca="false">IF(A2801="","",IF(H2801&lt;&gt;"",UPPER(TRIM(H2801)),IFERROR(CHOOSE(VALUE(E2801)+1,"A","B","C","D"),IF(OR(LEFT(UPPER(TRIM(E2801)),1)="F",UPPER(TRIM(E2801))="A"),"A",IF(OR(LEFT(UPPER(TRIM(E2801)),1)="M",UPPER(TRIM(E2801))="B"),"B",IF(OR(LEFT(UPPER(TRIM(E2801)),2)="SL",UPPER(TRIM(E2801))="C"),"C",IF(OR(LEFT(UPPER(TRIM(E2801)),1)="D",UPPER(TRIM(E2801))="D"),"D","")))))))</f>
        <v/>
      </c>
      <c r="J2801" s="27" t="str">
        <f aca="false">IF(I2801="","",IF(AND(I2801="D",Settings!$B$6&lt;&gt;"Yes"),"",IFERROR(INDEX(Settings!$C$9:$C$12,MATCH(I2801,Settings!$A$9:$A$12,0)),"")))</f>
        <v/>
      </c>
      <c r="K2801" s="27" t="str">
        <f aca="false">IF(J2801="","",COUNTIF($I$2:I2801,I2801))</f>
        <v/>
      </c>
      <c r="L2801" s="27" t="str">
        <f aca="false">IF(J2801="","",CHOOSE(Q2801+1,"Tue","Wed","Thu","Fri"))</f>
        <v/>
      </c>
      <c r="M2801" s="27" t="str">
        <f aca="false">IF(J2801="","",IF(J2801=1,"Every week",R2801+1&amp;" of "&amp;J2801))</f>
        <v/>
      </c>
      <c r="N2801" s="28" t="str">
        <f aca="false">IF(J2801="","",Settings!$B$4+R2801*7+Q2801)</f>
        <v/>
      </c>
      <c r="O2801" s="28" t="str">
        <f aca="true">IF(J2801="","",N2801+MAX(0,ROUNDUP((TODAY()-N2801)/(J2801*7),0))*J2801*7)</f>
        <v/>
      </c>
      <c r="P2801" s="27" t="str">
        <f aca="false">IF(J2801="","",MOD(K2801-1,J2801*4))</f>
        <v/>
      </c>
      <c r="Q2801" s="27" t="str">
        <f aca="false">IF(J2801="","",MOD(P2801,4))</f>
        <v/>
      </c>
      <c r="R2801" s="27" t="str">
        <f aca="false">IF(J2801="","",INT(P2801/4))</f>
        <v/>
      </c>
      <c r="S2801" s="27" t="str">
        <f aca="false">IF(J2801="","",IF(AND('Daily Count Sheet'!$H$3=Q2801,MOD('Daily Count Sheet'!$I$3,J2801)=R2801),1,""))</f>
        <v/>
      </c>
      <c r="T2801" s="27" t="str">
        <f aca="false">IF(S2801=1,COUNTIF($S$2:S2801,1),"")</f>
        <v/>
      </c>
    </row>
    <row r="2802" customFormat="false" ht="15" hidden="false" customHeight="false" outlineLevel="0" collapsed="false">
      <c r="H2802" s="26"/>
      <c r="I2802" s="27" t="str">
        <f aca="false">IF(A2802="","",IF(H2802&lt;&gt;"",UPPER(TRIM(H2802)),IFERROR(CHOOSE(VALUE(E2802)+1,"A","B","C","D"),IF(OR(LEFT(UPPER(TRIM(E2802)),1)="F",UPPER(TRIM(E2802))="A"),"A",IF(OR(LEFT(UPPER(TRIM(E2802)),1)="M",UPPER(TRIM(E2802))="B"),"B",IF(OR(LEFT(UPPER(TRIM(E2802)),2)="SL",UPPER(TRIM(E2802))="C"),"C",IF(OR(LEFT(UPPER(TRIM(E2802)),1)="D",UPPER(TRIM(E2802))="D"),"D","")))))))</f>
        <v/>
      </c>
      <c r="J2802" s="27" t="str">
        <f aca="false">IF(I2802="","",IF(AND(I2802="D",Settings!$B$6&lt;&gt;"Yes"),"",IFERROR(INDEX(Settings!$C$9:$C$12,MATCH(I2802,Settings!$A$9:$A$12,0)),"")))</f>
        <v/>
      </c>
      <c r="K2802" s="27" t="str">
        <f aca="false">IF(J2802="","",COUNTIF($I$2:I2802,I2802))</f>
        <v/>
      </c>
      <c r="L2802" s="27" t="str">
        <f aca="false">IF(J2802="","",CHOOSE(Q2802+1,"Tue","Wed","Thu","Fri"))</f>
        <v/>
      </c>
      <c r="M2802" s="27" t="str">
        <f aca="false">IF(J2802="","",IF(J2802=1,"Every week",R2802+1&amp;" of "&amp;J2802))</f>
        <v/>
      </c>
      <c r="N2802" s="28" t="str">
        <f aca="false">IF(J2802="","",Settings!$B$4+R2802*7+Q2802)</f>
        <v/>
      </c>
      <c r="O2802" s="28" t="str">
        <f aca="true">IF(J2802="","",N2802+MAX(0,ROUNDUP((TODAY()-N2802)/(J2802*7),0))*J2802*7)</f>
        <v/>
      </c>
      <c r="P2802" s="27" t="str">
        <f aca="false">IF(J2802="","",MOD(K2802-1,J2802*4))</f>
        <v/>
      </c>
      <c r="Q2802" s="27" t="str">
        <f aca="false">IF(J2802="","",MOD(P2802,4))</f>
        <v/>
      </c>
      <c r="R2802" s="27" t="str">
        <f aca="false">IF(J2802="","",INT(P2802/4))</f>
        <v/>
      </c>
      <c r="S2802" s="27" t="str">
        <f aca="false">IF(J2802="","",IF(AND('Daily Count Sheet'!$H$3=Q2802,MOD('Daily Count Sheet'!$I$3,J2802)=R2802),1,""))</f>
        <v/>
      </c>
      <c r="T2802" s="27" t="str">
        <f aca="false">IF(S2802=1,COUNTIF($S$2:S2802,1),"")</f>
        <v/>
      </c>
    </row>
    <row r="2803" customFormat="false" ht="15" hidden="false" customHeight="false" outlineLevel="0" collapsed="false">
      <c r="H2803" s="26"/>
      <c r="I2803" s="27" t="str">
        <f aca="false">IF(A2803="","",IF(H2803&lt;&gt;"",UPPER(TRIM(H2803)),IFERROR(CHOOSE(VALUE(E2803)+1,"A","B","C","D"),IF(OR(LEFT(UPPER(TRIM(E2803)),1)="F",UPPER(TRIM(E2803))="A"),"A",IF(OR(LEFT(UPPER(TRIM(E2803)),1)="M",UPPER(TRIM(E2803))="B"),"B",IF(OR(LEFT(UPPER(TRIM(E2803)),2)="SL",UPPER(TRIM(E2803))="C"),"C",IF(OR(LEFT(UPPER(TRIM(E2803)),1)="D",UPPER(TRIM(E2803))="D"),"D","")))))))</f>
        <v/>
      </c>
      <c r="J2803" s="27" t="str">
        <f aca="false">IF(I2803="","",IF(AND(I2803="D",Settings!$B$6&lt;&gt;"Yes"),"",IFERROR(INDEX(Settings!$C$9:$C$12,MATCH(I2803,Settings!$A$9:$A$12,0)),"")))</f>
        <v/>
      </c>
      <c r="K2803" s="27" t="str">
        <f aca="false">IF(J2803="","",COUNTIF($I$2:I2803,I2803))</f>
        <v/>
      </c>
      <c r="L2803" s="27" t="str">
        <f aca="false">IF(J2803="","",CHOOSE(Q2803+1,"Tue","Wed","Thu","Fri"))</f>
        <v/>
      </c>
      <c r="M2803" s="27" t="str">
        <f aca="false">IF(J2803="","",IF(J2803=1,"Every week",R2803+1&amp;" of "&amp;J2803))</f>
        <v/>
      </c>
      <c r="N2803" s="28" t="str">
        <f aca="false">IF(J2803="","",Settings!$B$4+R2803*7+Q2803)</f>
        <v/>
      </c>
      <c r="O2803" s="28" t="str">
        <f aca="true">IF(J2803="","",N2803+MAX(0,ROUNDUP((TODAY()-N2803)/(J2803*7),0))*J2803*7)</f>
        <v/>
      </c>
      <c r="P2803" s="27" t="str">
        <f aca="false">IF(J2803="","",MOD(K2803-1,J2803*4))</f>
        <v/>
      </c>
      <c r="Q2803" s="27" t="str">
        <f aca="false">IF(J2803="","",MOD(P2803,4))</f>
        <v/>
      </c>
      <c r="R2803" s="27" t="str">
        <f aca="false">IF(J2803="","",INT(P2803/4))</f>
        <v/>
      </c>
      <c r="S2803" s="27" t="str">
        <f aca="false">IF(J2803="","",IF(AND('Daily Count Sheet'!$H$3=Q2803,MOD('Daily Count Sheet'!$I$3,J2803)=R2803),1,""))</f>
        <v/>
      </c>
      <c r="T2803" s="27" t="str">
        <f aca="false">IF(S2803=1,COUNTIF($S$2:S2803,1),"")</f>
        <v/>
      </c>
    </row>
    <row r="2804" customFormat="false" ht="15" hidden="false" customHeight="false" outlineLevel="0" collapsed="false">
      <c r="H2804" s="26"/>
      <c r="I2804" s="27" t="str">
        <f aca="false">IF(A2804="","",IF(H2804&lt;&gt;"",UPPER(TRIM(H2804)),IFERROR(CHOOSE(VALUE(E2804)+1,"A","B","C","D"),IF(OR(LEFT(UPPER(TRIM(E2804)),1)="F",UPPER(TRIM(E2804))="A"),"A",IF(OR(LEFT(UPPER(TRIM(E2804)),1)="M",UPPER(TRIM(E2804))="B"),"B",IF(OR(LEFT(UPPER(TRIM(E2804)),2)="SL",UPPER(TRIM(E2804))="C"),"C",IF(OR(LEFT(UPPER(TRIM(E2804)),1)="D",UPPER(TRIM(E2804))="D"),"D","")))))))</f>
        <v/>
      </c>
      <c r="J2804" s="27" t="str">
        <f aca="false">IF(I2804="","",IF(AND(I2804="D",Settings!$B$6&lt;&gt;"Yes"),"",IFERROR(INDEX(Settings!$C$9:$C$12,MATCH(I2804,Settings!$A$9:$A$12,0)),"")))</f>
        <v/>
      </c>
      <c r="K2804" s="27" t="str">
        <f aca="false">IF(J2804="","",COUNTIF($I$2:I2804,I2804))</f>
        <v/>
      </c>
      <c r="L2804" s="27" t="str">
        <f aca="false">IF(J2804="","",CHOOSE(Q2804+1,"Tue","Wed","Thu","Fri"))</f>
        <v/>
      </c>
      <c r="M2804" s="27" t="str">
        <f aca="false">IF(J2804="","",IF(J2804=1,"Every week",R2804+1&amp;" of "&amp;J2804))</f>
        <v/>
      </c>
      <c r="N2804" s="28" t="str">
        <f aca="false">IF(J2804="","",Settings!$B$4+R2804*7+Q2804)</f>
        <v/>
      </c>
      <c r="O2804" s="28" t="str">
        <f aca="true">IF(J2804="","",N2804+MAX(0,ROUNDUP((TODAY()-N2804)/(J2804*7),0))*J2804*7)</f>
        <v/>
      </c>
      <c r="P2804" s="27" t="str">
        <f aca="false">IF(J2804="","",MOD(K2804-1,J2804*4))</f>
        <v/>
      </c>
      <c r="Q2804" s="27" t="str">
        <f aca="false">IF(J2804="","",MOD(P2804,4))</f>
        <v/>
      </c>
      <c r="R2804" s="27" t="str">
        <f aca="false">IF(J2804="","",INT(P2804/4))</f>
        <v/>
      </c>
      <c r="S2804" s="27" t="str">
        <f aca="false">IF(J2804="","",IF(AND('Daily Count Sheet'!$H$3=Q2804,MOD('Daily Count Sheet'!$I$3,J2804)=R2804),1,""))</f>
        <v/>
      </c>
      <c r="T2804" s="27" t="str">
        <f aca="false">IF(S2804=1,COUNTIF($S$2:S2804,1),"")</f>
        <v/>
      </c>
    </row>
    <row r="2805" customFormat="false" ht="15" hidden="false" customHeight="false" outlineLevel="0" collapsed="false">
      <c r="H2805" s="26"/>
      <c r="I2805" s="27" t="str">
        <f aca="false">IF(A2805="","",IF(H2805&lt;&gt;"",UPPER(TRIM(H2805)),IFERROR(CHOOSE(VALUE(E2805)+1,"A","B","C","D"),IF(OR(LEFT(UPPER(TRIM(E2805)),1)="F",UPPER(TRIM(E2805))="A"),"A",IF(OR(LEFT(UPPER(TRIM(E2805)),1)="M",UPPER(TRIM(E2805))="B"),"B",IF(OR(LEFT(UPPER(TRIM(E2805)),2)="SL",UPPER(TRIM(E2805))="C"),"C",IF(OR(LEFT(UPPER(TRIM(E2805)),1)="D",UPPER(TRIM(E2805))="D"),"D","")))))))</f>
        <v/>
      </c>
      <c r="J2805" s="27" t="str">
        <f aca="false">IF(I2805="","",IF(AND(I2805="D",Settings!$B$6&lt;&gt;"Yes"),"",IFERROR(INDEX(Settings!$C$9:$C$12,MATCH(I2805,Settings!$A$9:$A$12,0)),"")))</f>
        <v/>
      </c>
      <c r="K2805" s="27" t="str">
        <f aca="false">IF(J2805="","",COUNTIF($I$2:I2805,I2805))</f>
        <v/>
      </c>
      <c r="L2805" s="27" t="str">
        <f aca="false">IF(J2805="","",CHOOSE(Q2805+1,"Tue","Wed","Thu","Fri"))</f>
        <v/>
      </c>
      <c r="M2805" s="27" t="str">
        <f aca="false">IF(J2805="","",IF(J2805=1,"Every week",R2805+1&amp;" of "&amp;J2805))</f>
        <v/>
      </c>
      <c r="N2805" s="28" t="str">
        <f aca="false">IF(J2805="","",Settings!$B$4+R2805*7+Q2805)</f>
        <v/>
      </c>
      <c r="O2805" s="28" t="str">
        <f aca="true">IF(J2805="","",N2805+MAX(0,ROUNDUP((TODAY()-N2805)/(J2805*7),0))*J2805*7)</f>
        <v/>
      </c>
      <c r="P2805" s="27" t="str">
        <f aca="false">IF(J2805="","",MOD(K2805-1,J2805*4))</f>
        <v/>
      </c>
      <c r="Q2805" s="27" t="str">
        <f aca="false">IF(J2805="","",MOD(P2805,4))</f>
        <v/>
      </c>
      <c r="R2805" s="27" t="str">
        <f aca="false">IF(J2805="","",INT(P2805/4))</f>
        <v/>
      </c>
      <c r="S2805" s="27" t="str">
        <f aca="false">IF(J2805="","",IF(AND('Daily Count Sheet'!$H$3=Q2805,MOD('Daily Count Sheet'!$I$3,J2805)=R2805),1,""))</f>
        <v/>
      </c>
      <c r="T2805" s="27" t="str">
        <f aca="false">IF(S2805=1,COUNTIF($S$2:S2805,1),"")</f>
        <v/>
      </c>
    </row>
    <row r="2806" customFormat="false" ht="15" hidden="false" customHeight="false" outlineLevel="0" collapsed="false">
      <c r="H2806" s="26"/>
      <c r="I2806" s="27" t="str">
        <f aca="false">IF(A2806="","",IF(H2806&lt;&gt;"",UPPER(TRIM(H2806)),IFERROR(CHOOSE(VALUE(E2806)+1,"A","B","C","D"),IF(OR(LEFT(UPPER(TRIM(E2806)),1)="F",UPPER(TRIM(E2806))="A"),"A",IF(OR(LEFT(UPPER(TRIM(E2806)),1)="M",UPPER(TRIM(E2806))="B"),"B",IF(OR(LEFT(UPPER(TRIM(E2806)),2)="SL",UPPER(TRIM(E2806))="C"),"C",IF(OR(LEFT(UPPER(TRIM(E2806)),1)="D",UPPER(TRIM(E2806))="D"),"D","")))))))</f>
        <v/>
      </c>
      <c r="J2806" s="27" t="str">
        <f aca="false">IF(I2806="","",IF(AND(I2806="D",Settings!$B$6&lt;&gt;"Yes"),"",IFERROR(INDEX(Settings!$C$9:$C$12,MATCH(I2806,Settings!$A$9:$A$12,0)),"")))</f>
        <v/>
      </c>
      <c r="K2806" s="27" t="str">
        <f aca="false">IF(J2806="","",COUNTIF($I$2:I2806,I2806))</f>
        <v/>
      </c>
      <c r="L2806" s="27" t="str">
        <f aca="false">IF(J2806="","",CHOOSE(Q2806+1,"Tue","Wed","Thu","Fri"))</f>
        <v/>
      </c>
      <c r="M2806" s="27" t="str">
        <f aca="false">IF(J2806="","",IF(J2806=1,"Every week",R2806+1&amp;" of "&amp;J2806))</f>
        <v/>
      </c>
      <c r="N2806" s="28" t="str">
        <f aca="false">IF(J2806="","",Settings!$B$4+R2806*7+Q2806)</f>
        <v/>
      </c>
      <c r="O2806" s="28" t="str">
        <f aca="true">IF(J2806="","",N2806+MAX(0,ROUNDUP((TODAY()-N2806)/(J2806*7),0))*J2806*7)</f>
        <v/>
      </c>
      <c r="P2806" s="27" t="str">
        <f aca="false">IF(J2806="","",MOD(K2806-1,J2806*4))</f>
        <v/>
      </c>
      <c r="Q2806" s="27" t="str">
        <f aca="false">IF(J2806="","",MOD(P2806,4))</f>
        <v/>
      </c>
      <c r="R2806" s="27" t="str">
        <f aca="false">IF(J2806="","",INT(P2806/4))</f>
        <v/>
      </c>
      <c r="S2806" s="27" t="str">
        <f aca="false">IF(J2806="","",IF(AND('Daily Count Sheet'!$H$3=Q2806,MOD('Daily Count Sheet'!$I$3,J2806)=R2806),1,""))</f>
        <v/>
      </c>
      <c r="T2806" s="27" t="str">
        <f aca="false">IF(S2806=1,COUNTIF($S$2:S2806,1),"")</f>
        <v/>
      </c>
    </row>
    <row r="2807" customFormat="false" ht="15" hidden="false" customHeight="false" outlineLevel="0" collapsed="false">
      <c r="H2807" s="26"/>
      <c r="I2807" s="27" t="str">
        <f aca="false">IF(A2807="","",IF(H2807&lt;&gt;"",UPPER(TRIM(H2807)),IFERROR(CHOOSE(VALUE(E2807)+1,"A","B","C","D"),IF(OR(LEFT(UPPER(TRIM(E2807)),1)="F",UPPER(TRIM(E2807))="A"),"A",IF(OR(LEFT(UPPER(TRIM(E2807)),1)="M",UPPER(TRIM(E2807))="B"),"B",IF(OR(LEFT(UPPER(TRIM(E2807)),2)="SL",UPPER(TRIM(E2807))="C"),"C",IF(OR(LEFT(UPPER(TRIM(E2807)),1)="D",UPPER(TRIM(E2807))="D"),"D","")))))))</f>
        <v/>
      </c>
      <c r="J2807" s="27" t="str">
        <f aca="false">IF(I2807="","",IF(AND(I2807="D",Settings!$B$6&lt;&gt;"Yes"),"",IFERROR(INDEX(Settings!$C$9:$C$12,MATCH(I2807,Settings!$A$9:$A$12,0)),"")))</f>
        <v/>
      </c>
      <c r="K2807" s="27" t="str">
        <f aca="false">IF(J2807="","",COUNTIF($I$2:I2807,I2807))</f>
        <v/>
      </c>
      <c r="L2807" s="27" t="str">
        <f aca="false">IF(J2807="","",CHOOSE(Q2807+1,"Tue","Wed","Thu","Fri"))</f>
        <v/>
      </c>
      <c r="M2807" s="27" t="str">
        <f aca="false">IF(J2807="","",IF(J2807=1,"Every week",R2807+1&amp;" of "&amp;J2807))</f>
        <v/>
      </c>
      <c r="N2807" s="28" t="str">
        <f aca="false">IF(J2807="","",Settings!$B$4+R2807*7+Q2807)</f>
        <v/>
      </c>
      <c r="O2807" s="28" t="str">
        <f aca="true">IF(J2807="","",N2807+MAX(0,ROUNDUP((TODAY()-N2807)/(J2807*7),0))*J2807*7)</f>
        <v/>
      </c>
      <c r="P2807" s="27" t="str">
        <f aca="false">IF(J2807="","",MOD(K2807-1,J2807*4))</f>
        <v/>
      </c>
      <c r="Q2807" s="27" t="str">
        <f aca="false">IF(J2807="","",MOD(P2807,4))</f>
        <v/>
      </c>
      <c r="R2807" s="27" t="str">
        <f aca="false">IF(J2807="","",INT(P2807/4))</f>
        <v/>
      </c>
      <c r="S2807" s="27" t="str">
        <f aca="false">IF(J2807="","",IF(AND('Daily Count Sheet'!$H$3=Q2807,MOD('Daily Count Sheet'!$I$3,J2807)=R2807),1,""))</f>
        <v/>
      </c>
      <c r="T2807" s="27" t="str">
        <f aca="false">IF(S2807=1,COUNTIF($S$2:S2807,1),"")</f>
        <v/>
      </c>
    </row>
    <row r="2808" customFormat="false" ht="15" hidden="false" customHeight="false" outlineLevel="0" collapsed="false">
      <c r="H2808" s="26"/>
      <c r="I2808" s="27" t="str">
        <f aca="false">IF(A2808="","",IF(H2808&lt;&gt;"",UPPER(TRIM(H2808)),IFERROR(CHOOSE(VALUE(E2808)+1,"A","B","C","D"),IF(OR(LEFT(UPPER(TRIM(E2808)),1)="F",UPPER(TRIM(E2808))="A"),"A",IF(OR(LEFT(UPPER(TRIM(E2808)),1)="M",UPPER(TRIM(E2808))="B"),"B",IF(OR(LEFT(UPPER(TRIM(E2808)),2)="SL",UPPER(TRIM(E2808))="C"),"C",IF(OR(LEFT(UPPER(TRIM(E2808)),1)="D",UPPER(TRIM(E2808))="D"),"D","")))))))</f>
        <v/>
      </c>
      <c r="J2808" s="27" t="str">
        <f aca="false">IF(I2808="","",IF(AND(I2808="D",Settings!$B$6&lt;&gt;"Yes"),"",IFERROR(INDEX(Settings!$C$9:$C$12,MATCH(I2808,Settings!$A$9:$A$12,0)),"")))</f>
        <v/>
      </c>
      <c r="K2808" s="27" t="str">
        <f aca="false">IF(J2808="","",COUNTIF($I$2:I2808,I2808))</f>
        <v/>
      </c>
      <c r="L2808" s="27" t="str">
        <f aca="false">IF(J2808="","",CHOOSE(Q2808+1,"Tue","Wed","Thu","Fri"))</f>
        <v/>
      </c>
      <c r="M2808" s="27" t="str">
        <f aca="false">IF(J2808="","",IF(J2808=1,"Every week",R2808+1&amp;" of "&amp;J2808))</f>
        <v/>
      </c>
      <c r="N2808" s="28" t="str">
        <f aca="false">IF(J2808="","",Settings!$B$4+R2808*7+Q2808)</f>
        <v/>
      </c>
      <c r="O2808" s="28" t="str">
        <f aca="true">IF(J2808="","",N2808+MAX(0,ROUNDUP((TODAY()-N2808)/(J2808*7),0))*J2808*7)</f>
        <v/>
      </c>
      <c r="P2808" s="27" t="str">
        <f aca="false">IF(J2808="","",MOD(K2808-1,J2808*4))</f>
        <v/>
      </c>
      <c r="Q2808" s="27" t="str">
        <f aca="false">IF(J2808="","",MOD(P2808,4))</f>
        <v/>
      </c>
      <c r="R2808" s="27" t="str">
        <f aca="false">IF(J2808="","",INT(P2808/4))</f>
        <v/>
      </c>
      <c r="S2808" s="27" t="str">
        <f aca="false">IF(J2808="","",IF(AND('Daily Count Sheet'!$H$3=Q2808,MOD('Daily Count Sheet'!$I$3,J2808)=R2808),1,""))</f>
        <v/>
      </c>
      <c r="T2808" s="27" t="str">
        <f aca="false">IF(S2808=1,COUNTIF($S$2:S2808,1),"")</f>
        <v/>
      </c>
    </row>
    <row r="2809" customFormat="false" ht="15" hidden="false" customHeight="false" outlineLevel="0" collapsed="false">
      <c r="H2809" s="26"/>
      <c r="I2809" s="27" t="str">
        <f aca="false">IF(A2809="","",IF(H2809&lt;&gt;"",UPPER(TRIM(H2809)),IFERROR(CHOOSE(VALUE(E2809)+1,"A","B","C","D"),IF(OR(LEFT(UPPER(TRIM(E2809)),1)="F",UPPER(TRIM(E2809))="A"),"A",IF(OR(LEFT(UPPER(TRIM(E2809)),1)="M",UPPER(TRIM(E2809))="B"),"B",IF(OR(LEFT(UPPER(TRIM(E2809)),2)="SL",UPPER(TRIM(E2809))="C"),"C",IF(OR(LEFT(UPPER(TRIM(E2809)),1)="D",UPPER(TRIM(E2809))="D"),"D","")))))))</f>
        <v/>
      </c>
      <c r="J2809" s="27" t="str">
        <f aca="false">IF(I2809="","",IF(AND(I2809="D",Settings!$B$6&lt;&gt;"Yes"),"",IFERROR(INDEX(Settings!$C$9:$C$12,MATCH(I2809,Settings!$A$9:$A$12,0)),"")))</f>
        <v/>
      </c>
      <c r="K2809" s="27" t="str">
        <f aca="false">IF(J2809="","",COUNTIF($I$2:I2809,I2809))</f>
        <v/>
      </c>
      <c r="L2809" s="27" t="str">
        <f aca="false">IF(J2809="","",CHOOSE(Q2809+1,"Tue","Wed","Thu","Fri"))</f>
        <v/>
      </c>
      <c r="M2809" s="27" t="str">
        <f aca="false">IF(J2809="","",IF(J2809=1,"Every week",R2809+1&amp;" of "&amp;J2809))</f>
        <v/>
      </c>
      <c r="N2809" s="28" t="str">
        <f aca="false">IF(J2809="","",Settings!$B$4+R2809*7+Q2809)</f>
        <v/>
      </c>
      <c r="O2809" s="28" t="str">
        <f aca="true">IF(J2809="","",N2809+MAX(0,ROUNDUP((TODAY()-N2809)/(J2809*7),0))*J2809*7)</f>
        <v/>
      </c>
      <c r="P2809" s="27" t="str">
        <f aca="false">IF(J2809="","",MOD(K2809-1,J2809*4))</f>
        <v/>
      </c>
      <c r="Q2809" s="27" t="str">
        <f aca="false">IF(J2809="","",MOD(P2809,4))</f>
        <v/>
      </c>
      <c r="R2809" s="27" t="str">
        <f aca="false">IF(J2809="","",INT(P2809/4))</f>
        <v/>
      </c>
      <c r="S2809" s="27" t="str">
        <f aca="false">IF(J2809="","",IF(AND('Daily Count Sheet'!$H$3=Q2809,MOD('Daily Count Sheet'!$I$3,J2809)=R2809),1,""))</f>
        <v/>
      </c>
      <c r="T2809" s="27" t="str">
        <f aca="false">IF(S2809=1,COUNTIF($S$2:S2809,1),"")</f>
        <v/>
      </c>
    </row>
    <row r="2810" customFormat="false" ht="15" hidden="false" customHeight="false" outlineLevel="0" collapsed="false">
      <c r="H2810" s="26"/>
      <c r="I2810" s="27" t="str">
        <f aca="false">IF(A2810="","",IF(H2810&lt;&gt;"",UPPER(TRIM(H2810)),IFERROR(CHOOSE(VALUE(E2810)+1,"A","B","C","D"),IF(OR(LEFT(UPPER(TRIM(E2810)),1)="F",UPPER(TRIM(E2810))="A"),"A",IF(OR(LEFT(UPPER(TRIM(E2810)),1)="M",UPPER(TRIM(E2810))="B"),"B",IF(OR(LEFT(UPPER(TRIM(E2810)),2)="SL",UPPER(TRIM(E2810))="C"),"C",IF(OR(LEFT(UPPER(TRIM(E2810)),1)="D",UPPER(TRIM(E2810))="D"),"D","")))))))</f>
        <v/>
      </c>
      <c r="J2810" s="27" t="str">
        <f aca="false">IF(I2810="","",IF(AND(I2810="D",Settings!$B$6&lt;&gt;"Yes"),"",IFERROR(INDEX(Settings!$C$9:$C$12,MATCH(I2810,Settings!$A$9:$A$12,0)),"")))</f>
        <v/>
      </c>
      <c r="K2810" s="27" t="str">
        <f aca="false">IF(J2810="","",COUNTIF($I$2:I2810,I2810))</f>
        <v/>
      </c>
      <c r="L2810" s="27" t="str">
        <f aca="false">IF(J2810="","",CHOOSE(Q2810+1,"Tue","Wed","Thu","Fri"))</f>
        <v/>
      </c>
      <c r="M2810" s="27" t="str">
        <f aca="false">IF(J2810="","",IF(J2810=1,"Every week",R2810+1&amp;" of "&amp;J2810))</f>
        <v/>
      </c>
      <c r="N2810" s="28" t="str">
        <f aca="false">IF(J2810="","",Settings!$B$4+R2810*7+Q2810)</f>
        <v/>
      </c>
      <c r="O2810" s="28" t="str">
        <f aca="true">IF(J2810="","",N2810+MAX(0,ROUNDUP((TODAY()-N2810)/(J2810*7),0))*J2810*7)</f>
        <v/>
      </c>
      <c r="P2810" s="27" t="str">
        <f aca="false">IF(J2810="","",MOD(K2810-1,J2810*4))</f>
        <v/>
      </c>
      <c r="Q2810" s="27" t="str">
        <f aca="false">IF(J2810="","",MOD(P2810,4))</f>
        <v/>
      </c>
      <c r="R2810" s="27" t="str">
        <f aca="false">IF(J2810="","",INT(P2810/4))</f>
        <v/>
      </c>
      <c r="S2810" s="27" t="str">
        <f aca="false">IF(J2810="","",IF(AND('Daily Count Sheet'!$H$3=Q2810,MOD('Daily Count Sheet'!$I$3,J2810)=R2810),1,""))</f>
        <v/>
      </c>
      <c r="T2810" s="27" t="str">
        <f aca="false">IF(S2810=1,COUNTIF($S$2:S2810,1),"")</f>
        <v/>
      </c>
    </row>
    <row r="2811" customFormat="false" ht="15" hidden="false" customHeight="false" outlineLevel="0" collapsed="false">
      <c r="H2811" s="26"/>
      <c r="I2811" s="27" t="str">
        <f aca="false">IF(A2811="","",IF(H2811&lt;&gt;"",UPPER(TRIM(H2811)),IFERROR(CHOOSE(VALUE(E2811)+1,"A","B","C","D"),IF(OR(LEFT(UPPER(TRIM(E2811)),1)="F",UPPER(TRIM(E2811))="A"),"A",IF(OR(LEFT(UPPER(TRIM(E2811)),1)="M",UPPER(TRIM(E2811))="B"),"B",IF(OR(LEFT(UPPER(TRIM(E2811)),2)="SL",UPPER(TRIM(E2811))="C"),"C",IF(OR(LEFT(UPPER(TRIM(E2811)),1)="D",UPPER(TRIM(E2811))="D"),"D","")))))))</f>
        <v/>
      </c>
      <c r="J2811" s="27" t="str">
        <f aca="false">IF(I2811="","",IF(AND(I2811="D",Settings!$B$6&lt;&gt;"Yes"),"",IFERROR(INDEX(Settings!$C$9:$C$12,MATCH(I2811,Settings!$A$9:$A$12,0)),"")))</f>
        <v/>
      </c>
      <c r="K2811" s="27" t="str">
        <f aca="false">IF(J2811="","",COUNTIF($I$2:I2811,I2811))</f>
        <v/>
      </c>
      <c r="L2811" s="27" t="str">
        <f aca="false">IF(J2811="","",CHOOSE(Q2811+1,"Tue","Wed","Thu","Fri"))</f>
        <v/>
      </c>
      <c r="M2811" s="27" t="str">
        <f aca="false">IF(J2811="","",IF(J2811=1,"Every week",R2811+1&amp;" of "&amp;J2811))</f>
        <v/>
      </c>
      <c r="N2811" s="28" t="str">
        <f aca="false">IF(J2811="","",Settings!$B$4+R2811*7+Q2811)</f>
        <v/>
      </c>
      <c r="O2811" s="28" t="str">
        <f aca="true">IF(J2811="","",N2811+MAX(0,ROUNDUP((TODAY()-N2811)/(J2811*7),0))*J2811*7)</f>
        <v/>
      </c>
      <c r="P2811" s="27" t="str">
        <f aca="false">IF(J2811="","",MOD(K2811-1,J2811*4))</f>
        <v/>
      </c>
      <c r="Q2811" s="27" t="str">
        <f aca="false">IF(J2811="","",MOD(P2811,4))</f>
        <v/>
      </c>
      <c r="R2811" s="27" t="str">
        <f aca="false">IF(J2811="","",INT(P2811/4))</f>
        <v/>
      </c>
      <c r="S2811" s="27" t="str">
        <f aca="false">IF(J2811="","",IF(AND('Daily Count Sheet'!$H$3=Q2811,MOD('Daily Count Sheet'!$I$3,J2811)=R2811),1,""))</f>
        <v/>
      </c>
      <c r="T2811" s="27" t="str">
        <f aca="false">IF(S2811=1,COUNTIF($S$2:S2811,1),"")</f>
        <v/>
      </c>
    </row>
    <row r="2812" customFormat="false" ht="15" hidden="false" customHeight="false" outlineLevel="0" collapsed="false">
      <c r="H2812" s="26"/>
      <c r="I2812" s="27" t="str">
        <f aca="false">IF(A2812="","",IF(H2812&lt;&gt;"",UPPER(TRIM(H2812)),IFERROR(CHOOSE(VALUE(E2812)+1,"A","B","C","D"),IF(OR(LEFT(UPPER(TRIM(E2812)),1)="F",UPPER(TRIM(E2812))="A"),"A",IF(OR(LEFT(UPPER(TRIM(E2812)),1)="M",UPPER(TRIM(E2812))="B"),"B",IF(OR(LEFT(UPPER(TRIM(E2812)),2)="SL",UPPER(TRIM(E2812))="C"),"C",IF(OR(LEFT(UPPER(TRIM(E2812)),1)="D",UPPER(TRIM(E2812))="D"),"D","")))))))</f>
        <v/>
      </c>
      <c r="J2812" s="27" t="str">
        <f aca="false">IF(I2812="","",IF(AND(I2812="D",Settings!$B$6&lt;&gt;"Yes"),"",IFERROR(INDEX(Settings!$C$9:$C$12,MATCH(I2812,Settings!$A$9:$A$12,0)),"")))</f>
        <v/>
      </c>
      <c r="K2812" s="27" t="str">
        <f aca="false">IF(J2812="","",COUNTIF($I$2:I2812,I2812))</f>
        <v/>
      </c>
      <c r="L2812" s="27" t="str">
        <f aca="false">IF(J2812="","",CHOOSE(Q2812+1,"Tue","Wed","Thu","Fri"))</f>
        <v/>
      </c>
      <c r="M2812" s="27" t="str">
        <f aca="false">IF(J2812="","",IF(J2812=1,"Every week",R2812+1&amp;" of "&amp;J2812))</f>
        <v/>
      </c>
      <c r="N2812" s="28" t="str">
        <f aca="false">IF(J2812="","",Settings!$B$4+R2812*7+Q2812)</f>
        <v/>
      </c>
      <c r="O2812" s="28" t="str">
        <f aca="true">IF(J2812="","",N2812+MAX(0,ROUNDUP((TODAY()-N2812)/(J2812*7),0))*J2812*7)</f>
        <v/>
      </c>
      <c r="P2812" s="27" t="str">
        <f aca="false">IF(J2812="","",MOD(K2812-1,J2812*4))</f>
        <v/>
      </c>
      <c r="Q2812" s="27" t="str">
        <f aca="false">IF(J2812="","",MOD(P2812,4))</f>
        <v/>
      </c>
      <c r="R2812" s="27" t="str">
        <f aca="false">IF(J2812="","",INT(P2812/4))</f>
        <v/>
      </c>
      <c r="S2812" s="27" t="str">
        <f aca="false">IF(J2812="","",IF(AND('Daily Count Sheet'!$H$3=Q2812,MOD('Daily Count Sheet'!$I$3,J2812)=R2812),1,""))</f>
        <v/>
      </c>
      <c r="T2812" s="27" t="str">
        <f aca="false">IF(S2812=1,COUNTIF($S$2:S2812,1),"")</f>
        <v/>
      </c>
    </row>
    <row r="2813" customFormat="false" ht="15" hidden="false" customHeight="false" outlineLevel="0" collapsed="false">
      <c r="H2813" s="26"/>
      <c r="I2813" s="27" t="str">
        <f aca="false">IF(A2813="","",IF(H2813&lt;&gt;"",UPPER(TRIM(H2813)),IFERROR(CHOOSE(VALUE(E2813)+1,"A","B","C","D"),IF(OR(LEFT(UPPER(TRIM(E2813)),1)="F",UPPER(TRIM(E2813))="A"),"A",IF(OR(LEFT(UPPER(TRIM(E2813)),1)="M",UPPER(TRIM(E2813))="B"),"B",IF(OR(LEFT(UPPER(TRIM(E2813)),2)="SL",UPPER(TRIM(E2813))="C"),"C",IF(OR(LEFT(UPPER(TRIM(E2813)),1)="D",UPPER(TRIM(E2813))="D"),"D","")))))))</f>
        <v/>
      </c>
      <c r="J2813" s="27" t="str">
        <f aca="false">IF(I2813="","",IF(AND(I2813="D",Settings!$B$6&lt;&gt;"Yes"),"",IFERROR(INDEX(Settings!$C$9:$C$12,MATCH(I2813,Settings!$A$9:$A$12,0)),"")))</f>
        <v/>
      </c>
      <c r="K2813" s="27" t="str">
        <f aca="false">IF(J2813="","",COUNTIF($I$2:I2813,I2813))</f>
        <v/>
      </c>
      <c r="L2813" s="27" t="str">
        <f aca="false">IF(J2813="","",CHOOSE(Q2813+1,"Tue","Wed","Thu","Fri"))</f>
        <v/>
      </c>
      <c r="M2813" s="27" t="str">
        <f aca="false">IF(J2813="","",IF(J2813=1,"Every week",R2813+1&amp;" of "&amp;J2813))</f>
        <v/>
      </c>
      <c r="N2813" s="28" t="str">
        <f aca="false">IF(J2813="","",Settings!$B$4+R2813*7+Q2813)</f>
        <v/>
      </c>
      <c r="O2813" s="28" t="str">
        <f aca="true">IF(J2813="","",N2813+MAX(0,ROUNDUP((TODAY()-N2813)/(J2813*7),0))*J2813*7)</f>
        <v/>
      </c>
      <c r="P2813" s="27" t="str">
        <f aca="false">IF(J2813="","",MOD(K2813-1,J2813*4))</f>
        <v/>
      </c>
      <c r="Q2813" s="27" t="str">
        <f aca="false">IF(J2813="","",MOD(P2813,4))</f>
        <v/>
      </c>
      <c r="R2813" s="27" t="str">
        <f aca="false">IF(J2813="","",INT(P2813/4))</f>
        <v/>
      </c>
      <c r="S2813" s="27" t="str">
        <f aca="false">IF(J2813="","",IF(AND('Daily Count Sheet'!$H$3=Q2813,MOD('Daily Count Sheet'!$I$3,J2813)=R2813),1,""))</f>
        <v/>
      </c>
      <c r="T2813" s="27" t="str">
        <f aca="false">IF(S2813=1,COUNTIF($S$2:S2813,1),"")</f>
        <v/>
      </c>
    </row>
    <row r="2814" customFormat="false" ht="15" hidden="false" customHeight="false" outlineLevel="0" collapsed="false">
      <c r="H2814" s="26"/>
      <c r="I2814" s="27" t="str">
        <f aca="false">IF(A2814="","",IF(H2814&lt;&gt;"",UPPER(TRIM(H2814)),IFERROR(CHOOSE(VALUE(E2814)+1,"A","B","C","D"),IF(OR(LEFT(UPPER(TRIM(E2814)),1)="F",UPPER(TRIM(E2814))="A"),"A",IF(OR(LEFT(UPPER(TRIM(E2814)),1)="M",UPPER(TRIM(E2814))="B"),"B",IF(OR(LEFT(UPPER(TRIM(E2814)),2)="SL",UPPER(TRIM(E2814))="C"),"C",IF(OR(LEFT(UPPER(TRIM(E2814)),1)="D",UPPER(TRIM(E2814))="D"),"D","")))))))</f>
        <v/>
      </c>
      <c r="J2814" s="27" t="str">
        <f aca="false">IF(I2814="","",IF(AND(I2814="D",Settings!$B$6&lt;&gt;"Yes"),"",IFERROR(INDEX(Settings!$C$9:$C$12,MATCH(I2814,Settings!$A$9:$A$12,0)),"")))</f>
        <v/>
      </c>
      <c r="K2814" s="27" t="str">
        <f aca="false">IF(J2814="","",COUNTIF($I$2:I2814,I2814))</f>
        <v/>
      </c>
      <c r="L2814" s="27" t="str">
        <f aca="false">IF(J2814="","",CHOOSE(Q2814+1,"Tue","Wed","Thu","Fri"))</f>
        <v/>
      </c>
      <c r="M2814" s="27" t="str">
        <f aca="false">IF(J2814="","",IF(J2814=1,"Every week",R2814+1&amp;" of "&amp;J2814))</f>
        <v/>
      </c>
      <c r="N2814" s="28" t="str">
        <f aca="false">IF(J2814="","",Settings!$B$4+R2814*7+Q2814)</f>
        <v/>
      </c>
      <c r="O2814" s="28" t="str">
        <f aca="true">IF(J2814="","",N2814+MAX(0,ROUNDUP((TODAY()-N2814)/(J2814*7),0))*J2814*7)</f>
        <v/>
      </c>
      <c r="P2814" s="27" t="str">
        <f aca="false">IF(J2814="","",MOD(K2814-1,J2814*4))</f>
        <v/>
      </c>
      <c r="Q2814" s="27" t="str">
        <f aca="false">IF(J2814="","",MOD(P2814,4))</f>
        <v/>
      </c>
      <c r="R2814" s="27" t="str">
        <f aca="false">IF(J2814="","",INT(P2814/4))</f>
        <v/>
      </c>
      <c r="S2814" s="27" t="str">
        <f aca="false">IF(J2814="","",IF(AND('Daily Count Sheet'!$H$3=Q2814,MOD('Daily Count Sheet'!$I$3,J2814)=R2814),1,""))</f>
        <v/>
      </c>
      <c r="T2814" s="27" t="str">
        <f aca="false">IF(S2814=1,COUNTIF($S$2:S2814,1),"")</f>
        <v/>
      </c>
    </row>
    <row r="2815" customFormat="false" ht="15" hidden="false" customHeight="false" outlineLevel="0" collapsed="false">
      <c r="H2815" s="26"/>
      <c r="I2815" s="27" t="str">
        <f aca="false">IF(A2815="","",IF(H2815&lt;&gt;"",UPPER(TRIM(H2815)),IFERROR(CHOOSE(VALUE(E2815)+1,"A","B","C","D"),IF(OR(LEFT(UPPER(TRIM(E2815)),1)="F",UPPER(TRIM(E2815))="A"),"A",IF(OR(LEFT(UPPER(TRIM(E2815)),1)="M",UPPER(TRIM(E2815))="B"),"B",IF(OR(LEFT(UPPER(TRIM(E2815)),2)="SL",UPPER(TRIM(E2815))="C"),"C",IF(OR(LEFT(UPPER(TRIM(E2815)),1)="D",UPPER(TRIM(E2815))="D"),"D","")))))))</f>
        <v/>
      </c>
      <c r="J2815" s="27" t="str">
        <f aca="false">IF(I2815="","",IF(AND(I2815="D",Settings!$B$6&lt;&gt;"Yes"),"",IFERROR(INDEX(Settings!$C$9:$C$12,MATCH(I2815,Settings!$A$9:$A$12,0)),"")))</f>
        <v/>
      </c>
      <c r="K2815" s="27" t="str">
        <f aca="false">IF(J2815="","",COUNTIF($I$2:I2815,I2815))</f>
        <v/>
      </c>
      <c r="L2815" s="27" t="str">
        <f aca="false">IF(J2815="","",CHOOSE(Q2815+1,"Tue","Wed","Thu","Fri"))</f>
        <v/>
      </c>
      <c r="M2815" s="27" t="str">
        <f aca="false">IF(J2815="","",IF(J2815=1,"Every week",R2815+1&amp;" of "&amp;J2815))</f>
        <v/>
      </c>
      <c r="N2815" s="28" t="str">
        <f aca="false">IF(J2815="","",Settings!$B$4+R2815*7+Q2815)</f>
        <v/>
      </c>
      <c r="O2815" s="28" t="str">
        <f aca="true">IF(J2815="","",N2815+MAX(0,ROUNDUP((TODAY()-N2815)/(J2815*7),0))*J2815*7)</f>
        <v/>
      </c>
      <c r="P2815" s="27" t="str">
        <f aca="false">IF(J2815="","",MOD(K2815-1,J2815*4))</f>
        <v/>
      </c>
      <c r="Q2815" s="27" t="str">
        <f aca="false">IF(J2815="","",MOD(P2815,4))</f>
        <v/>
      </c>
      <c r="R2815" s="27" t="str">
        <f aca="false">IF(J2815="","",INT(P2815/4))</f>
        <v/>
      </c>
      <c r="S2815" s="27" t="str">
        <f aca="false">IF(J2815="","",IF(AND('Daily Count Sheet'!$H$3=Q2815,MOD('Daily Count Sheet'!$I$3,J2815)=R2815),1,""))</f>
        <v/>
      </c>
      <c r="T2815" s="27" t="str">
        <f aca="false">IF(S2815=1,COUNTIF($S$2:S2815,1),"")</f>
        <v/>
      </c>
    </row>
    <row r="2816" customFormat="false" ht="15" hidden="false" customHeight="false" outlineLevel="0" collapsed="false">
      <c r="H2816" s="26"/>
      <c r="I2816" s="27" t="str">
        <f aca="false">IF(A2816="","",IF(H2816&lt;&gt;"",UPPER(TRIM(H2816)),IFERROR(CHOOSE(VALUE(E2816)+1,"A","B","C","D"),IF(OR(LEFT(UPPER(TRIM(E2816)),1)="F",UPPER(TRIM(E2816))="A"),"A",IF(OR(LEFT(UPPER(TRIM(E2816)),1)="M",UPPER(TRIM(E2816))="B"),"B",IF(OR(LEFT(UPPER(TRIM(E2816)),2)="SL",UPPER(TRIM(E2816))="C"),"C",IF(OR(LEFT(UPPER(TRIM(E2816)),1)="D",UPPER(TRIM(E2816))="D"),"D","")))))))</f>
        <v/>
      </c>
      <c r="J2816" s="27" t="str">
        <f aca="false">IF(I2816="","",IF(AND(I2816="D",Settings!$B$6&lt;&gt;"Yes"),"",IFERROR(INDEX(Settings!$C$9:$C$12,MATCH(I2816,Settings!$A$9:$A$12,0)),"")))</f>
        <v/>
      </c>
      <c r="K2816" s="27" t="str">
        <f aca="false">IF(J2816="","",COUNTIF($I$2:I2816,I2816))</f>
        <v/>
      </c>
      <c r="L2816" s="27" t="str">
        <f aca="false">IF(J2816="","",CHOOSE(Q2816+1,"Tue","Wed","Thu","Fri"))</f>
        <v/>
      </c>
      <c r="M2816" s="27" t="str">
        <f aca="false">IF(J2816="","",IF(J2816=1,"Every week",R2816+1&amp;" of "&amp;J2816))</f>
        <v/>
      </c>
      <c r="N2816" s="28" t="str">
        <f aca="false">IF(J2816="","",Settings!$B$4+R2816*7+Q2816)</f>
        <v/>
      </c>
      <c r="O2816" s="28" t="str">
        <f aca="true">IF(J2816="","",N2816+MAX(0,ROUNDUP((TODAY()-N2816)/(J2816*7),0))*J2816*7)</f>
        <v/>
      </c>
      <c r="P2816" s="27" t="str">
        <f aca="false">IF(J2816="","",MOD(K2816-1,J2816*4))</f>
        <v/>
      </c>
      <c r="Q2816" s="27" t="str">
        <f aca="false">IF(J2816="","",MOD(P2816,4))</f>
        <v/>
      </c>
      <c r="R2816" s="27" t="str">
        <f aca="false">IF(J2816="","",INT(P2816/4))</f>
        <v/>
      </c>
      <c r="S2816" s="27" t="str">
        <f aca="false">IF(J2816="","",IF(AND('Daily Count Sheet'!$H$3=Q2816,MOD('Daily Count Sheet'!$I$3,J2816)=R2816),1,""))</f>
        <v/>
      </c>
      <c r="T2816" s="27" t="str">
        <f aca="false">IF(S2816=1,COUNTIF($S$2:S2816,1),"")</f>
        <v/>
      </c>
    </row>
    <row r="2817" customFormat="false" ht="15" hidden="false" customHeight="false" outlineLevel="0" collapsed="false">
      <c r="H2817" s="26"/>
      <c r="I2817" s="27" t="str">
        <f aca="false">IF(A2817="","",IF(H2817&lt;&gt;"",UPPER(TRIM(H2817)),IFERROR(CHOOSE(VALUE(E2817)+1,"A","B","C","D"),IF(OR(LEFT(UPPER(TRIM(E2817)),1)="F",UPPER(TRIM(E2817))="A"),"A",IF(OR(LEFT(UPPER(TRIM(E2817)),1)="M",UPPER(TRIM(E2817))="B"),"B",IF(OR(LEFT(UPPER(TRIM(E2817)),2)="SL",UPPER(TRIM(E2817))="C"),"C",IF(OR(LEFT(UPPER(TRIM(E2817)),1)="D",UPPER(TRIM(E2817))="D"),"D","")))))))</f>
        <v/>
      </c>
      <c r="J2817" s="27" t="str">
        <f aca="false">IF(I2817="","",IF(AND(I2817="D",Settings!$B$6&lt;&gt;"Yes"),"",IFERROR(INDEX(Settings!$C$9:$C$12,MATCH(I2817,Settings!$A$9:$A$12,0)),"")))</f>
        <v/>
      </c>
      <c r="K2817" s="27" t="str">
        <f aca="false">IF(J2817="","",COUNTIF($I$2:I2817,I2817))</f>
        <v/>
      </c>
      <c r="L2817" s="27" t="str">
        <f aca="false">IF(J2817="","",CHOOSE(Q2817+1,"Tue","Wed","Thu","Fri"))</f>
        <v/>
      </c>
      <c r="M2817" s="27" t="str">
        <f aca="false">IF(J2817="","",IF(J2817=1,"Every week",R2817+1&amp;" of "&amp;J2817))</f>
        <v/>
      </c>
      <c r="N2817" s="28" t="str">
        <f aca="false">IF(J2817="","",Settings!$B$4+R2817*7+Q2817)</f>
        <v/>
      </c>
      <c r="O2817" s="28" t="str">
        <f aca="true">IF(J2817="","",N2817+MAX(0,ROUNDUP((TODAY()-N2817)/(J2817*7),0))*J2817*7)</f>
        <v/>
      </c>
      <c r="P2817" s="27" t="str">
        <f aca="false">IF(J2817="","",MOD(K2817-1,J2817*4))</f>
        <v/>
      </c>
      <c r="Q2817" s="27" t="str">
        <f aca="false">IF(J2817="","",MOD(P2817,4))</f>
        <v/>
      </c>
      <c r="R2817" s="27" t="str">
        <f aca="false">IF(J2817="","",INT(P2817/4))</f>
        <v/>
      </c>
      <c r="S2817" s="27" t="str">
        <f aca="false">IF(J2817="","",IF(AND('Daily Count Sheet'!$H$3=Q2817,MOD('Daily Count Sheet'!$I$3,J2817)=R2817),1,""))</f>
        <v/>
      </c>
      <c r="T2817" s="27" t="str">
        <f aca="false">IF(S2817=1,COUNTIF($S$2:S2817,1),"")</f>
        <v/>
      </c>
    </row>
    <row r="2818" customFormat="false" ht="15" hidden="false" customHeight="false" outlineLevel="0" collapsed="false">
      <c r="H2818" s="26"/>
      <c r="I2818" s="27" t="str">
        <f aca="false">IF(A2818="","",IF(H2818&lt;&gt;"",UPPER(TRIM(H2818)),IFERROR(CHOOSE(VALUE(E2818)+1,"A","B","C","D"),IF(OR(LEFT(UPPER(TRIM(E2818)),1)="F",UPPER(TRIM(E2818))="A"),"A",IF(OR(LEFT(UPPER(TRIM(E2818)),1)="M",UPPER(TRIM(E2818))="B"),"B",IF(OR(LEFT(UPPER(TRIM(E2818)),2)="SL",UPPER(TRIM(E2818))="C"),"C",IF(OR(LEFT(UPPER(TRIM(E2818)),1)="D",UPPER(TRIM(E2818))="D"),"D","")))))))</f>
        <v/>
      </c>
      <c r="J2818" s="27" t="str">
        <f aca="false">IF(I2818="","",IF(AND(I2818="D",Settings!$B$6&lt;&gt;"Yes"),"",IFERROR(INDEX(Settings!$C$9:$C$12,MATCH(I2818,Settings!$A$9:$A$12,0)),"")))</f>
        <v/>
      </c>
      <c r="K2818" s="27" t="str">
        <f aca="false">IF(J2818="","",COUNTIF($I$2:I2818,I2818))</f>
        <v/>
      </c>
      <c r="L2818" s="27" t="str">
        <f aca="false">IF(J2818="","",CHOOSE(Q2818+1,"Tue","Wed","Thu","Fri"))</f>
        <v/>
      </c>
      <c r="M2818" s="27" t="str">
        <f aca="false">IF(J2818="","",IF(J2818=1,"Every week",R2818+1&amp;" of "&amp;J2818))</f>
        <v/>
      </c>
      <c r="N2818" s="28" t="str">
        <f aca="false">IF(J2818="","",Settings!$B$4+R2818*7+Q2818)</f>
        <v/>
      </c>
      <c r="O2818" s="28" t="str">
        <f aca="true">IF(J2818="","",N2818+MAX(0,ROUNDUP((TODAY()-N2818)/(J2818*7),0))*J2818*7)</f>
        <v/>
      </c>
      <c r="P2818" s="27" t="str">
        <f aca="false">IF(J2818="","",MOD(K2818-1,J2818*4))</f>
        <v/>
      </c>
      <c r="Q2818" s="27" t="str">
        <f aca="false">IF(J2818="","",MOD(P2818,4))</f>
        <v/>
      </c>
      <c r="R2818" s="27" t="str">
        <f aca="false">IF(J2818="","",INT(P2818/4))</f>
        <v/>
      </c>
      <c r="S2818" s="27" t="str">
        <f aca="false">IF(J2818="","",IF(AND('Daily Count Sheet'!$H$3=Q2818,MOD('Daily Count Sheet'!$I$3,J2818)=R2818),1,""))</f>
        <v/>
      </c>
      <c r="T2818" s="27" t="str">
        <f aca="false">IF(S2818=1,COUNTIF($S$2:S2818,1),"")</f>
        <v/>
      </c>
    </row>
    <row r="2819" customFormat="false" ht="15" hidden="false" customHeight="false" outlineLevel="0" collapsed="false">
      <c r="H2819" s="26"/>
      <c r="I2819" s="27" t="str">
        <f aca="false">IF(A2819="","",IF(H2819&lt;&gt;"",UPPER(TRIM(H2819)),IFERROR(CHOOSE(VALUE(E2819)+1,"A","B","C","D"),IF(OR(LEFT(UPPER(TRIM(E2819)),1)="F",UPPER(TRIM(E2819))="A"),"A",IF(OR(LEFT(UPPER(TRIM(E2819)),1)="M",UPPER(TRIM(E2819))="B"),"B",IF(OR(LEFT(UPPER(TRIM(E2819)),2)="SL",UPPER(TRIM(E2819))="C"),"C",IF(OR(LEFT(UPPER(TRIM(E2819)),1)="D",UPPER(TRIM(E2819))="D"),"D","")))))))</f>
        <v/>
      </c>
      <c r="J2819" s="27" t="str">
        <f aca="false">IF(I2819="","",IF(AND(I2819="D",Settings!$B$6&lt;&gt;"Yes"),"",IFERROR(INDEX(Settings!$C$9:$C$12,MATCH(I2819,Settings!$A$9:$A$12,0)),"")))</f>
        <v/>
      </c>
      <c r="K2819" s="27" t="str">
        <f aca="false">IF(J2819="","",COUNTIF($I$2:I2819,I2819))</f>
        <v/>
      </c>
      <c r="L2819" s="27" t="str">
        <f aca="false">IF(J2819="","",CHOOSE(Q2819+1,"Tue","Wed","Thu","Fri"))</f>
        <v/>
      </c>
      <c r="M2819" s="27" t="str">
        <f aca="false">IF(J2819="","",IF(J2819=1,"Every week",R2819+1&amp;" of "&amp;J2819))</f>
        <v/>
      </c>
      <c r="N2819" s="28" t="str">
        <f aca="false">IF(J2819="","",Settings!$B$4+R2819*7+Q2819)</f>
        <v/>
      </c>
      <c r="O2819" s="28" t="str">
        <f aca="true">IF(J2819="","",N2819+MAX(0,ROUNDUP((TODAY()-N2819)/(J2819*7),0))*J2819*7)</f>
        <v/>
      </c>
      <c r="P2819" s="27" t="str">
        <f aca="false">IF(J2819="","",MOD(K2819-1,J2819*4))</f>
        <v/>
      </c>
      <c r="Q2819" s="27" t="str">
        <f aca="false">IF(J2819="","",MOD(P2819,4))</f>
        <v/>
      </c>
      <c r="R2819" s="27" t="str">
        <f aca="false">IF(J2819="","",INT(P2819/4))</f>
        <v/>
      </c>
      <c r="S2819" s="27" t="str">
        <f aca="false">IF(J2819="","",IF(AND('Daily Count Sheet'!$H$3=Q2819,MOD('Daily Count Sheet'!$I$3,J2819)=R2819),1,""))</f>
        <v/>
      </c>
      <c r="T2819" s="27" t="str">
        <f aca="false">IF(S2819=1,COUNTIF($S$2:S2819,1),"")</f>
        <v/>
      </c>
    </row>
    <row r="2820" customFormat="false" ht="15" hidden="false" customHeight="false" outlineLevel="0" collapsed="false">
      <c r="H2820" s="26"/>
      <c r="I2820" s="27" t="str">
        <f aca="false">IF(A2820="","",IF(H2820&lt;&gt;"",UPPER(TRIM(H2820)),IFERROR(CHOOSE(VALUE(E2820)+1,"A","B","C","D"),IF(OR(LEFT(UPPER(TRIM(E2820)),1)="F",UPPER(TRIM(E2820))="A"),"A",IF(OR(LEFT(UPPER(TRIM(E2820)),1)="M",UPPER(TRIM(E2820))="B"),"B",IF(OR(LEFT(UPPER(TRIM(E2820)),2)="SL",UPPER(TRIM(E2820))="C"),"C",IF(OR(LEFT(UPPER(TRIM(E2820)),1)="D",UPPER(TRIM(E2820))="D"),"D","")))))))</f>
        <v/>
      </c>
      <c r="J2820" s="27" t="str">
        <f aca="false">IF(I2820="","",IF(AND(I2820="D",Settings!$B$6&lt;&gt;"Yes"),"",IFERROR(INDEX(Settings!$C$9:$C$12,MATCH(I2820,Settings!$A$9:$A$12,0)),"")))</f>
        <v/>
      </c>
      <c r="K2820" s="27" t="str">
        <f aca="false">IF(J2820="","",COUNTIF($I$2:I2820,I2820))</f>
        <v/>
      </c>
      <c r="L2820" s="27" t="str">
        <f aca="false">IF(J2820="","",CHOOSE(Q2820+1,"Tue","Wed","Thu","Fri"))</f>
        <v/>
      </c>
      <c r="M2820" s="27" t="str">
        <f aca="false">IF(J2820="","",IF(J2820=1,"Every week",R2820+1&amp;" of "&amp;J2820))</f>
        <v/>
      </c>
      <c r="N2820" s="28" t="str">
        <f aca="false">IF(J2820="","",Settings!$B$4+R2820*7+Q2820)</f>
        <v/>
      </c>
      <c r="O2820" s="28" t="str">
        <f aca="true">IF(J2820="","",N2820+MAX(0,ROUNDUP((TODAY()-N2820)/(J2820*7),0))*J2820*7)</f>
        <v/>
      </c>
      <c r="P2820" s="27" t="str">
        <f aca="false">IF(J2820="","",MOD(K2820-1,J2820*4))</f>
        <v/>
      </c>
      <c r="Q2820" s="27" t="str">
        <f aca="false">IF(J2820="","",MOD(P2820,4))</f>
        <v/>
      </c>
      <c r="R2820" s="27" t="str">
        <f aca="false">IF(J2820="","",INT(P2820/4))</f>
        <v/>
      </c>
      <c r="S2820" s="27" t="str">
        <f aca="false">IF(J2820="","",IF(AND('Daily Count Sheet'!$H$3=Q2820,MOD('Daily Count Sheet'!$I$3,J2820)=R2820),1,""))</f>
        <v/>
      </c>
      <c r="T2820" s="27" t="str">
        <f aca="false">IF(S2820=1,COUNTIF($S$2:S2820,1),"")</f>
        <v/>
      </c>
    </row>
    <row r="2821" customFormat="false" ht="15" hidden="false" customHeight="false" outlineLevel="0" collapsed="false">
      <c r="H2821" s="26"/>
      <c r="I2821" s="27" t="str">
        <f aca="false">IF(A2821="","",IF(H2821&lt;&gt;"",UPPER(TRIM(H2821)),IFERROR(CHOOSE(VALUE(E2821)+1,"A","B","C","D"),IF(OR(LEFT(UPPER(TRIM(E2821)),1)="F",UPPER(TRIM(E2821))="A"),"A",IF(OR(LEFT(UPPER(TRIM(E2821)),1)="M",UPPER(TRIM(E2821))="B"),"B",IF(OR(LEFT(UPPER(TRIM(E2821)),2)="SL",UPPER(TRIM(E2821))="C"),"C",IF(OR(LEFT(UPPER(TRIM(E2821)),1)="D",UPPER(TRIM(E2821))="D"),"D","")))))))</f>
        <v/>
      </c>
      <c r="J2821" s="27" t="str">
        <f aca="false">IF(I2821="","",IF(AND(I2821="D",Settings!$B$6&lt;&gt;"Yes"),"",IFERROR(INDEX(Settings!$C$9:$C$12,MATCH(I2821,Settings!$A$9:$A$12,0)),"")))</f>
        <v/>
      </c>
      <c r="K2821" s="27" t="str">
        <f aca="false">IF(J2821="","",COUNTIF($I$2:I2821,I2821))</f>
        <v/>
      </c>
      <c r="L2821" s="27" t="str">
        <f aca="false">IF(J2821="","",CHOOSE(Q2821+1,"Tue","Wed","Thu","Fri"))</f>
        <v/>
      </c>
      <c r="M2821" s="27" t="str">
        <f aca="false">IF(J2821="","",IF(J2821=1,"Every week",R2821+1&amp;" of "&amp;J2821))</f>
        <v/>
      </c>
      <c r="N2821" s="28" t="str">
        <f aca="false">IF(J2821="","",Settings!$B$4+R2821*7+Q2821)</f>
        <v/>
      </c>
      <c r="O2821" s="28" t="str">
        <f aca="true">IF(J2821="","",N2821+MAX(0,ROUNDUP((TODAY()-N2821)/(J2821*7),0))*J2821*7)</f>
        <v/>
      </c>
      <c r="P2821" s="27" t="str">
        <f aca="false">IF(J2821="","",MOD(K2821-1,J2821*4))</f>
        <v/>
      </c>
      <c r="Q2821" s="27" t="str">
        <f aca="false">IF(J2821="","",MOD(P2821,4))</f>
        <v/>
      </c>
      <c r="R2821" s="27" t="str">
        <f aca="false">IF(J2821="","",INT(P2821/4))</f>
        <v/>
      </c>
      <c r="S2821" s="27" t="str">
        <f aca="false">IF(J2821="","",IF(AND('Daily Count Sheet'!$H$3=Q2821,MOD('Daily Count Sheet'!$I$3,J2821)=R2821),1,""))</f>
        <v/>
      </c>
      <c r="T2821" s="27" t="str">
        <f aca="false">IF(S2821=1,COUNTIF($S$2:S2821,1),"")</f>
        <v/>
      </c>
    </row>
    <row r="2822" customFormat="false" ht="15" hidden="false" customHeight="false" outlineLevel="0" collapsed="false">
      <c r="H2822" s="26"/>
      <c r="I2822" s="27" t="str">
        <f aca="false">IF(A2822="","",IF(H2822&lt;&gt;"",UPPER(TRIM(H2822)),IFERROR(CHOOSE(VALUE(E2822)+1,"A","B","C","D"),IF(OR(LEFT(UPPER(TRIM(E2822)),1)="F",UPPER(TRIM(E2822))="A"),"A",IF(OR(LEFT(UPPER(TRIM(E2822)),1)="M",UPPER(TRIM(E2822))="B"),"B",IF(OR(LEFT(UPPER(TRIM(E2822)),2)="SL",UPPER(TRIM(E2822))="C"),"C",IF(OR(LEFT(UPPER(TRIM(E2822)),1)="D",UPPER(TRIM(E2822))="D"),"D","")))))))</f>
        <v/>
      </c>
      <c r="J2822" s="27" t="str">
        <f aca="false">IF(I2822="","",IF(AND(I2822="D",Settings!$B$6&lt;&gt;"Yes"),"",IFERROR(INDEX(Settings!$C$9:$C$12,MATCH(I2822,Settings!$A$9:$A$12,0)),"")))</f>
        <v/>
      </c>
      <c r="K2822" s="27" t="str">
        <f aca="false">IF(J2822="","",COUNTIF($I$2:I2822,I2822))</f>
        <v/>
      </c>
      <c r="L2822" s="27" t="str">
        <f aca="false">IF(J2822="","",CHOOSE(Q2822+1,"Tue","Wed","Thu","Fri"))</f>
        <v/>
      </c>
      <c r="M2822" s="27" t="str">
        <f aca="false">IF(J2822="","",IF(J2822=1,"Every week",R2822+1&amp;" of "&amp;J2822))</f>
        <v/>
      </c>
      <c r="N2822" s="28" t="str">
        <f aca="false">IF(J2822="","",Settings!$B$4+R2822*7+Q2822)</f>
        <v/>
      </c>
      <c r="O2822" s="28" t="str">
        <f aca="true">IF(J2822="","",N2822+MAX(0,ROUNDUP((TODAY()-N2822)/(J2822*7),0))*J2822*7)</f>
        <v/>
      </c>
      <c r="P2822" s="27" t="str">
        <f aca="false">IF(J2822="","",MOD(K2822-1,J2822*4))</f>
        <v/>
      </c>
      <c r="Q2822" s="27" t="str">
        <f aca="false">IF(J2822="","",MOD(P2822,4))</f>
        <v/>
      </c>
      <c r="R2822" s="27" t="str">
        <f aca="false">IF(J2822="","",INT(P2822/4))</f>
        <v/>
      </c>
      <c r="S2822" s="27" t="str">
        <f aca="false">IF(J2822="","",IF(AND('Daily Count Sheet'!$H$3=Q2822,MOD('Daily Count Sheet'!$I$3,J2822)=R2822),1,""))</f>
        <v/>
      </c>
      <c r="T2822" s="27" t="str">
        <f aca="false">IF(S2822=1,COUNTIF($S$2:S2822,1),"")</f>
        <v/>
      </c>
    </row>
    <row r="2823" customFormat="false" ht="15" hidden="false" customHeight="false" outlineLevel="0" collapsed="false">
      <c r="H2823" s="26"/>
      <c r="I2823" s="27" t="str">
        <f aca="false">IF(A2823="","",IF(H2823&lt;&gt;"",UPPER(TRIM(H2823)),IFERROR(CHOOSE(VALUE(E2823)+1,"A","B","C","D"),IF(OR(LEFT(UPPER(TRIM(E2823)),1)="F",UPPER(TRIM(E2823))="A"),"A",IF(OR(LEFT(UPPER(TRIM(E2823)),1)="M",UPPER(TRIM(E2823))="B"),"B",IF(OR(LEFT(UPPER(TRIM(E2823)),2)="SL",UPPER(TRIM(E2823))="C"),"C",IF(OR(LEFT(UPPER(TRIM(E2823)),1)="D",UPPER(TRIM(E2823))="D"),"D","")))))))</f>
        <v/>
      </c>
      <c r="J2823" s="27" t="str">
        <f aca="false">IF(I2823="","",IF(AND(I2823="D",Settings!$B$6&lt;&gt;"Yes"),"",IFERROR(INDEX(Settings!$C$9:$C$12,MATCH(I2823,Settings!$A$9:$A$12,0)),"")))</f>
        <v/>
      </c>
      <c r="K2823" s="27" t="str">
        <f aca="false">IF(J2823="","",COUNTIF($I$2:I2823,I2823))</f>
        <v/>
      </c>
      <c r="L2823" s="27" t="str">
        <f aca="false">IF(J2823="","",CHOOSE(Q2823+1,"Tue","Wed","Thu","Fri"))</f>
        <v/>
      </c>
      <c r="M2823" s="27" t="str">
        <f aca="false">IF(J2823="","",IF(J2823=1,"Every week",R2823+1&amp;" of "&amp;J2823))</f>
        <v/>
      </c>
      <c r="N2823" s="28" t="str">
        <f aca="false">IF(J2823="","",Settings!$B$4+R2823*7+Q2823)</f>
        <v/>
      </c>
      <c r="O2823" s="28" t="str">
        <f aca="true">IF(J2823="","",N2823+MAX(0,ROUNDUP((TODAY()-N2823)/(J2823*7),0))*J2823*7)</f>
        <v/>
      </c>
      <c r="P2823" s="27" t="str">
        <f aca="false">IF(J2823="","",MOD(K2823-1,J2823*4))</f>
        <v/>
      </c>
      <c r="Q2823" s="27" t="str">
        <f aca="false">IF(J2823="","",MOD(P2823,4))</f>
        <v/>
      </c>
      <c r="R2823" s="27" t="str">
        <f aca="false">IF(J2823="","",INT(P2823/4))</f>
        <v/>
      </c>
      <c r="S2823" s="27" t="str">
        <f aca="false">IF(J2823="","",IF(AND('Daily Count Sheet'!$H$3=Q2823,MOD('Daily Count Sheet'!$I$3,J2823)=R2823),1,""))</f>
        <v/>
      </c>
      <c r="T2823" s="27" t="str">
        <f aca="false">IF(S2823=1,COUNTIF($S$2:S2823,1),"")</f>
        <v/>
      </c>
    </row>
    <row r="2824" customFormat="false" ht="15" hidden="false" customHeight="false" outlineLevel="0" collapsed="false">
      <c r="H2824" s="26"/>
      <c r="I2824" s="27" t="str">
        <f aca="false">IF(A2824="","",IF(H2824&lt;&gt;"",UPPER(TRIM(H2824)),IFERROR(CHOOSE(VALUE(E2824)+1,"A","B","C","D"),IF(OR(LEFT(UPPER(TRIM(E2824)),1)="F",UPPER(TRIM(E2824))="A"),"A",IF(OR(LEFT(UPPER(TRIM(E2824)),1)="M",UPPER(TRIM(E2824))="B"),"B",IF(OR(LEFT(UPPER(TRIM(E2824)),2)="SL",UPPER(TRIM(E2824))="C"),"C",IF(OR(LEFT(UPPER(TRIM(E2824)),1)="D",UPPER(TRIM(E2824))="D"),"D","")))))))</f>
        <v/>
      </c>
      <c r="J2824" s="27" t="str">
        <f aca="false">IF(I2824="","",IF(AND(I2824="D",Settings!$B$6&lt;&gt;"Yes"),"",IFERROR(INDEX(Settings!$C$9:$C$12,MATCH(I2824,Settings!$A$9:$A$12,0)),"")))</f>
        <v/>
      </c>
      <c r="K2824" s="27" t="str">
        <f aca="false">IF(J2824="","",COUNTIF($I$2:I2824,I2824))</f>
        <v/>
      </c>
      <c r="L2824" s="27" t="str">
        <f aca="false">IF(J2824="","",CHOOSE(Q2824+1,"Tue","Wed","Thu","Fri"))</f>
        <v/>
      </c>
      <c r="M2824" s="27" t="str">
        <f aca="false">IF(J2824="","",IF(J2824=1,"Every week",R2824+1&amp;" of "&amp;J2824))</f>
        <v/>
      </c>
      <c r="N2824" s="28" t="str">
        <f aca="false">IF(J2824="","",Settings!$B$4+R2824*7+Q2824)</f>
        <v/>
      </c>
      <c r="O2824" s="28" t="str">
        <f aca="true">IF(J2824="","",N2824+MAX(0,ROUNDUP((TODAY()-N2824)/(J2824*7),0))*J2824*7)</f>
        <v/>
      </c>
      <c r="P2824" s="27" t="str">
        <f aca="false">IF(J2824="","",MOD(K2824-1,J2824*4))</f>
        <v/>
      </c>
      <c r="Q2824" s="27" t="str">
        <f aca="false">IF(J2824="","",MOD(P2824,4))</f>
        <v/>
      </c>
      <c r="R2824" s="27" t="str">
        <f aca="false">IF(J2824="","",INT(P2824/4))</f>
        <v/>
      </c>
      <c r="S2824" s="27" t="str">
        <f aca="false">IF(J2824="","",IF(AND('Daily Count Sheet'!$H$3=Q2824,MOD('Daily Count Sheet'!$I$3,J2824)=R2824),1,""))</f>
        <v/>
      </c>
      <c r="T2824" s="27" t="str">
        <f aca="false">IF(S2824=1,COUNTIF($S$2:S2824,1),"")</f>
        <v/>
      </c>
    </row>
    <row r="2825" customFormat="false" ht="15" hidden="false" customHeight="false" outlineLevel="0" collapsed="false">
      <c r="H2825" s="26"/>
      <c r="I2825" s="27" t="str">
        <f aca="false">IF(A2825="","",IF(H2825&lt;&gt;"",UPPER(TRIM(H2825)),IFERROR(CHOOSE(VALUE(E2825)+1,"A","B","C","D"),IF(OR(LEFT(UPPER(TRIM(E2825)),1)="F",UPPER(TRIM(E2825))="A"),"A",IF(OR(LEFT(UPPER(TRIM(E2825)),1)="M",UPPER(TRIM(E2825))="B"),"B",IF(OR(LEFT(UPPER(TRIM(E2825)),2)="SL",UPPER(TRIM(E2825))="C"),"C",IF(OR(LEFT(UPPER(TRIM(E2825)),1)="D",UPPER(TRIM(E2825))="D"),"D","")))))))</f>
        <v/>
      </c>
      <c r="J2825" s="27" t="str">
        <f aca="false">IF(I2825="","",IF(AND(I2825="D",Settings!$B$6&lt;&gt;"Yes"),"",IFERROR(INDEX(Settings!$C$9:$C$12,MATCH(I2825,Settings!$A$9:$A$12,0)),"")))</f>
        <v/>
      </c>
      <c r="K2825" s="27" t="str">
        <f aca="false">IF(J2825="","",COUNTIF($I$2:I2825,I2825))</f>
        <v/>
      </c>
      <c r="L2825" s="27" t="str">
        <f aca="false">IF(J2825="","",CHOOSE(Q2825+1,"Tue","Wed","Thu","Fri"))</f>
        <v/>
      </c>
      <c r="M2825" s="27" t="str">
        <f aca="false">IF(J2825="","",IF(J2825=1,"Every week",R2825+1&amp;" of "&amp;J2825))</f>
        <v/>
      </c>
      <c r="N2825" s="28" t="str">
        <f aca="false">IF(J2825="","",Settings!$B$4+R2825*7+Q2825)</f>
        <v/>
      </c>
      <c r="O2825" s="28" t="str">
        <f aca="true">IF(J2825="","",N2825+MAX(0,ROUNDUP((TODAY()-N2825)/(J2825*7),0))*J2825*7)</f>
        <v/>
      </c>
      <c r="P2825" s="27" t="str">
        <f aca="false">IF(J2825="","",MOD(K2825-1,J2825*4))</f>
        <v/>
      </c>
      <c r="Q2825" s="27" t="str">
        <f aca="false">IF(J2825="","",MOD(P2825,4))</f>
        <v/>
      </c>
      <c r="R2825" s="27" t="str">
        <f aca="false">IF(J2825="","",INT(P2825/4))</f>
        <v/>
      </c>
      <c r="S2825" s="27" t="str">
        <f aca="false">IF(J2825="","",IF(AND('Daily Count Sheet'!$H$3=Q2825,MOD('Daily Count Sheet'!$I$3,J2825)=R2825),1,""))</f>
        <v/>
      </c>
      <c r="T2825" s="27" t="str">
        <f aca="false">IF(S2825=1,COUNTIF($S$2:S2825,1),"")</f>
        <v/>
      </c>
    </row>
    <row r="2826" customFormat="false" ht="15" hidden="false" customHeight="false" outlineLevel="0" collapsed="false">
      <c r="H2826" s="26"/>
      <c r="I2826" s="27" t="str">
        <f aca="false">IF(A2826="","",IF(H2826&lt;&gt;"",UPPER(TRIM(H2826)),IFERROR(CHOOSE(VALUE(E2826)+1,"A","B","C","D"),IF(OR(LEFT(UPPER(TRIM(E2826)),1)="F",UPPER(TRIM(E2826))="A"),"A",IF(OR(LEFT(UPPER(TRIM(E2826)),1)="M",UPPER(TRIM(E2826))="B"),"B",IF(OR(LEFT(UPPER(TRIM(E2826)),2)="SL",UPPER(TRIM(E2826))="C"),"C",IF(OR(LEFT(UPPER(TRIM(E2826)),1)="D",UPPER(TRIM(E2826))="D"),"D","")))))))</f>
        <v/>
      </c>
      <c r="J2826" s="27" t="str">
        <f aca="false">IF(I2826="","",IF(AND(I2826="D",Settings!$B$6&lt;&gt;"Yes"),"",IFERROR(INDEX(Settings!$C$9:$C$12,MATCH(I2826,Settings!$A$9:$A$12,0)),"")))</f>
        <v/>
      </c>
      <c r="K2826" s="27" t="str">
        <f aca="false">IF(J2826="","",COUNTIF($I$2:I2826,I2826))</f>
        <v/>
      </c>
      <c r="L2826" s="27" t="str">
        <f aca="false">IF(J2826="","",CHOOSE(Q2826+1,"Tue","Wed","Thu","Fri"))</f>
        <v/>
      </c>
      <c r="M2826" s="27" t="str">
        <f aca="false">IF(J2826="","",IF(J2826=1,"Every week",R2826+1&amp;" of "&amp;J2826))</f>
        <v/>
      </c>
      <c r="N2826" s="28" t="str">
        <f aca="false">IF(J2826="","",Settings!$B$4+R2826*7+Q2826)</f>
        <v/>
      </c>
      <c r="O2826" s="28" t="str">
        <f aca="true">IF(J2826="","",N2826+MAX(0,ROUNDUP((TODAY()-N2826)/(J2826*7),0))*J2826*7)</f>
        <v/>
      </c>
      <c r="P2826" s="27" t="str">
        <f aca="false">IF(J2826="","",MOD(K2826-1,J2826*4))</f>
        <v/>
      </c>
      <c r="Q2826" s="27" t="str">
        <f aca="false">IF(J2826="","",MOD(P2826,4))</f>
        <v/>
      </c>
      <c r="R2826" s="27" t="str">
        <f aca="false">IF(J2826="","",INT(P2826/4))</f>
        <v/>
      </c>
      <c r="S2826" s="27" t="str">
        <f aca="false">IF(J2826="","",IF(AND('Daily Count Sheet'!$H$3=Q2826,MOD('Daily Count Sheet'!$I$3,J2826)=R2826),1,""))</f>
        <v/>
      </c>
      <c r="T2826" s="27" t="str">
        <f aca="false">IF(S2826=1,COUNTIF($S$2:S2826,1),"")</f>
        <v/>
      </c>
    </row>
    <row r="2827" customFormat="false" ht="15" hidden="false" customHeight="false" outlineLevel="0" collapsed="false">
      <c r="H2827" s="26"/>
      <c r="I2827" s="27" t="str">
        <f aca="false">IF(A2827="","",IF(H2827&lt;&gt;"",UPPER(TRIM(H2827)),IFERROR(CHOOSE(VALUE(E2827)+1,"A","B","C","D"),IF(OR(LEFT(UPPER(TRIM(E2827)),1)="F",UPPER(TRIM(E2827))="A"),"A",IF(OR(LEFT(UPPER(TRIM(E2827)),1)="M",UPPER(TRIM(E2827))="B"),"B",IF(OR(LEFT(UPPER(TRIM(E2827)),2)="SL",UPPER(TRIM(E2827))="C"),"C",IF(OR(LEFT(UPPER(TRIM(E2827)),1)="D",UPPER(TRIM(E2827))="D"),"D","")))))))</f>
        <v/>
      </c>
      <c r="J2827" s="27" t="str">
        <f aca="false">IF(I2827="","",IF(AND(I2827="D",Settings!$B$6&lt;&gt;"Yes"),"",IFERROR(INDEX(Settings!$C$9:$C$12,MATCH(I2827,Settings!$A$9:$A$12,0)),"")))</f>
        <v/>
      </c>
      <c r="K2827" s="27" t="str">
        <f aca="false">IF(J2827="","",COUNTIF($I$2:I2827,I2827))</f>
        <v/>
      </c>
      <c r="L2827" s="27" t="str">
        <f aca="false">IF(J2827="","",CHOOSE(Q2827+1,"Tue","Wed","Thu","Fri"))</f>
        <v/>
      </c>
      <c r="M2827" s="27" t="str">
        <f aca="false">IF(J2827="","",IF(J2827=1,"Every week",R2827+1&amp;" of "&amp;J2827))</f>
        <v/>
      </c>
      <c r="N2827" s="28" t="str">
        <f aca="false">IF(J2827="","",Settings!$B$4+R2827*7+Q2827)</f>
        <v/>
      </c>
      <c r="O2827" s="28" t="str">
        <f aca="true">IF(J2827="","",N2827+MAX(0,ROUNDUP((TODAY()-N2827)/(J2827*7),0))*J2827*7)</f>
        <v/>
      </c>
      <c r="P2827" s="27" t="str">
        <f aca="false">IF(J2827="","",MOD(K2827-1,J2827*4))</f>
        <v/>
      </c>
      <c r="Q2827" s="27" t="str">
        <f aca="false">IF(J2827="","",MOD(P2827,4))</f>
        <v/>
      </c>
      <c r="R2827" s="27" t="str">
        <f aca="false">IF(J2827="","",INT(P2827/4))</f>
        <v/>
      </c>
      <c r="S2827" s="27" t="str">
        <f aca="false">IF(J2827="","",IF(AND('Daily Count Sheet'!$H$3=Q2827,MOD('Daily Count Sheet'!$I$3,J2827)=R2827),1,""))</f>
        <v/>
      </c>
      <c r="T2827" s="27" t="str">
        <f aca="false">IF(S2827=1,COUNTIF($S$2:S2827,1),"")</f>
        <v/>
      </c>
    </row>
    <row r="2828" customFormat="false" ht="15" hidden="false" customHeight="false" outlineLevel="0" collapsed="false">
      <c r="H2828" s="26"/>
      <c r="I2828" s="27" t="str">
        <f aca="false">IF(A2828="","",IF(H2828&lt;&gt;"",UPPER(TRIM(H2828)),IFERROR(CHOOSE(VALUE(E2828)+1,"A","B","C","D"),IF(OR(LEFT(UPPER(TRIM(E2828)),1)="F",UPPER(TRIM(E2828))="A"),"A",IF(OR(LEFT(UPPER(TRIM(E2828)),1)="M",UPPER(TRIM(E2828))="B"),"B",IF(OR(LEFT(UPPER(TRIM(E2828)),2)="SL",UPPER(TRIM(E2828))="C"),"C",IF(OR(LEFT(UPPER(TRIM(E2828)),1)="D",UPPER(TRIM(E2828))="D"),"D","")))))))</f>
        <v/>
      </c>
      <c r="J2828" s="27" t="str">
        <f aca="false">IF(I2828="","",IF(AND(I2828="D",Settings!$B$6&lt;&gt;"Yes"),"",IFERROR(INDEX(Settings!$C$9:$C$12,MATCH(I2828,Settings!$A$9:$A$12,0)),"")))</f>
        <v/>
      </c>
      <c r="K2828" s="27" t="str">
        <f aca="false">IF(J2828="","",COUNTIF($I$2:I2828,I2828))</f>
        <v/>
      </c>
      <c r="L2828" s="27" t="str">
        <f aca="false">IF(J2828="","",CHOOSE(Q2828+1,"Tue","Wed","Thu","Fri"))</f>
        <v/>
      </c>
      <c r="M2828" s="27" t="str">
        <f aca="false">IF(J2828="","",IF(J2828=1,"Every week",R2828+1&amp;" of "&amp;J2828))</f>
        <v/>
      </c>
      <c r="N2828" s="28" t="str">
        <f aca="false">IF(J2828="","",Settings!$B$4+R2828*7+Q2828)</f>
        <v/>
      </c>
      <c r="O2828" s="28" t="str">
        <f aca="true">IF(J2828="","",N2828+MAX(0,ROUNDUP((TODAY()-N2828)/(J2828*7),0))*J2828*7)</f>
        <v/>
      </c>
      <c r="P2828" s="27" t="str">
        <f aca="false">IF(J2828="","",MOD(K2828-1,J2828*4))</f>
        <v/>
      </c>
      <c r="Q2828" s="27" t="str">
        <f aca="false">IF(J2828="","",MOD(P2828,4))</f>
        <v/>
      </c>
      <c r="R2828" s="27" t="str">
        <f aca="false">IF(J2828="","",INT(P2828/4))</f>
        <v/>
      </c>
      <c r="S2828" s="27" t="str">
        <f aca="false">IF(J2828="","",IF(AND('Daily Count Sheet'!$H$3=Q2828,MOD('Daily Count Sheet'!$I$3,J2828)=R2828),1,""))</f>
        <v/>
      </c>
      <c r="T2828" s="27" t="str">
        <f aca="false">IF(S2828=1,COUNTIF($S$2:S2828,1),"")</f>
        <v/>
      </c>
    </row>
    <row r="2829" customFormat="false" ht="15" hidden="false" customHeight="false" outlineLevel="0" collapsed="false">
      <c r="H2829" s="26"/>
      <c r="I2829" s="27" t="str">
        <f aca="false">IF(A2829="","",IF(H2829&lt;&gt;"",UPPER(TRIM(H2829)),IFERROR(CHOOSE(VALUE(E2829)+1,"A","B","C","D"),IF(OR(LEFT(UPPER(TRIM(E2829)),1)="F",UPPER(TRIM(E2829))="A"),"A",IF(OR(LEFT(UPPER(TRIM(E2829)),1)="M",UPPER(TRIM(E2829))="B"),"B",IF(OR(LEFT(UPPER(TRIM(E2829)),2)="SL",UPPER(TRIM(E2829))="C"),"C",IF(OR(LEFT(UPPER(TRIM(E2829)),1)="D",UPPER(TRIM(E2829))="D"),"D","")))))))</f>
        <v/>
      </c>
      <c r="J2829" s="27" t="str">
        <f aca="false">IF(I2829="","",IF(AND(I2829="D",Settings!$B$6&lt;&gt;"Yes"),"",IFERROR(INDEX(Settings!$C$9:$C$12,MATCH(I2829,Settings!$A$9:$A$12,0)),"")))</f>
        <v/>
      </c>
      <c r="K2829" s="27" t="str">
        <f aca="false">IF(J2829="","",COUNTIF($I$2:I2829,I2829))</f>
        <v/>
      </c>
      <c r="L2829" s="27" t="str">
        <f aca="false">IF(J2829="","",CHOOSE(Q2829+1,"Tue","Wed","Thu","Fri"))</f>
        <v/>
      </c>
      <c r="M2829" s="27" t="str">
        <f aca="false">IF(J2829="","",IF(J2829=1,"Every week",R2829+1&amp;" of "&amp;J2829))</f>
        <v/>
      </c>
      <c r="N2829" s="28" t="str">
        <f aca="false">IF(J2829="","",Settings!$B$4+R2829*7+Q2829)</f>
        <v/>
      </c>
      <c r="O2829" s="28" t="str">
        <f aca="true">IF(J2829="","",N2829+MAX(0,ROUNDUP((TODAY()-N2829)/(J2829*7),0))*J2829*7)</f>
        <v/>
      </c>
      <c r="P2829" s="27" t="str">
        <f aca="false">IF(J2829="","",MOD(K2829-1,J2829*4))</f>
        <v/>
      </c>
      <c r="Q2829" s="27" t="str">
        <f aca="false">IF(J2829="","",MOD(P2829,4))</f>
        <v/>
      </c>
      <c r="R2829" s="27" t="str">
        <f aca="false">IF(J2829="","",INT(P2829/4))</f>
        <v/>
      </c>
      <c r="S2829" s="27" t="str">
        <f aca="false">IF(J2829="","",IF(AND('Daily Count Sheet'!$H$3=Q2829,MOD('Daily Count Sheet'!$I$3,J2829)=R2829),1,""))</f>
        <v/>
      </c>
      <c r="T2829" s="27" t="str">
        <f aca="false">IF(S2829=1,COUNTIF($S$2:S2829,1),"")</f>
        <v/>
      </c>
    </row>
    <row r="2830" customFormat="false" ht="15" hidden="false" customHeight="false" outlineLevel="0" collapsed="false">
      <c r="H2830" s="26"/>
      <c r="I2830" s="27" t="str">
        <f aca="false">IF(A2830="","",IF(H2830&lt;&gt;"",UPPER(TRIM(H2830)),IFERROR(CHOOSE(VALUE(E2830)+1,"A","B","C","D"),IF(OR(LEFT(UPPER(TRIM(E2830)),1)="F",UPPER(TRIM(E2830))="A"),"A",IF(OR(LEFT(UPPER(TRIM(E2830)),1)="M",UPPER(TRIM(E2830))="B"),"B",IF(OR(LEFT(UPPER(TRIM(E2830)),2)="SL",UPPER(TRIM(E2830))="C"),"C",IF(OR(LEFT(UPPER(TRIM(E2830)),1)="D",UPPER(TRIM(E2830))="D"),"D","")))))))</f>
        <v/>
      </c>
      <c r="J2830" s="27" t="str">
        <f aca="false">IF(I2830="","",IF(AND(I2830="D",Settings!$B$6&lt;&gt;"Yes"),"",IFERROR(INDEX(Settings!$C$9:$C$12,MATCH(I2830,Settings!$A$9:$A$12,0)),"")))</f>
        <v/>
      </c>
      <c r="K2830" s="27" t="str">
        <f aca="false">IF(J2830="","",COUNTIF($I$2:I2830,I2830))</f>
        <v/>
      </c>
      <c r="L2830" s="27" t="str">
        <f aca="false">IF(J2830="","",CHOOSE(Q2830+1,"Tue","Wed","Thu","Fri"))</f>
        <v/>
      </c>
      <c r="M2830" s="27" t="str">
        <f aca="false">IF(J2830="","",IF(J2830=1,"Every week",R2830+1&amp;" of "&amp;J2830))</f>
        <v/>
      </c>
      <c r="N2830" s="28" t="str">
        <f aca="false">IF(J2830="","",Settings!$B$4+R2830*7+Q2830)</f>
        <v/>
      </c>
      <c r="O2830" s="28" t="str">
        <f aca="true">IF(J2830="","",N2830+MAX(0,ROUNDUP((TODAY()-N2830)/(J2830*7),0))*J2830*7)</f>
        <v/>
      </c>
      <c r="P2830" s="27" t="str">
        <f aca="false">IF(J2830="","",MOD(K2830-1,J2830*4))</f>
        <v/>
      </c>
      <c r="Q2830" s="27" t="str">
        <f aca="false">IF(J2830="","",MOD(P2830,4))</f>
        <v/>
      </c>
      <c r="R2830" s="27" t="str">
        <f aca="false">IF(J2830="","",INT(P2830/4))</f>
        <v/>
      </c>
      <c r="S2830" s="27" t="str">
        <f aca="false">IF(J2830="","",IF(AND('Daily Count Sheet'!$H$3=Q2830,MOD('Daily Count Sheet'!$I$3,J2830)=R2830),1,""))</f>
        <v/>
      </c>
      <c r="T2830" s="27" t="str">
        <f aca="false">IF(S2830=1,COUNTIF($S$2:S2830,1),"")</f>
        <v/>
      </c>
    </row>
    <row r="2831" customFormat="false" ht="15" hidden="false" customHeight="false" outlineLevel="0" collapsed="false">
      <c r="H2831" s="26"/>
      <c r="I2831" s="27" t="str">
        <f aca="false">IF(A2831="","",IF(H2831&lt;&gt;"",UPPER(TRIM(H2831)),IFERROR(CHOOSE(VALUE(E2831)+1,"A","B","C","D"),IF(OR(LEFT(UPPER(TRIM(E2831)),1)="F",UPPER(TRIM(E2831))="A"),"A",IF(OR(LEFT(UPPER(TRIM(E2831)),1)="M",UPPER(TRIM(E2831))="B"),"B",IF(OR(LEFT(UPPER(TRIM(E2831)),2)="SL",UPPER(TRIM(E2831))="C"),"C",IF(OR(LEFT(UPPER(TRIM(E2831)),1)="D",UPPER(TRIM(E2831))="D"),"D","")))))))</f>
        <v/>
      </c>
      <c r="J2831" s="27" t="str">
        <f aca="false">IF(I2831="","",IF(AND(I2831="D",Settings!$B$6&lt;&gt;"Yes"),"",IFERROR(INDEX(Settings!$C$9:$C$12,MATCH(I2831,Settings!$A$9:$A$12,0)),"")))</f>
        <v/>
      </c>
      <c r="K2831" s="27" t="str">
        <f aca="false">IF(J2831="","",COUNTIF($I$2:I2831,I2831))</f>
        <v/>
      </c>
      <c r="L2831" s="27" t="str">
        <f aca="false">IF(J2831="","",CHOOSE(Q2831+1,"Tue","Wed","Thu","Fri"))</f>
        <v/>
      </c>
      <c r="M2831" s="27" t="str">
        <f aca="false">IF(J2831="","",IF(J2831=1,"Every week",R2831+1&amp;" of "&amp;J2831))</f>
        <v/>
      </c>
      <c r="N2831" s="28" t="str">
        <f aca="false">IF(J2831="","",Settings!$B$4+R2831*7+Q2831)</f>
        <v/>
      </c>
      <c r="O2831" s="28" t="str">
        <f aca="true">IF(J2831="","",N2831+MAX(0,ROUNDUP((TODAY()-N2831)/(J2831*7),0))*J2831*7)</f>
        <v/>
      </c>
      <c r="P2831" s="27" t="str">
        <f aca="false">IF(J2831="","",MOD(K2831-1,J2831*4))</f>
        <v/>
      </c>
      <c r="Q2831" s="27" t="str">
        <f aca="false">IF(J2831="","",MOD(P2831,4))</f>
        <v/>
      </c>
      <c r="R2831" s="27" t="str">
        <f aca="false">IF(J2831="","",INT(P2831/4))</f>
        <v/>
      </c>
      <c r="S2831" s="27" t="str">
        <f aca="false">IF(J2831="","",IF(AND('Daily Count Sheet'!$H$3=Q2831,MOD('Daily Count Sheet'!$I$3,J2831)=R2831),1,""))</f>
        <v/>
      </c>
      <c r="T2831" s="27" t="str">
        <f aca="false">IF(S2831=1,COUNTIF($S$2:S2831,1),"")</f>
        <v/>
      </c>
    </row>
    <row r="2832" customFormat="false" ht="15" hidden="false" customHeight="false" outlineLevel="0" collapsed="false">
      <c r="H2832" s="26"/>
      <c r="I2832" s="27" t="str">
        <f aca="false">IF(A2832="","",IF(H2832&lt;&gt;"",UPPER(TRIM(H2832)),IFERROR(CHOOSE(VALUE(E2832)+1,"A","B","C","D"),IF(OR(LEFT(UPPER(TRIM(E2832)),1)="F",UPPER(TRIM(E2832))="A"),"A",IF(OR(LEFT(UPPER(TRIM(E2832)),1)="M",UPPER(TRIM(E2832))="B"),"B",IF(OR(LEFT(UPPER(TRIM(E2832)),2)="SL",UPPER(TRIM(E2832))="C"),"C",IF(OR(LEFT(UPPER(TRIM(E2832)),1)="D",UPPER(TRIM(E2832))="D"),"D","")))))))</f>
        <v/>
      </c>
      <c r="J2832" s="27" t="str">
        <f aca="false">IF(I2832="","",IF(AND(I2832="D",Settings!$B$6&lt;&gt;"Yes"),"",IFERROR(INDEX(Settings!$C$9:$C$12,MATCH(I2832,Settings!$A$9:$A$12,0)),"")))</f>
        <v/>
      </c>
      <c r="K2832" s="27" t="str">
        <f aca="false">IF(J2832="","",COUNTIF($I$2:I2832,I2832))</f>
        <v/>
      </c>
      <c r="L2832" s="27" t="str">
        <f aca="false">IF(J2832="","",CHOOSE(Q2832+1,"Tue","Wed","Thu","Fri"))</f>
        <v/>
      </c>
      <c r="M2832" s="27" t="str">
        <f aca="false">IF(J2832="","",IF(J2832=1,"Every week",R2832+1&amp;" of "&amp;J2832))</f>
        <v/>
      </c>
      <c r="N2832" s="28" t="str">
        <f aca="false">IF(J2832="","",Settings!$B$4+R2832*7+Q2832)</f>
        <v/>
      </c>
      <c r="O2832" s="28" t="str">
        <f aca="true">IF(J2832="","",N2832+MAX(0,ROUNDUP((TODAY()-N2832)/(J2832*7),0))*J2832*7)</f>
        <v/>
      </c>
      <c r="P2832" s="27" t="str">
        <f aca="false">IF(J2832="","",MOD(K2832-1,J2832*4))</f>
        <v/>
      </c>
      <c r="Q2832" s="27" t="str">
        <f aca="false">IF(J2832="","",MOD(P2832,4))</f>
        <v/>
      </c>
      <c r="R2832" s="27" t="str">
        <f aca="false">IF(J2832="","",INT(P2832/4))</f>
        <v/>
      </c>
      <c r="S2832" s="27" t="str">
        <f aca="false">IF(J2832="","",IF(AND('Daily Count Sheet'!$H$3=Q2832,MOD('Daily Count Sheet'!$I$3,J2832)=R2832),1,""))</f>
        <v/>
      </c>
      <c r="T2832" s="27" t="str">
        <f aca="false">IF(S2832=1,COUNTIF($S$2:S2832,1),"")</f>
        <v/>
      </c>
    </row>
    <row r="2833" customFormat="false" ht="15" hidden="false" customHeight="false" outlineLevel="0" collapsed="false">
      <c r="H2833" s="26"/>
      <c r="I2833" s="27" t="str">
        <f aca="false">IF(A2833="","",IF(H2833&lt;&gt;"",UPPER(TRIM(H2833)),IFERROR(CHOOSE(VALUE(E2833)+1,"A","B","C","D"),IF(OR(LEFT(UPPER(TRIM(E2833)),1)="F",UPPER(TRIM(E2833))="A"),"A",IF(OR(LEFT(UPPER(TRIM(E2833)),1)="M",UPPER(TRIM(E2833))="B"),"B",IF(OR(LEFT(UPPER(TRIM(E2833)),2)="SL",UPPER(TRIM(E2833))="C"),"C",IF(OR(LEFT(UPPER(TRIM(E2833)),1)="D",UPPER(TRIM(E2833))="D"),"D","")))))))</f>
        <v/>
      </c>
      <c r="J2833" s="27" t="str">
        <f aca="false">IF(I2833="","",IF(AND(I2833="D",Settings!$B$6&lt;&gt;"Yes"),"",IFERROR(INDEX(Settings!$C$9:$C$12,MATCH(I2833,Settings!$A$9:$A$12,0)),"")))</f>
        <v/>
      </c>
      <c r="K2833" s="27" t="str">
        <f aca="false">IF(J2833="","",COUNTIF($I$2:I2833,I2833))</f>
        <v/>
      </c>
      <c r="L2833" s="27" t="str">
        <f aca="false">IF(J2833="","",CHOOSE(Q2833+1,"Tue","Wed","Thu","Fri"))</f>
        <v/>
      </c>
      <c r="M2833" s="27" t="str">
        <f aca="false">IF(J2833="","",IF(J2833=1,"Every week",R2833+1&amp;" of "&amp;J2833))</f>
        <v/>
      </c>
      <c r="N2833" s="28" t="str">
        <f aca="false">IF(J2833="","",Settings!$B$4+R2833*7+Q2833)</f>
        <v/>
      </c>
      <c r="O2833" s="28" t="str">
        <f aca="true">IF(J2833="","",N2833+MAX(0,ROUNDUP((TODAY()-N2833)/(J2833*7),0))*J2833*7)</f>
        <v/>
      </c>
      <c r="P2833" s="27" t="str">
        <f aca="false">IF(J2833="","",MOD(K2833-1,J2833*4))</f>
        <v/>
      </c>
      <c r="Q2833" s="27" t="str">
        <f aca="false">IF(J2833="","",MOD(P2833,4))</f>
        <v/>
      </c>
      <c r="R2833" s="27" t="str">
        <f aca="false">IF(J2833="","",INT(P2833/4))</f>
        <v/>
      </c>
      <c r="S2833" s="27" t="str">
        <f aca="false">IF(J2833="","",IF(AND('Daily Count Sheet'!$H$3=Q2833,MOD('Daily Count Sheet'!$I$3,J2833)=R2833),1,""))</f>
        <v/>
      </c>
      <c r="T2833" s="27" t="str">
        <f aca="false">IF(S2833=1,COUNTIF($S$2:S2833,1),"")</f>
        <v/>
      </c>
    </row>
    <row r="2834" customFormat="false" ht="15" hidden="false" customHeight="false" outlineLevel="0" collapsed="false">
      <c r="H2834" s="26"/>
      <c r="I2834" s="27" t="str">
        <f aca="false">IF(A2834="","",IF(H2834&lt;&gt;"",UPPER(TRIM(H2834)),IFERROR(CHOOSE(VALUE(E2834)+1,"A","B","C","D"),IF(OR(LEFT(UPPER(TRIM(E2834)),1)="F",UPPER(TRIM(E2834))="A"),"A",IF(OR(LEFT(UPPER(TRIM(E2834)),1)="M",UPPER(TRIM(E2834))="B"),"B",IF(OR(LEFT(UPPER(TRIM(E2834)),2)="SL",UPPER(TRIM(E2834))="C"),"C",IF(OR(LEFT(UPPER(TRIM(E2834)),1)="D",UPPER(TRIM(E2834))="D"),"D","")))))))</f>
        <v/>
      </c>
      <c r="J2834" s="27" t="str">
        <f aca="false">IF(I2834="","",IF(AND(I2834="D",Settings!$B$6&lt;&gt;"Yes"),"",IFERROR(INDEX(Settings!$C$9:$C$12,MATCH(I2834,Settings!$A$9:$A$12,0)),"")))</f>
        <v/>
      </c>
      <c r="K2834" s="27" t="str">
        <f aca="false">IF(J2834="","",COUNTIF($I$2:I2834,I2834))</f>
        <v/>
      </c>
      <c r="L2834" s="27" t="str">
        <f aca="false">IF(J2834="","",CHOOSE(Q2834+1,"Tue","Wed","Thu","Fri"))</f>
        <v/>
      </c>
      <c r="M2834" s="27" t="str">
        <f aca="false">IF(J2834="","",IF(J2834=1,"Every week",R2834+1&amp;" of "&amp;J2834))</f>
        <v/>
      </c>
      <c r="N2834" s="28" t="str">
        <f aca="false">IF(J2834="","",Settings!$B$4+R2834*7+Q2834)</f>
        <v/>
      </c>
      <c r="O2834" s="28" t="str">
        <f aca="true">IF(J2834="","",N2834+MAX(0,ROUNDUP((TODAY()-N2834)/(J2834*7),0))*J2834*7)</f>
        <v/>
      </c>
      <c r="P2834" s="27" t="str">
        <f aca="false">IF(J2834="","",MOD(K2834-1,J2834*4))</f>
        <v/>
      </c>
      <c r="Q2834" s="27" t="str">
        <f aca="false">IF(J2834="","",MOD(P2834,4))</f>
        <v/>
      </c>
      <c r="R2834" s="27" t="str">
        <f aca="false">IF(J2834="","",INT(P2834/4))</f>
        <v/>
      </c>
      <c r="S2834" s="27" t="str">
        <f aca="false">IF(J2834="","",IF(AND('Daily Count Sheet'!$H$3=Q2834,MOD('Daily Count Sheet'!$I$3,J2834)=R2834),1,""))</f>
        <v/>
      </c>
      <c r="T2834" s="27" t="str">
        <f aca="false">IF(S2834=1,COUNTIF($S$2:S2834,1),"")</f>
        <v/>
      </c>
    </row>
    <row r="2835" customFormat="false" ht="15" hidden="false" customHeight="false" outlineLevel="0" collapsed="false">
      <c r="H2835" s="26"/>
      <c r="I2835" s="27" t="str">
        <f aca="false">IF(A2835="","",IF(H2835&lt;&gt;"",UPPER(TRIM(H2835)),IFERROR(CHOOSE(VALUE(E2835)+1,"A","B","C","D"),IF(OR(LEFT(UPPER(TRIM(E2835)),1)="F",UPPER(TRIM(E2835))="A"),"A",IF(OR(LEFT(UPPER(TRIM(E2835)),1)="M",UPPER(TRIM(E2835))="B"),"B",IF(OR(LEFT(UPPER(TRIM(E2835)),2)="SL",UPPER(TRIM(E2835))="C"),"C",IF(OR(LEFT(UPPER(TRIM(E2835)),1)="D",UPPER(TRIM(E2835))="D"),"D","")))))))</f>
        <v/>
      </c>
      <c r="J2835" s="27" t="str">
        <f aca="false">IF(I2835="","",IF(AND(I2835="D",Settings!$B$6&lt;&gt;"Yes"),"",IFERROR(INDEX(Settings!$C$9:$C$12,MATCH(I2835,Settings!$A$9:$A$12,0)),"")))</f>
        <v/>
      </c>
      <c r="K2835" s="27" t="str">
        <f aca="false">IF(J2835="","",COUNTIF($I$2:I2835,I2835))</f>
        <v/>
      </c>
      <c r="L2835" s="27" t="str">
        <f aca="false">IF(J2835="","",CHOOSE(Q2835+1,"Tue","Wed","Thu","Fri"))</f>
        <v/>
      </c>
      <c r="M2835" s="27" t="str">
        <f aca="false">IF(J2835="","",IF(J2835=1,"Every week",R2835+1&amp;" of "&amp;J2835))</f>
        <v/>
      </c>
      <c r="N2835" s="28" t="str">
        <f aca="false">IF(J2835="","",Settings!$B$4+R2835*7+Q2835)</f>
        <v/>
      </c>
      <c r="O2835" s="28" t="str">
        <f aca="true">IF(J2835="","",N2835+MAX(0,ROUNDUP((TODAY()-N2835)/(J2835*7),0))*J2835*7)</f>
        <v/>
      </c>
      <c r="P2835" s="27" t="str">
        <f aca="false">IF(J2835="","",MOD(K2835-1,J2835*4))</f>
        <v/>
      </c>
      <c r="Q2835" s="27" t="str">
        <f aca="false">IF(J2835="","",MOD(P2835,4))</f>
        <v/>
      </c>
      <c r="R2835" s="27" t="str">
        <f aca="false">IF(J2835="","",INT(P2835/4))</f>
        <v/>
      </c>
      <c r="S2835" s="27" t="str">
        <f aca="false">IF(J2835="","",IF(AND('Daily Count Sheet'!$H$3=Q2835,MOD('Daily Count Sheet'!$I$3,J2835)=R2835),1,""))</f>
        <v/>
      </c>
      <c r="T2835" s="27" t="str">
        <f aca="false">IF(S2835=1,COUNTIF($S$2:S2835,1),"")</f>
        <v/>
      </c>
    </row>
    <row r="2836" customFormat="false" ht="15" hidden="false" customHeight="false" outlineLevel="0" collapsed="false">
      <c r="H2836" s="26"/>
      <c r="I2836" s="27" t="str">
        <f aca="false">IF(A2836="","",IF(H2836&lt;&gt;"",UPPER(TRIM(H2836)),IFERROR(CHOOSE(VALUE(E2836)+1,"A","B","C","D"),IF(OR(LEFT(UPPER(TRIM(E2836)),1)="F",UPPER(TRIM(E2836))="A"),"A",IF(OR(LEFT(UPPER(TRIM(E2836)),1)="M",UPPER(TRIM(E2836))="B"),"B",IF(OR(LEFT(UPPER(TRIM(E2836)),2)="SL",UPPER(TRIM(E2836))="C"),"C",IF(OR(LEFT(UPPER(TRIM(E2836)),1)="D",UPPER(TRIM(E2836))="D"),"D","")))))))</f>
        <v/>
      </c>
      <c r="J2836" s="27" t="str">
        <f aca="false">IF(I2836="","",IF(AND(I2836="D",Settings!$B$6&lt;&gt;"Yes"),"",IFERROR(INDEX(Settings!$C$9:$C$12,MATCH(I2836,Settings!$A$9:$A$12,0)),"")))</f>
        <v/>
      </c>
      <c r="K2836" s="27" t="str">
        <f aca="false">IF(J2836="","",COUNTIF($I$2:I2836,I2836))</f>
        <v/>
      </c>
      <c r="L2836" s="27" t="str">
        <f aca="false">IF(J2836="","",CHOOSE(Q2836+1,"Tue","Wed","Thu","Fri"))</f>
        <v/>
      </c>
      <c r="M2836" s="27" t="str">
        <f aca="false">IF(J2836="","",IF(J2836=1,"Every week",R2836+1&amp;" of "&amp;J2836))</f>
        <v/>
      </c>
      <c r="N2836" s="28" t="str">
        <f aca="false">IF(J2836="","",Settings!$B$4+R2836*7+Q2836)</f>
        <v/>
      </c>
      <c r="O2836" s="28" t="str">
        <f aca="true">IF(J2836="","",N2836+MAX(0,ROUNDUP((TODAY()-N2836)/(J2836*7),0))*J2836*7)</f>
        <v/>
      </c>
      <c r="P2836" s="27" t="str">
        <f aca="false">IF(J2836="","",MOD(K2836-1,J2836*4))</f>
        <v/>
      </c>
      <c r="Q2836" s="27" t="str">
        <f aca="false">IF(J2836="","",MOD(P2836,4))</f>
        <v/>
      </c>
      <c r="R2836" s="27" t="str">
        <f aca="false">IF(J2836="","",INT(P2836/4))</f>
        <v/>
      </c>
      <c r="S2836" s="27" t="str">
        <f aca="false">IF(J2836="","",IF(AND('Daily Count Sheet'!$H$3=Q2836,MOD('Daily Count Sheet'!$I$3,J2836)=R2836),1,""))</f>
        <v/>
      </c>
      <c r="T2836" s="27" t="str">
        <f aca="false">IF(S2836=1,COUNTIF($S$2:S2836,1),"")</f>
        <v/>
      </c>
    </row>
    <row r="2837" customFormat="false" ht="15" hidden="false" customHeight="false" outlineLevel="0" collapsed="false">
      <c r="H2837" s="26"/>
      <c r="I2837" s="27" t="str">
        <f aca="false">IF(A2837="","",IF(H2837&lt;&gt;"",UPPER(TRIM(H2837)),IFERROR(CHOOSE(VALUE(E2837)+1,"A","B","C","D"),IF(OR(LEFT(UPPER(TRIM(E2837)),1)="F",UPPER(TRIM(E2837))="A"),"A",IF(OR(LEFT(UPPER(TRIM(E2837)),1)="M",UPPER(TRIM(E2837))="B"),"B",IF(OR(LEFT(UPPER(TRIM(E2837)),2)="SL",UPPER(TRIM(E2837))="C"),"C",IF(OR(LEFT(UPPER(TRIM(E2837)),1)="D",UPPER(TRIM(E2837))="D"),"D","")))))))</f>
        <v/>
      </c>
      <c r="J2837" s="27" t="str">
        <f aca="false">IF(I2837="","",IF(AND(I2837="D",Settings!$B$6&lt;&gt;"Yes"),"",IFERROR(INDEX(Settings!$C$9:$C$12,MATCH(I2837,Settings!$A$9:$A$12,0)),"")))</f>
        <v/>
      </c>
      <c r="K2837" s="27" t="str">
        <f aca="false">IF(J2837="","",COUNTIF($I$2:I2837,I2837))</f>
        <v/>
      </c>
      <c r="L2837" s="27" t="str">
        <f aca="false">IF(J2837="","",CHOOSE(Q2837+1,"Tue","Wed","Thu","Fri"))</f>
        <v/>
      </c>
      <c r="M2837" s="27" t="str">
        <f aca="false">IF(J2837="","",IF(J2837=1,"Every week",R2837+1&amp;" of "&amp;J2837))</f>
        <v/>
      </c>
      <c r="N2837" s="28" t="str">
        <f aca="false">IF(J2837="","",Settings!$B$4+R2837*7+Q2837)</f>
        <v/>
      </c>
      <c r="O2837" s="28" t="str">
        <f aca="true">IF(J2837="","",N2837+MAX(0,ROUNDUP((TODAY()-N2837)/(J2837*7),0))*J2837*7)</f>
        <v/>
      </c>
      <c r="P2837" s="27" t="str">
        <f aca="false">IF(J2837="","",MOD(K2837-1,J2837*4))</f>
        <v/>
      </c>
      <c r="Q2837" s="27" t="str">
        <f aca="false">IF(J2837="","",MOD(P2837,4))</f>
        <v/>
      </c>
      <c r="R2837" s="27" t="str">
        <f aca="false">IF(J2837="","",INT(P2837/4))</f>
        <v/>
      </c>
      <c r="S2837" s="27" t="str">
        <f aca="false">IF(J2837="","",IF(AND('Daily Count Sheet'!$H$3=Q2837,MOD('Daily Count Sheet'!$I$3,J2837)=R2837),1,""))</f>
        <v/>
      </c>
      <c r="T2837" s="27" t="str">
        <f aca="false">IF(S2837=1,COUNTIF($S$2:S2837,1),"")</f>
        <v/>
      </c>
    </row>
    <row r="2838" customFormat="false" ht="15" hidden="false" customHeight="false" outlineLevel="0" collapsed="false">
      <c r="H2838" s="26"/>
      <c r="I2838" s="27" t="str">
        <f aca="false">IF(A2838="","",IF(H2838&lt;&gt;"",UPPER(TRIM(H2838)),IFERROR(CHOOSE(VALUE(E2838)+1,"A","B","C","D"),IF(OR(LEFT(UPPER(TRIM(E2838)),1)="F",UPPER(TRIM(E2838))="A"),"A",IF(OR(LEFT(UPPER(TRIM(E2838)),1)="M",UPPER(TRIM(E2838))="B"),"B",IF(OR(LEFT(UPPER(TRIM(E2838)),2)="SL",UPPER(TRIM(E2838))="C"),"C",IF(OR(LEFT(UPPER(TRIM(E2838)),1)="D",UPPER(TRIM(E2838))="D"),"D","")))))))</f>
        <v/>
      </c>
      <c r="J2838" s="27" t="str">
        <f aca="false">IF(I2838="","",IF(AND(I2838="D",Settings!$B$6&lt;&gt;"Yes"),"",IFERROR(INDEX(Settings!$C$9:$C$12,MATCH(I2838,Settings!$A$9:$A$12,0)),"")))</f>
        <v/>
      </c>
      <c r="K2838" s="27" t="str">
        <f aca="false">IF(J2838="","",COUNTIF($I$2:I2838,I2838))</f>
        <v/>
      </c>
      <c r="L2838" s="27" t="str">
        <f aca="false">IF(J2838="","",CHOOSE(Q2838+1,"Tue","Wed","Thu","Fri"))</f>
        <v/>
      </c>
      <c r="M2838" s="27" t="str">
        <f aca="false">IF(J2838="","",IF(J2838=1,"Every week",R2838+1&amp;" of "&amp;J2838))</f>
        <v/>
      </c>
      <c r="N2838" s="28" t="str">
        <f aca="false">IF(J2838="","",Settings!$B$4+R2838*7+Q2838)</f>
        <v/>
      </c>
      <c r="O2838" s="28" t="str">
        <f aca="true">IF(J2838="","",N2838+MAX(0,ROUNDUP((TODAY()-N2838)/(J2838*7),0))*J2838*7)</f>
        <v/>
      </c>
      <c r="P2838" s="27" t="str">
        <f aca="false">IF(J2838="","",MOD(K2838-1,J2838*4))</f>
        <v/>
      </c>
      <c r="Q2838" s="27" t="str">
        <f aca="false">IF(J2838="","",MOD(P2838,4))</f>
        <v/>
      </c>
      <c r="R2838" s="27" t="str">
        <f aca="false">IF(J2838="","",INT(P2838/4))</f>
        <v/>
      </c>
      <c r="S2838" s="27" t="str">
        <f aca="false">IF(J2838="","",IF(AND('Daily Count Sheet'!$H$3=Q2838,MOD('Daily Count Sheet'!$I$3,J2838)=R2838),1,""))</f>
        <v/>
      </c>
      <c r="T2838" s="27" t="str">
        <f aca="false">IF(S2838=1,COUNTIF($S$2:S2838,1),"")</f>
        <v/>
      </c>
    </row>
    <row r="2839" customFormat="false" ht="15" hidden="false" customHeight="false" outlineLevel="0" collapsed="false">
      <c r="H2839" s="26"/>
      <c r="I2839" s="27" t="str">
        <f aca="false">IF(A2839="","",IF(H2839&lt;&gt;"",UPPER(TRIM(H2839)),IFERROR(CHOOSE(VALUE(E2839)+1,"A","B","C","D"),IF(OR(LEFT(UPPER(TRIM(E2839)),1)="F",UPPER(TRIM(E2839))="A"),"A",IF(OR(LEFT(UPPER(TRIM(E2839)),1)="M",UPPER(TRIM(E2839))="B"),"B",IF(OR(LEFT(UPPER(TRIM(E2839)),2)="SL",UPPER(TRIM(E2839))="C"),"C",IF(OR(LEFT(UPPER(TRIM(E2839)),1)="D",UPPER(TRIM(E2839))="D"),"D","")))))))</f>
        <v/>
      </c>
      <c r="J2839" s="27" t="str">
        <f aca="false">IF(I2839="","",IF(AND(I2839="D",Settings!$B$6&lt;&gt;"Yes"),"",IFERROR(INDEX(Settings!$C$9:$C$12,MATCH(I2839,Settings!$A$9:$A$12,0)),"")))</f>
        <v/>
      </c>
      <c r="K2839" s="27" t="str">
        <f aca="false">IF(J2839="","",COUNTIF($I$2:I2839,I2839))</f>
        <v/>
      </c>
      <c r="L2839" s="27" t="str">
        <f aca="false">IF(J2839="","",CHOOSE(Q2839+1,"Tue","Wed","Thu","Fri"))</f>
        <v/>
      </c>
      <c r="M2839" s="27" t="str">
        <f aca="false">IF(J2839="","",IF(J2839=1,"Every week",R2839+1&amp;" of "&amp;J2839))</f>
        <v/>
      </c>
      <c r="N2839" s="28" t="str">
        <f aca="false">IF(J2839="","",Settings!$B$4+R2839*7+Q2839)</f>
        <v/>
      </c>
      <c r="O2839" s="28" t="str">
        <f aca="true">IF(J2839="","",N2839+MAX(0,ROUNDUP((TODAY()-N2839)/(J2839*7),0))*J2839*7)</f>
        <v/>
      </c>
      <c r="P2839" s="27" t="str">
        <f aca="false">IF(J2839="","",MOD(K2839-1,J2839*4))</f>
        <v/>
      </c>
      <c r="Q2839" s="27" t="str">
        <f aca="false">IF(J2839="","",MOD(P2839,4))</f>
        <v/>
      </c>
      <c r="R2839" s="27" t="str">
        <f aca="false">IF(J2839="","",INT(P2839/4))</f>
        <v/>
      </c>
      <c r="S2839" s="27" t="str">
        <f aca="false">IF(J2839="","",IF(AND('Daily Count Sheet'!$H$3=Q2839,MOD('Daily Count Sheet'!$I$3,J2839)=R2839),1,""))</f>
        <v/>
      </c>
      <c r="T2839" s="27" t="str">
        <f aca="false">IF(S2839=1,COUNTIF($S$2:S2839,1),"")</f>
        <v/>
      </c>
    </row>
    <row r="2840" customFormat="false" ht="15" hidden="false" customHeight="false" outlineLevel="0" collapsed="false">
      <c r="H2840" s="26"/>
      <c r="I2840" s="27" t="str">
        <f aca="false">IF(A2840="","",IF(H2840&lt;&gt;"",UPPER(TRIM(H2840)),IFERROR(CHOOSE(VALUE(E2840)+1,"A","B","C","D"),IF(OR(LEFT(UPPER(TRIM(E2840)),1)="F",UPPER(TRIM(E2840))="A"),"A",IF(OR(LEFT(UPPER(TRIM(E2840)),1)="M",UPPER(TRIM(E2840))="B"),"B",IF(OR(LEFT(UPPER(TRIM(E2840)),2)="SL",UPPER(TRIM(E2840))="C"),"C",IF(OR(LEFT(UPPER(TRIM(E2840)),1)="D",UPPER(TRIM(E2840))="D"),"D","")))))))</f>
        <v/>
      </c>
      <c r="J2840" s="27" t="str">
        <f aca="false">IF(I2840="","",IF(AND(I2840="D",Settings!$B$6&lt;&gt;"Yes"),"",IFERROR(INDEX(Settings!$C$9:$C$12,MATCH(I2840,Settings!$A$9:$A$12,0)),"")))</f>
        <v/>
      </c>
      <c r="K2840" s="27" t="str">
        <f aca="false">IF(J2840="","",COUNTIF($I$2:I2840,I2840))</f>
        <v/>
      </c>
      <c r="L2840" s="27" t="str">
        <f aca="false">IF(J2840="","",CHOOSE(Q2840+1,"Tue","Wed","Thu","Fri"))</f>
        <v/>
      </c>
      <c r="M2840" s="27" t="str">
        <f aca="false">IF(J2840="","",IF(J2840=1,"Every week",R2840+1&amp;" of "&amp;J2840))</f>
        <v/>
      </c>
      <c r="N2840" s="28" t="str">
        <f aca="false">IF(J2840="","",Settings!$B$4+R2840*7+Q2840)</f>
        <v/>
      </c>
      <c r="O2840" s="28" t="str">
        <f aca="true">IF(J2840="","",N2840+MAX(0,ROUNDUP((TODAY()-N2840)/(J2840*7),0))*J2840*7)</f>
        <v/>
      </c>
      <c r="P2840" s="27" t="str">
        <f aca="false">IF(J2840="","",MOD(K2840-1,J2840*4))</f>
        <v/>
      </c>
      <c r="Q2840" s="27" t="str">
        <f aca="false">IF(J2840="","",MOD(P2840,4))</f>
        <v/>
      </c>
      <c r="R2840" s="27" t="str">
        <f aca="false">IF(J2840="","",INT(P2840/4))</f>
        <v/>
      </c>
      <c r="S2840" s="27" t="str">
        <f aca="false">IF(J2840="","",IF(AND('Daily Count Sheet'!$H$3=Q2840,MOD('Daily Count Sheet'!$I$3,J2840)=R2840),1,""))</f>
        <v/>
      </c>
      <c r="T2840" s="27" t="str">
        <f aca="false">IF(S2840=1,COUNTIF($S$2:S2840,1),"")</f>
        <v/>
      </c>
    </row>
    <row r="2841" customFormat="false" ht="15" hidden="false" customHeight="false" outlineLevel="0" collapsed="false">
      <c r="H2841" s="26"/>
      <c r="I2841" s="27" t="str">
        <f aca="false">IF(A2841="","",IF(H2841&lt;&gt;"",UPPER(TRIM(H2841)),IFERROR(CHOOSE(VALUE(E2841)+1,"A","B","C","D"),IF(OR(LEFT(UPPER(TRIM(E2841)),1)="F",UPPER(TRIM(E2841))="A"),"A",IF(OR(LEFT(UPPER(TRIM(E2841)),1)="M",UPPER(TRIM(E2841))="B"),"B",IF(OR(LEFT(UPPER(TRIM(E2841)),2)="SL",UPPER(TRIM(E2841))="C"),"C",IF(OR(LEFT(UPPER(TRIM(E2841)),1)="D",UPPER(TRIM(E2841))="D"),"D","")))))))</f>
        <v/>
      </c>
      <c r="J2841" s="27" t="str">
        <f aca="false">IF(I2841="","",IF(AND(I2841="D",Settings!$B$6&lt;&gt;"Yes"),"",IFERROR(INDEX(Settings!$C$9:$C$12,MATCH(I2841,Settings!$A$9:$A$12,0)),"")))</f>
        <v/>
      </c>
      <c r="K2841" s="27" t="str">
        <f aca="false">IF(J2841="","",COUNTIF($I$2:I2841,I2841))</f>
        <v/>
      </c>
      <c r="L2841" s="27" t="str">
        <f aca="false">IF(J2841="","",CHOOSE(Q2841+1,"Tue","Wed","Thu","Fri"))</f>
        <v/>
      </c>
      <c r="M2841" s="27" t="str">
        <f aca="false">IF(J2841="","",IF(J2841=1,"Every week",R2841+1&amp;" of "&amp;J2841))</f>
        <v/>
      </c>
      <c r="N2841" s="28" t="str">
        <f aca="false">IF(J2841="","",Settings!$B$4+R2841*7+Q2841)</f>
        <v/>
      </c>
      <c r="O2841" s="28" t="str">
        <f aca="true">IF(J2841="","",N2841+MAX(0,ROUNDUP((TODAY()-N2841)/(J2841*7),0))*J2841*7)</f>
        <v/>
      </c>
      <c r="P2841" s="27" t="str">
        <f aca="false">IF(J2841="","",MOD(K2841-1,J2841*4))</f>
        <v/>
      </c>
      <c r="Q2841" s="27" t="str">
        <f aca="false">IF(J2841="","",MOD(P2841,4))</f>
        <v/>
      </c>
      <c r="R2841" s="27" t="str">
        <f aca="false">IF(J2841="","",INT(P2841/4))</f>
        <v/>
      </c>
      <c r="S2841" s="27" t="str">
        <f aca="false">IF(J2841="","",IF(AND('Daily Count Sheet'!$H$3=Q2841,MOD('Daily Count Sheet'!$I$3,J2841)=R2841),1,""))</f>
        <v/>
      </c>
      <c r="T2841" s="27" t="str">
        <f aca="false">IF(S2841=1,COUNTIF($S$2:S2841,1),"")</f>
        <v/>
      </c>
    </row>
    <row r="2842" customFormat="false" ht="15" hidden="false" customHeight="false" outlineLevel="0" collapsed="false">
      <c r="H2842" s="26"/>
      <c r="I2842" s="27" t="str">
        <f aca="false">IF(A2842="","",IF(H2842&lt;&gt;"",UPPER(TRIM(H2842)),IFERROR(CHOOSE(VALUE(E2842)+1,"A","B","C","D"),IF(OR(LEFT(UPPER(TRIM(E2842)),1)="F",UPPER(TRIM(E2842))="A"),"A",IF(OR(LEFT(UPPER(TRIM(E2842)),1)="M",UPPER(TRIM(E2842))="B"),"B",IF(OR(LEFT(UPPER(TRIM(E2842)),2)="SL",UPPER(TRIM(E2842))="C"),"C",IF(OR(LEFT(UPPER(TRIM(E2842)),1)="D",UPPER(TRIM(E2842))="D"),"D","")))))))</f>
        <v/>
      </c>
      <c r="J2842" s="27" t="str">
        <f aca="false">IF(I2842="","",IF(AND(I2842="D",Settings!$B$6&lt;&gt;"Yes"),"",IFERROR(INDEX(Settings!$C$9:$C$12,MATCH(I2842,Settings!$A$9:$A$12,0)),"")))</f>
        <v/>
      </c>
      <c r="K2842" s="27" t="str">
        <f aca="false">IF(J2842="","",COUNTIF($I$2:I2842,I2842))</f>
        <v/>
      </c>
      <c r="L2842" s="27" t="str">
        <f aca="false">IF(J2842="","",CHOOSE(Q2842+1,"Tue","Wed","Thu","Fri"))</f>
        <v/>
      </c>
      <c r="M2842" s="27" t="str">
        <f aca="false">IF(J2842="","",IF(J2842=1,"Every week",R2842+1&amp;" of "&amp;J2842))</f>
        <v/>
      </c>
      <c r="N2842" s="28" t="str">
        <f aca="false">IF(J2842="","",Settings!$B$4+R2842*7+Q2842)</f>
        <v/>
      </c>
      <c r="O2842" s="28" t="str">
        <f aca="true">IF(J2842="","",N2842+MAX(0,ROUNDUP((TODAY()-N2842)/(J2842*7),0))*J2842*7)</f>
        <v/>
      </c>
      <c r="P2842" s="27" t="str">
        <f aca="false">IF(J2842="","",MOD(K2842-1,J2842*4))</f>
        <v/>
      </c>
      <c r="Q2842" s="27" t="str">
        <f aca="false">IF(J2842="","",MOD(P2842,4))</f>
        <v/>
      </c>
      <c r="R2842" s="27" t="str">
        <f aca="false">IF(J2842="","",INT(P2842/4))</f>
        <v/>
      </c>
      <c r="S2842" s="27" t="str">
        <f aca="false">IF(J2842="","",IF(AND('Daily Count Sheet'!$H$3=Q2842,MOD('Daily Count Sheet'!$I$3,J2842)=R2842),1,""))</f>
        <v/>
      </c>
      <c r="T2842" s="27" t="str">
        <f aca="false">IF(S2842=1,COUNTIF($S$2:S2842,1),"")</f>
        <v/>
      </c>
    </row>
    <row r="2843" customFormat="false" ht="15" hidden="false" customHeight="false" outlineLevel="0" collapsed="false">
      <c r="H2843" s="26"/>
      <c r="I2843" s="27" t="str">
        <f aca="false">IF(A2843="","",IF(H2843&lt;&gt;"",UPPER(TRIM(H2843)),IFERROR(CHOOSE(VALUE(E2843)+1,"A","B","C","D"),IF(OR(LEFT(UPPER(TRIM(E2843)),1)="F",UPPER(TRIM(E2843))="A"),"A",IF(OR(LEFT(UPPER(TRIM(E2843)),1)="M",UPPER(TRIM(E2843))="B"),"B",IF(OR(LEFT(UPPER(TRIM(E2843)),2)="SL",UPPER(TRIM(E2843))="C"),"C",IF(OR(LEFT(UPPER(TRIM(E2843)),1)="D",UPPER(TRIM(E2843))="D"),"D","")))))))</f>
        <v/>
      </c>
      <c r="J2843" s="27" t="str">
        <f aca="false">IF(I2843="","",IF(AND(I2843="D",Settings!$B$6&lt;&gt;"Yes"),"",IFERROR(INDEX(Settings!$C$9:$C$12,MATCH(I2843,Settings!$A$9:$A$12,0)),"")))</f>
        <v/>
      </c>
      <c r="K2843" s="27" t="str">
        <f aca="false">IF(J2843="","",COUNTIF($I$2:I2843,I2843))</f>
        <v/>
      </c>
      <c r="L2843" s="27" t="str">
        <f aca="false">IF(J2843="","",CHOOSE(Q2843+1,"Tue","Wed","Thu","Fri"))</f>
        <v/>
      </c>
      <c r="M2843" s="27" t="str">
        <f aca="false">IF(J2843="","",IF(J2843=1,"Every week",R2843+1&amp;" of "&amp;J2843))</f>
        <v/>
      </c>
      <c r="N2843" s="28" t="str">
        <f aca="false">IF(J2843="","",Settings!$B$4+R2843*7+Q2843)</f>
        <v/>
      </c>
      <c r="O2843" s="28" t="str">
        <f aca="true">IF(J2843="","",N2843+MAX(0,ROUNDUP((TODAY()-N2843)/(J2843*7),0))*J2843*7)</f>
        <v/>
      </c>
      <c r="P2843" s="27" t="str">
        <f aca="false">IF(J2843="","",MOD(K2843-1,J2843*4))</f>
        <v/>
      </c>
      <c r="Q2843" s="27" t="str">
        <f aca="false">IF(J2843="","",MOD(P2843,4))</f>
        <v/>
      </c>
      <c r="R2843" s="27" t="str">
        <f aca="false">IF(J2843="","",INT(P2843/4))</f>
        <v/>
      </c>
      <c r="S2843" s="27" t="str">
        <f aca="false">IF(J2843="","",IF(AND('Daily Count Sheet'!$H$3=Q2843,MOD('Daily Count Sheet'!$I$3,J2843)=R2843),1,""))</f>
        <v/>
      </c>
      <c r="T2843" s="27" t="str">
        <f aca="false">IF(S2843=1,COUNTIF($S$2:S2843,1),"")</f>
        <v/>
      </c>
    </row>
    <row r="2844" customFormat="false" ht="15" hidden="false" customHeight="false" outlineLevel="0" collapsed="false">
      <c r="H2844" s="26"/>
      <c r="I2844" s="27" t="str">
        <f aca="false">IF(A2844="","",IF(H2844&lt;&gt;"",UPPER(TRIM(H2844)),IFERROR(CHOOSE(VALUE(E2844)+1,"A","B","C","D"),IF(OR(LEFT(UPPER(TRIM(E2844)),1)="F",UPPER(TRIM(E2844))="A"),"A",IF(OR(LEFT(UPPER(TRIM(E2844)),1)="M",UPPER(TRIM(E2844))="B"),"B",IF(OR(LEFT(UPPER(TRIM(E2844)),2)="SL",UPPER(TRIM(E2844))="C"),"C",IF(OR(LEFT(UPPER(TRIM(E2844)),1)="D",UPPER(TRIM(E2844))="D"),"D","")))))))</f>
        <v/>
      </c>
      <c r="J2844" s="27" t="str">
        <f aca="false">IF(I2844="","",IF(AND(I2844="D",Settings!$B$6&lt;&gt;"Yes"),"",IFERROR(INDEX(Settings!$C$9:$C$12,MATCH(I2844,Settings!$A$9:$A$12,0)),"")))</f>
        <v/>
      </c>
      <c r="K2844" s="27" t="str">
        <f aca="false">IF(J2844="","",COUNTIF($I$2:I2844,I2844))</f>
        <v/>
      </c>
      <c r="L2844" s="27" t="str">
        <f aca="false">IF(J2844="","",CHOOSE(Q2844+1,"Tue","Wed","Thu","Fri"))</f>
        <v/>
      </c>
      <c r="M2844" s="27" t="str">
        <f aca="false">IF(J2844="","",IF(J2844=1,"Every week",R2844+1&amp;" of "&amp;J2844))</f>
        <v/>
      </c>
      <c r="N2844" s="28" t="str">
        <f aca="false">IF(J2844="","",Settings!$B$4+R2844*7+Q2844)</f>
        <v/>
      </c>
      <c r="O2844" s="28" t="str">
        <f aca="true">IF(J2844="","",N2844+MAX(0,ROUNDUP((TODAY()-N2844)/(J2844*7),0))*J2844*7)</f>
        <v/>
      </c>
      <c r="P2844" s="27" t="str">
        <f aca="false">IF(J2844="","",MOD(K2844-1,J2844*4))</f>
        <v/>
      </c>
      <c r="Q2844" s="27" t="str">
        <f aca="false">IF(J2844="","",MOD(P2844,4))</f>
        <v/>
      </c>
      <c r="R2844" s="27" t="str">
        <f aca="false">IF(J2844="","",INT(P2844/4))</f>
        <v/>
      </c>
      <c r="S2844" s="27" t="str">
        <f aca="false">IF(J2844="","",IF(AND('Daily Count Sheet'!$H$3=Q2844,MOD('Daily Count Sheet'!$I$3,J2844)=R2844),1,""))</f>
        <v/>
      </c>
      <c r="T2844" s="27" t="str">
        <f aca="false">IF(S2844=1,COUNTIF($S$2:S2844,1),"")</f>
        <v/>
      </c>
    </row>
    <row r="2845" customFormat="false" ht="15" hidden="false" customHeight="false" outlineLevel="0" collapsed="false">
      <c r="H2845" s="26"/>
      <c r="I2845" s="27" t="str">
        <f aca="false">IF(A2845="","",IF(H2845&lt;&gt;"",UPPER(TRIM(H2845)),IFERROR(CHOOSE(VALUE(E2845)+1,"A","B","C","D"),IF(OR(LEFT(UPPER(TRIM(E2845)),1)="F",UPPER(TRIM(E2845))="A"),"A",IF(OR(LEFT(UPPER(TRIM(E2845)),1)="M",UPPER(TRIM(E2845))="B"),"B",IF(OR(LEFT(UPPER(TRIM(E2845)),2)="SL",UPPER(TRIM(E2845))="C"),"C",IF(OR(LEFT(UPPER(TRIM(E2845)),1)="D",UPPER(TRIM(E2845))="D"),"D","")))))))</f>
        <v/>
      </c>
      <c r="J2845" s="27" t="str">
        <f aca="false">IF(I2845="","",IF(AND(I2845="D",Settings!$B$6&lt;&gt;"Yes"),"",IFERROR(INDEX(Settings!$C$9:$C$12,MATCH(I2845,Settings!$A$9:$A$12,0)),"")))</f>
        <v/>
      </c>
      <c r="K2845" s="27" t="str">
        <f aca="false">IF(J2845="","",COUNTIF($I$2:I2845,I2845))</f>
        <v/>
      </c>
      <c r="L2845" s="27" t="str">
        <f aca="false">IF(J2845="","",CHOOSE(Q2845+1,"Tue","Wed","Thu","Fri"))</f>
        <v/>
      </c>
      <c r="M2845" s="27" t="str">
        <f aca="false">IF(J2845="","",IF(J2845=1,"Every week",R2845+1&amp;" of "&amp;J2845))</f>
        <v/>
      </c>
      <c r="N2845" s="28" t="str">
        <f aca="false">IF(J2845="","",Settings!$B$4+R2845*7+Q2845)</f>
        <v/>
      </c>
      <c r="O2845" s="28" t="str">
        <f aca="true">IF(J2845="","",N2845+MAX(0,ROUNDUP((TODAY()-N2845)/(J2845*7),0))*J2845*7)</f>
        <v/>
      </c>
      <c r="P2845" s="27" t="str">
        <f aca="false">IF(J2845="","",MOD(K2845-1,J2845*4))</f>
        <v/>
      </c>
      <c r="Q2845" s="27" t="str">
        <f aca="false">IF(J2845="","",MOD(P2845,4))</f>
        <v/>
      </c>
      <c r="R2845" s="27" t="str">
        <f aca="false">IF(J2845="","",INT(P2845/4))</f>
        <v/>
      </c>
      <c r="S2845" s="27" t="str">
        <f aca="false">IF(J2845="","",IF(AND('Daily Count Sheet'!$H$3=Q2845,MOD('Daily Count Sheet'!$I$3,J2845)=R2845),1,""))</f>
        <v/>
      </c>
      <c r="T2845" s="27" t="str">
        <f aca="false">IF(S2845=1,COUNTIF($S$2:S2845,1),"")</f>
        <v/>
      </c>
    </row>
    <row r="2846" customFormat="false" ht="15" hidden="false" customHeight="false" outlineLevel="0" collapsed="false">
      <c r="H2846" s="26"/>
      <c r="I2846" s="27" t="str">
        <f aca="false">IF(A2846="","",IF(H2846&lt;&gt;"",UPPER(TRIM(H2846)),IFERROR(CHOOSE(VALUE(E2846)+1,"A","B","C","D"),IF(OR(LEFT(UPPER(TRIM(E2846)),1)="F",UPPER(TRIM(E2846))="A"),"A",IF(OR(LEFT(UPPER(TRIM(E2846)),1)="M",UPPER(TRIM(E2846))="B"),"B",IF(OR(LEFT(UPPER(TRIM(E2846)),2)="SL",UPPER(TRIM(E2846))="C"),"C",IF(OR(LEFT(UPPER(TRIM(E2846)),1)="D",UPPER(TRIM(E2846))="D"),"D","")))))))</f>
        <v/>
      </c>
      <c r="J2846" s="27" t="str">
        <f aca="false">IF(I2846="","",IF(AND(I2846="D",Settings!$B$6&lt;&gt;"Yes"),"",IFERROR(INDEX(Settings!$C$9:$C$12,MATCH(I2846,Settings!$A$9:$A$12,0)),"")))</f>
        <v/>
      </c>
      <c r="K2846" s="27" t="str">
        <f aca="false">IF(J2846="","",COUNTIF($I$2:I2846,I2846))</f>
        <v/>
      </c>
      <c r="L2846" s="27" t="str">
        <f aca="false">IF(J2846="","",CHOOSE(Q2846+1,"Tue","Wed","Thu","Fri"))</f>
        <v/>
      </c>
      <c r="M2846" s="27" t="str">
        <f aca="false">IF(J2846="","",IF(J2846=1,"Every week",R2846+1&amp;" of "&amp;J2846))</f>
        <v/>
      </c>
      <c r="N2846" s="28" t="str">
        <f aca="false">IF(J2846="","",Settings!$B$4+R2846*7+Q2846)</f>
        <v/>
      </c>
      <c r="O2846" s="28" t="str">
        <f aca="true">IF(J2846="","",N2846+MAX(0,ROUNDUP((TODAY()-N2846)/(J2846*7),0))*J2846*7)</f>
        <v/>
      </c>
      <c r="P2846" s="27" t="str">
        <f aca="false">IF(J2846="","",MOD(K2846-1,J2846*4))</f>
        <v/>
      </c>
      <c r="Q2846" s="27" t="str">
        <f aca="false">IF(J2846="","",MOD(P2846,4))</f>
        <v/>
      </c>
      <c r="R2846" s="27" t="str">
        <f aca="false">IF(J2846="","",INT(P2846/4))</f>
        <v/>
      </c>
      <c r="S2846" s="27" t="str">
        <f aca="false">IF(J2846="","",IF(AND('Daily Count Sheet'!$H$3=Q2846,MOD('Daily Count Sheet'!$I$3,J2846)=R2846),1,""))</f>
        <v/>
      </c>
      <c r="T2846" s="27" t="str">
        <f aca="false">IF(S2846=1,COUNTIF($S$2:S2846,1),"")</f>
        <v/>
      </c>
    </row>
    <row r="2847" customFormat="false" ht="15" hidden="false" customHeight="false" outlineLevel="0" collapsed="false">
      <c r="H2847" s="26"/>
      <c r="I2847" s="27" t="str">
        <f aca="false">IF(A2847="","",IF(H2847&lt;&gt;"",UPPER(TRIM(H2847)),IFERROR(CHOOSE(VALUE(E2847)+1,"A","B","C","D"),IF(OR(LEFT(UPPER(TRIM(E2847)),1)="F",UPPER(TRIM(E2847))="A"),"A",IF(OR(LEFT(UPPER(TRIM(E2847)),1)="M",UPPER(TRIM(E2847))="B"),"B",IF(OR(LEFT(UPPER(TRIM(E2847)),2)="SL",UPPER(TRIM(E2847))="C"),"C",IF(OR(LEFT(UPPER(TRIM(E2847)),1)="D",UPPER(TRIM(E2847))="D"),"D","")))))))</f>
        <v/>
      </c>
      <c r="J2847" s="27" t="str">
        <f aca="false">IF(I2847="","",IF(AND(I2847="D",Settings!$B$6&lt;&gt;"Yes"),"",IFERROR(INDEX(Settings!$C$9:$C$12,MATCH(I2847,Settings!$A$9:$A$12,0)),"")))</f>
        <v/>
      </c>
      <c r="K2847" s="27" t="str">
        <f aca="false">IF(J2847="","",COUNTIF($I$2:I2847,I2847))</f>
        <v/>
      </c>
      <c r="L2847" s="27" t="str">
        <f aca="false">IF(J2847="","",CHOOSE(Q2847+1,"Tue","Wed","Thu","Fri"))</f>
        <v/>
      </c>
      <c r="M2847" s="27" t="str">
        <f aca="false">IF(J2847="","",IF(J2847=1,"Every week",R2847+1&amp;" of "&amp;J2847))</f>
        <v/>
      </c>
      <c r="N2847" s="28" t="str">
        <f aca="false">IF(J2847="","",Settings!$B$4+R2847*7+Q2847)</f>
        <v/>
      </c>
      <c r="O2847" s="28" t="str">
        <f aca="true">IF(J2847="","",N2847+MAX(0,ROUNDUP((TODAY()-N2847)/(J2847*7),0))*J2847*7)</f>
        <v/>
      </c>
      <c r="P2847" s="27" t="str">
        <f aca="false">IF(J2847="","",MOD(K2847-1,J2847*4))</f>
        <v/>
      </c>
      <c r="Q2847" s="27" t="str">
        <f aca="false">IF(J2847="","",MOD(P2847,4))</f>
        <v/>
      </c>
      <c r="R2847" s="27" t="str">
        <f aca="false">IF(J2847="","",INT(P2847/4))</f>
        <v/>
      </c>
      <c r="S2847" s="27" t="str">
        <f aca="false">IF(J2847="","",IF(AND('Daily Count Sheet'!$H$3=Q2847,MOD('Daily Count Sheet'!$I$3,J2847)=R2847),1,""))</f>
        <v/>
      </c>
      <c r="T2847" s="27" t="str">
        <f aca="false">IF(S2847=1,COUNTIF($S$2:S2847,1),"")</f>
        <v/>
      </c>
    </row>
    <row r="2848" customFormat="false" ht="15" hidden="false" customHeight="false" outlineLevel="0" collapsed="false">
      <c r="H2848" s="26"/>
      <c r="I2848" s="27" t="str">
        <f aca="false">IF(A2848="","",IF(H2848&lt;&gt;"",UPPER(TRIM(H2848)),IFERROR(CHOOSE(VALUE(E2848)+1,"A","B","C","D"),IF(OR(LEFT(UPPER(TRIM(E2848)),1)="F",UPPER(TRIM(E2848))="A"),"A",IF(OR(LEFT(UPPER(TRIM(E2848)),1)="M",UPPER(TRIM(E2848))="B"),"B",IF(OR(LEFT(UPPER(TRIM(E2848)),2)="SL",UPPER(TRIM(E2848))="C"),"C",IF(OR(LEFT(UPPER(TRIM(E2848)),1)="D",UPPER(TRIM(E2848))="D"),"D","")))))))</f>
        <v/>
      </c>
      <c r="J2848" s="27" t="str">
        <f aca="false">IF(I2848="","",IF(AND(I2848="D",Settings!$B$6&lt;&gt;"Yes"),"",IFERROR(INDEX(Settings!$C$9:$C$12,MATCH(I2848,Settings!$A$9:$A$12,0)),"")))</f>
        <v/>
      </c>
      <c r="K2848" s="27" t="str">
        <f aca="false">IF(J2848="","",COUNTIF($I$2:I2848,I2848))</f>
        <v/>
      </c>
      <c r="L2848" s="27" t="str">
        <f aca="false">IF(J2848="","",CHOOSE(Q2848+1,"Tue","Wed","Thu","Fri"))</f>
        <v/>
      </c>
      <c r="M2848" s="27" t="str">
        <f aca="false">IF(J2848="","",IF(J2848=1,"Every week",R2848+1&amp;" of "&amp;J2848))</f>
        <v/>
      </c>
      <c r="N2848" s="28" t="str">
        <f aca="false">IF(J2848="","",Settings!$B$4+R2848*7+Q2848)</f>
        <v/>
      </c>
      <c r="O2848" s="28" t="str">
        <f aca="true">IF(J2848="","",N2848+MAX(0,ROUNDUP((TODAY()-N2848)/(J2848*7),0))*J2848*7)</f>
        <v/>
      </c>
      <c r="P2848" s="27" t="str">
        <f aca="false">IF(J2848="","",MOD(K2848-1,J2848*4))</f>
        <v/>
      </c>
      <c r="Q2848" s="27" t="str">
        <f aca="false">IF(J2848="","",MOD(P2848,4))</f>
        <v/>
      </c>
      <c r="R2848" s="27" t="str">
        <f aca="false">IF(J2848="","",INT(P2848/4))</f>
        <v/>
      </c>
      <c r="S2848" s="27" t="str">
        <f aca="false">IF(J2848="","",IF(AND('Daily Count Sheet'!$H$3=Q2848,MOD('Daily Count Sheet'!$I$3,J2848)=R2848),1,""))</f>
        <v/>
      </c>
      <c r="T2848" s="27" t="str">
        <f aca="false">IF(S2848=1,COUNTIF($S$2:S2848,1),"")</f>
        <v/>
      </c>
    </row>
    <row r="2849" customFormat="false" ht="15" hidden="false" customHeight="false" outlineLevel="0" collapsed="false">
      <c r="H2849" s="26"/>
      <c r="I2849" s="27" t="str">
        <f aca="false">IF(A2849="","",IF(H2849&lt;&gt;"",UPPER(TRIM(H2849)),IFERROR(CHOOSE(VALUE(E2849)+1,"A","B","C","D"),IF(OR(LEFT(UPPER(TRIM(E2849)),1)="F",UPPER(TRIM(E2849))="A"),"A",IF(OR(LEFT(UPPER(TRIM(E2849)),1)="M",UPPER(TRIM(E2849))="B"),"B",IF(OR(LEFT(UPPER(TRIM(E2849)),2)="SL",UPPER(TRIM(E2849))="C"),"C",IF(OR(LEFT(UPPER(TRIM(E2849)),1)="D",UPPER(TRIM(E2849))="D"),"D","")))))))</f>
        <v/>
      </c>
      <c r="J2849" s="27" t="str">
        <f aca="false">IF(I2849="","",IF(AND(I2849="D",Settings!$B$6&lt;&gt;"Yes"),"",IFERROR(INDEX(Settings!$C$9:$C$12,MATCH(I2849,Settings!$A$9:$A$12,0)),"")))</f>
        <v/>
      </c>
      <c r="K2849" s="27" t="str">
        <f aca="false">IF(J2849="","",COUNTIF($I$2:I2849,I2849))</f>
        <v/>
      </c>
      <c r="L2849" s="27" t="str">
        <f aca="false">IF(J2849="","",CHOOSE(Q2849+1,"Tue","Wed","Thu","Fri"))</f>
        <v/>
      </c>
      <c r="M2849" s="27" t="str">
        <f aca="false">IF(J2849="","",IF(J2849=1,"Every week",R2849+1&amp;" of "&amp;J2849))</f>
        <v/>
      </c>
      <c r="N2849" s="28" t="str">
        <f aca="false">IF(J2849="","",Settings!$B$4+R2849*7+Q2849)</f>
        <v/>
      </c>
      <c r="O2849" s="28" t="str">
        <f aca="true">IF(J2849="","",N2849+MAX(0,ROUNDUP((TODAY()-N2849)/(J2849*7),0))*J2849*7)</f>
        <v/>
      </c>
      <c r="P2849" s="27" t="str">
        <f aca="false">IF(J2849="","",MOD(K2849-1,J2849*4))</f>
        <v/>
      </c>
      <c r="Q2849" s="27" t="str">
        <f aca="false">IF(J2849="","",MOD(P2849,4))</f>
        <v/>
      </c>
      <c r="R2849" s="27" t="str">
        <f aca="false">IF(J2849="","",INT(P2849/4))</f>
        <v/>
      </c>
      <c r="S2849" s="27" t="str">
        <f aca="false">IF(J2849="","",IF(AND('Daily Count Sheet'!$H$3=Q2849,MOD('Daily Count Sheet'!$I$3,J2849)=R2849),1,""))</f>
        <v/>
      </c>
      <c r="T2849" s="27" t="str">
        <f aca="false">IF(S2849=1,COUNTIF($S$2:S2849,1),"")</f>
        <v/>
      </c>
    </row>
    <row r="2850" customFormat="false" ht="15" hidden="false" customHeight="false" outlineLevel="0" collapsed="false">
      <c r="H2850" s="26"/>
      <c r="I2850" s="27" t="str">
        <f aca="false">IF(A2850="","",IF(H2850&lt;&gt;"",UPPER(TRIM(H2850)),IFERROR(CHOOSE(VALUE(E2850)+1,"A","B","C","D"),IF(OR(LEFT(UPPER(TRIM(E2850)),1)="F",UPPER(TRIM(E2850))="A"),"A",IF(OR(LEFT(UPPER(TRIM(E2850)),1)="M",UPPER(TRIM(E2850))="B"),"B",IF(OR(LEFT(UPPER(TRIM(E2850)),2)="SL",UPPER(TRIM(E2850))="C"),"C",IF(OR(LEFT(UPPER(TRIM(E2850)),1)="D",UPPER(TRIM(E2850))="D"),"D","")))))))</f>
        <v/>
      </c>
      <c r="J2850" s="27" t="str">
        <f aca="false">IF(I2850="","",IF(AND(I2850="D",Settings!$B$6&lt;&gt;"Yes"),"",IFERROR(INDEX(Settings!$C$9:$C$12,MATCH(I2850,Settings!$A$9:$A$12,0)),"")))</f>
        <v/>
      </c>
      <c r="K2850" s="27" t="str">
        <f aca="false">IF(J2850="","",COUNTIF($I$2:I2850,I2850))</f>
        <v/>
      </c>
      <c r="L2850" s="27" t="str">
        <f aca="false">IF(J2850="","",CHOOSE(Q2850+1,"Tue","Wed","Thu","Fri"))</f>
        <v/>
      </c>
      <c r="M2850" s="27" t="str">
        <f aca="false">IF(J2850="","",IF(J2850=1,"Every week",R2850+1&amp;" of "&amp;J2850))</f>
        <v/>
      </c>
      <c r="N2850" s="28" t="str">
        <f aca="false">IF(J2850="","",Settings!$B$4+R2850*7+Q2850)</f>
        <v/>
      </c>
      <c r="O2850" s="28" t="str">
        <f aca="true">IF(J2850="","",N2850+MAX(0,ROUNDUP((TODAY()-N2850)/(J2850*7),0))*J2850*7)</f>
        <v/>
      </c>
      <c r="P2850" s="27" t="str">
        <f aca="false">IF(J2850="","",MOD(K2850-1,J2850*4))</f>
        <v/>
      </c>
      <c r="Q2850" s="27" t="str">
        <f aca="false">IF(J2850="","",MOD(P2850,4))</f>
        <v/>
      </c>
      <c r="R2850" s="27" t="str">
        <f aca="false">IF(J2850="","",INT(P2850/4))</f>
        <v/>
      </c>
      <c r="S2850" s="27" t="str">
        <f aca="false">IF(J2850="","",IF(AND('Daily Count Sheet'!$H$3=Q2850,MOD('Daily Count Sheet'!$I$3,J2850)=R2850),1,""))</f>
        <v/>
      </c>
      <c r="T2850" s="27" t="str">
        <f aca="false">IF(S2850=1,COUNTIF($S$2:S2850,1),"")</f>
        <v/>
      </c>
    </row>
    <row r="2851" customFormat="false" ht="15" hidden="false" customHeight="false" outlineLevel="0" collapsed="false">
      <c r="H2851" s="26"/>
      <c r="I2851" s="27" t="str">
        <f aca="false">IF(A2851="","",IF(H2851&lt;&gt;"",UPPER(TRIM(H2851)),IFERROR(CHOOSE(VALUE(E2851)+1,"A","B","C","D"),IF(OR(LEFT(UPPER(TRIM(E2851)),1)="F",UPPER(TRIM(E2851))="A"),"A",IF(OR(LEFT(UPPER(TRIM(E2851)),1)="M",UPPER(TRIM(E2851))="B"),"B",IF(OR(LEFT(UPPER(TRIM(E2851)),2)="SL",UPPER(TRIM(E2851))="C"),"C",IF(OR(LEFT(UPPER(TRIM(E2851)),1)="D",UPPER(TRIM(E2851))="D"),"D","")))))))</f>
        <v/>
      </c>
      <c r="J2851" s="27" t="str">
        <f aca="false">IF(I2851="","",IF(AND(I2851="D",Settings!$B$6&lt;&gt;"Yes"),"",IFERROR(INDEX(Settings!$C$9:$C$12,MATCH(I2851,Settings!$A$9:$A$12,0)),"")))</f>
        <v/>
      </c>
      <c r="K2851" s="27" t="str">
        <f aca="false">IF(J2851="","",COUNTIF($I$2:I2851,I2851))</f>
        <v/>
      </c>
      <c r="L2851" s="27" t="str">
        <f aca="false">IF(J2851="","",CHOOSE(Q2851+1,"Tue","Wed","Thu","Fri"))</f>
        <v/>
      </c>
      <c r="M2851" s="27" t="str">
        <f aca="false">IF(J2851="","",IF(J2851=1,"Every week",R2851+1&amp;" of "&amp;J2851))</f>
        <v/>
      </c>
      <c r="N2851" s="28" t="str">
        <f aca="false">IF(J2851="","",Settings!$B$4+R2851*7+Q2851)</f>
        <v/>
      </c>
      <c r="O2851" s="28" t="str">
        <f aca="true">IF(J2851="","",N2851+MAX(0,ROUNDUP((TODAY()-N2851)/(J2851*7),0))*J2851*7)</f>
        <v/>
      </c>
      <c r="P2851" s="27" t="str">
        <f aca="false">IF(J2851="","",MOD(K2851-1,J2851*4))</f>
        <v/>
      </c>
      <c r="Q2851" s="27" t="str">
        <f aca="false">IF(J2851="","",MOD(P2851,4))</f>
        <v/>
      </c>
      <c r="R2851" s="27" t="str">
        <f aca="false">IF(J2851="","",INT(P2851/4))</f>
        <v/>
      </c>
      <c r="S2851" s="27" t="str">
        <f aca="false">IF(J2851="","",IF(AND('Daily Count Sheet'!$H$3=Q2851,MOD('Daily Count Sheet'!$I$3,J2851)=R2851),1,""))</f>
        <v/>
      </c>
      <c r="T2851" s="27" t="str">
        <f aca="false">IF(S2851=1,COUNTIF($S$2:S2851,1),"")</f>
        <v/>
      </c>
    </row>
    <row r="2852" customFormat="false" ht="15" hidden="false" customHeight="false" outlineLevel="0" collapsed="false">
      <c r="H2852" s="26"/>
      <c r="I2852" s="27" t="str">
        <f aca="false">IF(A2852="","",IF(H2852&lt;&gt;"",UPPER(TRIM(H2852)),IFERROR(CHOOSE(VALUE(E2852)+1,"A","B","C","D"),IF(OR(LEFT(UPPER(TRIM(E2852)),1)="F",UPPER(TRIM(E2852))="A"),"A",IF(OR(LEFT(UPPER(TRIM(E2852)),1)="M",UPPER(TRIM(E2852))="B"),"B",IF(OR(LEFT(UPPER(TRIM(E2852)),2)="SL",UPPER(TRIM(E2852))="C"),"C",IF(OR(LEFT(UPPER(TRIM(E2852)),1)="D",UPPER(TRIM(E2852))="D"),"D","")))))))</f>
        <v/>
      </c>
      <c r="J2852" s="27" t="str">
        <f aca="false">IF(I2852="","",IF(AND(I2852="D",Settings!$B$6&lt;&gt;"Yes"),"",IFERROR(INDEX(Settings!$C$9:$C$12,MATCH(I2852,Settings!$A$9:$A$12,0)),"")))</f>
        <v/>
      </c>
      <c r="K2852" s="27" t="str">
        <f aca="false">IF(J2852="","",COUNTIF($I$2:I2852,I2852))</f>
        <v/>
      </c>
      <c r="L2852" s="27" t="str">
        <f aca="false">IF(J2852="","",CHOOSE(Q2852+1,"Tue","Wed","Thu","Fri"))</f>
        <v/>
      </c>
      <c r="M2852" s="27" t="str">
        <f aca="false">IF(J2852="","",IF(J2852=1,"Every week",R2852+1&amp;" of "&amp;J2852))</f>
        <v/>
      </c>
      <c r="N2852" s="28" t="str">
        <f aca="false">IF(J2852="","",Settings!$B$4+R2852*7+Q2852)</f>
        <v/>
      </c>
      <c r="O2852" s="28" t="str">
        <f aca="true">IF(J2852="","",N2852+MAX(0,ROUNDUP((TODAY()-N2852)/(J2852*7),0))*J2852*7)</f>
        <v/>
      </c>
      <c r="P2852" s="27" t="str">
        <f aca="false">IF(J2852="","",MOD(K2852-1,J2852*4))</f>
        <v/>
      </c>
      <c r="Q2852" s="27" t="str">
        <f aca="false">IF(J2852="","",MOD(P2852,4))</f>
        <v/>
      </c>
      <c r="R2852" s="27" t="str">
        <f aca="false">IF(J2852="","",INT(P2852/4))</f>
        <v/>
      </c>
      <c r="S2852" s="27" t="str">
        <f aca="false">IF(J2852="","",IF(AND('Daily Count Sheet'!$H$3=Q2852,MOD('Daily Count Sheet'!$I$3,J2852)=R2852),1,""))</f>
        <v/>
      </c>
      <c r="T2852" s="27" t="str">
        <f aca="false">IF(S2852=1,COUNTIF($S$2:S2852,1),"")</f>
        <v/>
      </c>
    </row>
    <row r="2853" customFormat="false" ht="15" hidden="false" customHeight="false" outlineLevel="0" collapsed="false">
      <c r="H2853" s="26"/>
      <c r="I2853" s="27" t="str">
        <f aca="false">IF(A2853="","",IF(H2853&lt;&gt;"",UPPER(TRIM(H2853)),IFERROR(CHOOSE(VALUE(E2853)+1,"A","B","C","D"),IF(OR(LEFT(UPPER(TRIM(E2853)),1)="F",UPPER(TRIM(E2853))="A"),"A",IF(OR(LEFT(UPPER(TRIM(E2853)),1)="M",UPPER(TRIM(E2853))="B"),"B",IF(OR(LEFT(UPPER(TRIM(E2853)),2)="SL",UPPER(TRIM(E2853))="C"),"C",IF(OR(LEFT(UPPER(TRIM(E2853)),1)="D",UPPER(TRIM(E2853))="D"),"D","")))))))</f>
        <v/>
      </c>
      <c r="J2853" s="27" t="str">
        <f aca="false">IF(I2853="","",IF(AND(I2853="D",Settings!$B$6&lt;&gt;"Yes"),"",IFERROR(INDEX(Settings!$C$9:$C$12,MATCH(I2853,Settings!$A$9:$A$12,0)),"")))</f>
        <v/>
      </c>
      <c r="K2853" s="27" t="str">
        <f aca="false">IF(J2853="","",COUNTIF($I$2:I2853,I2853))</f>
        <v/>
      </c>
      <c r="L2853" s="27" t="str">
        <f aca="false">IF(J2853="","",CHOOSE(Q2853+1,"Tue","Wed","Thu","Fri"))</f>
        <v/>
      </c>
      <c r="M2853" s="27" t="str">
        <f aca="false">IF(J2853="","",IF(J2853=1,"Every week",R2853+1&amp;" of "&amp;J2853))</f>
        <v/>
      </c>
      <c r="N2853" s="28" t="str">
        <f aca="false">IF(J2853="","",Settings!$B$4+R2853*7+Q2853)</f>
        <v/>
      </c>
      <c r="O2853" s="28" t="str">
        <f aca="true">IF(J2853="","",N2853+MAX(0,ROUNDUP((TODAY()-N2853)/(J2853*7),0))*J2853*7)</f>
        <v/>
      </c>
      <c r="P2853" s="27" t="str">
        <f aca="false">IF(J2853="","",MOD(K2853-1,J2853*4))</f>
        <v/>
      </c>
      <c r="Q2853" s="27" t="str">
        <f aca="false">IF(J2853="","",MOD(P2853,4))</f>
        <v/>
      </c>
      <c r="R2853" s="27" t="str">
        <f aca="false">IF(J2853="","",INT(P2853/4))</f>
        <v/>
      </c>
      <c r="S2853" s="27" t="str">
        <f aca="false">IF(J2853="","",IF(AND('Daily Count Sheet'!$H$3=Q2853,MOD('Daily Count Sheet'!$I$3,J2853)=R2853),1,""))</f>
        <v/>
      </c>
      <c r="T2853" s="27" t="str">
        <f aca="false">IF(S2853=1,COUNTIF($S$2:S2853,1),"")</f>
        <v/>
      </c>
    </row>
    <row r="2854" customFormat="false" ht="15" hidden="false" customHeight="false" outlineLevel="0" collapsed="false">
      <c r="H2854" s="26"/>
      <c r="I2854" s="27" t="str">
        <f aca="false">IF(A2854="","",IF(H2854&lt;&gt;"",UPPER(TRIM(H2854)),IFERROR(CHOOSE(VALUE(E2854)+1,"A","B","C","D"),IF(OR(LEFT(UPPER(TRIM(E2854)),1)="F",UPPER(TRIM(E2854))="A"),"A",IF(OR(LEFT(UPPER(TRIM(E2854)),1)="M",UPPER(TRIM(E2854))="B"),"B",IF(OR(LEFT(UPPER(TRIM(E2854)),2)="SL",UPPER(TRIM(E2854))="C"),"C",IF(OR(LEFT(UPPER(TRIM(E2854)),1)="D",UPPER(TRIM(E2854))="D"),"D","")))))))</f>
        <v/>
      </c>
      <c r="J2854" s="27" t="str">
        <f aca="false">IF(I2854="","",IF(AND(I2854="D",Settings!$B$6&lt;&gt;"Yes"),"",IFERROR(INDEX(Settings!$C$9:$C$12,MATCH(I2854,Settings!$A$9:$A$12,0)),"")))</f>
        <v/>
      </c>
      <c r="K2854" s="27" t="str">
        <f aca="false">IF(J2854="","",COUNTIF($I$2:I2854,I2854))</f>
        <v/>
      </c>
      <c r="L2854" s="27" t="str">
        <f aca="false">IF(J2854="","",CHOOSE(Q2854+1,"Tue","Wed","Thu","Fri"))</f>
        <v/>
      </c>
      <c r="M2854" s="27" t="str">
        <f aca="false">IF(J2854="","",IF(J2854=1,"Every week",R2854+1&amp;" of "&amp;J2854))</f>
        <v/>
      </c>
      <c r="N2854" s="28" t="str">
        <f aca="false">IF(J2854="","",Settings!$B$4+R2854*7+Q2854)</f>
        <v/>
      </c>
      <c r="O2854" s="28" t="str">
        <f aca="true">IF(J2854="","",N2854+MAX(0,ROUNDUP((TODAY()-N2854)/(J2854*7),0))*J2854*7)</f>
        <v/>
      </c>
      <c r="P2854" s="27" t="str">
        <f aca="false">IF(J2854="","",MOD(K2854-1,J2854*4))</f>
        <v/>
      </c>
      <c r="Q2854" s="27" t="str">
        <f aca="false">IF(J2854="","",MOD(P2854,4))</f>
        <v/>
      </c>
      <c r="R2854" s="27" t="str">
        <f aca="false">IF(J2854="","",INT(P2854/4))</f>
        <v/>
      </c>
      <c r="S2854" s="27" t="str">
        <f aca="false">IF(J2854="","",IF(AND('Daily Count Sheet'!$H$3=Q2854,MOD('Daily Count Sheet'!$I$3,J2854)=R2854),1,""))</f>
        <v/>
      </c>
      <c r="T2854" s="27" t="str">
        <f aca="false">IF(S2854=1,COUNTIF($S$2:S2854,1),"")</f>
        <v/>
      </c>
    </row>
    <row r="2855" customFormat="false" ht="15" hidden="false" customHeight="false" outlineLevel="0" collapsed="false">
      <c r="H2855" s="26"/>
      <c r="I2855" s="27" t="str">
        <f aca="false">IF(A2855="","",IF(H2855&lt;&gt;"",UPPER(TRIM(H2855)),IFERROR(CHOOSE(VALUE(E2855)+1,"A","B","C","D"),IF(OR(LEFT(UPPER(TRIM(E2855)),1)="F",UPPER(TRIM(E2855))="A"),"A",IF(OR(LEFT(UPPER(TRIM(E2855)),1)="M",UPPER(TRIM(E2855))="B"),"B",IF(OR(LEFT(UPPER(TRIM(E2855)),2)="SL",UPPER(TRIM(E2855))="C"),"C",IF(OR(LEFT(UPPER(TRIM(E2855)),1)="D",UPPER(TRIM(E2855))="D"),"D","")))))))</f>
        <v/>
      </c>
      <c r="J2855" s="27" t="str">
        <f aca="false">IF(I2855="","",IF(AND(I2855="D",Settings!$B$6&lt;&gt;"Yes"),"",IFERROR(INDEX(Settings!$C$9:$C$12,MATCH(I2855,Settings!$A$9:$A$12,0)),"")))</f>
        <v/>
      </c>
      <c r="K2855" s="27" t="str">
        <f aca="false">IF(J2855="","",COUNTIF($I$2:I2855,I2855))</f>
        <v/>
      </c>
      <c r="L2855" s="27" t="str">
        <f aca="false">IF(J2855="","",CHOOSE(Q2855+1,"Tue","Wed","Thu","Fri"))</f>
        <v/>
      </c>
      <c r="M2855" s="27" t="str">
        <f aca="false">IF(J2855="","",IF(J2855=1,"Every week",R2855+1&amp;" of "&amp;J2855))</f>
        <v/>
      </c>
      <c r="N2855" s="28" t="str">
        <f aca="false">IF(J2855="","",Settings!$B$4+R2855*7+Q2855)</f>
        <v/>
      </c>
      <c r="O2855" s="28" t="str">
        <f aca="true">IF(J2855="","",N2855+MAX(0,ROUNDUP((TODAY()-N2855)/(J2855*7),0))*J2855*7)</f>
        <v/>
      </c>
      <c r="P2855" s="27" t="str">
        <f aca="false">IF(J2855="","",MOD(K2855-1,J2855*4))</f>
        <v/>
      </c>
      <c r="Q2855" s="27" t="str">
        <f aca="false">IF(J2855="","",MOD(P2855,4))</f>
        <v/>
      </c>
      <c r="R2855" s="27" t="str">
        <f aca="false">IF(J2855="","",INT(P2855/4))</f>
        <v/>
      </c>
      <c r="S2855" s="27" t="str">
        <f aca="false">IF(J2855="","",IF(AND('Daily Count Sheet'!$H$3=Q2855,MOD('Daily Count Sheet'!$I$3,J2855)=R2855),1,""))</f>
        <v/>
      </c>
      <c r="T2855" s="27" t="str">
        <f aca="false">IF(S2855=1,COUNTIF($S$2:S2855,1),"")</f>
        <v/>
      </c>
    </row>
    <row r="2856" customFormat="false" ht="15" hidden="false" customHeight="false" outlineLevel="0" collapsed="false">
      <c r="H2856" s="26"/>
      <c r="I2856" s="27" t="str">
        <f aca="false">IF(A2856="","",IF(H2856&lt;&gt;"",UPPER(TRIM(H2856)),IFERROR(CHOOSE(VALUE(E2856)+1,"A","B","C","D"),IF(OR(LEFT(UPPER(TRIM(E2856)),1)="F",UPPER(TRIM(E2856))="A"),"A",IF(OR(LEFT(UPPER(TRIM(E2856)),1)="M",UPPER(TRIM(E2856))="B"),"B",IF(OR(LEFT(UPPER(TRIM(E2856)),2)="SL",UPPER(TRIM(E2856))="C"),"C",IF(OR(LEFT(UPPER(TRIM(E2856)),1)="D",UPPER(TRIM(E2856))="D"),"D","")))))))</f>
        <v/>
      </c>
      <c r="J2856" s="27" t="str">
        <f aca="false">IF(I2856="","",IF(AND(I2856="D",Settings!$B$6&lt;&gt;"Yes"),"",IFERROR(INDEX(Settings!$C$9:$C$12,MATCH(I2856,Settings!$A$9:$A$12,0)),"")))</f>
        <v/>
      </c>
      <c r="K2856" s="27" t="str">
        <f aca="false">IF(J2856="","",COUNTIF($I$2:I2856,I2856))</f>
        <v/>
      </c>
      <c r="L2856" s="27" t="str">
        <f aca="false">IF(J2856="","",CHOOSE(Q2856+1,"Tue","Wed","Thu","Fri"))</f>
        <v/>
      </c>
      <c r="M2856" s="27" t="str">
        <f aca="false">IF(J2856="","",IF(J2856=1,"Every week",R2856+1&amp;" of "&amp;J2856))</f>
        <v/>
      </c>
      <c r="N2856" s="28" t="str">
        <f aca="false">IF(J2856="","",Settings!$B$4+R2856*7+Q2856)</f>
        <v/>
      </c>
      <c r="O2856" s="28" t="str">
        <f aca="true">IF(J2856="","",N2856+MAX(0,ROUNDUP((TODAY()-N2856)/(J2856*7),0))*J2856*7)</f>
        <v/>
      </c>
      <c r="P2856" s="27" t="str">
        <f aca="false">IF(J2856="","",MOD(K2856-1,J2856*4))</f>
        <v/>
      </c>
      <c r="Q2856" s="27" t="str">
        <f aca="false">IF(J2856="","",MOD(P2856,4))</f>
        <v/>
      </c>
      <c r="R2856" s="27" t="str">
        <f aca="false">IF(J2856="","",INT(P2856/4))</f>
        <v/>
      </c>
      <c r="S2856" s="27" t="str">
        <f aca="false">IF(J2856="","",IF(AND('Daily Count Sheet'!$H$3=Q2856,MOD('Daily Count Sheet'!$I$3,J2856)=R2856),1,""))</f>
        <v/>
      </c>
      <c r="T2856" s="27" t="str">
        <f aca="false">IF(S2856=1,COUNTIF($S$2:S2856,1),"")</f>
        <v/>
      </c>
    </row>
    <row r="2857" customFormat="false" ht="15" hidden="false" customHeight="false" outlineLevel="0" collapsed="false">
      <c r="H2857" s="26"/>
      <c r="I2857" s="27" t="str">
        <f aca="false">IF(A2857="","",IF(H2857&lt;&gt;"",UPPER(TRIM(H2857)),IFERROR(CHOOSE(VALUE(E2857)+1,"A","B","C","D"),IF(OR(LEFT(UPPER(TRIM(E2857)),1)="F",UPPER(TRIM(E2857))="A"),"A",IF(OR(LEFT(UPPER(TRIM(E2857)),1)="M",UPPER(TRIM(E2857))="B"),"B",IF(OR(LEFT(UPPER(TRIM(E2857)),2)="SL",UPPER(TRIM(E2857))="C"),"C",IF(OR(LEFT(UPPER(TRIM(E2857)),1)="D",UPPER(TRIM(E2857))="D"),"D","")))))))</f>
        <v/>
      </c>
      <c r="J2857" s="27" t="str">
        <f aca="false">IF(I2857="","",IF(AND(I2857="D",Settings!$B$6&lt;&gt;"Yes"),"",IFERROR(INDEX(Settings!$C$9:$C$12,MATCH(I2857,Settings!$A$9:$A$12,0)),"")))</f>
        <v/>
      </c>
      <c r="K2857" s="27" t="str">
        <f aca="false">IF(J2857="","",COUNTIF($I$2:I2857,I2857))</f>
        <v/>
      </c>
      <c r="L2857" s="27" t="str">
        <f aca="false">IF(J2857="","",CHOOSE(Q2857+1,"Tue","Wed","Thu","Fri"))</f>
        <v/>
      </c>
      <c r="M2857" s="27" t="str">
        <f aca="false">IF(J2857="","",IF(J2857=1,"Every week",R2857+1&amp;" of "&amp;J2857))</f>
        <v/>
      </c>
      <c r="N2857" s="28" t="str">
        <f aca="false">IF(J2857="","",Settings!$B$4+R2857*7+Q2857)</f>
        <v/>
      </c>
      <c r="O2857" s="28" t="str">
        <f aca="true">IF(J2857="","",N2857+MAX(0,ROUNDUP((TODAY()-N2857)/(J2857*7),0))*J2857*7)</f>
        <v/>
      </c>
      <c r="P2857" s="27" t="str">
        <f aca="false">IF(J2857="","",MOD(K2857-1,J2857*4))</f>
        <v/>
      </c>
      <c r="Q2857" s="27" t="str">
        <f aca="false">IF(J2857="","",MOD(P2857,4))</f>
        <v/>
      </c>
      <c r="R2857" s="27" t="str">
        <f aca="false">IF(J2857="","",INT(P2857/4))</f>
        <v/>
      </c>
      <c r="S2857" s="27" t="str">
        <f aca="false">IF(J2857="","",IF(AND('Daily Count Sheet'!$H$3=Q2857,MOD('Daily Count Sheet'!$I$3,J2857)=R2857),1,""))</f>
        <v/>
      </c>
      <c r="T2857" s="27" t="str">
        <f aca="false">IF(S2857=1,COUNTIF($S$2:S2857,1),"")</f>
        <v/>
      </c>
    </row>
    <row r="2858" customFormat="false" ht="15" hidden="false" customHeight="false" outlineLevel="0" collapsed="false">
      <c r="H2858" s="26"/>
      <c r="I2858" s="27" t="str">
        <f aca="false">IF(A2858="","",IF(H2858&lt;&gt;"",UPPER(TRIM(H2858)),IFERROR(CHOOSE(VALUE(E2858)+1,"A","B","C","D"),IF(OR(LEFT(UPPER(TRIM(E2858)),1)="F",UPPER(TRIM(E2858))="A"),"A",IF(OR(LEFT(UPPER(TRIM(E2858)),1)="M",UPPER(TRIM(E2858))="B"),"B",IF(OR(LEFT(UPPER(TRIM(E2858)),2)="SL",UPPER(TRIM(E2858))="C"),"C",IF(OR(LEFT(UPPER(TRIM(E2858)),1)="D",UPPER(TRIM(E2858))="D"),"D","")))))))</f>
        <v/>
      </c>
      <c r="J2858" s="27" t="str">
        <f aca="false">IF(I2858="","",IF(AND(I2858="D",Settings!$B$6&lt;&gt;"Yes"),"",IFERROR(INDEX(Settings!$C$9:$C$12,MATCH(I2858,Settings!$A$9:$A$12,0)),"")))</f>
        <v/>
      </c>
      <c r="K2858" s="27" t="str">
        <f aca="false">IF(J2858="","",COUNTIF($I$2:I2858,I2858))</f>
        <v/>
      </c>
      <c r="L2858" s="27" t="str">
        <f aca="false">IF(J2858="","",CHOOSE(Q2858+1,"Tue","Wed","Thu","Fri"))</f>
        <v/>
      </c>
      <c r="M2858" s="27" t="str">
        <f aca="false">IF(J2858="","",IF(J2858=1,"Every week",R2858+1&amp;" of "&amp;J2858))</f>
        <v/>
      </c>
      <c r="N2858" s="28" t="str">
        <f aca="false">IF(J2858="","",Settings!$B$4+R2858*7+Q2858)</f>
        <v/>
      </c>
      <c r="O2858" s="28" t="str">
        <f aca="true">IF(J2858="","",N2858+MAX(0,ROUNDUP((TODAY()-N2858)/(J2858*7),0))*J2858*7)</f>
        <v/>
      </c>
      <c r="P2858" s="27" t="str">
        <f aca="false">IF(J2858="","",MOD(K2858-1,J2858*4))</f>
        <v/>
      </c>
      <c r="Q2858" s="27" t="str">
        <f aca="false">IF(J2858="","",MOD(P2858,4))</f>
        <v/>
      </c>
      <c r="R2858" s="27" t="str">
        <f aca="false">IF(J2858="","",INT(P2858/4))</f>
        <v/>
      </c>
      <c r="S2858" s="27" t="str">
        <f aca="false">IF(J2858="","",IF(AND('Daily Count Sheet'!$H$3=Q2858,MOD('Daily Count Sheet'!$I$3,J2858)=R2858),1,""))</f>
        <v/>
      </c>
      <c r="T2858" s="27" t="str">
        <f aca="false">IF(S2858=1,COUNTIF($S$2:S2858,1),"")</f>
        <v/>
      </c>
    </row>
    <row r="2859" customFormat="false" ht="15" hidden="false" customHeight="false" outlineLevel="0" collapsed="false">
      <c r="H2859" s="26"/>
      <c r="I2859" s="27" t="str">
        <f aca="false">IF(A2859="","",IF(H2859&lt;&gt;"",UPPER(TRIM(H2859)),IFERROR(CHOOSE(VALUE(E2859)+1,"A","B","C","D"),IF(OR(LEFT(UPPER(TRIM(E2859)),1)="F",UPPER(TRIM(E2859))="A"),"A",IF(OR(LEFT(UPPER(TRIM(E2859)),1)="M",UPPER(TRIM(E2859))="B"),"B",IF(OR(LEFT(UPPER(TRIM(E2859)),2)="SL",UPPER(TRIM(E2859))="C"),"C",IF(OR(LEFT(UPPER(TRIM(E2859)),1)="D",UPPER(TRIM(E2859))="D"),"D","")))))))</f>
        <v/>
      </c>
      <c r="J2859" s="27" t="str">
        <f aca="false">IF(I2859="","",IF(AND(I2859="D",Settings!$B$6&lt;&gt;"Yes"),"",IFERROR(INDEX(Settings!$C$9:$C$12,MATCH(I2859,Settings!$A$9:$A$12,0)),"")))</f>
        <v/>
      </c>
      <c r="K2859" s="27" t="str">
        <f aca="false">IF(J2859="","",COUNTIF($I$2:I2859,I2859))</f>
        <v/>
      </c>
      <c r="L2859" s="27" t="str">
        <f aca="false">IF(J2859="","",CHOOSE(Q2859+1,"Tue","Wed","Thu","Fri"))</f>
        <v/>
      </c>
      <c r="M2859" s="27" t="str">
        <f aca="false">IF(J2859="","",IF(J2859=1,"Every week",R2859+1&amp;" of "&amp;J2859))</f>
        <v/>
      </c>
      <c r="N2859" s="28" t="str">
        <f aca="false">IF(J2859="","",Settings!$B$4+R2859*7+Q2859)</f>
        <v/>
      </c>
      <c r="O2859" s="28" t="str">
        <f aca="true">IF(J2859="","",N2859+MAX(0,ROUNDUP((TODAY()-N2859)/(J2859*7),0))*J2859*7)</f>
        <v/>
      </c>
      <c r="P2859" s="27" t="str">
        <f aca="false">IF(J2859="","",MOD(K2859-1,J2859*4))</f>
        <v/>
      </c>
      <c r="Q2859" s="27" t="str">
        <f aca="false">IF(J2859="","",MOD(P2859,4))</f>
        <v/>
      </c>
      <c r="R2859" s="27" t="str">
        <f aca="false">IF(J2859="","",INT(P2859/4))</f>
        <v/>
      </c>
      <c r="S2859" s="27" t="str">
        <f aca="false">IF(J2859="","",IF(AND('Daily Count Sheet'!$H$3=Q2859,MOD('Daily Count Sheet'!$I$3,J2859)=R2859),1,""))</f>
        <v/>
      </c>
      <c r="T2859" s="27" t="str">
        <f aca="false">IF(S2859=1,COUNTIF($S$2:S2859,1),"")</f>
        <v/>
      </c>
    </row>
    <row r="2860" customFormat="false" ht="15" hidden="false" customHeight="false" outlineLevel="0" collapsed="false">
      <c r="H2860" s="26"/>
      <c r="I2860" s="27" t="str">
        <f aca="false">IF(A2860="","",IF(H2860&lt;&gt;"",UPPER(TRIM(H2860)),IFERROR(CHOOSE(VALUE(E2860)+1,"A","B","C","D"),IF(OR(LEFT(UPPER(TRIM(E2860)),1)="F",UPPER(TRIM(E2860))="A"),"A",IF(OR(LEFT(UPPER(TRIM(E2860)),1)="M",UPPER(TRIM(E2860))="B"),"B",IF(OR(LEFT(UPPER(TRIM(E2860)),2)="SL",UPPER(TRIM(E2860))="C"),"C",IF(OR(LEFT(UPPER(TRIM(E2860)),1)="D",UPPER(TRIM(E2860))="D"),"D","")))))))</f>
        <v/>
      </c>
      <c r="J2860" s="27" t="str">
        <f aca="false">IF(I2860="","",IF(AND(I2860="D",Settings!$B$6&lt;&gt;"Yes"),"",IFERROR(INDEX(Settings!$C$9:$C$12,MATCH(I2860,Settings!$A$9:$A$12,0)),"")))</f>
        <v/>
      </c>
      <c r="K2860" s="27" t="str">
        <f aca="false">IF(J2860="","",COUNTIF($I$2:I2860,I2860))</f>
        <v/>
      </c>
      <c r="L2860" s="27" t="str">
        <f aca="false">IF(J2860="","",CHOOSE(Q2860+1,"Tue","Wed","Thu","Fri"))</f>
        <v/>
      </c>
      <c r="M2860" s="27" t="str">
        <f aca="false">IF(J2860="","",IF(J2860=1,"Every week",R2860+1&amp;" of "&amp;J2860))</f>
        <v/>
      </c>
      <c r="N2860" s="28" t="str">
        <f aca="false">IF(J2860="","",Settings!$B$4+R2860*7+Q2860)</f>
        <v/>
      </c>
      <c r="O2860" s="28" t="str">
        <f aca="true">IF(J2860="","",N2860+MAX(0,ROUNDUP((TODAY()-N2860)/(J2860*7),0))*J2860*7)</f>
        <v/>
      </c>
      <c r="P2860" s="27" t="str">
        <f aca="false">IF(J2860="","",MOD(K2860-1,J2860*4))</f>
        <v/>
      </c>
      <c r="Q2860" s="27" t="str">
        <f aca="false">IF(J2860="","",MOD(P2860,4))</f>
        <v/>
      </c>
      <c r="R2860" s="27" t="str">
        <f aca="false">IF(J2860="","",INT(P2860/4))</f>
        <v/>
      </c>
      <c r="S2860" s="27" t="str">
        <f aca="false">IF(J2860="","",IF(AND('Daily Count Sheet'!$H$3=Q2860,MOD('Daily Count Sheet'!$I$3,J2860)=R2860),1,""))</f>
        <v/>
      </c>
      <c r="T2860" s="27" t="str">
        <f aca="false">IF(S2860=1,COUNTIF($S$2:S2860,1),"")</f>
        <v/>
      </c>
    </row>
    <row r="2861" customFormat="false" ht="15" hidden="false" customHeight="false" outlineLevel="0" collapsed="false">
      <c r="H2861" s="26"/>
      <c r="I2861" s="27" t="str">
        <f aca="false">IF(A2861="","",IF(H2861&lt;&gt;"",UPPER(TRIM(H2861)),IFERROR(CHOOSE(VALUE(E2861)+1,"A","B","C","D"),IF(OR(LEFT(UPPER(TRIM(E2861)),1)="F",UPPER(TRIM(E2861))="A"),"A",IF(OR(LEFT(UPPER(TRIM(E2861)),1)="M",UPPER(TRIM(E2861))="B"),"B",IF(OR(LEFT(UPPER(TRIM(E2861)),2)="SL",UPPER(TRIM(E2861))="C"),"C",IF(OR(LEFT(UPPER(TRIM(E2861)),1)="D",UPPER(TRIM(E2861))="D"),"D","")))))))</f>
        <v/>
      </c>
      <c r="J2861" s="27" t="str">
        <f aca="false">IF(I2861="","",IF(AND(I2861="D",Settings!$B$6&lt;&gt;"Yes"),"",IFERROR(INDEX(Settings!$C$9:$C$12,MATCH(I2861,Settings!$A$9:$A$12,0)),"")))</f>
        <v/>
      </c>
      <c r="K2861" s="27" t="str">
        <f aca="false">IF(J2861="","",COUNTIF($I$2:I2861,I2861))</f>
        <v/>
      </c>
      <c r="L2861" s="27" t="str">
        <f aca="false">IF(J2861="","",CHOOSE(Q2861+1,"Tue","Wed","Thu","Fri"))</f>
        <v/>
      </c>
      <c r="M2861" s="27" t="str">
        <f aca="false">IF(J2861="","",IF(J2861=1,"Every week",R2861+1&amp;" of "&amp;J2861))</f>
        <v/>
      </c>
      <c r="N2861" s="28" t="str">
        <f aca="false">IF(J2861="","",Settings!$B$4+R2861*7+Q2861)</f>
        <v/>
      </c>
      <c r="O2861" s="28" t="str">
        <f aca="true">IF(J2861="","",N2861+MAX(0,ROUNDUP((TODAY()-N2861)/(J2861*7),0))*J2861*7)</f>
        <v/>
      </c>
      <c r="P2861" s="27" t="str">
        <f aca="false">IF(J2861="","",MOD(K2861-1,J2861*4))</f>
        <v/>
      </c>
      <c r="Q2861" s="27" t="str">
        <f aca="false">IF(J2861="","",MOD(P2861,4))</f>
        <v/>
      </c>
      <c r="R2861" s="27" t="str">
        <f aca="false">IF(J2861="","",INT(P2861/4))</f>
        <v/>
      </c>
      <c r="S2861" s="27" t="str">
        <f aca="false">IF(J2861="","",IF(AND('Daily Count Sheet'!$H$3=Q2861,MOD('Daily Count Sheet'!$I$3,J2861)=R2861),1,""))</f>
        <v/>
      </c>
      <c r="T2861" s="27" t="str">
        <f aca="false">IF(S2861=1,COUNTIF($S$2:S2861,1),"")</f>
        <v/>
      </c>
    </row>
    <row r="2862" customFormat="false" ht="15" hidden="false" customHeight="false" outlineLevel="0" collapsed="false">
      <c r="H2862" s="26"/>
      <c r="I2862" s="27" t="str">
        <f aca="false">IF(A2862="","",IF(H2862&lt;&gt;"",UPPER(TRIM(H2862)),IFERROR(CHOOSE(VALUE(E2862)+1,"A","B","C","D"),IF(OR(LEFT(UPPER(TRIM(E2862)),1)="F",UPPER(TRIM(E2862))="A"),"A",IF(OR(LEFT(UPPER(TRIM(E2862)),1)="M",UPPER(TRIM(E2862))="B"),"B",IF(OR(LEFT(UPPER(TRIM(E2862)),2)="SL",UPPER(TRIM(E2862))="C"),"C",IF(OR(LEFT(UPPER(TRIM(E2862)),1)="D",UPPER(TRIM(E2862))="D"),"D","")))))))</f>
        <v/>
      </c>
      <c r="J2862" s="27" t="str">
        <f aca="false">IF(I2862="","",IF(AND(I2862="D",Settings!$B$6&lt;&gt;"Yes"),"",IFERROR(INDEX(Settings!$C$9:$C$12,MATCH(I2862,Settings!$A$9:$A$12,0)),"")))</f>
        <v/>
      </c>
      <c r="K2862" s="27" t="str">
        <f aca="false">IF(J2862="","",COUNTIF($I$2:I2862,I2862))</f>
        <v/>
      </c>
      <c r="L2862" s="27" t="str">
        <f aca="false">IF(J2862="","",CHOOSE(Q2862+1,"Tue","Wed","Thu","Fri"))</f>
        <v/>
      </c>
      <c r="M2862" s="27" t="str">
        <f aca="false">IF(J2862="","",IF(J2862=1,"Every week",R2862+1&amp;" of "&amp;J2862))</f>
        <v/>
      </c>
      <c r="N2862" s="28" t="str">
        <f aca="false">IF(J2862="","",Settings!$B$4+R2862*7+Q2862)</f>
        <v/>
      </c>
      <c r="O2862" s="28" t="str">
        <f aca="true">IF(J2862="","",N2862+MAX(0,ROUNDUP((TODAY()-N2862)/(J2862*7),0))*J2862*7)</f>
        <v/>
      </c>
      <c r="P2862" s="27" t="str">
        <f aca="false">IF(J2862="","",MOD(K2862-1,J2862*4))</f>
        <v/>
      </c>
      <c r="Q2862" s="27" t="str">
        <f aca="false">IF(J2862="","",MOD(P2862,4))</f>
        <v/>
      </c>
      <c r="R2862" s="27" t="str">
        <f aca="false">IF(J2862="","",INT(P2862/4))</f>
        <v/>
      </c>
      <c r="S2862" s="27" t="str">
        <f aca="false">IF(J2862="","",IF(AND('Daily Count Sheet'!$H$3=Q2862,MOD('Daily Count Sheet'!$I$3,J2862)=R2862),1,""))</f>
        <v/>
      </c>
      <c r="T2862" s="27" t="str">
        <f aca="false">IF(S2862=1,COUNTIF($S$2:S2862,1),"")</f>
        <v/>
      </c>
    </row>
    <row r="2863" customFormat="false" ht="15" hidden="false" customHeight="false" outlineLevel="0" collapsed="false">
      <c r="H2863" s="26"/>
      <c r="I2863" s="27" t="str">
        <f aca="false">IF(A2863="","",IF(H2863&lt;&gt;"",UPPER(TRIM(H2863)),IFERROR(CHOOSE(VALUE(E2863)+1,"A","B","C","D"),IF(OR(LEFT(UPPER(TRIM(E2863)),1)="F",UPPER(TRIM(E2863))="A"),"A",IF(OR(LEFT(UPPER(TRIM(E2863)),1)="M",UPPER(TRIM(E2863))="B"),"B",IF(OR(LEFT(UPPER(TRIM(E2863)),2)="SL",UPPER(TRIM(E2863))="C"),"C",IF(OR(LEFT(UPPER(TRIM(E2863)),1)="D",UPPER(TRIM(E2863))="D"),"D","")))))))</f>
        <v/>
      </c>
      <c r="J2863" s="27" t="str">
        <f aca="false">IF(I2863="","",IF(AND(I2863="D",Settings!$B$6&lt;&gt;"Yes"),"",IFERROR(INDEX(Settings!$C$9:$C$12,MATCH(I2863,Settings!$A$9:$A$12,0)),"")))</f>
        <v/>
      </c>
      <c r="K2863" s="27" t="str">
        <f aca="false">IF(J2863="","",COUNTIF($I$2:I2863,I2863))</f>
        <v/>
      </c>
      <c r="L2863" s="27" t="str">
        <f aca="false">IF(J2863="","",CHOOSE(Q2863+1,"Tue","Wed","Thu","Fri"))</f>
        <v/>
      </c>
      <c r="M2863" s="27" t="str">
        <f aca="false">IF(J2863="","",IF(J2863=1,"Every week",R2863+1&amp;" of "&amp;J2863))</f>
        <v/>
      </c>
      <c r="N2863" s="28" t="str">
        <f aca="false">IF(J2863="","",Settings!$B$4+R2863*7+Q2863)</f>
        <v/>
      </c>
      <c r="O2863" s="28" t="str">
        <f aca="true">IF(J2863="","",N2863+MAX(0,ROUNDUP((TODAY()-N2863)/(J2863*7),0))*J2863*7)</f>
        <v/>
      </c>
      <c r="P2863" s="27" t="str">
        <f aca="false">IF(J2863="","",MOD(K2863-1,J2863*4))</f>
        <v/>
      </c>
      <c r="Q2863" s="27" t="str">
        <f aca="false">IF(J2863="","",MOD(P2863,4))</f>
        <v/>
      </c>
      <c r="R2863" s="27" t="str">
        <f aca="false">IF(J2863="","",INT(P2863/4))</f>
        <v/>
      </c>
      <c r="S2863" s="27" t="str">
        <f aca="false">IF(J2863="","",IF(AND('Daily Count Sheet'!$H$3=Q2863,MOD('Daily Count Sheet'!$I$3,J2863)=R2863),1,""))</f>
        <v/>
      </c>
      <c r="T2863" s="27" t="str">
        <f aca="false">IF(S2863=1,COUNTIF($S$2:S2863,1),"")</f>
        <v/>
      </c>
    </row>
    <row r="2864" customFormat="false" ht="15" hidden="false" customHeight="false" outlineLevel="0" collapsed="false">
      <c r="H2864" s="26"/>
      <c r="I2864" s="27" t="str">
        <f aca="false">IF(A2864="","",IF(H2864&lt;&gt;"",UPPER(TRIM(H2864)),IFERROR(CHOOSE(VALUE(E2864)+1,"A","B","C","D"),IF(OR(LEFT(UPPER(TRIM(E2864)),1)="F",UPPER(TRIM(E2864))="A"),"A",IF(OR(LEFT(UPPER(TRIM(E2864)),1)="M",UPPER(TRIM(E2864))="B"),"B",IF(OR(LEFT(UPPER(TRIM(E2864)),2)="SL",UPPER(TRIM(E2864))="C"),"C",IF(OR(LEFT(UPPER(TRIM(E2864)),1)="D",UPPER(TRIM(E2864))="D"),"D","")))))))</f>
        <v/>
      </c>
      <c r="J2864" s="27" t="str">
        <f aca="false">IF(I2864="","",IF(AND(I2864="D",Settings!$B$6&lt;&gt;"Yes"),"",IFERROR(INDEX(Settings!$C$9:$C$12,MATCH(I2864,Settings!$A$9:$A$12,0)),"")))</f>
        <v/>
      </c>
      <c r="K2864" s="27" t="str">
        <f aca="false">IF(J2864="","",COUNTIF($I$2:I2864,I2864))</f>
        <v/>
      </c>
      <c r="L2864" s="27" t="str">
        <f aca="false">IF(J2864="","",CHOOSE(Q2864+1,"Tue","Wed","Thu","Fri"))</f>
        <v/>
      </c>
      <c r="M2864" s="27" t="str">
        <f aca="false">IF(J2864="","",IF(J2864=1,"Every week",R2864+1&amp;" of "&amp;J2864))</f>
        <v/>
      </c>
      <c r="N2864" s="28" t="str">
        <f aca="false">IF(J2864="","",Settings!$B$4+R2864*7+Q2864)</f>
        <v/>
      </c>
      <c r="O2864" s="28" t="str">
        <f aca="true">IF(J2864="","",N2864+MAX(0,ROUNDUP((TODAY()-N2864)/(J2864*7),0))*J2864*7)</f>
        <v/>
      </c>
      <c r="P2864" s="27" t="str">
        <f aca="false">IF(J2864="","",MOD(K2864-1,J2864*4))</f>
        <v/>
      </c>
      <c r="Q2864" s="27" t="str">
        <f aca="false">IF(J2864="","",MOD(P2864,4))</f>
        <v/>
      </c>
      <c r="R2864" s="27" t="str">
        <f aca="false">IF(J2864="","",INT(P2864/4))</f>
        <v/>
      </c>
      <c r="S2864" s="27" t="str">
        <f aca="false">IF(J2864="","",IF(AND('Daily Count Sheet'!$H$3=Q2864,MOD('Daily Count Sheet'!$I$3,J2864)=R2864),1,""))</f>
        <v/>
      </c>
      <c r="T2864" s="27" t="str">
        <f aca="false">IF(S2864=1,COUNTIF($S$2:S2864,1),"")</f>
        <v/>
      </c>
    </row>
    <row r="2865" customFormat="false" ht="15" hidden="false" customHeight="false" outlineLevel="0" collapsed="false">
      <c r="H2865" s="26"/>
      <c r="I2865" s="27" t="str">
        <f aca="false">IF(A2865="","",IF(H2865&lt;&gt;"",UPPER(TRIM(H2865)),IFERROR(CHOOSE(VALUE(E2865)+1,"A","B","C","D"),IF(OR(LEFT(UPPER(TRIM(E2865)),1)="F",UPPER(TRIM(E2865))="A"),"A",IF(OR(LEFT(UPPER(TRIM(E2865)),1)="M",UPPER(TRIM(E2865))="B"),"B",IF(OR(LEFT(UPPER(TRIM(E2865)),2)="SL",UPPER(TRIM(E2865))="C"),"C",IF(OR(LEFT(UPPER(TRIM(E2865)),1)="D",UPPER(TRIM(E2865))="D"),"D","")))))))</f>
        <v/>
      </c>
      <c r="J2865" s="27" t="str">
        <f aca="false">IF(I2865="","",IF(AND(I2865="D",Settings!$B$6&lt;&gt;"Yes"),"",IFERROR(INDEX(Settings!$C$9:$C$12,MATCH(I2865,Settings!$A$9:$A$12,0)),"")))</f>
        <v/>
      </c>
      <c r="K2865" s="27" t="str">
        <f aca="false">IF(J2865="","",COUNTIF($I$2:I2865,I2865))</f>
        <v/>
      </c>
      <c r="L2865" s="27" t="str">
        <f aca="false">IF(J2865="","",CHOOSE(Q2865+1,"Tue","Wed","Thu","Fri"))</f>
        <v/>
      </c>
      <c r="M2865" s="27" t="str">
        <f aca="false">IF(J2865="","",IF(J2865=1,"Every week",R2865+1&amp;" of "&amp;J2865))</f>
        <v/>
      </c>
      <c r="N2865" s="28" t="str">
        <f aca="false">IF(J2865="","",Settings!$B$4+R2865*7+Q2865)</f>
        <v/>
      </c>
      <c r="O2865" s="28" t="str">
        <f aca="true">IF(J2865="","",N2865+MAX(0,ROUNDUP((TODAY()-N2865)/(J2865*7),0))*J2865*7)</f>
        <v/>
      </c>
      <c r="P2865" s="27" t="str">
        <f aca="false">IF(J2865="","",MOD(K2865-1,J2865*4))</f>
        <v/>
      </c>
      <c r="Q2865" s="27" t="str">
        <f aca="false">IF(J2865="","",MOD(P2865,4))</f>
        <v/>
      </c>
      <c r="R2865" s="27" t="str">
        <f aca="false">IF(J2865="","",INT(P2865/4))</f>
        <v/>
      </c>
      <c r="S2865" s="27" t="str">
        <f aca="false">IF(J2865="","",IF(AND('Daily Count Sheet'!$H$3=Q2865,MOD('Daily Count Sheet'!$I$3,J2865)=R2865),1,""))</f>
        <v/>
      </c>
      <c r="T2865" s="27" t="str">
        <f aca="false">IF(S2865=1,COUNTIF($S$2:S2865,1),"")</f>
        <v/>
      </c>
    </row>
    <row r="2866" customFormat="false" ht="15" hidden="false" customHeight="false" outlineLevel="0" collapsed="false">
      <c r="H2866" s="26"/>
      <c r="I2866" s="27" t="str">
        <f aca="false">IF(A2866="","",IF(H2866&lt;&gt;"",UPPER(TRIM(H2866)),IFERROR(CHOOSE(VALUE(E2866)+1,"A","B","C","D"),IF(OR(LEFT(UPPER(TRIM(E2866)),1)="F",UPPER(TRIM(E2866))="A"),"A",IF(OR(LEFT(UPPER(TRIM(E2866)),1)="M",UPPER(TRIM(E2866))="B"),"B",IF(OR(LEFT(UPPER(TRIM(E2866)),2)="SL",UPPER(TRIM(E2866))="C"),"C",IF(OR(LEFT(UPPER(TRIM(E2866)),1)="D",UPPER(TRIM(E2866))="D"),"D","")))))))</f>
        <v/>
      </c>
      <c r="J2866" s="27" t="str">
        <f aca="false">IF(I2866="","",IF(AND(I2866="D",Settings!$B$6&lt;&gt;"Yes"),"",IFERROR(INDEX(Settings!$C$9:$C$12,MATCH(I2866,Settings!$A$9:$A$12,0)),"")))</f>
        <v/>
      </c>
      <c r="K2866" s="27" t="str">
        <f aca="false">IF(J2866="","",COUNTIF($I$2:I2866,I2866))</f>
        <v/>
      </c>
      <c r="L2866" s="27" t="str">
        <f aca="false">IF(J2866="","",CHOOSE(Q2866+1,"Tue","Wed","Thu","Fri"))</f>
        <v/>
      </c>
      <c r="M2866" s="27" t="str">
        <f aca="false">IF(J2866="","",IF(J2866=1,"Every week",R2866+1&amp;" of "&amp;J2866))</f>
        <v/>
      </c>
      <c r="N2866" s="28" t="str">
        <f aca="false">IF(J2866="","",Settings!$B$4+R2866*7+Q2866)</f>
        <v/>
      </c>
      <c r="O2866" s="28" t="str">
        <f aca="true">IF(J2866="","",N2866+MAX(0,ROUNDUP((TODAY()-N2866)/(J2866*7),0))*J2866*7)</f>
        <v/>
      </c>
      <c r="P2866" s="27" t="str">
        <f aca="false">IF(J2866="","",MOD(K2866-1,J2866*4))</f>
        <v/>
      </c>
      <c r="Q2866" s="27" t="str">
        <f aca="false">IF(J2866="","",MOD(P2866,4))</f>
        <v/>
      </c>
      <c r="R2866" s="27" t="str">
        <f aca="false">IF(J2866="","",INT(P2866/4))</f>
        <v/>
      </c>
      <c r="S2866" s="27" t="str">
        <f aca="false">IF(J2866="","",IF(AND('Daily Count Sheet'!$H$3=Q2866,MOD('Daily Count Sheet'!$I$3,J2866)=R2866),1,""))</f>
        <v/>
      </c>
      <c r="T2866" s="27" t="str">
        <f aca="false">IF(S2866=1,COUNTIF($S$2:S2866,1),"")</f>
        <v/>
      </c>
    </row>
    <row r="2867" customFormat="false" ht="15" hidden="false" customHeight="false" outlineLevel="0" collapsed="false">
      <c r="H2867" s="26"/>
      <c r="I2867" s="27" t="str">
        <f aca="false">IF(A2867="","",IF(H2867&lt;&gt;"",UPPER(TRIM(H2867)),IFERROR(CHOOSE(VALUE(E2867)+1,"A","B","C","D"),IF(OR(LEFT(UPPER(TRIM(E2867)),1)="F",UPPER(TRIM(E2867))="A"),"A",IF(OR(LEFT(UPPER(TRIM(E2867)),1)="M",UPPER(TRIM(E2867))="B"),"B",IF(OR(LEFT(UPPER(TRIM(E2867)),2)="SL",UPPER(TRIM(E2867))="C"),"C",IF(OR(LEFT(UPPER(TRIM(E2867)),1)="D",UPPER(TRIM(E2867))="D"),"D","")))))))</f>
        <v/>
      </c>
      <c r="J2867" s="27" t="str">
        <f aca="false">IF(I2867="","",IF(AND(I2867="D",Settings!$B$6&lt;&gt;"Yes"),"",IFERROR(INDEX(Settings!$C$9:$C$12,MATCH(I2867,Settings!$A$9:$A$12,0)),"")))</f>
        <v/>
      </c>
      <c r="K2867" s="27" t="str">
        <f aca="false">IF(J2867="","",COUNTIF($I$2:I2867,I2867))</f>
        <v/>
      </c>
      <c r="L2867" s="27" t="str">
        <f aca="false">IF(J2867="","",CHOOSE(Q2867+1,"Tue","Wed","Thu","Fri"))</f>
        <v/>
      </c>
      <c r="M2867" s="27" t="str">
        <f aca="false">IF(J2867="","",IF(J2867=1,"Every week",R2867+1&amp;" of "&amp;J2867))</f>
        <v/>
      </c>
      <c r="N2867" s="28" t="str">
        <f aca="false">IF(J2867="","",Settings!$B$4+R2867*7+Q2867)</f>
        <v/>
      </c>
      <c r="O2867" s="28" t="str">
        <f aca="true">IF(J2867="","",N2867+MAX(0,ROUNDUP((TODAY()-N2867)/(J2867*7),0))*J2867*7)</f>
        <v/>
      </c>
      <c r="P2867" s="27" t="str">
        <f aca="false">IF(J2867="","",MOD(K2867-1,J2867*4))</f>
        <v/>
      </c>
      <c r="Q2867" s="27" t="str">
        <f aca="false">IF(J2867="","",MOD(P2867,4))</f>
        <v/>
      </c>
      <c r="R2867" s="27" t="str">
        <f aca="false">IF(J2867="","",INT(P2867/4))</f>
        <v/>
      </c>
      <c r="S2867" s="27" t="str">
        <f aca="false">IF(J2867="","",IF(AND('Daily Count Sheet'!$H$3=Q2867,MOD('Daily Count Sheet'!$I$3,J2867)=R2867),1,""))</f>
        <v/>
      </c>
      <c r="T2867" s="27" t="str">
        <f aca="false">IF(S2867=1,COUNTIF($S$2:S2867,1),"")</f>
        <v/>
      </c>
    </row>
    <row r="2868" customFormat="false" ht="15" hidden="false" customHeight="false" outlineLevel="0" collapsed="false">
      <c r="H2868" s="26"/>
      <c r="I2868" s="27" t="str">
        <f aca="false">IF(A2868="","",IF(H2868&lt;&gt;"",UPPER(TRIM(H2868)),IFERROR(CHOOSE(VALUE(E2868)+1,"A","B","C","D"),IF(OR(LEFT(UPPER(TRIM(E2868)),1)="F",UPPER(TRIM(E2868))="A"),"A",IF(OR(LEFT(UPPER(TRIM(E2868)),1)="M",UPPER(TRIM(E2868))="B"),"B",IF(OR(LEFT(UPPER(TRIM(E2868)),2)="SL",UPPER(TRIM(E2868))="C"),"C",IF(OR(LEFT(UPPER(TRIM(E2868)),1)="D",UPPER(TRIM(E2868))="D"),"D","")))))))</f>
        <v/>
      </c>
      <c r="J2868" s="27" t="str">
        <f aca="false">IF(I2868="","",IF(AND(I2868="D",Settings!$B$6&lt;&gt;"Yes"),"",IFERROR(INDEX(Settings!$C$9:$C$12,MATCH(I2868,Settings!$A$9:$A$12,0)),"")))</f>
        <v/>
      </c>
      <c r="K2868" s="27" t="str">
        <f aca="false">IF(J2868="","",COUNTIF($I$2:I2868,I2868))</f>
        <v/>
      </c>
      <c r="L2868" s="27" t="str">
        <f aca="false">IF(J2868="","",CHOOSE(Q2868+1,"Tue","Wed","Thu","Fri"))</f>
        <v/>
      </c>
      <c r="M2868" s="27" t="str">
        <f aca="false">IF(J2868="","",IF(J2868=1,"Every week",R2868+1&amp;" of "&amp;J2868))</f>
        <v/>
      </c>
      <c r="N2868" s="28" t="str">
        <f aca="false">IF(J2868="","",Settings!$B$4+R2868*7+Q2868)</f>
        <v/>
      </c>
      <c r="O2868" s="28" t="str">
        <f aca="true">IF(J2868="","",N2868+MAX(0,ROUNDUP((TODAY()-N2868)/(J2868*7),0))*J2868*7)</f>
        <v/>
      </c>
      <c r="P2868" s="27" t="str">
        <f aca="false">IF(J2868="","",MOD(K2868-1,J2868*4))</f>
        <v/>
      </c>
      <c r="Q2868" s="27" t="str">
        <f aca="false">IF(J2868="","",MOD(P2868,4))</f>
        <v/>
      </c>
      <c r="R2868" s="27" t="str">
        <f aca="false">IF(J2868="","",INT(P2868/4))</f>
        <v/>
      </c>
      <c r="S2868" s="27" t="str">
        <f aca="false">IF(J2868="","",IF(AND('Daily Count Sheet'!$H$3=Q2868,MOD('Daily Count Sheet'!$I$3,J2868)=R2868),1,""))</f>
        <v/>
      </c>
      <c r="T2868" s="27" t="str">
        <f aca="false">IF(S2868=1,COUNTIF($S$2:S2868,1),"")</f>
        <v/>
      </c>
    </row>
    <row r="2869" customFormat="false" ht="15" hidden="false" customHeight="false" outlineLevel="0" collapsed="false">
      <c r="H2869" s="26"/>
      <c r="I2869" s="27" t="str">
        <f aca="false">IF(A2869="","",IF(H2869&lt;&gt;"",UPPER(TRIM(H2869)),IFERROR(CHOOSE(VALUE(E2869)+1,"A","B","C","D"),IF(OR(LEFT(UPPER(TRIM(E2869)),1)="F",UPPER(TRIM(E2869))="A"),"A",IF(OR(LEFT(UPPER(TRIM(E2869)),1)="M",UPPER(TRIM(E2869))="B"),"B",IF(OR(LEFT(UPPER(TRIM(E2869)),2)="SL",UPPER(TRIM(E2869))="C"),"C",IF(OR(LEFT(UPPER(TRIM(E2869)),1)="D",UPPER(TRIM(E2869))="D"),"D","")))))))</f>
        <v/>
      </c>
      <c r="J2869" s="27" t="str">
        <f aca="false">IF(I2869="","",IF(AND(I2869="D",Settings!$B$6&lt;&gt;"Yes"),"",IFERROR(INDEX(Settings!$C$9:$C$12,MATCH(I2869,Settings!$A$9:$A$12,0)),"")))</f>
        <v/>
      </c>
      <c r="K2869" s="27" t="str">
        <f aca="false">IF(J2869="","",COUNTIF($I$2:I2869,I2869))</f>
        <v/>
      </c>
      <c r="L2869" s="27" t="str">
        <f aca="false">IF(J2869="","",CHOOSE(Q2869+1,"Tue","Wed","Thu","Fri"))</f>
        <v/>
      </c>
      <c r="M2869" s="27" t="str">
        <f aca="false">IF(J2869="","",IF(J2869=1,"Every week",R2869+1&amp;" of "&amp;J2869))</f>
        <v/>
      </c>
      <c r="N2869" s="28" t="str">
        <f aca="false">IF(J2869="","",Settings!$B$4+R2869*7+Q2869)</f>
        <v/>
      </c>
      <c r="O2869" s="28" t="str">
        <f aca="true">IF(J2869="","",N2869+MAX(0,ROUNDUP((TODAY()-N2869)/(J2869*7),0))*J2869*7)</f>
        <v/>
      </c>
      <c r="P2869" s="27" t="str">
        <f aca="false">IF(J2869="","",MOD(K2869-1,J2869*4))</f>
        <v/>
      </c>
      <c r="Q2869" s="27" t="str">
        <f aca="false">IF(J2869="","",MOD(P2869,4))</f>
        <v/>
      </c>
      <c r="R2869" s="27" t="str">
        <f aca="false">IF(J2869="","",INT(P2869/4))</f>
        <v/>
      </c>
      <c r="S2869" s="27" t="str">
        <f aca="false">IF(J2869="","",IF(AND('Daily Count Sheet'!$H$3=Q2869,MOD('Daily Count Sheet'!$I$3,J2869)=R2869),1,""))</f>
        <v/>
      </c>
      <c r="T2869" s="27" t="str">
        <f aca="false">IF(S2869=1,COUNTIF($S$2:S2869,1),"")</f>
        <v/>
      </c>
    </row>
    <row r="2870" customFormat="false" ht="15" hidden="false" customHeight="false" outlineLevel="0" collapsed="false">
      <c r="H2870" s="26"/>
      <c r="I2870" s="27" t="str">
        <f aca="false">IF(A2870="","",IF(H2870&lt;&gt;"",UPPER(TRIM(H2870)),IFERROR(CHOOSE(VALUE(E2870)+1,"A","B","C","D"),IF(OR(LEFT(UPPER(TRIM(E2870)),1)="F",UPPER(TRIM(E2870))="A"),"A",IF(OR(LEFT(UPPER(TRIM(E2870)),1)="M",UPPER(TRIM(E2870))="B"),"B",IF(OR(LEFT(UPPER(TRIM(E2870)),2)="SL",UPPER(TRIM(E2870))="C"),"C",IF(OR(LEFT(UPPER(TRIM(E2870)),1)="D",UPPER(TRIM(E2870))="D"),"D","")))))))</f>
        <v/>
      </c>
      <c r="J2870" s="27" t="str">
        <f aca="false">IF(I2870="","",IF(AND(I2870="D",Settings!$B$6&lt;&gt;"Yes"),"",IFERROR(INDEX(Settings!$C$9:$C$12,MATCH(I2870,Settings!$A$9:$A$12,0)),"")))</f>
        <v/>
      </c>
      <c r="K2870" s="27" t="str">
        <f aca="false">IF(J2870="","",COUNTIF($I$2:I2870,I2870))</f>
        <v/>
      </c>
      <c r="L2870" s="27" t="str">
        <f aca="false">IF(J2870="","",CHOOSE(Q2870+1,"Tue","Wed","Thu","Fri"))</f>
        <v/>
      </c>
      <c r="M2870" s="27" t="str">
        <f aca="false">IF(J2870="","",IF(J2870=1,"Every week",R2870+1&amp;" of "&amp;J2870))</f>
        <v/>
      </c>
      <c r="N2870" s="28" t="str">
        <f aca="false">IF(J2870="","",Settings!$B$4+R2870*7+Q2870)</f>
        <v/>
      </c>
      <c r="O2870" s="28" t="str">
        <f aca="true">IF(J2870="","",N2870+MAX(0,ROUNDUP((TODAY()-N2870)/(J2870*7),0))*J2870*7)</f>
        <v/>
      </c>
      <c r="P2870" s="27" t="str">
        <f aca="false">IF(J2870="","",MOD(K2870-1,J2870*4))</f>
        <v/>
      </c>
      <c r="Q2870" s="27" t="str">
        <f aca="false">IF(J2870="","",MOD(P2870,4))</f>
        <v/>
      </c>
      <c r="R2870" s="27" t="str">
        <f aca="false">IF(J2870="","",INT(P2870/4))</f>
        <v/>
      </c>
      <c r="S2870" s="27" t="str">
        <f aca="false">IF(J2870="","",IF(AND('Daily Count Sheet'!$H$3=Q2870,MOD('Daily Count Sheet'!$I$3,J2870)=R2870),1,""))</f>
        <v/>
      </c>
      <c r="T2870" s="27" t="str">
        <f aca="false">IF(S2870=1,COUNTIF($S$2:S2870,1),"")</f>
        <v/>
      </c>
    </row>
    <row r="2871" customFormat="false" ht="15" hidden="false" customHeight="false" outlineLevel="0" collapsed="false">
      <c r="H2871" s="26"/>
      <c r="I2871" s="27" t="str">
        <f aca="false">IF(A2871="","",IF(H2871&lt;&gt;"",UPPER(TRIM(H2871)),IFERROR(CHOOSE(VALUE(E2871)+1,"A","B","C","D"),IF(OR(LEFT(UPPER(TRIM(E2871)),1)="F",UPPER(TRIM(E2871))="A"),"A",IF(OR(LEFT(UPPER(TRIM(E2871)),1)="M",UPPER(TRIM(E2871))="B"),"B",IF(OR(LEFT(UPPER(TRIM(E2871)),2)="SL",UPPER(TRIM(E2871))="C"),"C",IF(OR(LEFT(UPPER(TRIM(E2871)),1)="D",UPPER(TRIM(E2871))="D"),"D","")))))))</f>
        <v/>
      </c>
      <c r="J2871" s="27" t="str">
        <f aca="false">IF(I2871="","",IF(AND(I2871="D",Settings!$B$6&lt;&gt;"Yes"),"",IFERROR(INDEX(Settings!$C$9:$C$12,MATCH(I2871,Settings!$A$9:$A$12,0)),"")))</f>
        <v/>
      </c>
      <c r="K2871" s="27" t="str">
        <f aca="false">IF(J2871="","",COUNTIF($I$2:I2871,I2871))</f>
        <v/>
      </c>
      <c r="L2871" s="27" t="str">
        <f aca="false">IF(J2871="","",CHOOSE(Q2871+1,"Tue","Wed","Thu","Fri"))</f>
        <v/>
      </c>
      <c r="M2871" s="27" t="str">
        <f aca="false">IF(J2871="","",IF(J2871=1,"Every week",R2871+1&amp;" of "&amp;J2871))</f>
        <v/>
      </c>
      <c r="N2871" s="28" t="str">
        <f aca="false">IF(J2871="","",Settings!$B$4+R2871*7+Q2871)</f>
        <v/>
      </c>
      <c r="O2871" s="28" t="str">
        <f aca="true">IF(J2871="","",N2871+MAX(0,ROUNDUP((TODAY()-N2871)/(J2871*7),0))*J2871*7)</f>
        <v/>
      </c>
      <c r="P2871" s="27" t="str">
        <f aca="false">IF(J2871="","",MOD(K2871-1,J2871*4))</f>
        <v/>
      </c>
      <c r="Q2871" s="27" t="str">
        <f aca="false">IF(J2871="","",MOD(P2871,4))</f>
        <v/>
      </c>
      <c r="R2871" s="27" t="str">
        <f aca="false">IF(J2871="","",INT(P2871/4))</f>
        <v/>
      </c>
      <c r="S2871" s="27" t="str">
        <f aca="false">IF(J2871="","",IF(AND('Daily Count Sheet'!$H$3=Q2871,MOD('Daily Count Sheet'!$I$3,J2871)=R2871),1,""))</f>
        <v/>
      </c>
      <c r="T2871" s="27" t="str">
        <f aca="false">IF(S2871=1,COUNTIF($S$2:S2871,1),"")</f>
        <v/>
      </c>
    </row>
    <row r="2872" customFormat="false" ht="15" hidden="false" customHeight="false" outlineLevel="0" collapsed="false">
      <c r="H2872" s="26"/>
      <c r="I2872" s="27" t="str">
        <f aca="false">IF(A2872="","",IF(H2872&lt;&gt;"",UPPER(TRIM(H2872)),IFERROR(CHOOSE(VALUE(E2872)+1,"A","B","C","D"),IF(OR(LEFT(UPPER(TRIM(E2872)),1)="F",UPPER(TRIM(E2872))="A"),"A",IF(OR(LEFT(UPPER(TRIM(E2872)),1)="M",UPPER(TRIM(E2872))="B"),"B",IF(OR(LEFT(UPPER(TRIM(E2872)),2)="SL",UPPER(TRIM(E2872))="C"),"C",IF(OR(LEFT(UPPER(TRIM(E2872)),1)="D",UPPER(TRIM(E2872))="D"),"D","")))))))</f>
        <v/>
      </c>
      <c r="J2872" s="27" t="str">
        <f aca="false">IF(I2872="","",IF(AND(I2872="D",Settings!$B$6&lt;&gt;"Yes"),"",IFERROR(INDEX(Settings!$C$9:$C$12,MATCH(I2872,Settings!$A$9:$A$12,0)),"")))</f>
        <v/>
      </c>
      <c r="K2872" s="27" t="str">
        <f aca="false">IF(J2872="","",COUNTIF($I$2:I2872,I2872))</f>
        <v/>
      </c>
      <c r="L2872" s="27" t="str">
        <f aca="false">IF(J2872="","",CHOOSE(Q2872+1,"Tue","Wed","Thu","Fri"))</f>
        <v/>
      </c>
      <c r="M2872" s="27" t="str">
        <f aca="false">IF(J2872="","",IF(J2872=1,"Every week",R2872+1&amp;" of "&amp;J2872))</f>
        <v/>
      </c>
      <c r="N2872" s="28" t="str">
        <f aca="false">IF(J2872="","",Settings!$B$4+R2872*7+Q2872)</f>
        <v/>
      </c>
      <c r="O2872" s="28" t="str">
        <f aca="true">IF(J2872="","",N2872+MAX(0,ROUNDUP((TODAY()-N2872)/(J2872*7),0))*J2872*7)</f>
        <v/>
      </c>
      <c r="P2872" s="27" t="str">
        <f aca="false">IF(J2872="","",MOD(K2872-1,J2872*4))</f>
        <v/>
      </c>
      <c r="Q2872" s="27" t="str">
        <f aca="false">IF(J2872="","",MOD(P2872,4))</f>
        <v/>
      </c>
      <c r="R2872" s="27" t="str">
        <f aca="false">IF(J2872="","",INT(P2872/4))</f>
        <v/>
      </c>
      <c r="S2872" s="27" t="str">
        <f aca="false">IF(J2872="","",IF(AND('Daily Count Sheet'!$H$3=Q2872,MOD('Daily Count Sheet'!$I$3,J2872)=R2872),1,""))</f>
        <v/>
      </c>
      <c r="T2872" s="27" t="str">
        <f aca="false">IF(S2872=1,COUNTIF($S$2:S2872,1),"")</f>
        <v/>
      </c>
    </row>
    <row r="2873" customFormat="false" ht="15" hidden="false" customHeight="false" outlineLevel="0" collapsed="false">
      <c r="H2873" s="26"/>
      <c r="I2873" s="27" t="str">
        <f aca="false">IF(A2873="","",IF(H2873&lt;&gt;"",UPPER(TRIM(H2873)),IFERROR(CHOOSE(VALUE(E2873)+1,"A","B","C","D"),IF(OR(LEFT(UPPER(TRIM(E2873)),1)="F",UPPER(TRIM(E2873))="A"),"A",IF(OR(LEFT(UPPER(TRIM(E2873)),1)="M",UPPER(TRIM(E2873))="B"),"B",IF(OR(LEFT(UPPER(TRIM(E2873)),2)="SL",UPPER(TRIM(E2873))="C"),"C",IF(OR(LEFT(UPPER(TRIM(E2873)),1)="D",UPPER(TRIM(E2873))="D"),"D","")))))))</f>
        <v/>
      </c>
      <c r="J2873" s="27" t="str">
        <f aca="false">IF(I2873="","",IF(AND(I2873="D",Settings!$B$6&lt;&gt;"Yes"),"",IFERROR(INDEX(Settings!$C$9:$C$12,MATCH(I2873,Settings!$A$9:$A$12,0)),"")))</f>
        <v/>
      </c>
      <c r="K2873" s="27" t="str">
        <f aca="false">IF(J2873="","",COUNTIF($I$2:I2873,I2873))</f>
        <v/>
      </c>
      <c r="L2873" s="27" t="str">
        <f aca="false">IF(J2873="","",CHOOSE(Q2873+1,"Tue","Wed","Thu","Fri"))</f>
        <v/>
      </c>
      <c r="M2873" s="27" t="str">
        <f aca="false">IF(J2873="","",IF(J2873=1,"Every week",R2873+1&amp;" of "&amp;J2873))</f>
        <v/>
      </c>
      <c r="N2873" s="28" t="str">
        <f aca="false">IF(J2873="","",Settings!$B$4+R2873*7+Q2873)</f>
        <v/>
      </c>
      <c r="O2873" s="28" t="str">
        <f aca="true">IF(J2873="","",N2873+MAX(0,ROUNDUP((TODAY()-N2873)/(J2873*7),0))*J2873*7)</f>
        <v/>
      </c>
      <c r="P2873" s="27" t="str">
        <f aca="false">IF(J2873="","",MOD(K2873-1,J2873*4))</f>
        <v/>
      </c>
      <c r="Q2873" s="27" t="str">
        <f aca="false">IF(J2873="","",MOD(P2873,4))</f>
        <v/>
      </c>
      <c r="R2873" s="27" t="str">
        <f aca="false">IF(J2873="","",INT(P2873/4))</f>
        <v/>
      </c>
      <c r="S2873" s="27" t="str">
        <f aca="false">IF(J2873="","",IF(AND('Daily Count Sheet'!$H$3=Q2873,MOD('Daily Count Sheet'!$I$3,J2873)=R2873),1,""))</f>
        <v/>
      </c>
      <c r="T2873" s="27" t="str">
        <f aca="false">IF(S2873=1,COUNTIF($S$2:S2873,1),"")</f>
        <v/>
      </c>
    </row>
    <row r="2874" customFormat="false" ht="15" hidden="false" customHeight="false" outlineLevel="0" collapsed="false">
      <c r="H2874" s="26"/>
      <c r="I2874" s="27" t="str">
        <f aca="false">IF(A2874="","",IF(H2874&lt;&gt;"",UPPER(TRIM(H2874)),IFERROR(CHOOSE(VALUE(E2874)+1,"A","B","C","D"),IF(OR(LEFT(UPPER(TRIM(E2874)),1)="F",UPPER(TRIM(E2874))="A"),"A",IF(OR(LEFT(UPPER(TRIM(E2874)),1)="M",UPPER(TRIM(E2874))="B"),"B",IF(OR(LEFT(UPPER(TRIM(E2874)),2)="SL",UPPER(TRIM(E2874))="C"),"C",IF(OR(LEFT(UPPER(TRIM(E2874)),1)="D",UPPER(TRIM(E2874))="D"),"D","")))))))</f>
        <v/>
      </c>
      <c r="J2874" s="27" t="str">
        <f aca="false">IF(I2874="","",IF(AND(I2874="D",Settings!$B$6&lt;&gt;"Yes"),"",IFERROR(INDEX(Settings!$C$9:$C$12,MATCH(I2874,Settings!$A$9:$A$12,0)),"")))</f>
        <v/>
      </c>
      <c r="K2874" s="27" t="str">
        <f aca="false">IF(J2874="","",COUNTIF($I$2:I2874,I2874))</f>
        <v/>
      </c>
      <c r="L2874" s="27" t="str">
        <f aca="false">IF(J2874="","",CHOOSE(Q2874+1,"Tue","Wed","Thu","Fri"))</f>
        <v/>
      </c>
      <c r="M2874" s="27" t="str">
        <f aca="false">IF(J2874="","",IF(J2874=1,"Every week",R2874+1&amp;" of "&amp;J2874))</f>
        <v/>
      </c>
      <c r="N2874" s="28" t="str">
        <f aca="false">IF(J2874="","",Settings!$B$4+R2874*7+Q2874)</f>
        <v/>
      </c>
      <c r="O2874" s="28" t="str">
        <f aca="true">IF(J2874="","",N2874+MAX(0,ROUNDUP((TODAY()-N2874)/(J2874*7),0))*J2874*7)</f>
        <v/>
      </c>
      <c r="P2874" s="27" t="str">
        <f aca="false">IF(J2874="","",MOD(K2874-1,J2874*4))</f>
        <v/>
      </c>
      <c r="Q2874" s="27" t="str">
        <f aca="false">IF(J2874="","",MOD(P2874,4))</f>
        <v/>
      </c>
      <c r="R2874" s="27" t="str">
        <f aca="false">IF(J2874="","",INT(P2874/4))</f>
        <v/>
      </c>
      <c r="S2874" s="27" t="str">
        <f aca="false">IF(J2874="","",IF(AND('Daily Count Sheet'!$H$3=Q2874,MOD('Daily Count Sheet'!$I$3,J2874)=R2874),1,""))</f>
        <v/>
      </c>
      <c r="T2874" s="27" t="str">
        <f aca="false">IF(S2874=1,COUNTIF($S$2:S2874,1),"")</f>
        <v/>
      </c>
    </row>
    <row r="2875" customFormat="false" ht="15" hidden="false" customHeight="false" outlineLevel="0" collapsed="false">
      <c r="H2875" s="26"/>
      <c r="I2875" s="27" t="str">
        <f aca="false">IF(A2875="","",IF(H2875&lt;&gt;"",UPPER(TRIM(H2875)),IFERROR(CHOOSE(VALUE(E2875)+1,"A","B","C","D"),IF(OR(LEFT(UPPER(TRIM(E2875)),1)="F",UPPER(TRIM(E2875))="A"),"A",IF(OR(LEFT(UPPER(TRIM(E2875)),1)="M",UPPER(TRIM(E2875))="B"),"B",IF(OR(LEFT(UPPER(TRIM(E2875)),2)="SL",UPPER(TRIM(E2875))="C"),"C",IF(OR(LEFT(UPPER(TRIM(E2875)),1)="D",UPPER(TRIM(E2875))="D"),"D","")))))))</f>
        <v/>
      </c>
      <c r="J2875" s="27" t="str">
        <f aca="false">IF(I2875="","",IF(AND(I2875="D",Settings!$B$6&lt;&gt;"Yes"),"",IFERROR(INDEX(Settings!$C$9:$C$12,MATCH(I2875,Settings!$A$9:$A$12,0)),"")))</f>
        <v/>
      </c>
      <c r="K2875" s="27" t="str">
        <f aca="false">IF(J2875="","",COUNTIF($I$2:I2875,I2875))</f>
        <v/>
      </c>
      <c r="L2875" s="27" t="str">
        <f aca="false">IF(J2875="","",CHOOSE(Q2875+1,"Tue","Wed","Thu","Fri"))</f>
        <v/>
      </c>
      <c r="M2875" s="27" t="str">
        <f aca="false">IF(J2875="","",IF(J2875=1,"Every week",R2875+1&amp;" of "&amp;J2875))</f>
        <v/>
      </c>
      <c r="N2875" s="28" t="str">
        <f aca="false">IF(J2875="","",Settings!$B$4+R2875*7+Q2875)</f>
        <v/>
      </c>
      <c r="O2875" s="28" t="str">
        <f aca="true">IF(J2875="","",N2875+MAX(0,ROUNDUP((TODAY()-N2875)/(J2875*7),0))*J2875*7)</f>
        <v/>
      </c>
      <c r="P2875" s="27" t="str">
        <f aca="false">IF(J2875="","",MOD(K2875-1,J2875*4))</f>
        <v/>
      </c>
      <c r="Q2875" s="27" t="str">
        <f aca="false">IF(J2875="","",MOD(P2875,4))</f>
        <v/>
      </c>
      <c r="R2875" s="27" t="str">
        <f aca="false">IF(J2875="","",INT(P2875/4))</f>
        <v/>
      </c>
      <c r="S2875" s="27" t="str">
        <f aca="false">IF(J2875="","",IF(AND('Daily Count Sheet'!$H$3=Q2875,MOD('Daily Count Sheet'!$I$3,J2875)=R2875),1,""))</f>
        <v/>
      </c>
      <c r="T2875" s="27" t="str">
        <f aca="false">IF(S2875=1,COUNTIF($S$2:S2875,1),"")</f>
        <v/>
      </c>
    </row>
    <row r="2876" customFormat="false" ht="15" hidden="false" customHeight="false" outlineLevel="0" collapsed="false">
      <c r="H2876" s="26"/>
      <c r="I2876" s="27" t="str">
        <f aca="false">IF(A2876="","",IF(H2876&lt;&gt;"",UPPER(TRIM(H2876)),IFERROR(CHOOSE(VALUE(E2876)+1,"A","B","C","D"),IF(OR(LEFT(UPPER(TRIM(E2876)),1)="F",UPPER(TRIM(E2876))="A"),"A",IF(OR(LEFT(UPPER(TRIM(E2876)),1)="M",UPPER(TRIM(E2876))="B"),"B",IF(OR(LEFT(UPPER(TRIM(E2876)),2)="SL",UPPER(TRIM(E2876))="C"),"C",IF(OR(LEFT(UPPER(TRIM(E2876)),1)="D",UPPER(TRIM(E2876))="D"),"D","")))))))</f>
        <v/>
      </c>
      <c r="J2876" s="27" t="str">
        <f aca="false">IF(I2876="","",IF(AND(I2876="D",Settings!$B$6&lt;&gt;"Yes"),"",IFERROR(INDEX(Settings!$C$9:$C$12,MATCH(I2876,Settings!$A$9:$A$12,0)),"")))</f>
        <v/>
      </c>
      <c r="K2876" s="27" t="str">
        <f aca="false">IF(J2876="","",COUNTIF($I$2:I2876,I2876))</f>
        <v/>
      </c>
      <c r="L2876" s="27" t="str">
        <f aca="false">IF(J2876="","",CHOOSE(Q2876+1,"Tue","Wed","Thu","Fri"))</f>
        <v/>
      </c>
      <c r="M2876" s="27" t="str">
        <f aca="false">IF(J2876="","",IF(J2876=1,"Every week",R2876+1&amp;" of "&amp;J2876))</f>
        <v/>
      </c>
      <c r="N2876" s="28" t="str">
        <f aca="false">IF(J2876="","",Settings!$B$4+R2876*7+Q2876)</f>
        <v/>
      </c>
      <c r="O2876" s="28" t="str">
        <f aca="true">IF(J2876="","",N2876+MAX(0,ROUNDUP((TODAY()-N2876)/(J2876*7),0))*J2876*7)</f>
        <v/>
      </c>
      <c r="P2876" s="27" t="str">
        <f aca="false">IF(J2876="","",MOD(K2876-1,J2876*4))</f>
        <v/>
      </c>
      <c r="Q2876" s="27" t="str">
        <f aca="false">IF(J2876="","",MOD(P2876,4))</f>
        <v/>
      </c>
      <c r="R2876" s="27" t="str">
        <f aca="false">IF(J2876="","",INT(P2876/4))</f>
        <v/>
      </c>
      <c r="S2876" s="27" t="str">
        <f aca="false">IF(J2876="","",IF(AND('Daily Count Sheet'!$H$3=Q2876,MOD('Daily Count Sheet'!$I$3,J2876)=R2876),1,""))</f>
        <v/>
      </c>
      <c r="T2876" s="27" t="str">
        <f aca="false">IF(S2876=1,COUNTIF($S$2:S2876,1),"")</f>
        <v/>
      </c>
    </row>
    <row r="2877" customFormat="false" ht="15" hidden="false" customHeight="false" outlineLevel="0" collapsed="false">
      <c r="H2877" s="26"/>
      <c r="I2877" s="27" t="str">
        <f aca="false">IF(A2877="","",IF(H2877&lt;&gt;"",UPPER(TRIM(H2877)),IFERROR(CHOOSE(VALUE(E2877)+1,"A","B","C","D"),IF(OR(LEFT(UPPER(TRIM(E2877)),1)="F",UPPER(TRIM(E2877))="A"),"A",IF(OR(LEFT(UPPER(TRIM(E2877)),1)="M",UPPER(TRIM(E2877))="B"),"B",IF(OR(LEFT(UPPER(TRIM(E2877)),2)="SL",UPPER(TRIM(E2877))="C"),"C",IF(OR(LEFT(UPPER(TRIM(E2877)),1)="D",UPPER(TRIM(E2877))="D"),"D","")))))))</f>
        <v/>
      </c>
      <c r="J2877" s="27" t="str">
        <f aca="false">IF(I2877="","",IF(AND(I2877="D",Settings!$B$6&lt;&gt;"Yes"),"",IFERROR(INDEX(Settings!$C$9:$C$12,MATCH(I2877,Settings!$A$9:$A$12,0)),"")))</f>
        <v/>
      </c>
      <c r="K2877" s="27" t="str">
        <f aca="false">IF(J2877="","",COUNTIF($I$2:I2877,I2877))</f>
        <v/>
      </c>
      <c r="L2877" s="27" t="str">
        <f aca="false">IF(J2877="","",CHOOSE(Q2877+1,"Tue","Wed","Thu","Fri"))</f>
        <v/>
      </c>
      <c r="M2877" s="27" t="str">
        <f aca="false">IF(J2877="","",IF(J2877=1,"Every week",R2877+1&amp;" of "&amp;J2877))</f>
        <v/>
      </c>
      <c r="N2877" s="28" t="str">
        <f aca="false">IF(J2877="","",Settings!$B$4+R2877*7+Q2877)</f>
        <v/>
      </c>
      <c r="O2877" s="28" t="str">
        <f aca="true">IF(J2877="","",N2877+MAX(0,ROUNDUP((TODAY()-N2877)/(J2877*7),0))*J2877*7)</f>
        <v/>
      </c>
      <c r="P2877" s="27" t="str">
        <f aca="false">IF(J2877="","",MOD(K2877-1,J2877*4))</f>
        <v/>
      </c>
      <c r="Q2877" s="27" t="str">
        <f aca="false">IF(J2877="","",MOD(P2877,4))</f>
        <v/>
      </c>
      <c r="R2877" s="27" t="str">
        <f aca="false">IF(J2877="","",INT(P2877/4))</f>
        <v/>
      </c>
      <c r="S2877" s="27" t="str">
        <f aca="false">IF(J2877="","",IF(AND('Daily Count Sheet'!$H$3=Q2877,MOD('Daily Count Sheet'!$I$3,J2877)=R2877),1,""))</f>
        <v/>
      </c>
      <c r="T2877" s="27" t="str">
        <f aca="false">IF(S2877=1,COUNTIF($S$2:S2877,1),"")</f>
        <v/>
      </c>
    </row>
    <row r="2878" customFormat="false" ht="15" hidden="false" customHeight="false" outlineLevel="0" collapsed="false">
      <c r="H2878" s="26"/>
      <c r="I2878" s="27" t="str">
        <f aca="false">IF(A2878="","",IF(H2878&lt;&gt;"",UPPER(TRIM(H2878)),IFERROR(CHOOSE(VALUE(E2878)+1,"A","B","C","D"),IF(OR(LEFT(UPPER(TRIM(E2878)),1)="F",UPPER(TRIM(E2878))="A"),"A",IF(OR(LEFT(UPPER(TRIM(E2878)),1)="M",UPPER(TRIM(E2878))="B"),"B",IF(OR(LEFT(UPPER(TRIM(E2878)),2)="SL",UPPER(TRIM(E2878))="C"),"C",IF(OR(LEFT(UPPER(TRIM(E2878)),1)="D",UPPER(TRIM(E2878))="D"),"D","")))))))</f>
        <v/>
      </c>
      <c r="J2878" s="27" t="str">
        <f aca="false">IF(I2878="","",IF(AND(I2878="D",Settings!$B$6&lt;&gt;"Yes"),"",IFERROR(INDEX(Settings!$C$9:$C$12,MATCH(I2878,Settings!$A$9:$A$12,0)),"")))</f>
        <v/>
      </c>
      <c r="K2878" s="27" t="str">
        <f aca="false">IF(J2878="","",COUNTIF($I$2:I2878,I2878))</f>
        <v/>
      </c>
      <c r="L2878" s="27" t="str">
        <f aca="false">IF(J2878="","",CHOOSE(Q2878+1,"Tue","Wed","Thu","Fri"))</f>
        <v/>
      </c>
      <c r="M2878" s="27" t="str">
        <f aca="false">IF(J2878="","",IF(J2878=1,"Every week",R2878+1&amp;" of "&amp;J2878))</f>
        <v/>
      </c>
      <c r="N2878" s="28" t="str">
        <f aca="false">IF(J2878="","",Settings!$B$4+R2878*7+Q2878)</f>
        <v/>
      </c>
      <c r="O2878" s="28" t="str">
        <f aca="true">IF(J2878="","",N2878+MAX(0,ROUNDUP((TODAY()-N2878)/(J2878*7),0))*J2878*7)</f>
        <v/>
      </c>
      <c r="P2878" s="27" t="str">
        <f aca="false">IF(J2878="","",MOD(K2878-1,J2878*4))</f>
        <v/>
      </c>
      <c r="Q2878" s="27" t="str">
        <f aca="false">IF(J2878="","",MOD(P2878,4))</f>
        <v/>
      </c>
      <c r="R2878" s="27" t="str">
        <f aca="false">IF(J2878="","",INT(P2878/4))</f>
        <v/>
      </c>
      <c r="S2878" s="27" t="str">
        <f aca="false">IF(J2878="","",IF(AND('Daily Count Sheet'!$H$3=Q2878,MOD('Daily Count Sheet'!$I$3,J2878)=R2878),1,""))</f>
        <v/>
      </c>
      <c r="T2878" s="27" t="str">
        <f aca="false">IF(S2878=1,COUNTIF($S$2:S2878,1),"")</f>
        <v/>
      </c>
    </row>
    <row r="2879" customFormat="false" ht="15" hidden="false" customHeight="false" outlineLevel="0" collapsed="false">
      <c r="H2879" s="26"/>
      <c r="I2879" s="27" t="str">
        <f aca="false">IF(A2879="","",IF(H2879&lt;&gt;"",UPPER(TRIM(H2879)),IFERROR(CHOOSE(VALUE(E2879)+1,"A","B","C","D"),IF(OR(LEFT(UPPER(TRIM(E2879)),1)="F",UPPER(TRIM(E2879))="A"),"A",IF(OR(LEFT(UPPER(TRIM(E2879)),1)="M",UPPER(TRIM(E2879))="B"),"B",IF(OR(LEFT(UPPER(TRIM(E2879)),2)="SL",UPPER(TRIM(E2879))="C"),"C",IF(OR(LEFT(UPPER(TRIM(E2879)),1)="D",UPPER(TRIM(E2879))="D"),"D","")))))))</f>
        <v/>
      </c>
      <c r="J2879" s="27" t="str">
        <f aca="false">IF(I2879="","",IF(AND(I2879="D",Settings!$B$6&lt;&gt;"Yes"),"",IFERROR(INDEX(Settings!$C$9:$C$12,MATCH(I2879,Settings!$A$9:$A$12,0)),"")))</f>
        <v/>
      </c>
      <c r="K2879" s="27" t="str">
        <f aca="false">IF(J2879="","",COUNTIF($I$2:I2879,I2879))</f>
        <v/>
      </c>
      <c r="L2879" s="27" t="str">
        <f aca="false">IF(J2879="","",CHOOSE(Q2879+1,"Tue","Wed","Thu","Fri"))</f>
        <v/>
      </c>
      <c r="M2879" s="27" t="str">
        <f aca="false">IF(J2879="","",IF(J2879=1,"Every week",R2879+1&amp;" of "&amp;J2879))</f>
        <v/>
      </c>
      <c r="N2879" s="28" t="str">
        <f aca="false">IF(J2879="","",Settings!$B$4+R2879*7+Q2879)</f>
        <v/>
      </c>
      <c r="O2879" s="28" t="str">
        <f aca="true">IF(J2879="","",N2879+MAX(0,ROUNDUP((TODAY()-N2879)/(J2879*7),0))*J2879*7)</f>
        <v/>
      </c>
      <c r="P2879" s="27" t="str">
        <f aca="false">IF(J2879="","",MOD(K2879-1,J2879*4))</f>
        <v/>
      </c>
      <c r="Q2879" s="27" t="str">
        <f aca="false">IF(J2879="","",MOD(P2879,4))</f>
        <v/>
      </c>
      <c r="R2879" s="27" t="str">
        <f aca="false">IF(J2879="","",INT(P2879/4))</f>
        <v/>
      </c>
      <c r="S2879" s="27" t="str">
        <f aca="false">IF(J2879="","",IF(AND('Daily Count Sheet'!$H$3=Q2879,MOD('Daily Count Sheet'!$I$3,J2879)=R2879),1,""))</f>
        <v/>
      </c>
      <c r="T2879" s="27" t="str">
        <f aca="false">IF(S2879=1,COUNTIF($S$2:S2879,1),"")</f>
        <v/>
      </c>
    </row>
    <row r="2880" customFormat="false" ht="15" hidden="false" customHeight="false" outlineLevel="0" collapsed="false">
      <c r="H2880" s="26"/>
      <c r="I2880" s="27" t="str">
        <f aca="false">IF(A2880="","",IF(H2880&lt;&gt;"",UPPER(TRIM(H2880)),IFERROR(CHOOSE(VALUE(E2880)+1,"A","B","C","D"),IF(OR(LEFT(UPPER(TRIM(E2880)),1)="F",UPPER(TRIM(E2880))="A"),"A",IF(OR(LEFT(UPPER(TRIM(E2880)),1)="M",UPPER(TRIM(E2880))="B"),"B",IF(OR(LEFT(UPPER(TRIM(E2880)),2)="SL",UPPER(TRIM(E2880))="C"),"C",IF(OR(LEFT(UPPER(TRIM(E2880)),1)="D",UPPER(TRIM(E2880))="D"),"D","")))))))</f>
        <v/>
      </c>
      <c r="J2880" s="27" t="str">
        <f aca="false">IF(I2880="","",IF(AND(I2880="D",Settings!$B$6&lt;&gt;"Yes"),"",IFERROR(INDEX(Settings!$C$9:$C$12,MATCH(I2880,Settings!$A$9:$A$12,0)),"")))</f>
        <v/>
      </c>
      <c r="K2880" s="27" t="str">
        <f aca="false">IF(J2880="","",COUNTIF($I$2:I2880,I2880))</f>
        <v/>
      </c>
      <c r="L2880" s="27" t="str">
        <f aca="false">IF(J2880="","",CHOOSE(Q2880+1,"Tue","Wed","Thu","Fri"))</f>
        <v/>
      </c>
      <c r="M2880" s="27" t="str">
        <f aca="false">IF(J2880="","",IF(J2880=1,"Every week",R2880+1&amp;" of "&amp;J2880))</f>
        <v/>
      </c>
      <c r="N2880" s="28" t="str">
        <f aca="false">IF(J2880="","",Settings!$B$4+R2880*7+Q2880)</f>
        <v/>
      </c>
      <c r="O2880" s="28" t="str">
        <f aca="true">IF(J2880="","",N2880+MAX(0,ROUNDUP((TODAY()-N2880)/(J2880*7),0))*J2880*7)</f>
        <v/>
      </c>
      <c r="P2880" s="27" t="str">
        <f aca="false">IF(J2880="","",MOD(K2880-1,J2880*4))</f>
        <v/>
      </c>
      <c r="Q2880" s="27" t="str">
        <f aca="false">IF(J2880="","",MOD(P2880,4))</f>
        <v/>
      </c>
      <c r="R2880" s="27" t="str">
        <f aca="false">IF(J2880="","",INT(P2880/4))</f>
        <v/>
      </c>
      <c r="S2880" s="27" t="str">
        <f aca="false">IF(J2880="","",IF(AND('Daily Count Sheet'!$H$3=Q2880,MOD('Daily Count Sheet'!$I$3,J2880)=R2880),1,""))</f>
        <v/>
      </c>
      <c r="T2880" s="27" t="str">
        <f aca="false">IF(S2880=1,COUNTIF($S$2:S2880,1),"")</f>
        <v/>
      </c>
    </row>
    <row r="2881" customFormat="false" ht="15" hidden="false" customHeight="false" outlineLevel="0" collapsed="false">
      <c r="H2881" s="26"/>
      <c r="I2881" s="27" t="str">
        <f aca="false">IF(A2881="","",IF(H2881&lt;&gt;"",UPPER(TRIM(H2881)),IFERROR(CHOOSE(VALUE(E2881)+1,"A","B","C","D"),IF(OR(LEFT(UPPER(TRIM(E2881)),1)="F",UPPER(TRIM(E2881))="A"),"A",IF(OR(LEFT(UPPER(TRIM(E2881)),1)="M",UPPER(TRIM(E2881))="B"),"B",IF(OR(LEFT(UPPER(TRIM(E2881)),2)="SL",UPPER(TRIM(E2881))="C"),"C",IF(OR(LEFT(UPPER(TRIM(E2881)),1)="D",UPPER(TRIM(E2881))="D"),"D","")))))))</f>
        <v/>
      </c>
      <c r="J2881" s="27" t="str">
        <f aca="false">IF(I2881="","",IF(AND(I2881="D",Settings!$B$6&lt;&gt;"Yes"),"",IFERROR(INDEX(Settings!$C$9:$C$12,MATCH(I2881,Settings!$A$9:$A$12,0)),"")))</f>
        <v/>
      </c>
      <c r="K2881" s="27" t="str">
        <f aca="false">IF(J2881="","",COUNTIF($I$2:I2881,I2881))</f>
        <v/>
      </c>
      <c r="L2881" s="27" t="str">
        <f aca="false">IF(J2881="","",CHOOSE(Q2881+1,"Tue","Wed","Thu","Fri"))</f>
        <v/>
      </c>
      <c r="M2881" s="27" t="str">
        <f aca="false">IF(J2881="","",IF(J2881=1,"Every week",R2881+1&amp;" of "&amp;J2881))</f>
        <v/>
      </c>
      <c r="N2881" s="28" t="str">
        <f aca="false">IF(J2881="","",Settings!$B$4+R2881*7+Q2881)</f>
        <v/>
      </c>
      <c r="O2881" s="28" t="str">
        <f aca="true">IF(J2881="","",N2881+MAX(0,ROUNDUP((TODAY()-N2881)/(J2881*7),0))*J2881*7)</f>
        <v/>
      </c>
      <c r="P2881" s="27" t="str">
        <f aca="false">IF(J2881="","",MOD(K2881-1,J2881*4))</f>
        <v/>
      </c>
      <c r="Q2881" s="27" t="str">
        <f aca="false">IF(J2881="","",MOD(P2881,4))</f>
        <v/>
      </c>
      <c r="R2881" s="27" t="str">
        <f aca="false">IF(J2881="","",INT(P2881/4))</f>
        <v/>
      </c>
      <c r="S2881" s="27" t="str">
        <f aca="false">IF(J2881="","",IF(AND('Daily Count Sheet'!$H$3=Q2881,MOD('Daily Count Sheet'!$I$3,J2881)=R2881),1,""))</f>
        <v/>
      </c>
      <c r="T2881" s="27" t="str">
        <f aca="false">IF(S2881=1,COUNTIF($S$2:S2881,1),"")</f>
        <v/>
      </c>
    </row>
    <row r="2882" customFormat="false" ht="15" hidden="false" customHeight="false" outlineLevel="0" collapsed="false">
      <c r="H2882" s="26"/>
      <c r="I2882" s="27" t="str">
        <f aca="false">IF(A2882="","",IF(H2882&lt;&gt;"",UPPER(TRIM(H2882)),IFERROR(CHOOSE(VALUE(E2882)+1,"A","B","C","D"),IF(OR(LEFT(UPPER(TRIM(E2882)),1)="F",UPPER(TRIM(E2882))="A"),"A",IF(OR(LEFT(UPPER(TRIM(E2882)),1)="M",UPPER(TRIM(E2882))="B"),"B",IF(OR(LEFT(UPPER(TRIM(E2882)),2)="SL",UPPER(TRIM(E2882))="C"),"C",IF(OR(LEFT(UPPER(TRIM(E2882)),1)="D",UPPER(TRIM(E2882))="D"),"D","")))))))</f>
        <v/>
      </c>
      <c r="J2882" s="27" t="str">
        <f aca="false">IF(I2882="","",IF(AND(I2882="D",Settings!$B$6&lt;&gt;"Yes"),"",IFERROR(INDEX(Settings!$C$9:$C$12,MATCH(I2882,Settings!$A$9:$A$12,0)),"")))</f>
        <v/>
      </c>
      <c r="K2882" s="27" t="str">
        <f aca="false">IF(J2882="","",COUNTIF($I$2:I2882,I2882))</f>
        <v/>
      </c>
      <c r="L2882" s="27" t="str">
        <f aca="false">IF(J2882="","",CHOOSE(Q2882+1,"Tue","Wed","Thu","Fri"))</f>
        <v/>
      </c>
      <c r="M2882" s="27" t="str">
        <f aca="false">IF(J2882="","",IF(J2882=1,"Every week",R2882+1&amp;" of "&amp;J2882))</f>
        <v/>
      </c>
      <c r="N2882" s="28" t="str">
        <f aca="false">IF(J2882="","",Settings!$B$4+R2882*7+Q2882)</f>
        <v/>
      </c>
      <c r="O2882" s="28" t="str">
        <f aca="true">IF(J2882="","",N2882+MAX(0,ROUNDUP((TODAY()-N2882)/(J2882*7),0))*J2882*7)</f>
        <v/>
      </c>
      <c r="P2882" s="27" t="str">
        <f aca="false">IF(J2882="","",MOD(K2882-1,J2882*4))</f>
        <v/>
      </c>
      <c r="Q2882" s="27" t="str">
        <f aca="false">IF(J2882="","",MOD(P2882,4))</f>
        <v/>
      </c>
      <c r="R2882" s="27" t="str">
        <f aca="false">IF(J2882="","",INT(P2882/4))</f>
        <v/>
      </c>
      <c r="S2882" s="27" t="str">
        <f aca="false">IF(J2882="","",IF(AND('Daily Count Sheet'!$H$3=Q2882,MOD('Daily Count Sheet'!$I$3,J2882)=R2882),1,""))</f>
        <v/>
      </c>
      <c r="T2882" s="27" t="str">
        <f aca="false">IF(S2882=1,COUNTIF($S$2:S2882,1),"")</f>
        <v/>
      </c>
    </row>
    <row r="2883" customFormat="false" ht="15" hidden="false" customHeight="false" outlineLevel="0" collapsed="false">
      <c r="H2883" s="26"/>
      <c r="I2883" s="27" t="str">
        <f aca="false">IF(A2883="","",IF(H2883&lt;&gt;"",UPPER(TRIM(H2883)),IFERROR(CHOOSE(VALUE(E2883)+1,"A","B","C","D"),IF(OR(LEFT(UPPER(TRIM(E2883)),1)="F",UPPER(TRIM(E2883))="A"),"A",IF(OR(LEFT(UPPER(TRIM(E2883)),1)="M",UPPER(TRIM(E2883))="B"),"B",IF(OR(LEFT(UPPER(TRIM(E2883)),2)="SL",UPPER(TRIM(E2883))="C"),"C",IF(OR(LEFT(UPPER(TRIM(E2883)),1)="D",UPPER(TRIM(E2883))="D"),"D","")))))))</f>
        <v/>
      </c>
      <c r="J2883" s="27" t="str">
        <f aca="false">IF(I2883="","",IF(AND(I2883="D",Settings!$B$6&lt;&gt;"Yes"),"",IFERROR(INDEX(Settings!$C$9:$C$12,MATCH(I2883,Settings!$A$9:$A$12,0)),"")))</f>
        <v/>
      </c>
      <c r="K2883" s="27" t="str">
        <f aca="false">IF(J2883="","",COUNTIF($I$2:I2883,I2883))</f>
        <v/>
      </c>
      <c r="L2883" s="27" t="str">
        <f aca="false">IF(J2883="","",CHOOSE(Q2883+1,"Tue","Wed","Thu","Fri"))</f>
        <v/>
      </c>
      <c r="M2883" s="27" t="str">
        <f aca="false">IF(J2883="","",IF(J2883=1,"Every week",R2883+1&amp;" of "&amp;J2883))</f>
        <v/>
      </c>
      <c r="N2883" s="28" t="str">
        <f aca="false">IF(J2883="","",Settings!$B$4+R2883*7+Q2883)</f>
        <v/>
      </c>
      <c r="O2883" s="28" t="str">
        <f aca="true">IF(J2883="","",N2883+MAX(0,ROUNDUP((TODAY()-N2883)/(J2883*7),0))*J2883*7)</f>
        <v/>
      </c>
      <c r="P2883" s="27" t="str">
        <f aca="false">IF(J2883="","",MOD(K2883-1,J2883*4))</f>
        <v/>
      </c>
      <c r="Q2883" s="27" t="str">
        <f aca="false">IF(J2883="","",MOD(P2883,4))</f>
        <v/>
      </c>
      <c r="R2883" s="27" t="str">
        <f aca="false">IF(J2883="","",INT(P2883/4))</f>
        <v/>
      </c>
      <c r="S2883" s="27" t="str">
        <f aca="false">IF(J2883="","",IF(AND('Daily Count Sheet'!$H$3=Q2883,MOD('Daily Count Sheet'!$I$3,J2883)=R2883),1,""))</f>
        <v/>
      </c>
      <c r="T2883" s="27" t="str">
        <f aca="false">IF(S2883=1,COUNTIF($S$2:S2883,1),"")</f>
        <v/>
      </c>
    </row>
    <row r="2884" customFormat="false" ht="15" hidden="false" customHeight="false" outlineLevel="0" collapsed="false">
      <c r="H2884" s="26"/>
      <c r="I2884" s="27" t="str">
        <f aca="false">IF(A2884="","",IF(H2884&lt;&gt;"",UPPER(TRIM(H2884)),IFERROR(CHOOSE(VALUE(E2884)+1,"A","B","C","D"),IF(OR(LEFT(UPPER(TRIM(E2884)),1)="F",UPPER(TRIM(E2884))="A"),"A",IF(OR(LEFT(UPPER(TRIM(E2884)),1)="M",UPPER(TRIM(E2884))="B"),"B",IF(OR(LEFT(UPPER(TRIM(E2884)),2)="SL",UPPER(TRIM(E2884))="C"),"C",IF(OR(LEFT(UPPER(TRIM(E2884)),1)="D",UPPER(TRIM(E2884))="D"),"D","")))))))</f>
        <v/>
      </c>
      <c r="J2884" s="27" t="str">
        <f aca="false">IF(I2884="","",IF(AND(I2884="D",Settings!$B$6&lt;&gt;"Yes"),"",IFERROR(INDEX(Settings!$C$9:$C$12,MATCH(I2884,Settings!$A$9:$A$12,0)),"")))</f>
        <v/>
      </c>
      <c r="K2884" s="27" t="str">
        <f aca="false">IF(J2884="","",COUNTIF($I$2:I2884,I2884))</f>
        <v/>
      </c>
      <c r="L2884" s="27" t="str">
        <f aca="false">IF(J2884="","",CHOOSE(Q2884+1,"Tue","Wed","Thu","Fri"))</f>
        <v/>
      </c>
      <c r="M2884" s="27" t="str">
        <f aca="false">IF(J2884="","",IF(J2884=1,"Every week",R2884+1&amp;" of "&amp;J2884))</f>
        <v/>
      </c>
      <c r="N2884" s="28" t="str">
        <f aca="false">IF(J2884="","",Settings!$B$4+R2884*7+Q2884)</f>
        <v/>
      </c>
      <c r="O2884" s="28" t="str">
        <f aca="true">IF(J2884="","",N2884+MAX(0,ROUNDUP((TODAY()-N2884)/(J2884*7),0))*J2884*7)</f>
        <v/>
      </c>
      <c r="P2884" s="27" t="str">
        <f aca="false">IF(J2884="","",MOD(K2884-1,J2884*4))</f>
        <v/>
      </c>
      <c r="Q2884" s="27" t="str">
        <f aca="false">IF(J2884="","",MOD(P2884,4))</f>
        <v/>
      </c>
      <c r="R2884" s="27" t="str">
        <f aca="false">IF(J2884="","",INT(P2884/4))</f>
        <v/>
      </c>
      <c r="S2884" s="27" t="str">
        <f aca="false">IF(J2884="","",IF(AND('Daily Count Sheet'!$H$3=Q2884,MOD('Daily Count Sheet'!$I$3,J2884)=R2884),1,""))</f>
        <v/>
      </c>
      <c r="T2884" s="27" t="str">
        <f aca="false">IF(S2884=1,COUNTIF($S$2:S2884,1),"")</f>
        <v/>
      </c>
    </row>
    <row r="2885" customFormat="false" ht="15" hidden="false" customHeight="false" outlineLevel="0" collapsed="false">
      <c r="H2885" s="26"/>
      <c r="I2885" s="27" t="str">
        <f aca="false">IF(A2885="","",IF(H2885&lt;&gt;"",UPPER(TRIM(H2885)),IFERROR(CHOOSE(VALUE(E2885)+1,"A","B","C","D"),IF(OR(LEFT(UPPER(TRIM(E2885)),1)="F",UPPER(TRIM(E2885))="A"),"A",IF(OR(LEFT(UPPER(TRIM(E2885)),1)="M",UPPER(TRIM(E2885))="B"),"B",IF(OR(LEFT(UPPER(TRIM(E2885)),2)="SL",UPPER(TRIM(E2885))="C"),"C",IF(OR(LEFT(UPPER(TRIM(E2885)),1)="D",UPPER(TRIM(E2885))="D"),"D","")))))))</f>
        <v/>
      </c>
      <c r="J2885" s="27" t="str">
        <f aca="false">IF(I2885="","",IF(AND(I2885="D",Settings!$B$6&lt;&gt;"Yes"),"",IFERROR(INDEX(Settings!$C$9:$C$12,MATCH(I2885,Settings!$A$9:$A$12,0)),"")))</f>
        <v/>
      </c>
      <c r="K2885" s="27" t="str">
        <f aca="false">IF(J2885="","",COUNTIF($I$2:I2885,I2885))</f>
        <v/>
      </c>
      <c r="L2885" s="27" t="str">
        <f aca="false">IF(J2885="","",CHOOSE(Q2885+1,"Tue","Wed","Thu","Fri"))</f>
        <v/>
      </c>
      <c r="M2885" s="27" t="str">
        <f aca="false">IF(J2885="","",IF(J2885=1,"Every week",R2885+1&amp;" of "&amp;J2885))</f>
        <v/>
      </c>
      <c r="N2885" s="28" t="str">
        <f aca="false">IF(J2885="","",Settings!$B$4+R2885*7+Q2885)</f>
        <v/>
      </c>
      <c r="O2885" s="28" t="str">
        <f aca="true">IF(J2885="","",N2885+MAX(0,ROUNDUP((TODAY()-N2885)/(J2885*7),0))*J2885*7)</f>
        <v/>
      </c>
      <c r="P2885" s="27" t="str">
        <f aca="false">IF(J2885="","",MOD(K2885-1,J2885*4))</f>
        <v/>
      </c>
      <c r="Q2885" s="27" t="str">
        <f aca="false">IF(J2885="","",MOD(P2885,4))</f>
        <v/>
      </c>
      <c r="R2885" s="27" t="str">
        <f aca="false">IF(J2885="","",INT(P2885/4))</f>
        <v/>
      </c>
      <c r="S2885" s="27" t="str">
        <f aca="false">IF(J2885="","",IF(AND('Daily Count Sheet'!$H$3=Q2885,MOD('Daily Count Sheet'!$I$3,J2885)=R2885),1,""))</f>
        <v/>
      </c>
      <c r="T2885" s="27" t="str">
        <f aca="false">IF(S2885=1,COUNTIF($S$2:S2885,1),"")</f>
        <v/>
      </c>
    </row>
    <row r="2886" customFormat="false" ht="15" hidden="false" customHeight="false" outlineLevel="0" collapsed="false">
      <c r="H2886" s="26"/>
      <c r="I2886" s="27" t="str">
        <f aca="false">IF(A2886="","",IF(H2886&lt;&gt;"",UPPER(TRIM(H2886)),IFERROR(CHOOSE(VALUE(E2886)+1,"A","B","C","D"),IF(OR(LEFT(UPPER(TRIM(E2886)),1)="F",UPPER(TRIM(E2886))="A"),"A",IF(OR(LEFT(UPPER(TRIM(E2886)),1)="M",UPPER(TRIM(E2886))="B"),"B",IF(OR(LEFT(UPPER(TRIM(E2886)),2)="SL",UPPER(TRIM(E2886))="C"),"C",IF(OR(LEFT(UPPER(TRIM(E2886)),1)="D",UPPER(TRIM(E2886))="D"),"D","")))))))</f>
        <v/>
      </c>
      <c r="J2886" s="27" t="str">
        <f aca="false">IF(I2886="","",IF(AND(I2886="D",Settings!$B$6&lt;&gt;"Yes"),"",IFERROR(INDEX(Settings!$C$9:$C$12,MATCH(I2886,Settings!$A$9:$A$12,0)),"")))</f>
        <v/>
      </c>
      <c r="K2886" s="27" t="str">
        <f aca="false">IF(J2886="","",COUNTIF($I$2:I2886,I2886))</f>
        <v/>
      </c>
      <c r="L2886" s="27" t="str">
        <f aca="false">IF(J2886="","",CHOOSE(Q2886+1,"Tue","Wed","Thu","Fri"))</f>
        <v/>
      </c>
      <c r="M2886" s="27" t="str">
        <f aca="false">IF(J2886="","",IF(J2886=1,"Every week",R2886+1&amp;" of "&amp;J2886))</f>
        <v/>
      </c>
      <c r="N2886" s="28" t="str">
        <f aca="false">IF(J2886="","",Settings!$B$4+R2886*7+Q2886)</f>
        <v/>
      </c>
      <c r="O2886" s="28" t="str">
        <f aca="true">IF(J2886="","",N2886+MAX(0,ROUNDUP((TODAY()-N2886)/(J2886*7),0))*J2886*7)</f>
        <v/>
      </c>
      <c r="P2886" s="27" t="str">
        <f aca="false">IF(J2886="","",MOD(K2886-1,J2886*4))</f>
        <v/>
      </c>
      <c r="Q2886" s="27" t="str">
        <f aca="false">IF(J2886="","",MOD(P2886,4))</f>
        <v/>
      </c>
      <c r="R2886" s="27" t="str">
        <f aca="false">IF(J2886="","",INT(P2886/4))</f>
        <v/>
      </c>
      <c r="S2886" s="27" t="str">
        <f aca="false">IF(J2886="","",IF(AND('Daily Count Sheet'!$H$3=Q2886,MOD('Daily Count Sheet'!$I$3,J2886)=R2886),1,""))</f>
        <v/>
      </c>
      <c r="T2886" s="27" t="str">
        <f aca="false">IF(S2886=1,COUNTIF($S$2:S2886,1),"")</f>
        <v/>
      </c>
    </row>
    <row r="2887" customFormat="false" ht="15" hidden="false" customHeight="false" outlineLevel="0" collapsed="false">
      <c r="H2887" s="26"/>
      <c r="I2887" s="27" t="str">
        <f aca="false">IF(A2887="","",IF(H2887&lt;&gt;"",UPPER(TRIM(H2887)),IFERROR(CHOOSE(VALUE(E2887)+1,"A","B","C","D"),IF(OR(LEFT(UPPER(TRIM(E2887)),1)="F",UPPER(TRIM(E2887))="A"),"A",IF(OR(LEFT(UPPER(TRIM(E2887)),1)="M",UPPER(TRIM(E2887))="B"),"B",IF(OR(LEFT(UPPER(TRIM(E2887)),2)="SL",UPPER(TRIM(E2887))="C"),"C",IF(OR(LEFT(UPPER(TRIM(E2887)),1)="D",UPPER(TRIM(E2887))="D"),"D","")))))))</f>
        <v/>
      </c>
      <c r="J2887" s="27" t="str">
        <f aca="false">IF(I2887="","",IF(AND(I2887="D",Settings!$B$6&lt;&gt;"Yes"),"",IFERROR(INDEX(Settings!$C$9:$C$12,MATCH(I2887,Settings!$A$9:$A$12,0)),"")))</f>
        <v/>
      </c>
      <c r="K2887" s="27" t="str">
        <f aca="false">IF(J2887="","",COUNTIF($I$2:I2887,I2887))</f>
        <v/>
      </c>
      <c r="L2887" s="27" t="str">
        <f aca="false">IF(J2887="","",CHOOSE(Q2887+1,"Tue","Wed","Thu","Fri"))</f>
        <v/>
      </c>
      <c r="M2887" s="27" t="str">
        <f aca="false">IF(J2887="","",IF(J2887=1,"Every week",R2887+1&amp;" of "&amp;J2887))</f>
        <v/>
      </c>
      <c r="N2887" s="28" t="str">
        <f aca="false">IF(J2887="","",Settings!$B$4+R2887*7+Q2887)</f>
        <v/>
      </c>
      <c r="O2887" s="28" t="str">
        <f aca="true">IF(J2887="","",N2887+MAX(0,ROUNDUP((TODAY()-N2887)/(J2887*7),0))*J2887*7)</f>
        <v/>
      </c>
      <c r="P2887" s="27" t="str">
        <f aca="false">IF(J2887="","",MOD(K2887-1,J2887*4))</f>
        <v/>
      </c>
      <c r="Q2887" s="27" t="str">
        <f aca="false">IF(J2887="","",MOD(P2887,4))</f>
        <v/>
      </c>
      <c r="R2887" s="27" t="str">
        <f aca="false">IF(J2887="","",INT(P2887/4))</f>
        <v/>
      </c>
      <c r="S2887" s="27" t="str">
        <f aca="false">IF(J2887="","",IF(AND('Daily Count Sheet'!$H$3=Q2887,MOD('Daily Count Sheet'!$I$3,J2887)=R2887),1,""))</f>
        <v/>
      </c>
      <c r="T2887" s="27" t="str">
        <f aca="false">IF(S2887=1,COUNTIF($S$2:S2887,1),"")</f>
        <v/>
      </c>
    </row>
    <row r="2888" customFormat="false" ht="15" hidden="false" customHeight="false" outlineLevel="0" collapsed="false">
      <c r="H2888" s="26"/>
      <c r="I2888" s="27" t="str">
        <f aca="false">IF(A2888="","",IF(H2888&lt;&gt;"",UPPER(TRIM(H2888)),IFERROR(CHOOSE(VALUE(E2888)+1,"A","B","C","D"),IF(OR(LEFT(UPPER(TRIM(E2888)),1)="F",UPPER(TRIM(E2888))="A"),"A",IF(OR(LEFT(UPPER(TRIM(E2888)),1)="M",UPPER(TRIM(E2888))="B"),"B",IF(OR(LEFT(UPPER(TRIM(E2888)),2)="SL",UPPER(TRIM(E2888))="C"),"C",IF(OR(LEFT(UPPER(TRIM(E2888)),1)="D",UPPER(TRIM(E2888))="D"),"D","")))))))</f>
        <v/>
      </c>
      <c r="J2888" s="27" t="str">
        <f aca="false">IF(I2888="","",IF(AND(I2888="D",Settings!$B$6&lt;&gt;"Yes"),"",IFERROR(INDEX(Settings!$C$9:$C$12,MATCH(I2888,Settings!$A$9:$A$12,0)),"")))</f>
        <v/>
      </c>
      <c r="K2888" s="27" t="str">
        <f aca="false">IF(J2888="","",COUNTIF($I$2:I2888,I2888))</f>
        <v/>
      </c>
      <c r="L2888" s="27" t="str">
        <f aca="false">IF(J2888="","",CHOOSE(Q2888+1,"Tue","Wed","Thu","Fri"))</f>
        <v/>
      </c>
      <c r="M2888" s="27" t="str">
        <f aca="false">IF(J2888="","",IF(J2888=1,"Every week",R2888+1&amp;" of "&amp;J2888))</f>
        <v/>
      </c>
      <c r="N2888" s="28" t="str">
        <f aca="false">IF(J2888="","",Settings!$B$4+R2888*7+Q2888)</f>
        <v/>
      </c>
      <c r="O2888" s="28" t="str">
        <f aca="true">IF(J2888="","",N2888+MAX(0,ROUNDUP((TODAY()-N2888)/(J2888*7),0))*J2888*7)</f>
        <v/>
      </c>
      <c r="P2888" s="27" t="str">
        <f aca="false">IF(J2888="","",MOD(K2888-1,J2888*4))</f>
        <v/>
      </c>
      <c r="Q2888" s="27" t="str">
        <f aca="false">IF(J2888="","",MOD(P2888,4))</f>
        <v/>
      </c>
      <c r="R2888" s="27" t="str">
        <f aca="false">IF(J2888="","",INT(P2888/4))</f>
        <v/>
      </c>
      <c r="S2888" s="27" t="str">
        <f aca="false">IF(J2888="","",IF(AND('Daily Count Sheet'!$H$3=Q2888,MOD('Daily Count Sheet'!$I$3,J2888)=R2888),1,""))</f>
        <v/>
      </c>
      <c r="T2888" s="27" t="str">
        <f aca="false">IF(S2888=1,COUNTIF($S$2:S2888,1),"")</f>
        <v/>
      </c>
    </row>
    <row r="2889" customFormat="false" ht="15" hidden="false" customHeight="false" outlineLevel="0" collapsed="false">
      <c r="H2889" s="26"/>
      <c r="I2889" s="27" t="str">
        <f aca="false">IF(A2889="","",IF(H2889&lt;&gt;"",UPPER(TRIM(H2889)),IFERROR(CHOOSE(VALUE(E2889)+1,"A","B","C","D"),IF(OR(LEFT(UPPER(TRIM(E2889)),1)="F",UPPER(TRIM(E2889))="A"),"A",IF(OR(LEFT(UPPER(TRIM(E2889)),1)="M",UPPER(TRIM(E2889))="B"),"B",IF(OR(LEFT(UPPER(TRIM(E2889)),2)="SL",UPPER(TRIM(E2889))="C"),"C",IF(OR(LEFT(UPPER(TRIM(E2889)),1)="D",UPPER(TRIM(E2889))="D"),"D","")))))))</f>
        <v/>
      </c>
      <c r="J2889" s="27" t="str">
        <f aca="false">IF(I2889="","",IF(AND(I2889="D",Settings!$B$6&lt;&gt;"Yes"),"",IFERROR(INDEX(Settings!$C$9:$C$12,MATCH(I2889,Settings!$A$9:$A$12,0)),"")))</f>
        <v/>
      </c>
      <c r="K2889" s="27" t="str">
        <f aca="false">IF(J2889="","",COUNTIF($I$2:I2889,I2889))</f>
        <v/>
      </c>
      <c r="L2889" s="27" t="str">
        <f aca="false">IF(J2889="","",CHOOSE(Q2889+1,"Tue","Wed","Thu","Fri"))</f>
        <v/>
      </c>
      <c r="M2889" s="27" t="str">
        <f aca="false">IF(J2889="","",IF(J2889=1,"Every week",R2889+1&amp;" of "&amp;J2889))</f>
        <v/>
      </c>
      <c r="N2889" s="28" t="str">
        <f aca="false">IF(J2889="","",Settings!$B$4+R2889*7+Q2889)</f>
        <v/>
      </c>
      <c r="O2889" s="28" t="str">
        <f aca="true">IF(J2889="","",N2889+MAX(0,ROUNDUP((TODAY()-N2889)/(J2889*7),0))*J2889*7)</f>
        <v/>
      </c>
      <c r="P2889" s="27" t="str">
        <f aca="false">IF(J2889="","",MOD(K2889-1,J2889*4))</f>
        <v/>
      </c>
      <c r="Q2889" s="27" t="str">
        <f aca="false">IF(J2889="","",MOD(P2889,4))</f>
        <v/>
      </c>
      <c r="R2889" s="27" t="str">
        <f aca="false">IF(J2889="","",INT(P2889/4))</f>
        <v/>
      </c>
      <c r="S2889" s="27" t="str">
        <f aca="false">IF(J2889="","",IF(AND('Daily Count Sheet'!$H$3=Q2889,MOD('Daily Count Sheet'!$I$3,J2889)=R2889),1,""))</f>
        <v/>
      </c>
      <c r="T2889" s="27" t="str">
        <f aca="false">IF(S2889=1,COUNTIF($S$2:S2889,1),"")</f>
        <v/>
      </c>
    </row>
    <row r="2890" customFormat="false" ht="15" hidden="false" customHeight="false" outlineLevel="0" collapsed="false">
      <c r="H2890" s="26"/>
      <c r="I2890" s="27" t="str">
        <f aca="false">IF(A2890="","",IF(H2890&lt;&gt;"",UPPER(TRIM(H2890)),IFERROR(CHOOSE(VALUE(E2890)+1,"A","B","C","D"),IF(OR(LEFT(UPPER(TRIM(E2890)),1)="F",UPPER(TRIM(E2890))="A"),"A",IF(OR(LEFT(UPPER(TRIM(E2890)),1)="M",UPPER(TRIM(E2890))="B"),"B",IF(OR(LEFT(UPPER(TRIM(E2890)),2)="SL",UPPER(TRIM(E2890))="C"),"C",IF(OR(LEFT(UPPER(TRIM(E2890)),1)="D",UPPER(TRIM(E2890))="D"),"D","")))))))</f>
        <v/>
      </c>
      <c r="J2890" s="27" t="str">
        <f aca="false">IF(I2890="","",IF(AND(I2890="D",Settings!$B$6&lt;&gt;"Yes"),"",IFERROR(INDEX(Settings!$C$9:$C$12,MATCH(I2890,Settings!$A$9:$A$12,0)),"")))</f>
        <v/>
      </c>
      <c r="K2890" s="27" t="str">
        <f aca="false">IF(J2890="","",COUNTIF($I$2:I2890,I2890))</f>
        <v/>
      </c>
      <c r="L2890" s="27" t="str">
        <f aca="false">IF(J2890="","",CHOOSE(Q2890+1,"Tue","Wed","Thu","Fri"))</f>
        <v/>
      </c>
      <c r="M2890" s="27" t="str">
        <f aca="false">IF(J2890="","",IF(J2890=1,"Every week",R2890+1&amp;" of "&amp;J2890))</f>
        <v/>
      </c>
      <c r="N2890" s="28" t="str">
        <f aca="false">IF(J2890="","",Settings!$B$4+R2890*7+Q2890)</f>
        <v/>
      </c>
      <c r="O2890" s="28" t="str">
        <f aca="true">IF(J2890="","",N2890+MAX(0,ROUNDUP((TODAY()-N2890)/(J2890*7),0))*J2890*7)</f>
        <v/>
      </c>
      <c r="P2890" s="27" t="str">
        <f aca="false">IF(J2890="","",MOD(K2890-1,J2890*4))</f>
        <v/>
      </c>
      <c r="Q2890" s="27" t="str">
        <f aca="false">IF(J2890="","",MOD(P2890,4))</f>
        <v/>
      </c>
      <c r="R2890" s="27" t="str">
        <f aca="false">IF(J2890="","",INT(P2890/4))</f>
        <v/>
      </c>
      <c r="S2890" s="27" t="str">
        <f aca="false">IF(J2890="","",IF(AND('Daily Count Sheet'!$H$3=Q2890,MOD('Daily Count Sheet'!$I$3,J2890)=R2890),1,""))</f>
        <v/>
      </c>
      <c r="T2890" s="27" t="str">
        <f aca="false">IF(S2890=1,COUNTIF($S$2:S2890,1),"")</f>
        <v/>
      </c>
    </row>
    <row r="2891" customFormat="false" ht="15" hidden="false" customHeight="false" outlineLevel="0" collapsed="false">
      <c r="H2891" s="26"/>
      <c r="I2891" s="27" t="str">
        <f aca="false">IF(A2891="","",IF(H2891&lt;&gt;"",UPPER(TRIM(H2891)),IFERROR(CHOOSE(VALUE(E2891)+1,"A","B","C","D"),IF(OR(LEFT(UPPER(TRIM(E2891)),1)="F",UPPER(TRIM(E2891))="A"),"A",IF(OR(LEFT(UPPER(TRIM(E2891)),1)="M",UPPER(TRIM(E2891))="B"),"B",IF(OR(LEFT(UPPER(TRIM(E2891)),2)="SL",UPPER(TRIM(E2891))="C"),"C",IF(OR(LEFT(UPPER(TRIM(E2891)),1)="D",UPPER(TRIM(E2891))="D"),"D","")))))))</f>
        <v/>
      </c>
      <c r="J2891" s="27" t="str">
        <f aca="false">IF(I2891="","",IF(AND(I2891="D",Settings!$B$6&lt;&gt;"Yes"),"",IFERROR(INDEX(Settings!$C$9:$C$12,MATCH(I2891,Settings!$A$9:$A$12,0)),"")))</f>
        <v/>
      </c>
      <c r="K2891" s="27" t="str">
        <f aca="false">IF(J2891="","",COUNTIF($I$2:I2891,I2891))</f>
        <v/>
      </c>
      <c r="L2891" s="27" t="str">
        <f aca="false">IF(J2891="","",CHOOSE(Q2891+1,"Tue","Wed","Thu","Fri"))</f>
        <v/>
      </c>
      <c r="M2891" s="27" t="str">
        <f aca="false">IF(J2891="","",IF(J2891=1,"Every week",R2891+1&amp;" of "&amp;J2891))</f>
        <v/>
      </c>
      <c r="N2891" s="28" t="str">
        <f aca="false">IF(J2891="","",Settings!$B$4+R2891*7+Q2891)</f>
        <v/>
      </c>
      <c r="O2891" s="28" t="str">
        <f aca="true">IF(J2891="","",N2891+MAX(0,ROUNDUP((TODAY()-N2891)/(J2891*7),0))*J2891*7)</f>
        <v/>
      </c>
      <c r="P2891" s="27" t="str">
        <f aca="false">IF(J2891="","",MOD(K2891-1,J2891*4))</f>
        <v/>
      </c>
      <c r="Q2891" s="27" t="str">
        <f aca="false">IF(J2891="","",MOD(P2891,4))</f>
        <v/>
      </c>
      <c r="R2891" s="27" t="str">
        <f aca="false">IF(J2891="","",INT(P2891/4))</f>
        <v/>
      </c>
      <c r="S2891" s="27" t="str">
        <f aca="false">IF(J2891="","",IF(AND('Daily Count Sheet'!$H$3=Q2891,MOD('Daily Count Sheet'!$I$3,J2891)=R2891),1,""))</f>
        <v/>
      </c>
      <c r="T2891" s="27" t="str">
        <f aca="false">IF(S2891=1,COUNTIF($S$2:S2891,1),"")</f>
        <v/>
      </c>
    </row>
    <row r="2892" customFormat="false" ht="15" hidden="false" customHeight="false" outlineLevel="0" collapsed="false">
      <c r="H2892" s="26"/>
      <c r="I2892" s="27" t="str">
        <f aca="false">IF(A2892="","",IF(H2892&lt;&gt;"",UPPER(TRIM(H2892)),IFERROR(CHOOSE(VALUE(E2892)+1,"A","B","C","D"),IF(OR(LEFT(UPPER(TRIM(E2892)),1)="F",UPPER(TRIM(E2892))="A"),"A",IF(OR(LEFT(UPPER(TRIM(E2892)),1)="M",UPPER(TRIM(E2892))="B"),"B",IF(OR(LEFT(UPPER(TRIM(E2892)),2)="SL",UPPER(TRIM(E2892))="C"),"C",IF(OR(LEFT(UPPER(TRIM(E2892)),1)="D",UPPER(TRIM(E2892))="D"),"D","")))))))</f>
        <v/>
      </c>
      <c r="J2892" s="27" t="str">
        <f aca="false">IF(I2892="","",IF(AND(I2892="D",Settings!$B$6&lt;&gt;"Yes"),"",IFERROR(INDEX(Settings!$C$9:$C$12,MATCH(I2892,Settings!$A$9:$A$12,0)),"")))</f>
        <v/>
      </c>
      <c r="K2892" s="27" t="str">
        <f aca="false">IF(J2892="","",COUNTIF($I$2:I2892,I2892))</f>
        <v/>
      </c>
      <c r="L2892" s="27" t="str">
        <f aca="false">IF(J2892="","",CHOOSE(Q2892+1,"Tue","Wed","Thu","Fri"))</f>
        <v/>
      </c>
      <c r="M2892" s="27" t="str">
        <f aca="false">IF(J2892="","",IF(J2892=1,"Every week",R2892+1&amp;" of "&amp;J2892))</f>
        <v/>
      </c>
      <c r="N2892" s="28" t="str">
        <f aca="false">IF(J2892="","",Settings!$B$4+R2892*7+Q2892)</f>
        <v/>
      </c>
      <c r="O2892" s="28" t="str">
        <f aca="true">IF(J2892="","",N2892+MAX(0,ROUNDUP((TODAY()-N2892)/(J2892*7),0))*J2892*7)</f>
        <v/>
      </c>
      <c r="P2892" s="27" t="str">
        <f aca="false">IF(J2892="","",MOD(K2892-1,J2892*4))</f>
        <v/>
      </c>
      <c r="Q2892" s="27" t="str">
        <f aca="false">IF(J2892="","",MOD(P2892,4))</f>
        <v/>
      </c>
      <c r="R2892" s="27" t="str">
        <f aca="false">IF(J2892="","",INT(P2892/4))</f>
        <v/>
      </c>
      <c r="S2892" s="27" t="str">
        <f aca="false">IF(J2892="","",IF(AND('Daily Count Sheet'!$H$3=Q2892,MOD('Daily Count Sheet'!$I$3,J2892)=R2892),1,""))</f>
        <v/>
      </c>
      <c r="T2892" s="27" t="str">
        <f aca="false">IF(S2892=1,COUNTIF($S$2:S2892,1),"")</f>
        <v/>
      </c>
    </row>
    <row r="2893" customFormat="false" ht="15" hidden="false" customHeight="false" outlineLevel="0" collapsed="false">
      <c r="H2893" s="26"/>
      <c r="I2893" s="27" t="str">
        <f aca="false">IF(A2893="","",IF(H2893&lt;&gt;"",UPPER(TRIM(H2893)),IFERROR(CHOOSE(VALUE(E2893)+1,"A","B","C","D"),IF(OR(LEFT(UPPER(TRIM(E2893)),1)="F",UPPER(TRIM(E2893))="A"),"A",IF(OR(LEFT(UPPER(TRIM(E2893)),1)="M",UPPER(TRIM(E2893))="B"),"B",IF(OR(LEFT(UPPER(TRIM(E2893)),2)="SL",UPPER(TRIM(E2893))="C"),"C",IF(OR(LEFT(UPPER(TRIM(E2893)),1)="D",UPPER(TRIM(E2893))="D"),"D","")))))))</f>
        <v/>
      </c>
      <c r="J2893" s="27" t="str">
        <f aca="false">IF(I2893="","",IF(AND(I2893="D",Settings!$B$6&lt;&gt;"Yes"),"",IFERROR(INDEX(Settings!$C$9:$C$12,MATCH(I2893,Settings!$A$9:$A$12,0)),"")))</f>
        <v/>
      </c>
      <c r="K2893" s="27" t="str">
        <f aca="false">IF(J2893="","",COUNTIF($I$2:I2893,I2893))</f>
        <v/>
      </c>
      <c r="L2893" s="27" t="str">
        <f aca="false">IF(J2893="","",CHOOSE(Q2893+1,"Tue","Wed","Thu","Fri"))</f>
        <v/>
      </c>
      <c r="M2893" s="27" t="str">
        <f aca="false">IF(J2893="","",IF(J2893=1,"Every week",R2893+1&amp;" of "&amp;J2893))</f>
        <v/>
      </c>
      <c r="N2893" s="28" t="str">
        <f aca="false">IF(J2893="","",Settings!$B$4+R2893*7+Q2893)</f>
        <v/>
      </c>
      <c r="O2893" s="28" t="str">
        <f aca="true">IF(J2893="","",N2893+MAX(0,ROUNDUP((TODAY()-N2893)/(J2893*7),0))*J2893*7)</f>
        <v/>
      </c>
      <c r="P2893" s="27" t="str">
        <f aca="false">IF(J2893="","",MOD(K2893-1,J2893*4))</f>
        <v/>
      </c>
      <c r="Q2893" s="27" t="str">
        <f aca="false">IF(J2893="","",MOD(P2893,4))</f>
        <v/>
      </c>
      <c r="R2893" s="27" t="str">
        <f aca="false">IF(J2893="","",INT(P2893/4))</f>
        <v/>
      </c>
      <c r="S2893" s="27" t="str">
        <f aca="false">IF(J2893="","",IF(AND('Daily Count Sheet'!$H$3=Q2893,MOD('Daily Count Sheet'!$I$3,J2893)=R2893),1,""))</f>
        <v/>
      </c>
      <c r="T2893" s="27" t="str">
        <f aca="false">IF(S2893=1,COUNTIF($S$2:S2893,1),"")</f>
        <v/>
      </c>
    </row>
    <row r="2894" customFormat="false" ht="15" hidden="false" customHeight="false" outlineLevel="0" collapsed="false">
      <c r="H2894" s="26"/>
      <c r="I2894" s="27" t="str">
        <f aca="false">IF(A2894="","",IF(H2894&lt;&gt;"",UPPER(TRIM(H2894)),IFERROR(CHOOSE(VALUE(E2894)+1,"A","B","C","D"),IF(OR(LEFT(UPPER(TRIM(E2894)),1)="F",UPPER(TRIM(E2894))="A"),"A",IF(OR(LEFT(UPPER(TRIM(E2894)),1)="M",UPPER(TRIM(E2894))="B"),"B",IF(OR(LEFT(UPPER(TRIM(E2894)),2)="SL",UPPER(TRIM(E2894))="C"),"C",IF(OR(LEFT(UPPER(TRIM(E2894)),1)="D",UPPER(TRIM(E2894))="D"),"D","")))))))</f>
        <v/>
      </c>
      <c r="J2894" s="27" t="str">
        <f aca="false">IF(I2894="","",IF(AND(I2894="D",Settings!$B$6&lt;&gt;"Yes"),"",IFERROR(INDEX(Settings!$C$9:$C$12,MATCH(I2894,Settings!$A$9:$A$12,0)),"")))</f>
        <v/>
      </c>
      <c r="K2894" s="27" t="str">
        <f aca="false">IF(J2894="","",COUNTIF($I$2:I2894,I2894))</f>
        <v/>
      </c>
      <c r="L2894" s="27" t="str">
        <f aca="false">IF(J2894="","",CHOOSE(Q2894+1,"Tue","Wed","Thu","Fri"))</f>
        <v/>
      </c>
      <c r="M2894" s="27" t="str">
        <f aca="false">IF(J2894="","",IF(J2894=1,"Every week",R2894+1&amp;" of "&amp;J2894))</f>
        <v/>
      </c>
      <c r="N2894" s="28" t="str">
        <f aca="false">IF(J2894="","",Settings!$B$4+R2894*7+Q2894)</f>
        <v/>
      </c>
      <c r="O2894" s="28" t="str">
        <f aca="true">IF(J2894="","",N2894+MAX(0,ROUNDUP((TODAY()-N2894)/(J2894*7),0))*J2894*7)</f>
        <v/>
      </c>
      <c r="P2894" s="27" t="str">
        <f aca="false">IF(J2894="","",MOD(K2894-1,J2894*4))</f>
        <v/>
      </c>
      <c r="Q2894" s="27" t="str">
        <f aca="false">IF(J2894="","",MOD(P2894,4))</f>
        <v/>
      </c>
      <c r="R2894" s="27" t="str">
        <f aca="false">IF(J2894="","",INT(P2894/4))</f>
        <v/>
      </c>
      <c r="S2894" s="27" t="str">
        <f aca="false">IF(J2894="","",IF(AND('Daily Count Sheet'!$H$3=Q2894,MOD('Daily Count Sheet'!$I$3,J2894)=R2894),1,""))</f>
        <v/>
      </c>
      <c r="T2894" s="27" t="str">
        <f aca="false">IF(S2894=1,COUNTIF($S$2:S2894,1),"")</f>
        <v/>
      </c>
    </row>
    <row r="2895" customFormat="false" ht="15" hidden="false" customHeight="false" outlineLevel="0" collapsed="false">
      <c r="H2895" s="26"/>
      <c r="I2895" s="27" t="str">
        <f aca="false">IF(A2895="","",IF(H2895&lt;&gt;"",UPPER(TRIM(H2895)),IFERROR(CHOOSE(VALUE(E2895)+1,"A","B","C","D"),IF(OR(LEFT(UPPER(TRIM(E2895)),1)="F",UPPER(TRIM(E2895))="A"),"A",IF(OR(LEFT(UPPER(TRIM(E2895)),1)="M",UPPER(TRIM(E2895))="B"),"B",IF(OR(LEFT(UPPER(TRIM(E2895)),2)="SL",UPPER(TRIM(E2895))="C"),"C",IF(OR(LEFT(UPPER(TRIM(E2895)),1)="D",UPPER(TRIM(E2895))="D"),"D","")))))))</f>
        <v/>
      </c>
      <c r="J2895" s="27" t="str">
        <f aca="false">IF(I2895="","",IF(AND(I2895="D",Settings!$B$6&lt;&gt;"Yes"),"",IFERROR(INDEX(Settings!$C$9:$C$12,MATCH(I2895,Settings!$A$9:$A$12,0)),"")))</f>
        <v/>
      </c>
      <c r="K2895" s="27" t="str">
        <f aca="false">IF(J2895="","",COUNTIF($I$2:I2895,I2895))</f>
        <v/>
      </c>
      <c r="L2895" s="27" t="str">
        <f aca="false">IF(J2895="","",CHOOSE(Q2895+1,"Tue","Wed","Thu","Fri"))</f>
        <v/>
      </c>
      <c r="M2895" s="27" t="str">
        <f aca="false">IF(J2895="","",IF(J2895=1,"Every week",R2895+1&amp;" of "&amp;J2895))</f>
        <v/>
      </c>
      <c r="N2895" s="28" t="str">
        <f aca="false">IF(J2895="","",Settings!$B$4+R2895*7+Q2895)</f>
        <v/>
      </c>
      <c r="O2895" s="28" t="str">
        <f aca="true">IF(J2895="","",N2895+MAX(0,ROUNDUP((TODAY()-N2895)/(J2895*7),0))*J2895*7)</f>
        <v/>
      </c>
      <c r="P2895" s="27" t="str">
        <f aca="false">IF(J2895="","",MOD(K2895-1,J2895*4))</f>
        <v/>
      </c>
      <c r="Q2895" s="27" t="str">
        <f aca="false">IF(J2895="","",MOD(P2895,4))</f>
        <v/>
      </c>
      <c r="R2895" s="27" t="str">
        <f aca="false">IF(J2895="","",INT(P2895/4))</f>
        <v/>
      </c>
      <c r="S2895" s="27" t="str">
        <f aca="false">IF(J2895="","",IF(AND('Daily Count Sheet'!$H$3=Q2895,MOD('Daily Count Sheet'!$I$3,J2895)=R2895),1,""))</f>
        <v/>
      </c>
      <c r="T2895" s="27" t="str">
        <f aca="false">IF(S2895=1,COUNTIF($S$2:S2895,1),"")</f>
        <v/>
      </c>
    </row>
    <row r="2896" customFormat="false" ht="15" hidden="false" customHeight="false" outlineLevel="0" collapsed="false">
      <c r="H2896" s="26"/>
      <c r="I2896" s="27" t="str">
        <f aca="false">IF(A2896="","",IF(H2896&lt;&gt;"",UPPER(TRIM(H2896)),IFERROR(CHOOSE(VALUE(E2896)+1,"A","B","C","D"),IF(OR(LEFT(UPPER(TRIM(E2896)),1)="F",UPPER(TRIM(E2896))="A"),"A",IF(OR(LEFT(UPPER(TRIM(E2896)),1)="M",UPPER(TRIM(E2896))="B"),"B",IF(OR(LEFT(UPPER(TRIM(E2896)),2)="SL",UPPER(TRIM(E2896))="C"),"C",IF(OR(LEFT(UPPER(TRIM(E2896)),1)="D",UPPER(TRIM(E2896))="D"),"D","")))))))</f>
        <v/>
      </c>
      <c r="J2896" s="27" t="str">
        <f aca="false">IF(I2896="","",IF(AND(I2896="D",Settings!$B$6&lt;&gt;"Yes"),"",IFERROR(INDEX(Settings!$C$9:$C$12,MATCH(I2896,Settings!$A$9:$A$12,0)),"")))</f>
        <v/>
      </c>
      <c r="K2896" s="27" t="str">
        <f aca="false">IF(J2896="","",COUNTIF($I$2:I2896,I2896))</f>
        <v/>
      </c>
      <c r="L2896" s="27" t="str">
        <f aca="false">IF(J2896="","",CHOOSE(Q2896+1,"Tue","Wed","Thu","Fri"))</f>
        <v/>
      </c>
      <c r="M2896" s="27" t="str">
        <f aca="false">IF(J2896="","",IF(J2896=1,"Every week",R2896+1&amp;" of "&amp;J2896))</f>
        <v/>
      </c>
      <c r="N2896" s="28" t="str">
        <f aca="false">IF(J2896="","",Settings!$B$4+R2896*7+Q2896)</f>
        <v/>
      </c>
      <c r="O2896" s="28" t="str">
        <f aca="true">IF(J2896="","",N2896+MAX(0,ROUNDUP((TODAY()-N2896)/(J2896*7),0))*J2896*7)</f>
        <v/>
      </c>
      <c r="P2896" s="27" t="str">
        <f aca="false">IF(J2896="","",MOD(K2896-1,J2896*4))</f>
        <v/>
      </c>
      <c r="Q2896" s="27" t="str">
        <f aca="false">IF(J2896="","",MOD(P2896,4))</f>
        <v/>
      </c>
      <c r="R2896" s="27" t="str">
        <f aca="false">IF(J2896="","",INT(P2896/4))</f>
        <v/>
      </c>
      <c r="S2896" s="27" t="str">
        <f aca="false">IF(J2896="","",IF(AND('Daily Count Sheet'!$H$3=Q2896,MOD('Daily Count Sheet'!$I$3,J2896)=R2896),1,""))</f>
        <v/>
      </c>
      <c r="T2896" s="27" t="str">
        <f aca="false">IF(S2896=1,COUNTIF($S$2:S2896,1),"")</f>
        <v/>
      </c>
    </row>
    <row r="2897" customFormat="false" ht="15" hidden="false" customHeight="false" outlineLevel="0" collapsed="false">
      <c r="H2897" s="26"/>
      <c r="I2897" s="27" t="str">
        <f aca="false">IF(A2897="","",IF(H2897&lt;&gt;"",UPPER(TRIM(H2897)),IFERROR(CHOOSE(VALUE(E2897)+1,"A","B","C","D"),IF(OR(LEFT(UPPER(TRIM(E2897)),1)="F",UPPER(TRIM(E2897))="A"),"A",IF(OR(LEFT(UPPER(TRIM(E2897)),1)="M",UPPER(TRIM(E2897))="B"),"B",IF(OR(LEFT(UPPER(TRIM(E2897)),2)="SL",UPPER(TRIM(E2897))="C"),"C",IF(OR(LEFT(UPPER(TRIM(E2897)),1)="D",UPPER(TRIM(E2897))="D"),"D","")))))))</f>
        <v/>
      </c>
      <c r="J2897" s="27" t="str">
        <f aca="false">IF(I2897="","",IF(AND(I2897="D",Settings!$B$6&lt;&gt;"Yes"),"",IFERROR(INDEX(Settings!$C$9:$C$12,MATCH(I2897,Settings!$A$9:$A$12,0)),"")))</f>
        <v/>
      </c>
      <c r="K2897" s="27" t="str">
        <f aca="false">IF(J2897="","",COUNTIF($I$2:I2897,I2897))</f>
        <v/>
      </c>
      <c r="L2897" s="27" t="str">
        <f aca="false">IF(J2897="","",CHOOSE(Q2897+1,"Tue","Wed","Thu","Fri"))</f>
        <v/>
      </c>
      <c r="M2897" s="27" t="str">
        <f aca="false">IF(J2897="","",IF(J2897=1,"Every week",R2897+1&amp;" of "&amp;J2897))</f>
        <v/>
      </c>
      <c r="N2897" s="28" t="str">
        <f aca="false">IF(J2897="","",Settings!$B$4+R2897*7+Q2897)</f>
        <v/>
      </c>
      <c r="O2897" s="28" t="str">
        <f aca="true">IF(J2897="","",N2897+MAX(0,ROUNDUP((TODAY()-N2897)/(J2897*7),0))*J2897*7)</f>
        <v/>
      </c>
      <c r="P2897" s="27" t="str">
        <f aca="false">IF(J2897="","",MOD(K2897-1,J2897*4))</f>
        <v/>
      </c>
      <c r="Q2897" s="27" t="str">
        <f aca="false">IF(J2897="","",MOD(P2897,4))</f>
        <v/>
      </c>
      <c r="R2897" s="27" t="str">
        <f aca="false">IF(J2897="","",INT(P2897/4))</f>
        <v/>
      </c>
      <c r="S2897" s="27" t="str">
        <f aca="false">IF(J2897="","",IF(AND('Daily Count Sheet'!$H$3=Q2897,MOD('Daily Count Sheet'!$I$3,J2897)=R2897),1,""))</f>
        <v/>
      </c>
      <c r="T2897" s="27" t="str">
        <f aca="false">IF(S2897=1,COUNTIF($S$2:S2897,1),"")</f>
        <v/>
      </c>
    </row>
    <row r="2898" customFormat="false" ht="15" hidden="false" customHeight="false" outlineLevel="0" collapsed="false">
      <c r="H2898" s="26"/>
      <c r="I2898" s="27" t="str">
        <f aca="false">IF(A2898="","",IF(H2898&lt;&gt;"",UPPER(TRIM(H2898)),IFERROR(CHOOSE(VALUE(E2898)+1,"A","B","C","D"),IF(OR(LEFT(UPPER(TRIM(E2898)),1)="F",UPPER(TRIM(E2898))="A"),"A",IF(OR(LEFT(UPPER(TRIM(E2898)),1)="M",UPPER(TRIM(E2898))="B"),"B",IF(OR(LEFT(UPPER(TRIM(E2898)),2)="SL",UPPER(TRIM(E2898))="C"),"C",IF(OR(LEFT(UPPER(TRIM(E2898)),1)="D",UPPER(TRIM(E2898))="D"),"D","")))))))</f>
        <v/>
      </c>
      <c r="J2898" s="27" t="str">
        <f aca="false">IF(I2898="","",IF(AND(I2898="D",Settings!$B$6&lt;&gt;"Yes"),"",IFERROR(INDEX(Settings!$C$9:$C$12,MATCH(I2898,Settings!$A$9:$A$12,0)),"")))</f>
        <v/>
      </c>
      <c r="K2898" s="27" t="str">
        <f aca="false">IF(J2898="","",COUNTIF($I$2:I2898,I2898))</f>
        <v/>
      </c>
      <c r="L2898" s="27" t="str">
        <f aca="false">IF(J2898="","",CHOOSE(Q2898+1,"Tue","Wed","Thu","Fri"))</f>
        <v/>
      </c>
      <c r="M2898" s="27" t="str">
        <f aca="false">IF(J2898="","",IF(J2898=1,"Every week",R2898+1&amp;" of "&amp;J2898))</f>
        <v/>
      </c>
      <c r="N2898" s="28" t="str">
        <f aca="false">IF(J2898="","",Settings!$B$4+R2898*7+Q2898)</f>
        <v/>
      </c>
      <c r="O2898" s="28" t="str">
        <f aca="true">IF(J2898="","",N2898+MAX(0,ROUNDUP((TODAY()-N2898)/(J2898*7),0))*J2898*7)</f>
        <v/>
      </c>
      <c r="P2898" s="27" t="str">
        <f aca="false">IF(J2898="","",MOD(K2898-1,J2898*4))</f>
        <v/>
      </c>
      <c r="Q2898" s="27" t="str">
        <f aca="false">IF(J2898="","",MOD(P2898,4))</f>
        <v/>
      </c>
      <c r="R2898" s="27" t="str">
        <f aca="false">IF(J2898="","",INT(P2898/4))</f>
        <v/>
      </c>
      <c r="S2898" s="27" t="str">
        <f aca="false">IF(J2898="","",IF(AND('Daily Count Sheet'!$H$3=Q2898,MOD('Daily Count Sheet'!$I$3,J2898)=R2898),1,""))</f>
        <v/>
      </c>
      <c r="T2898" s="27" t="str">
        <f aca="false">IF(S2898=1,COUNTIF($S$2:S2898,1),"")</f>
        <v/>
      </c>
    </row>
    <row r="2899" customFormat="false" ht="15" hidden="false" customHeight="false" outlineLevel="0" collapsed="false">
      <c r="H2899" s="26"/>
      <c r="I2899" s="27" t="str">
        <f aca="false">IF(A2899="","",IF(H2899&lt;&gt;"",UPPER(TRIM(H2899)),IFERROR(CHOOSE(VALUE(E2899)+1,"A","B","C","D"),IF(OR(LEFT(UPPER(TRIM(E2899)),1)="F",UPPER(TRIM(E2899))="A"),"A",IF(OR(LEFT(UPPER(TRIM(E2899)),1)="M",UPPER(TRIM(E2899))="B"),"B",IF(OR(LEFT(UPPER(TRIM(E2899)),2)="SL",UPPER(TRIM(E2899))="C"),"C",IF(OR(LEFT(UPPER(TRIM(E2899)),1)="D",UPPER(TRIM(E2899))="D"),"D","")))))))</f>
        <v/>
      </c>
      <c r="J2899" s="27" t="str">
        <f aca="false">IF(I2899="","",IF(AND(I2899="D",Settings!$B$6&lt;&gt;"Yes"),"",IFERROR(INDEX(Settings!$C$9:$C$12,MATCH(I2899,Settings!$A$9:$A$12,0)),"")))</f>
        <v/>
      </c>
      <c r="K2899" s="27" t="str">
        <f aca="false">IF(J2899="","",COUNTIF($I$2:I2899,I2899))</f>
        <v/>
      </c>
      <c r="L2899" s="27" t="str">
        <f aca="false">IF(J2899="","",CHOOSE(Q2899+1,"Tue","Wed","Thu","Fri"))</f>
        <v/>
      </c>
      <c r="M2899" s="27" t="str">
        <f aca="false">IF(J2899="","",IF(J2899=1,"Every week",R2899+1&amp;" of "&amp;J2899))</f>
        <v/>
      </c>
      <c r="N2899" s="28" t="str">
        <f aca="false">IF(J2899="","",Settings!$B$4+R2899*7+Q2899)</f>
        <v/>
      </c>
      <c r="O2899" s="28" t="str">
        <f aca="true">IF(J2899="","",N2899+MAX(0,ROUNDUP((TODAY()-N2899)/(J2899*7),0))*J2899*7)</f>
        <v/>
      </c>
      <c r="P2899" s="27" t="str">
        <f aca="false">IF(J2899="","",MOD(K2899-1,J2899*4))</f>
        <v/>
      </c>
      <c r="Q2899" s="27" t="str">
        <f aca="false">IF(J2899="","",MOD(P2899,4))</f>
        <v/>
      </c>
      <c r="R2899" s="27" t="str">
        <f aca="false">IF(J2899="","",INT(P2899/4))</f>
        <v/>
      </c>
      <c r="S2899" s="27" t="str">
        <f aca="false">IF(J2899="","",IF(AND('Daily Count Sheet'!$H$3=Q2899,MOD('Daily Count Sheet'!$I$3,J2899)=R2899),1,""))</f>
        <v/>
      </c>
      <c r="T2899" s="27" t="str">
        <f aca="false">IF(S2899=1,COUNTIF($S$2:S2899,1),"")</f>
        <v/>
      </c>
    </row>
    <row r="2900" customFormat="false" ht="15" hidden="false" customHeight="false" outlineLevel="0" collapsed="false">
      <c r="H2900" s="26"/>
      <c r="I2900" s="27" t="str">
        <f aca="false">IF(A2900="","",IF(H2900&lt;&gt;"",UPPER(TRIM(H2900)),IFERROR(CHOOSE(VALUE(E2900)+1,"A","B","C","D"),IF(OR(LEFT(UPPER(TRIM(E2900)),1)="F",UPPER(TRIM(E2900))="A"),"A",IF(OR(LEFT(UPPER(TRIM(E2900)),1)="M",UPPER(TRIM(E2900))="B"),"B",IF(OR(LEFT(UPPER(TRIM(E2900)),2)="SL",UPPER(TRIM(E2900))="C"),"C",IF(OR(LEFT(UPPER(TRIM(E2900)),1)="D",UPPER(TRIM(E2900))="D"),"D","")))))))</f>
        <v/>
      </c>
      <c r="J2900" s="27" t="str">
        <f aca="false">IF(I2900="","",IF(AND(I2900="D",Settings!$B$6&lt;&gt;"Yes"),"",IFERROR(INDEX(Settings!$C$9:$C$12,MATCH(I2900,Settings!$A$9:$A$12,0)),"")))</f>
        <v/>
      </c>
      <c r="K2900" s="27" t="str">
        <f aca="false">IF(J2900="","",COUNTIF($I$2:I2900,I2900))</f>
        <v/>
      </c>
      <c r="L2900" s="27" t="str">
        <f aca="false">IF(J2900="","",CHOOSE(Q2900+1,"Tue","Wed","Thu","Fri"))</f>
        <v/>
      </c>
      <c r="M2900" s="27" t="str">
        <f aca="false">IF(J2900="","",IF(J2900=1,"Every week",R2900+1&amp;" of "&amp;J2900))</f>
        <v/>
      </c>
      <c r="N2900" s="28" t="str">
        <f aca="false">IF(J2900="","",Settings!$B$4+R2900*7+Q2900)</f>
        <v/>
      </c>
      <c r="O2900" s="28" t="str">
        <f aca="true">IF(J2900="","",N2900+MAX(0,ROUNDUP((TODAY()-N2900)/(J2900*7),0))*J2900*7)</f>
        <v/>
      </c>
      <c r="P2900" s="27" t="str">
        <f aca="false">IF(J2900="","",MOD(K2900-1,J2900*4))</f>
        <v/>
      </c>
      <c r="Q2900" s="27" t="str">
        <f aca="false">IF(J2900="","",MOD(P2900,4))</f>
        <v/>
      </c>
      <c r="R2900" s="27" t="str">
        <f aca="false">IF(J2900="","",INT(P2900/4))</f>
        <v/>
      </c>
      <c r="S2900" s="27" t="str">
        <f aca="false">IF(J2900="","",IF(AND('Daily Count Sheet'!$H$3=Q2900,MOD('Daily Count Sheet'!$I$3,J2900)=R2900),1,""))</f>
        <v/>
      </c>
      <c r="T2900" s="27" t="str">
        <f aca="false">IF(S2900=1,COUNTIF($S$2:S2900,1),"")</f>
        <v/>
      </c>
    </row>
    <row r="2901" customFormat="false" ht="15" hidden="false" customHeight="false" outlineLevel="0" collapsed="false">
      <c r="H2901" s="26"/>
      <c r="I2901" s="27" t="str">
        <f aca="false">IF(A2901="","",IF(H2901&lt;&gt;"",UPPER(TRIM(H2901)),IFERROR(CHOOSE(VALUE(E2901)+1,"A","B","C","D"),IF(OR(LEFT(UPPER(TRIM(E2901)),1)="F",UPPER(TRIM(E2901))="A"),"A",IF(OR(LEFT(UPPER(TRIM(E2901)),1)="M",UPPER(TRIM(E2901))="B"),"B",IF(OR(LEFT(UPPER(TRIM(E2901)),2)="SL",UPPER(TRIM(E2901))="C"),"C",IF(OR(LEFT(UPPER(TRIM(E2901)),1)="D",UPPER(TRIM(E2901))="D"),"D","")))))))</f>
        <v/>
      </c>
      <c r="J2901" s="27" t="str">
        <f aca="false">IF(I2901="","",IF(AND(I2901="D",Settings!$B$6&lt;&gt;"Yes"),"",IFERROR(INDEX(Settings!$C$9:$C$12,MATCH(I2901,Settings!$A$9:$A$12,0)),"")))</f>
        <v/>
      </c>
      <c r="K2901" s="27" t="str">
        <f aca="false">IF(J2901="","",COUNTIF($I$2:I2901,I2901))</f>
        <v/>
      </c>
      <c r="L2901" s="27" t="str">
        <f aca="false">IF(J2901="","",CHOOSE(Q2901+1,"Tue","Wed","Thu","Fri"))</f>
        <v/>
      </c>
      <c r="M2901" s="27" t="str">
        <f aca="false">IF(J2901="","",IF(J2901=1,"Every week",R2901+1&amp;" of "&amp;J2901))</f>
        <v/>
      </c>
      <c r="N2901" s="28" t="str">
        <f aca="false">IF(J2901="","",Settings!$B$4+R2901*7+Q2901)</f>
        <v/>
      </c>
      <c r="O2901" s="28" t="str">
        <f aca="true">IF(J2901="","",N2901+MAX(0,ROUNDUP((TODAY()-N2901)/(J2901*7),0))*J2901*7)</f>
        <v/>
      </c>
      <c r="P2901" s="27" t="str">
        <f aca="false">IF(J2901="","",MOD(K2901-1,J2901*4))</f>
        <v/>
      </c>
      <c r="Q2901" s="27" t="str">
        <f aca="false">IF(J2901="","",MOD(P2901,4))</f>
        <v/>
      </c>
      <c r="R2901" s="27" t="str">
        <f aca="false">IF(J2901="","",INT(P2901/4))</f>
        <v/>
      </c>
      <c r="S2901" s="27" t="str">
        <f aca="false">IF(J2901="","",IF(AND('Daily Count Sheet'!$H$3=Q2901,MOD('Daily Count Sheet'!$I$3,J2901)=R2901),1,""))</f>
        <v/>
      </c>
      <c r="T2901" s="27" t="str">
        <f aca="false">IF(S2901=1,COUNTIF($S$2:S2901,1),"")</f>
        <v/>
      </c>
    </row>
    <row r="2902" customFormat="false" ht="15" hidden="false" customHeight="false" outlineLevel="0" collapsed="false">
      <c r="H2902" s="26"/>
      <c r="I2902" s="27" t="str">
        <f aca="false">IF(A2902="","",IF(H2902&lt;&gt;"",UPPER(TRIM(H2902)),IFERROR(CHOOSE(VALUE(E2902)+1,"A","B","C","D"),IF(OR(LEFT(UPPER(TRIM(E2902)),1)="F",UPPER(TRIM(E2902))="A"),"A",IF(OR(LEFT(UPPER(TRIM(E2902)),1)="M",UPPER(TRIM(E2902))="B"),"B",IF(OR(LEFT(UPPER(TRIM(E2902)),2)="SL",UPPER(TRIM(E2902))="C"),"C",IF(OR(LEFT(UPPER(TRIM(E2902)),1)="D",UPPER(TRIM(E2902))="D"),"D","")))))))</f>
        <v/>
      </c>
      <c r="J2902" s="27" t="str">
        <f aca="false">IF(I2902="","",IF(AND(I2902="D",Settings!$B$6&lt;&gt;"Yes"),"",IFERROR(INDEX(Settings!$C$9:$C$12,MATCH(I2902,Settings!$A$9:$A$12,0)),"")))</f>
        <v/>
      </c>
      <c r="K2902" s="27" t="str">
        <f aca="false">IF(J2902="","",COUNTIF($I$2:I2902,I2902))</f>
        <v/>
      </c>
      <c r="L2902" s="27" t="str">
        <f aca="false">IF(J2902="","",CHOOSE(Q2902+1,"Tue","Wed","Thu","Fri"))</f>
        <v/>
      </c>
      <c r="M2902" s="27" t="str">
        <f aca="false">IF(J2902="","",IF(J2902=1,"Every week",R2902+1&amp;" of "&amp;J2902))</f>
        <v/>
      </c>
      <c r="N2902" s="28" t="str">
        <f aca="false">IF(J2902="","",Settings!$B$4+R2902*7+Q2902)</f>
        <v/>
      </c>
      <c r="O2902" s="28" t="str">
        <f aca="true">IF(J2902="","",N2902+MAX(0,ROUNDUP((TODAY()-N2902)/(J2902*7),0))*J2902*7)</f>
        <v/>
      </c>
      <c r="P2902" s="27" t="str">
        <f aca="false">IF(J2902="","",MOD(K2902-1,J2902*4))</f>
        <v/>
      </c>
      <c r="Q2902" s="27" t="str">
        <f aca="false">IF(J2902="","",MOD(P2902,4))</f>
        <v/>
      </c>
      <c r="R2902" s="27" t="str">
        <f aca="false">IF(J2902="","",INT(P2902/4))</f>
        <v/>
      </c>
      <c r="S2902" s="27" t="str">
        <f aca="false">IF(J2902="","",IF(AND('Daily Count Sheet'!$H$3=Q2902,MOD('Daily Count Sheet'!$I$3,J2902)=R2902),1,""))</f>
        <v/>
      </c>
      <c r="T2902" s="27" t="str">
        <f aca="false">IF(S2902=1,COUNTIF($S$2:S2902,1),"")</f>
        <v/>
      </c>
    </row>
    <row r="2903" customFormat="false" ht="15" hidden="false" customHeight="false" outlineLevel="0" collapsed="false">
      <c r="H2903" s="26"/>
      <c r="I2903" s="27" t="str">
        <f aca="false">IF(A2903="","",IF(H2903&lt;&gt;"",UPPER(TRIM(H2903)),IFERROR(CHOOSE(VALUE(E2903)+1,"A","B","C","D"),IF(OR(LEFT(UPPER(TRIM(E2903)),1)="F",UPPER(TRIM(E2903))="A"),"A",IF(OR(LEFT(UPPER(TRIM(E2903)),1)="M",UPPER(TRIM(E2903))="B"),"B",IF(OR(LEFT(UPPER(TRIM(E2903)),2)="SL",UPPER(TRIM(E2903))="C"),"C",IF(OR(LEFT(UPPER(TRIM(E2903)),1)="D",UPPER(TRIM(E2903))="D"),"D","")))))))</f>
        <v/>
      </c>
      <c r="J2903" s="27" t="str">
        <f aca="false">IF(I2903="","",IF(AND(I2903="D",Settings!$B$6&lt;&gt;"Yes"),"",IFERROR(INDEX(Settings!$C$9:$C$12,MATCH(I2903,Settings!$A$9:$A$12,0)),"")))</f>
        <v/>
      </c>
      <c r="K2903" s="27" t="str">
        <f aca="false">IF(J2903="","",COUNTIF($I$2:I2903,I2903))</f>
        <v/>
      </c>
      <c r="L2903" s="27" t="str">
        <f aca="false">IF(J2903="","",CHOOSE(Q2903+1,"Tue","Wed","Thu","Fri"))</f>
        <v/>
      </c>
      <c r="M2903" s="27" t="str">
        <f aca="false">IF(J2903="","",IF(J2903=1,"Every week",R2903+1&amp;" of "&amp;J2903))</f>
        <v/>
      </c>
      <c r="N2903" s="28" t="str">
        <f aca="false">IF(J2903="","",Settings!$B$4+R2903*7+Q2903)</f>
        <v/>
      </c>
      <c r="O2903" s="28" t="str">
        <f aca="true">IF(J2903="","",N2903+MAX(0,ROUNDUP((TODAY()-N2903)/(J2903*7),0))*J2903*7)</f>
        <v/>
      </c>
      <c r="P2903" s="27" t="str">
        <f aca="false">IF(J2903="","",MOD(K2903-1,J2903*4))</f>
        <v/>
      </c>
      <c r="Q2903" s="27" t="str">
        <f aca="false">IF(J2903="","",MOD(P2903,4))</f>
        <v/>
      </c>
      <c r="R2903" s="27" t="str">
        <f aca="false">IF(J2903="","",INT(P2903/4))</f>
        <v/>
      </c>
      <c r="S2903" s="27" t="str">
        <f aca="false">IF(J2903="","",IF(AND('Daily Count Sheet'!$H$3=Q2903,MOD('Daily Count Sheet'!$I$3,J2903)=R2903),1,""))</f>
        <v/>
      </c>
      <c r="T2903" s="27" t="str">
        <f aca="false">IF(S2903=1,COUNTIF($S$2:S2903,1),"")</f>
        <v/>
      </c>
    </row>
    <row r="2904" customFormat="false" ht="15" hidden="false" customHeight="false" outlineLevel="0" collapsed="false">
      <c r="H2904" s="26"/>
      <c r="I2904" s="27" t="str">
        <f aca="false">IF(A2904="","",IF(H2904&lt;&gt;"",UPPER(TRIM(H2904)),IFERROR(CHOOSE(VALUE(E2904)+1,"A","B","C","D"),IF(OR(LEFT(UPPER(TRIM(E2904)),1)="F",UPPER(TRIM(E2904))="A"),"A",IF(OR(LEFT(UPPER(TRIM(E2904)),1)="M",UPPER(TRIM(E2904))="B"),"B",IF(OR(LEFT(UPPER(TRIM(E2904)),2)="SL",UPPER(TRIM(E2904))="C"),"C",IF(OR(LEFT(UPPER(TRIM(E2904)),1)="D",UPPER(TRIM(E2904))="D"),"D","")))))))</f>
        <v/>
      </c>
      <c r="J2904" s="27" t="str">
        <f aca="false">IF(I2904="","",IF(AND(I2904="D",Settings!$B$6&lt;&gt;"Yes"),"",IFERROR(INDEX(Settings!$C$9:$C$12,MATCH(I2904,Settings!$A$9:$A$12,0)),"")))</f>
        <v/>
      </c>
      <c r="K2904" s="27" t="str">
        <f aca="false">IF(J2904="","",COUNTIF($I$2:I2904,I2904))</f>
        <v/>
      </c>
      <c r="L2904" s="27" t="str">
        <f aca="false">IF(J2904="","",CHOOSE(Q2904+1,"Tue","Wed","Thu","Fri"))</f>
        <v/>
      </c>
      <c r="M2904" s="27" t="str">
        <f aca="false">IF(J2904="","",IF(J2904=1,"Every week",R2904+1&amp;" of "&amp;J2904))</f>
        <v/>
      </c>
      <c r="N2904" s="28" t="str">
        <f aca="false">IF(J2904="","",Settings!$B$4+R2904*7+Q2904)</f>
        <v/>
      </c>
      <c r="O2904" s="28" t="str">
        <f aca="true">IF(J2904="","",N2904+MAX(0,ROUNDUP((TODAY()-N2904)/(J2904*7),0))*J2904*7)</f>
        <v/>
      </c>
      <c r="P2904" s="27" t="str">
        <f aca="false">IF(J2904="","",MOD(K2904-1,J2904*4))</f>
        <v/>
      </c>
      <c r="Q2904" s="27" t="str">
        <f aca="false">IF(J2904="","",MOD(P2904,4))</f>
        <v/>
      </c>
      <c r="R2904" s="27" t="str">
        <f aca="false">IF(J2904="","",INT(P2904/4))</f>
        <v/>
      </c>
      <c r="S2904" s="27" t="str">
        <f aca="false">IF(J2904="","",IF(AND('Daily Count Sheet'!$H$3=Q2904,MOD('Daily Count Sheet'!$I$3,J2904)=R2904),1,""))</f>
        <v/>
      </c>
      <c r="T2904" s="27" t="str">
        <f aca="false">IF(S2904=1,COUNTIF($S$2:S2904,1),"")</f>
        <v/>
      </c>
    </row>
    <row r="2905" customFormat="false" ht="15" hidden="false" customHeight="false" outlineLevel="0" collapsed="false">
      <c r="H2905" s="26"/>
      <c r="I2905" s="27" t="str">
        <f aca="false">IF(A2905="","",IF(H2905&lt;&gt;"",UPPER(TRIM(H2905)),IFERROR(CHOOSE(VALUE(E2905)+1,"A","B","C","D"),IF(OR(LEFT(UPPER(TRIM(E2905)),1)="F",UPPER(TRIM(E2905))="A"),"A",IF(OR(LEFT(UPPER(TRIM(E2905)),1)="M",UPPER(TRIM(E2905))="B"),"B",IF(OR(LEFT(UPPER(TRIM(E2905)),2)="SL",UPPER(TRIM(E2905))="C"),"C",IF(OR(LEFT(UPPER(TRIM(E2905)),1)="D",UPPER(TRIM(E2905))="D"),"D","")))))))</f>
        <v/>
      </c>
      <c r="J2905" s="27" t="str">
        <f aca="false">IF(I2905="","",IF(AND(I2905="D",Settings!$B$6&lt;&gt;"Yes"),"",IFERROR(INDEX(Settings!$C$9:$C$12,MATCH(I2905,Settings!$A$9:$A$12,0)),"")))</f>
        <v/>
      </c>
      <c r="K2905" s="27" t="str">
        <f aca="false">IF(J2905="","",COUNTIF($I$2:I2905,I2905))</f>
        <v/>
      </c>
      <c r="L2905" s="27" t="str">
        <f aca="false">IF(J2905="","",CHOOSE(Q2905+1,"Tue","Wed","Thu","Fri"))</f>
        <v/>
      </c>
      <c r="M2905" s="27" t="str">
        <f aca="false">IF(J2905="","",IF(J2905=1,"Every week",R2905+1&amp;" of "&amp;J2905))</f>
        <v/>
      </c>
      <c r="N2905" s="28" t="str">
        <f aca="false">IF(J2905="","",Settings!$B$4+R2905*7+Q2905)</f>
        <v/>
      </c>
      <c r="O2905" s="28" t="str">
        <f aca="true">IF(J2905="","",N2905+MAX(0,ROUNDUP((TODAY()-N2905)/(J2905*7),0))*J2905*7)</f>
        <v/>
      </c>
      <c r="P2905" s="27" t="str">
        <f aca="false">IF(J2905="","",MOD(K2905-1,J2905*4))</f>
        <v/>
      </c>
      <c r="Q2905" s="27" t="str">
        <f aca="false">IF(J2905="","",MOD(P2905,4))</f>
        <v/>
      </c>
      <c r="R2905" s="27" t="str">
        <f aca="false">IF(J2905="","",INT(P2905/4))</f>
        <v/>
      </c>
      <c r="S2905" s="27" t="str">
        <f aca="false">IF(J2905="","",IF(AND('Daily Count Sheet'!$H$3=Q2905,MOD('Daily Count Sheet'!$I$3,J2905)=R2905),1,""))</f>
        <v/>
      </c>
      <c r="T2905" s="27" t="str">
        <f aca="false">IF(S2905=1,COUNTIF($S$2:S2905,1),"")</f>
        <v/>
      </c>
    </row>
    <row r="2906" customFormat="false" ht="15" hidden="false" customHeight="false" outlineLevel="0" collapsed="false">
      <c r="H2906" s="26"/>
      <c r="I2906" s="27" t="str">
        <f aca="false">IF(A2906="","",IF(H2906&lt;&gt;"",UPPER(TRIM(H2906)),IFERROR(CHOOSE(VALUE(E2906)+1,"A","B","C","D"),IF(OR(LEFT(UPPER(TRIM(E2906)),1)="F",UPPER(TRIM(E2906))="A"),"A",IF(OR(LEFT(UPPER(TRIM(E2906)),1)="M",UPPER(TRIM(E2906))="B"),"B",IF(OR(LEFT(UPPER(TRIM(E2906)),2)="SL",UPPER(TRIM(E2906))="C"),"C",IF(OR(LEFT(UPPER(TRIM(E2906)),1)="D",UPPER(TRIM(E2906))="D"),"D","")))))))</f>
        <v/>
      </c>
      <c r="J2906" s="27" t="str">
        <f aca="false">IF(I2906="","",IF(AND(I2906="D",Settings!$B$6&lt;&gt;"Yes"),"",IFERROR(INDEX(Settings!$C$9:$C$12,MATCH(I2906,Settings!$A$9:$A$12,0)),"")))</f>
        <v/>
      </c>
      <c r="K2906" s="27" t="str">
        <f aca="false">IF(J2906="","",COUNTIF($I$2:I2906,I2906))</f>
        <v/>
      </c>
      <c r="L2906" s="27" t="str">
        <f aca="false">IF(J2906="","",CHOOSE(Q2906+1,"Tue","Wed","Thu","Fri"))</f>
        <v/>
      </c>
      <c r="M2906" s="27" t="str">
        <f aca="false">IF(J2906="","",IF(J2906=1,"Every week",R2906+1&amp;" of "&amp;J2906))</f>
        <v/>
      </c>
      <c r="N2906" s="28" t="str">
        <f aca="false">IF(J2906="","",Settings!$B$4+R2906*7+Q2906)</f>
        <v/>
      </c>
      <c r="O2906" s="28" t="str">
        <f aca="true">IF(J2906="","",N2906+MAX(0,ROUNDUP((TODAY()-N2906)/(J2906*7),0))*J2906*7)</f>
        <v/>
      </c>
      <c r="P2906" s="27" t="str">
        <f aca="false">IF(J2906="","",MOD(K2906-1,J2906*4))</f>
        <v/>
      </c>
      <c r="Q2906" s="27" t="str">
        <f aca="false">IF(J2906="","",MOD(P2906,4))</f>
        <v/>
      </c>
      <c r="R2906" s="27" t="str">
        <f aca="false">IF(J2906="","",INT(P2906/4))</f>
        <v/>
      </c>
      <c r="S2906" s="27" t="str">
        <f aca="false">IF(J2906="","",IF(AND('Daily Count Sheet'!$H$3=Q2906,MOD('Daily Count Sheet'!$I$3,J2906)=R2906),1,""))</f>
        <v/>
      </c>
      <c r="T2906" s="27" t="str">
        <f aca="false">IF(S2906=1,COUNTIF($S$2:S2906,1),"")</f>
        <v/>
      </c>
    </row>
    <row r="2907" customFormat="false" ht="15" hidden="false" customHeight="false" outlineLevel="0" collapsed="false">
      <c r="H2907" s="26"/>
      <c r="I2907" s="27" t="str">
        <f aca="false">IF(A2907="","",IF(H2907&lt;&gt;"",UPPER(TRIM(H2907)),IFERROR(CHOOSE(VALUE(E2907)+1,"A","B","C","D"),IF(OR(LEFT(UPPER(TRIM(E2907)),1)="F",UPPER(TRIM(E2907))="A"),"A",IF(OR(LEFT(UPPER(TRIM(E2907)),1)="M",UPPER(TRIM(E2907))="B"),"B",IF(OR(LEFT(UPPER(TRIM(E2907)),2)="SL",UPPER(TRIM(E2907))="C"),"C",IF(OR(LEFT(UPPER(TRIM(E2907)),1)="D",UPPER(TRIM(E2907))="D"),"D","")))))))</f>
        <v/>
      </c>
      <c r="J2907" s="27" t="str">
        <f aca="false">IF(I2907="","",IF(AND(I2907="D",Settings!$B$6&lt;&gt;"Yes"),"",IFERROR(INDEX(Settings!$C$9:$C$12,MATCH(I2907,Settings!$A$9:$A$12,0)),"")))</f>
        <v/>
      </c>
      <c r="K2907" s="27" t="str">
        <f aca="false">IF(J2907="","",COUNTIF($I$2:I2907,I2907))</f>
        <v/>
      </c>
      <c r="L2907" s="27" t="str">
        <f aca="false">IF(J2907="","",CHOOSE(Q2907+1,"Tue","Wed","Thu","Fri"))</f>
        <v/>
      </c>
      <c r="M2907" s="27" t="str">
        <f aca="false">IF(J2907="","",IF(J2907=1,"Every week",R2907+1&amp;" of "&amp;J2907))</f>
        <v/>
      </c>
      <c r="N2907" s="28" t="str">
        <f aca="false">IF(J2907="","",Settings!$B$4+R2907*7+Q2907)</f>
        <v/>
      </c>
      <c r="O2907" s="28" t="str">
        <f aca="true">IF(J2907="","",N2907+MAX(0,ROUNDUP((TODAY()-N2907)/(J2907*7),0))*J2907*7)</f>
        <v/>
      </c>
      <c r="P2907" s="27" t="str">
        <f aca="false">IF(J2907="","",MOD(K2907-1,J2907*4))</f>
        <v/>
      </c>
      <c r="Q2907" s="27" t="str">
        <f aca="false">IF(J2907="","",MOD(P2907,4))</f>
        <v/>
      </c>
      <c r="R2907" s="27" t="str">
        <f aca="false">IF(J2907="","",INT(P2907/4))</f>
        <v/>
      </c>
      <c r="S2907" s="27" t="str">
        <f aca="false">IF(J2907="","",IF(AND('Daily Count Sheet'!$H$3=Q2907,MOD('Daily Count Sheet'!$I$3,J2907)=R2907),1,""))</f>
        <v/>
      </c>
      <c r="T2907" s="27" t="str">
        <f aca="false">IF(S2907=1,COUNTIF($S$2:S2907,1),"")</f>
        <v/>
      </c>
    </row>
    <row r="2908" customFormat="false" ht="15" hidden="false" customHeight="false" outlineLevel="0" collapsed="false">
      <c r="H2908" s="26"/>
      <c r="I2908" s="27" t="str">
        <f aca="false">IF(A2908="","",IF(H2908&lt;&gt;"",UPPER(TRIM(H2908)),IFERROR(CHOOSE(VALUE(E2908)+1,"A","B","C","D"),IF(OR(LEFT(UPPER(TRIM(E2908)),1)="F",UPPER(TRIM(E2908))="A"),"A",IF(OR(LEFT(UPPER(TRIM(E2908)),1)="M",UPPER(TRIM(E2908))="B"),"B",IF(OR(LEFT(UPPER(TRIM(E2908)),2)="SL",UPPER(TRIM(E2908))="C"),"C",IF(OR(LEFT(UPPER(TRIM(E2908)),1)="D",UPPER(TRIM(E2908))="D"),"D","")))))))</f>
        <v/>
      </c>
      <c r="J2908" s="27" t="str">
        <f aca="false">IF(I2908="","",IF(AND(I2908="D",Settings!$B$6&lt;&gt;"Yes"),"",IFERROR(INDEX(Settings!$C$9:$C$12,MATCH(I2908,Settings!$A$9:$A$12,0)),"")))</f>
        <v/>
      </c>
      <c r="K2908" s="27" t="str">
        <f aca="false">IF(J2908="","",COUNTIF($I$2:I2908,I2908))</f>
        <v/>
      </c>
      <c r="L2908" s="27" t="str">
        <f aca="false">IF(J2908="","",CHOOSE(Q2908+1,"Tue","Wed","Thu","Fri"))</f>
        <v/>
      </c>
      <c r="M2908" s="27" t="str">
        <f aca="false">IF(J2908="","",IF(J2908=1,"Every week",R2908+1&amp;" of "&amp;J2908))</f>
        <v/>
      </c>
      <c r="N2908" s="28" t="str">
        <f aca="false">IF(J2908="","",Settings!$B$4+R2908*7+Q2908)</f>
        <v/>
      </c>
      <c r="O2908" s="28" t="str">
        <f aca="true">IF(J2908="","",N2908+MAX(0,ROUNDUP((TODAY()-N2908)/(J2908*7),0))*J2908*7)</f>
        <v/>
      </c>
      <c r="P2908" s="27" t="str">
        <f aca="false">IF(J2908="","",MOD(K2908-1,J2908*4))</f>
        <v/>
      </c>
      <c r="Q2908" s="27" t="str">
        <f aca="false">IF(J2908="","",MOD(P2908,4))</f>
        <v/>
      </c>
      <c r="R2908" s="27" t="str">
        <f aca="false">IF(J2908="","",INT(P2908/4))</f>
        <v/>
      </c>
      <c r="S2908" s="27" t="str">
        <f aca="false">IF(J2908="","",IF(AND('Daily Count Sheet'!$H$3=Q2908,MOD('Daily Count Sheet'!$I$3,J2908)=R2908),1,""))</f>
        <v/>
      </c>
      <c r="T2908" s="27" t="str">
        <f aca="false">IF(S2908=1,COUNTIF($S$2:S2908,1),"")</f>
        <v/>
      </c>
    </row>
    <row r="2909" customFormat="false" ht="15" hidden="false" customHeight="false" outlineLevel="0" collapsed="false">
      <c r="H2909" s="26"/>
      <c r="I2909" s="27" t="str">
        <f aca="false">IF(A2909="","",IF(H2909&lt;&gt;"",UPPER(TRIM(H2909)),IFERROR(CHOOSE(VALUE(E2909)+1,"A","B","C","D"),IF(OR(LEFT(UPPER(TRIM(E2909)),1)="F",UPPER(TRIM(E2909))="A"),"A",IF(OR(LEFT(UPPER(TRIM(E2909)),1)="M",UPPER(TRIM(E2909))="B"),"B",IF(OR(LEFT(UPPER(TRIM(E2909)),2)="SL",UPPER(TRIM(E2909))="C"),"C",IF(OR(LEFT(UPPER(TRIM(E2909)),1)="D",UPPER(TRIM(E2909))="D"),"D","")))))))</f>
        <v/>
      </c>
      <c r="J2909" s="27" t="str">
        <f aca="false">IF(I2909="","",IF(AND(I2909="D",Settings!$B$6&lt;&gt;"Yes"),"",IFERROR(INDEX(Settings!$C$9:$C$12,MATCH(I2909,Settings!$A$9:$A$12,0)),"")))</f>
        <v/>
      </c>
      <c r="K2909" s="27" t="str">
        <f aca="false">IF(J2909="","",COUNTIF($I$2:I2909,I2909))</f>
        <v/>
      </c>
      <c r="L2909" s="27" t="str">
        <f aca="false">IF(J2909="","",CHOOSE(Q2909+1,"Tue","Wed","Thu","Fri"))</f>
        <v/>
      </c>
      <c r="M2909" s="27" t="str">
        <f aca="false">IF(J2909="","",IF(J2909=1,"Every week",R2909+1&amp;" of "&amp;J2909))</f>
        <v/>
      </c>
      <c r="N2909" s="28" t="str">
        <f aca="false">IF(J2909="","",Settings!$B$4+R2909*7+Q2909)</f>
        <v/>
      </c>
      <c r="O2909" s="28" t="str">
        <f aca="true">IF(J2909="","",N2909+MAX(0,ROUNDUP((TODAY()-N2909)/(J2909*7),0))*J2909*7)</f>
        <v/>
      </c>
      <c r="P2909" s="27" t="str">
        <f aca="false">IF(J2909="","",MOD(K2909-1,J2909*4))</f>
        <v/>
      </c>
      <c r="Q2909" s="27" t="str">
        <f aca="false">IF(J2909="","",MOD(P2909,4))</f>
        <v/>
      </c>
      <c r="R2909" s="27" t="str">
        <f aca="false">IF(J2909="","",INT(P2909/4))</f>
        <v/>
      </c>
      <c r="S2909" s="27" t="str">
        <f aca="false">IF(J2909="","",IF(AND('Daily Count Sheet'!$H$3=Q2909,MOD('Daily Count Sheet'!$I$3,J2909)=R2909),1,""))</f>
        <v/>
      </c>
      <c r="T2909" s="27" t="str">
        <f aca="false">IF(S2909=1,COUNTIF($S$2:S2909,1),"")</f>
        <v/>
      </c>
    </row>
    <row r="2910" customFormat="false" ht="15" hidden="false" customHeight="false" outlineLevel="0" collapsed="false">
      <c r="H2910" s="26"/>
      <c r="I2910" s="27" t="str">
        <f aca="false">IF(A2910="","",IF(H2910&lt;&gt;"",UPPER(TRIM(H2910)),IFERROR(CHOOSE(VALUE(E2910)+1,"A","B","C","D"),IF(OR(LEFT(UPPER(TRIM(E2910)),1)="F",UPPER(TRIM(E2910))="A"),"A",IF(OR(LEFT(UPPER(TRIM(E2910)),1)="M",UPPER(TRIM(E2910))="B"),"B",IF(OR(LEFT(UPPER(TRIM(E2910)),2)="SL",UPPER(TRIM(E2910))="C"),"C",IF(OR(LEFT(UPPER(TRIM(E2910)),1)="D",UPPER(TRIM(E2910))="D"),"D","")))))))</f>
        <v/>
      </c>
      <c r="J2910" s="27" t="str">
        <f aca="false">IF(I2910="","",IF(AND(I2910="D",Settings!$B$6&lt;&gt;"Yes"),"",IFERROR(INDEX(Settings!$C$9:$C$12,MATCH(I2910,Settings!$A$9:$A$12,0)),"")))</f>
        <v/>
      </c>
      <c r="K2910" s="27" t="str">
        <f aca="false">IF(J2910="","",COUNTIF($I$2:I2910,I2910))</f>
        <v/>
      </c>
      <c r="L2910" s="27" t="str">
        <f aca="false">IF(J2910="","",CHOOSE(Q2910+1,"Tue","Wed","Thu","Fri"))</f>
        <v/>
      </c>
      <c r="M2910" s="27" t="str">
        <f aca="false">IF(J2910="","",IF(J2910=1,"Every week",R2910+1&amp;" of "&amp;J2910))</f>
        <v/>
      </c>
      <c r="N2910" s="28" t="str">
        <f aca="false">IF(J2910="","",Settings!$B$4+R2910*7+Q2910)</f>
        <v/>
      </c>
      <c r="O2910" s="28" t="str">
        <f aca="true">IF(J2910="","",N2910+MAX(0,ROUNDUP((TODAY()-N2910)/(J2910*7),0))*J2910*7)</f>
        <v/>
      </c>
      <c r="P2910" s="27" t="str">
        <f aca="false">IF(J2910="","",MOD(K2910-1,J2910*4))</f>
        <v/>
      </c>
      <c r="Q2910" s="27" t="str">
        <f aca="false">IF(J2910="","",MOD(P2910,4))</f>
        <v/>
      </c>
      <c r="R2910" s="27" t="str">
        <f aca="false">IF(J2910="","",INT(P2910/4))</f>
        <v/>
      </c>
      <c r="S2910" s="27" t="str">
        <f aca="false">IF(J2910="","",IF(AND('Daily Count Sheet'!$H$3=Q2910,MOD('Daily Count Sheet'!$I$3,J2910)=R2910),1,""))</f>
        <v/>
      </c>
      <c r="T2910" s="27" t="str">
        <f aca="false">IF(S2910=1,COUNTIF($S$2:S2910,1),"")</f>
        <v/>
      </c>
    </row>
    <row r="2911" customFormat="false" ht="15" hidden="false" customHeight="false" outlineLevel="0" collapsed="false">
      <c r="H2911" s="26"/>
      <c r="I2911" s="27" t="str">
        <f aca="false">IF(A2911="","",IF(H2911&lt;&gt;"",UPPER(TRIM(H2911)),IFERROR(CHOOSE(VALUE(E2911)+1,"A","B","C","D"),IF(OR(LEFT(UPPER(TRIM(E2911)),1)="F",UPPER(TRIM(E2911))="A"),"A",IF(OR(LEFT(UPPER(TRIM(E2911)),1)="M",UPPER(TRIM(E2911))="B"),"B",IF(OR(LEFT(UPPER(TRIM(E2911)),2)="SL",UPPER(TRIM(E2911))="C"),"C",IF(OR(LEFT(UPPER(TRIM(E2911)),1)="D",UPPER(TRIM(E2911))="D"),"D","")))))))</f>
        <v/>
      </c>
      <c r="J2911" s="27" t="str">
        <f aca="false">IF(I2911="","",IF(AND(I2911="D",Settings!$B$6&lt;&gt;"Yes"),"",IFERROR(INDEX(Settings!$C$9:$C$12,MATCH(I2911,Settings!$A$9:$A$12,0)),"")))</f>
        <v/>
      </c>
      <c r="K2911" s="27" t="str">
        <f aca="false">IF(J2911="","",COUNTIF($I$2:I2911,I2911))</f>
        <v/>
      </c>
      <c r="L2911" s="27" t="str">
        <f aca="false">IF(J2911="","",CHOOSE(Q2911+1,"Tue","Wed","Thu","Fri"))</f>
        <v/>
      </c>
      <c r="M2911" s="27" t="str">
        <f aca="false">IF(J2911="","",IF(J2911=1,"Every week",R2911+1&amp;" of "&amp;J2911))</f>
        <v/>
      </c>
      <c r="N2911" s="28" t="str">
        <f aca="false">IF(J2911="","",Settings!$B$4+R2911*7+Q2911)</f>
        <v/>
      </c>
      <c r="O2911" s="28" t="str">
        <f aca="true">IF(J2911="","",N2911+MAX(0,ROUNDUP((TODAY()-N2911)/(J2911*7),0))*J2911*7)</f>
        <v/>
      </c>
      <c r="P2911" s="27" t="str">
        <f aca="false">IF(J2911="","",MOD(K2911-1,J2911*4))</f>
        <v/>
      </c>
      <c r="Q2911" s="27" t="str">
        <f aca="false">IF(J2911="","",MOD(P2911,4))</f>
        <v/>
      </c>
      <c r="R2911" s="27" t="str">
        <f aca="false">IF(J2911="","",INT(P2911/4))</f>
        <v/>
      </c>
      <c r="S2911" s="27" t="str">
        <f aca="false">IF(J2911="","",IF(AND('Daily Count Sheet'!$H$3=Q2911,MOD('Daily Count Sheet'!$I$3,J2911)=R2911),1,""))</f>
        <v/>
      </c>
      <c r="T2911" s="27" t="str">
        <f aca="false">IF(S2911=1,COUNTIF($S$2:S2911,1),"")</f>
        <v/>
      </c>
    </row>
    <row r="2912" customFormat="false" ht="15" hidden="false" customHeight="false" outlineLevel="0" collapsed="false">
      <c r="H2912" s="26"/>
      <c r="I2912" s="27" t="str">
        <f aca="false">IF(A2912="","",IF(H2912&lt;&gt;"",UPPER(TRIM(H2912)),IFERROR(CHOOSE(VALUE(E2912)+1,"A","B","C","D"),IF(OR(LEFT(UPPER(TRIM(E2912)),1)="F",UPPER(TRIM(E2912))="A"),"A",IF(OR(LEFT(UPPER(TRIM(E2912)),1)="M",UPPER(TRIM(E2912))="B"),"B",IF(OR(LEFT(UPPER(TRIM(E2912)),2)="SL",UPPER(TRIM(E2912))="C"),"C",IF(OR(LEFT(UPPER(TRIM(E2912)),1)="D",UPPER(TRIM(E2912))="D"),"D","")))))))</f>
        <v/>
      </c>
      <c r="J2912" s="27" t="str">
        <f aca="false">IF(I2912="","",IF(AND(I2912="D",Settings!$B$6&lt;&gt;"Yes"),"",IFERROR(INDEX(Settings!$C$9:$C$12,MATCH(I2912,Settings!$A$9:$A$12,0)),"")))</f>
        <v/>
      </c>
      <c r="K2912" s="27" t="str">
        <f aca="false">IF(J2912="","",COUNTIF($I$2:I2912,I2912))</f>
        <v/>
      </c>
      <c r="L2912" s="27" t="str">
        <f aca="false">IF(J2912="","",CHOOSE(Q2912+1,"Tue","Wed","Thu","Fri"))</f>
        <v/>
      </c>
      <c r="M2912" s="27" t="str">
        <f aca="false">IF(J2912="","",IF(J2912=1,"Every week",R2912+1&amp;" of "&amp;J2912))</f>
        <v/>
      </c>
      <c r="N2912" s="28" t="str">
        <f aca="false">IF(J2912="","",Settings!$B$4+R2912*7+Q2912)</f>
        <v/>
      </c>
      <c r="O2912" s="28" t="str">
        <f aca="true">IF(J2912="","",N2912+MAX(0,ROUNDUP((TODAY()-N2912)/(J2912*7),0))*J2912*7)</f>
        <v/>
      </c>
      <c r="P2912" s="27" t="str">
        <f aca="false">IF(J2912="","",MOD(K2912-1,J2912*4))</f>
        <v/>
      </c>
      <c r="Q2912" s="27" t="str">
        <f aca="false">IF(J2912="","",MOD(P2912,4))</f>
        <v/>
      </c>
      <c r="R2912" s="27" t="str">
        <f aca="false">IF(J2912="","",INT(P2912/4))</f>
        <v/>
      </c>
      <c r="S2912" s="27" t="str">
        <f aca="false">IF(J2912="","",IF(AND('Daily Count Sheet'!$H$3=Q2912,MOD('Daily Count Sheet'!$I$3,J2912)=R2912),1,""))</f>
        <v/>
      </c>
      <c r="T2912" s="27" t="str">
        <f aca="false">IF(S2912=1,COUNTIF($S$2:S2912,1),"")</f>
        <v/>
      </c>
    </row>
    <row r="2913" customFormat="false" ht="15" hidden="false" customHeight="false" outlineLevel="0" collapsed="false">
      <c r="H2913" s="26"/>
      <c r="I2913" s="27" t="str">
        <f aca="false">IF(A2913="","",IF(H2913&lt;&gt;"",UPPER(TRIM(H2913)),IFERROR(CHOOSE(VALUE(E2913)+1,"A","B","C","D"),IF(OR(LEFT(UPPER(TRIM(E2913)),1)="F",UPPER(TRIM(E2913))="A"),"A",IF(OR(LEFT(UPPER(TRIM(E2913)),1)="M",UPPER(TRIM(E2913))="B"),"B",IF(OR(LEFT(UPPER(TRIM(E2913)),2)="SL",UPPER(TRIM(E2913))="C"),"C",IF(OR(LEFT(UPPER(TRIM(E2913)),1)="D",UPPER(TRIM(E2913))="D"),"D","")))))))</f>
        <v/>
      </c>
      <c r="J2913" s="27" t="str">
        <f aca="false">IF(I2913="","",IF(AND(I2913="D",Settings!$B$6&lt;&gt;"Yes"),"",IFERROR(INDEX(Settings!$C$9:$C$12,MATCH(I2913,Settings!$A$9:$A$12,0)),"")))</f>
        <v/>
      </c>
      <c r="K2913" s="27" t="str">
        <f aca="false">IF(J2913="","",COUNTIF($I$2:I2913,I2913))</f>
        <v/>
      </c>
      <c r="L2913" s="27" t="str">
        <f aca="false">IF(J2913="","",CHOOSE(Q2913+1,"Tue","Wed","Thu","Fri"))</f>
        <v/>
      </c>
      <c r="M2913" s="27" t="str">
        <f aca="false">IF(J2913="","",IF(J2913=1,"Every week",R2913+1&amp;" of "&amp;J2913))</f>
        <v/>
      </c>
      <c r="N2913" s="28" t="str">
        <f aca="false">IF(J2913="","",Settings!$B$4+R2913*7+Q2913)</f>
        <v/>
      </c>
      <c r="O2913" s="28" t="str">
        <f aca="true">IF(J2913="","",N2913+MAX(0,ROUNDUP((TODAY()-N2913)/(J2913*7),0))*J2913*7)</f>
        <v/>
      </c>
      <c r="P2913" s="27" t="str">
        <f aca="false">IF(J2913="","",MOD(K2913-1,J2913*4))</f>
        <v/>
      </c>
      <c r="Q2913" s="27" t="str">
        <f aca="false">IF(J2913="","",MOD(P2913,4))</f>
        <v/>
      </c>
      <c r="R2913" s="27" t="str">
        <f aca="false">IF(J2913="","",INT(P2913/4))</f>
        <v/>
      </c>
      <c r="S2913" s="27" t="str">
        <f aca="false">IF(J2913="","",IF(AND('Daily Count Sheet'!$H$3=Q2913,MOD('Daily Count Sheet'!$I$3,J2913)=R2913),1,""))</f>
        <v/>
      </c>
      <c r="T2913" s="27" t="str">
        <f aca="false">IF(S2913=1,COUNTIF($S$2:S2913,1),"")</f>
        <v/>
      </c>
    </row>
    <row r="2914" customFormat="false" ht="15" hidden="false" customHeight="false" outlineLevel="0" collapsed="false">
      <c r="H2914" s="26"/>
      <c r="I2914" s="27" t="str">
        <f aca="false">IF(A2914="","",IF(H2914&lt;&gt;"",UPPER(TRIM(H2914)),IFERROR(CHOOSE(VALUE(E2914)+1,"A","B","C","D"),IF(OR(LEFT(UPPER(TRIM(E2914)),1)="F",UPPER(TRIM(E2914))="A"),"A",IF(OR(LEFT(UPPER(TRIM(E2914)),1)="M",UPPER(TRIM(E2914))="B"),"B",IF(OR(LEFT(UPPER(TRIM(E2914)),2)="SL",UPPER(TRIM(E2914))="C"),"C",IF(OR(LEFT(UPPER(TRIM(E2914)),1)="D",UPPER(TRIM(E2914))="D"),"D","")))))))</f>
        <v/>
      </c>
      <c r="J2914" s="27" t="str">
        <f aca="false">IF(I2914="","",IF(AND(I2914="D",Settings!$B$6&lt;&gt;"Yes"),"",IFERROR(INDEX(Settings!$C$9:$C$12,MATCH(I2914,Settings!$A$9:$A$12,0)),"")))</f>
        <v/>
      </c>
      <c r="K2914" s="27" t="str">
        <f aca="false">IF(J2914="","",COUNTIF($I$2:I2914,I2914))</f>
        <v/>
      </c>
      <c r="L2914" s="27" t="str">
        <f aca="false">IF(J2914="","",CHOOSE(Q2914+1,"Tue","Wed","Thu","Fri"))</f>
        <v/>
      </c>
      <c r="M2914" s="27" t="str">
        <f aca="false">IF(J2914="","",IF(J2914=1,"Every week",R2914+1&amp;" of "&amp;J2914))</f>
        <v/>
      </c>
      <c r="N2914" s="28" t="str">
        <f aca="false">IF(J2914="","",Settings!$B$4+R2914*7+Q2914)</f>
        <v/>
      </c>
      <c r="O2914" s="28" t="str">
        <f aca="true">IF(J2914="","",N2914+MAX(0,ROUNDUP((TODAY()-N2914)/(J2914*7),0))*J2914*7)</f>
        <v/>
      </c>
      <c r="P2914" s="27" t="str">
        <f aca="false">IF(J2914="","",MOD(K2914-1,J2914*4))</f>
        <v/>
      </c>
      <c r="Q2914" s="27" t="str">
        <f aca="false">IF(J2914="","",MOD(P2914,4))</f>
        <v/>
      </c>
      <c r="R2914" s="27" t="str">
        <f aca="false">IF(J2914="","",INT(P2914/4))</f>
        <v/>
      </c>
      <c r="S2914" s="27" t="str">
        <f aca="false">IF(J2914="","",IF(AND('Daily Count Sheet'!$H$3=Q2914,MOD('Daily Count Sheet'!$I$3,J2914)=R2914),1,""))</f>
        <v/>
      </c>
      <c r="T2914" s="27" t="str">
        <f aca="false">IF(S2914=1,COUNTIF($S$2:S2914,1),"")</f>
        <v/>
      </c>
    </row>
    <row r="2915" customFormat="false" ht="15" hidden="false" customHeight="false" outlineLevel="0" collapsed="false">
      <c r="H2915" s="26"/>
      <c r="I2915" s="27" t="str">
        <f aca="false">IF(A2915="","",IF(H2915&lt;&gt;"",UPPER(TRIM(H2915)),IFERROR(CHOOSE(VALUE(E2915)+1,"A","B","C","D"),IF(OR(LEFT(UPPER(TRIM(E2915)),1)="F",UPPER(TRIM(E2915))="A"),"A",IF(OR(LEFT(UPPER(TRIM(E2915)),1)="M",UPPER(TRIM(E2915))="B"),"B",IF(OR(LEFT(UPPER(TRIM(E2915)),2)="SL",UPPER(TRIM(E2915))="C"),"C",IF(OR(LEFT(UPPER(TRIM(E2915)),1)="D",UPPER(TRIM(E2915))="D"),"D","")))))))</f>
        <v/>
      </c>
      <c r="J2915" s="27" t="str">
        <f aca="false">IF(I2915="","",IF(AND(I2915="D",Settings!$B$6&lt;&gt;"Yes"),"",IFERROR(INDEX(Settings!$C$9:$C$12,MATCH(I2915,Settings!$A$9:$A$12,0)),"")))</f>
        <v/>
      </c>
      <c r="K2915" s="27" t="str">
        <f aca="false">IF(J2915="","",COUNTIF($I$2:I2915,I2915))</f>
        <v/>
      </c>
      <c r="L2915" s="27" t="str">
        <f aca="false">IF(J2915="","",CHOOSE(Q2915+1,"Tue","Wed","Thu","Fri"))</f>
        <v/>
      </c>
      <c r="M2915" s="27" t="str">
        <f aca="false">IF(J2915="","",IF(J2915=1,"Every week",R2915+1&amp;" of "&amp;J2915))</f>
        <v/>
      </c>
      <c r="N2915" s="28" t="str">
        <f aca="false">IF(J2915="","",Settings!$B$4+R2915*7+Q2915)</f>
        <v/>
      </c>
      <c r="O2915" s="28" t="str">
        <f aca="true">IF(J2915="","",N2915+MAX(0,ROUNDUP((TODAY()-N2915)/(J2915*7),0))*J2915*7)</f>
        <v/>
      </c>
      <c r="P2915" s="27" t="str">
        <f aca="false">IF(J2915="","",MOD(K2915-1,J2915*4))</f>
        <v/>
      </c>
      <c r="Q2915" s="27" t="str">
        <f aca="false">IF(J2915="","",MOD(P2915,4))</f>
        <v/>
      </c>
      <c r="R2915" s="27" t="str">
        <f aca="false">IF(J2915="","",INT(P2915/4))</f>
        <v/>
      </c>
      <c r="S2915" s="27" t="str">
        <f aca="false">IF(J2915="","",IF(AND('Daily Count Sheet'!$H$3=Q2915,MOD('Daily Count Sheet'!$I$3,J2915)=R2915),1,""))</f>
        <v/>
      </c>
      <c r="T2915" s="27" t="str">
        <f aca="false">IF(S2915=1,COUNTIF($S$2:S2915,1),"")</f>
        <v/>
      </c>
    </row>
    <row r="2916" customFormat="false" ht="15" hidden="false" customHeight="false" outlineLevel="0" collapsed="false">
      <c r="H2916" s="26"/>
      <c r="I2916" s="27" t="str">
        <f aca="false">IF(A2916="","",IF(H2916&lt;&gt;"",UPPER(TRIM(H2916)),IFERROR(CHOOSE(VALUE(E2916)+1,"A","B","C","D"),IF(OR(LEFT(UPPER(TRIM(E2916)),1)="F",UPPER(TRIM(E2916))="A"),"A",IF(OR(LEFT(UPPER(TRIM(E2916)),1)="M",UPPER(TRIM(E2916))="B"),"B",IF(OR(LEFT(UPPER(TRIM(E2916)),2)="SL",UPPER(TRIM(E2916))="C"),"C",IF(OR(LEFT(UPPER(TRIM(E2916)),1)="D",UPPER(TRIM(E2916))="D"),"D","")))))))</f>
        <v/>
      </c>
      <c r="J2916" s="27" t="str">
        <f aca="false">IF(I2916="","",IF(AND(I2916="D",Settings!$B$6&lt;&gt;"Yes"),"",IFERROR(INDEX(Settings!$C$9:$C$12,MATCH(I2916,Settings!$A$9:$A$12,0)),"")))</f>
        <v/>
      </c>
      <c r="K2916" s="27" t="str">
        <f aca="false">IF(J2916="","",COUNTIF($I$2:I2916,I2916))</f>
        <v/>
      </c>
      <c r="L2916" s="27" t="str">
        <f aca="false">IF(J2916="","",CHOOSE(Q2916+1,"Tue","Wed","Thu","Fri"))</f>
        <v/>
      </c>
      <c r="M2916" s="27" t="str">
        <f aca="false">IF(J2916="","",IF(J2916=1,"Every week",R2916+1&amp;" of "&amp;J2916))</f>
        <v/>
      </c>
      <c r="N2916" s="28" t="str">
        <f aca="false">IF(J2916="","",Settings!$B$4+R2916*7+Q2916)</f>
        <v/>
      </c>
      <c r="O2916" s="28" t="str">
        <f aca="true">IF(J2916="","",N2916+MAX(0,ROUNDUP((TODAY()-N2916)/(J2916*7),0))*J2916*7)</f>
        <v/>
      </c>
      <c r="P2916" s="27" t="str">
        <f aca="false">IF(J2916="","",MOD(K2916-1,J2916*4))</f>
        <v/>
      </c>
      <c r="Q2916" s="27" t="str">
        <f aca="false">IF(J2916="","",MOD(P2916,4))</f>
        <v/>
      </c>
      <c r="R2916" s="27" t="str">
        <f aca="false">IF(J2916="","",INT(P2916/4))</f>
        <v/>
      </c>
      <c r="S2916" s="27" t="str">
        <f aca="false">IF(J2916="","",IF(AND('Daily Count Sheet'!$H$3=Q2916,MOD('Daily Count Sheet'!$I$3,J2916)=R2916),1,""))</f>
        <v/>
      </c>
      <c r="T2916" s="27" t="str">
        <f aca="false">IF(S2916=1,COUNTIF($S$2:S2916,1),"")</f>
        <v/>
      </c>
    </row>
    <row r="2917" customFormat="false" ht="15" hidden="false" customHeight="false" outlineLevel="0" collapsed="false">
      <c r="H2917" s="26"/>
      <c r="I2917" s="27" t="str">
        <f aca="false">IF(A2917="","",IF(H2917&lt;&gt;"",UPPER(TRIM(H2917)),IFERROR(CHOOSE(VALUE(E2917)+1,"A","B","C","D"),IF(OR(LEFT(UPPER(TRIM(E2917)),1)="F",UPPER(TRIM(E2917))="A"),"A",IF(OR(LEFT(UPPER(TRIM(E2917)),1)="M",UPPER(TRIM(E2917))="B"),"B",IF(OR(LEFT(UPPER(TRIM(E2917)),2)="SL",UPPER(TRIM(E2917))="C"),"C",IF(OR(LEFT(UPPER(TRIM(E2917)),1)="D",UPPER(TRIM(E2917))="D"),"D","")))))))</f>
        <v/>
      </c>
      <c r="J2917" s="27" t="str">
        <f aca="false">IF(I2917="","",IF(AND(I2917="D",Settings!$B$6&lt;&gt;"Yes"),"",IFERROR(INDEX(Settings!$C$9:$C$12,MATCH(I2917,Settings!$A$9:$A$12,0)),"")))</f>
        <v/>
      </c>
      <c r="K2917" s="27" t="str">
        <f aca="false">IF(J2917="","",COUNTIF($I$2:I2917,I2917))</f>
        <v/>
      </c>
      <c r="L2917" s="27" t="str">
        <f aca="false">IF(J2917="","",CHOOSE(Q2917+1,"Tue","Wed","Thu","Fri"))</f>
        <v/>
      </c>
      <c r="M2917" s="27" t="str">
        <f aca="false">IF(J2917="","",IF(J2917=1,"Every week",R2917+1&amp;" of "&amp;J2917))</f>
        <v/>
      </c>
      <c r="N2917" s="28" t="str">
        <f aca="false">IF(J2917="","",Settings!$B$4+R2917*7+Q2917)</f>
        <v/>
      </c>
      <c r="O2917" s="28" t="str">
        <f aca="true">IF(J2917="","",N2917+MAX(0,ROUNDUP((TODAY()-N2917)/(J2917*7),0))*J2917*7)</f>
        <v/>
      </c>
      <c r="P2917" s="27" t="str">
        <f aca="false">IF(J2917="","",MOD(K2917-1,J2917*4))</f>
        <v/>
      </c>
      <c r="Q2917" s="27" t="str">
        <f aca="false">IF(J2917="","",MOD(P2917,4))</f>
        <v/>
      </c>
      <c r="R2917" s="27" t="str">
        <f aca="false">IF(J2917="","",INT(P2917/4))</f>
        <v/>
      </c>
      <c r="S2917" s="27" t="str">
        <f aca="false">IF(J2917="","",IF(AND('Daily Count Sheet'!$H$3=Q2917,MOD('Daily Count Sheet'!$I$3,J2917)=R2917),1,""))</f>
        <v/>
      </c>
      <c r="T2917" s="27" t="str">
        <f aca="false">IF(S2917=1,COUNTIF($S$2:S2917,1),"")</f>
        <v/>
      </c>
    </row>
    <row r="2918" customFormat="false" ht="15" hidden="false" customHeight="false" outlineLevel="0" collapsed="false">
      <c r="H2918" s="26"/>
      <c r="I2918" s="27" t="str">
        <f aca="false">IF(A2918="","",IF(H2918&lt;&gt;"",UPPER(TRIM(H2918)),IFERROR(CHOOSE(VALUE(E2918)+1,"A","B","C","D"),IF(OR(LEFT(UPPER(TRIM(E2918)),1)="F",UPPER(TRIM(E2918))="A"),"A",IF(OR(LEFT(UPPER(TRIM(E2918)),1)="M",UPPER(TRIM(E2918))="B"),"B",IF(OR(LEFT(UPPER(TRIM(E2918)),2)="SL",UPPER(TRIM(E2918))="C"),"C",IF(OR(LEFT(UPPER(TRIM(E2918)),1)="D",UPPER(TRIM(E2918))="D"),"D","")))))))</f>
        <v/>
      </c>
      <c r="J2918" s="27" t="str">
        <f aca="false">IF(I2918="","",IF(AND(I2918="D",Settings!$B$6&lt;&gt;"Yes"),"",IFERROR(INDEX(Settings!$C$9:$C$12,MATCH(I2918,Settings!$A$9:$A$12,0)),"")))</f>
        <v/>
      </c>
      <c r="K2918" s="27" t="str">
        <f aca="false">IF(J2918="","",COUNTIF($I$2:I2918,I2918))</f>
        <v/>
      </c>
      <c r="L2918" s="27" t="str">
        <f aca="false">IF(J2918="","",CHOOSE(Q2918+1,"Tue","Wed","Thu","Fri"))</f>
        <v/>
      </c>
      <c r="M2918" s="27" t="str">
        <f aca="false">IF(J2918="","",IF(J2918=1,"Every week",R2918+1&amp;" of "&amp;J2918))</f>
        <v/>
      </c>
      <c r="N2918" s="28" t="str">
        <f aca="false">IF(J2918="","",Settings!$B$4+R2918*7+Q2918)</f>
        <v/>
      </c>
      <c r="O2918" s="28" t="str">
        <f aca="true">IF(J2918="","",N2918+MAX(0,ROUNDUP((TODAY()-N2918)/(J2918*7),0))*J2918*7)</f>
        <v/>
      </c>
      <c r="P2918" s="27" t="str">
        <f aca="false">IF(J2918="","",MOD(K2918-1,J2918*4))</f>
        <v/>
      </c>
      <c r="Q2918" s="27" t="str">
        <f aca="false">IF(J2918="","",MOD(P2918,4))</f>
        <v/>
      </c>
      <c r="R2918" s="27" t="str">
        <f aca="false">IF(J2918="","",INT(P2918/4))</f>
        <v/>
      </c>
      <c r="S2918" s="27" t="str">
        <f aca="false">IF(J2918="","",IF(AND('Daily Count Sheet'!$H$3=Q2918,MOD('Daily Count Sheet'!$I$3,J2918)=R2918),1,""))</f>
        <v/>
      </c>
      <c r="T2918" s="27" t="str">
        <f aca="false">IF(S2918=1,COUNTIF($S$2:S2918,1),"")</f>
        <v/>
      </c>
    </row>
    <row r="2919" customFormat="false" ht="15" hidden="false" customHeight="false" outlineLevel="0" collapsed="false">
      <c r="H2919" s="26"/>
      <c r="I2919" s="27" t="str">
        <f aca="false">IF(A2919="","",IF(H2919&lt;&gt;"",UPPER(TRIM(H2919)),IFERROR(CHOOSE(VALUE(E2919)+1,"A","B","C","D"),IF(OR(LEFT(UPPER(TRIM(E2919)),1)="F",UPPER(TRIM(E2919))="A"),"A",IF(OR(LEFT(UPPER(TRIM(E2919)),1)="M",UPPER(TRIM(E2919))="B"),"B",IF(OR(LEFT(UPPER(TRIM(E2919)),2)="SL",UPPER(TRIM(E2919))="C"),"C",IF(OR(LEFT(UPPER(TRIM(E2919)),1)="D",UPPER(TRIM(E2919))="D"),"D","")))))))</f>
        <v/>
      </c>
      <c r="J2919" s="27" t="str">
        <f aca="false">IF(I2919="","",IF(AND(I2919="D",Settings!$B$6&lt;&gt;"Yes"),"",IFERROR(INDEX(Settings!$C$9:$C$12,MATCH(I2919,Settings!$A$9:$A$12,0)),"")))</f>
        <v/>
      </c>
      <c r="K2919" s="27" t="str">
        <f aca="false">IF(J2919="","",COUNTIF($I$2:I2919,I2919))</f>
        <v/>
      </c>
      <c r="L2919" s="27" t="str">
        <f aca="false">IF(J2919="","",CHOOSE(Q2919+1,"Tue","Wed","Thu","Fri"))</f>
        <v/>
      </c>
      <c r="M2919" s="27" t="str">
        <f aca="false">IF(J2919="","",IF(J2919=1,"Every week",R2919+1&amp;" of "&amp;J2919))</f>
        <v/>
      </c>
      <c r="N2919" s="28" t="str">
        <f aca="false">IF(J2919="","",Settings!$B$4+R2919*7+Q2919)</f>
        <v/>
      </c>
      <c r="O2919" s="28" t="str">
        <f aca="true">IF(J2919="","",N2919+MAX(0,ROUNDUP((TODAY()-N2919)/(J2919*7),0))*J2919*7)</f>
        <v/>
      </c>
      <c r="P2919" s="27" t="str">
        <f aca="false">IF(J2919="","",MOD(K2919-1,J2919*4))</f>
        <v/>
      </c>
      <c r="Q2919" s="27" t="str">
        <f aca="false">IF(J2919="","",MOD(P2919,4))</f>
        <v/>
      </c>
      <c r="R2919" s="27" t="str">
        <f aca="false">IF(J2919="","",INT(P2919/4))</f>
        <v/>
      </c>
      <c r="S2919" s="27" t="str">
        <f aca="false">IF(J2919="","",IF(AND('Daily Count Sheet'!$H$3=Q2919,MOD('Daily Count Sheet'!$I$3,J2919)=R2919),1,""))</f>
        <v/>
      </c>
      <c r="T2919" s="27" t="str">
        <f aca="false">IF(S2919=1,COUNTIF($S$2:S2919,1),"")</f>
        <v/>
      </c>
    </row>
    <row r="2920" customFormat="false" ht="15" hidden="false" customHeight="false" outlineLevel="0" collapsed="false">
      <c r="H2920" s="26"/>
      <c r="I2920" s="27" t="str">
        <f aca="false">IF(A2920="","",IF(H2920&lt;&gt;"",UPPER(TRIM(H2920)),IFERROR(CHOOSE(VALUE(E2920)+1,"A","B","C","D"),IF(OR(LEFT(UPPER(TRIM(E2920)),1)="F",UPPER(TRIM(E2920))="A"),"A",IF(OR(LEFT(UPPER(TRIM(E2920)),1)="M",UPPER(TRIM(E2920))="B"),"B",IF(OR(LEFT(UPPER(TRIM(E2920)),2)="SL",UPPER(TRIM(E2920))="C"),"C",IF(OR(LEFT(UPPER(TRIM(E2920)),1)="D",UPPER(TRIM(E2920))="D"),"D","")))))))</f>
        <v/>
      </c>
      <c r="J2920" s="27" t="str">
        <f aca="false">IF(I2920="","",IF(AND(I2920="D",Settings!$B$6&lt;&gt;"Yes"),"",IFERROR(INDEX(Settings!$C$9:$C$12,MATCH(I2920,Settings!$A$9:$A$12,0)),"")))</f>
        <v/>
      </c>
      <c r="K2920" s="27" t="str">
        <f aca="false">IF(J2920="","",COUNTIF($I$2:I2920,I2920))</f>
        <v/>
      </c>
      <c r="L2920" s="27" t="str">
        <f aca="false">IF(J2920="","",CHOOSE(Q2920+1,"Tue","Wed","Thu","Fri"))</f>
        <v/>
      </c>
      <c r="M2920" s="27" t="str">
        <f aca="false">IF(J2920="","",IF(J2920=1,"Every week",R2920+1&amp;" of "&amp;J2920))</f>
        <v/>
      </c>
      <c r="N2920" s="28" t="str">
        <f aca="false">IF(J2920="","",Settings!$B$4+R2920*7+Q2920)</f>
        <v/>
      </c>
      <c r="O2920" s="28" t="str">
        <f aca="true">IF(J2920="","",N2920+MAX(0,ROUNDUP((TODAY()-N2920)/(J2920*7),0))*J2920*7)</f>
        <v/>
      </c>
      <c r="P2920" s="27" t="str">
        <f aca="false">IF(J2920="","",MOD(K2920-1,J2920*4))</f>
        <v/>
      </c>
      <c r="Q2920" s="27" t="str">
        <f aca="false">IF(J2920="","",MOD(P2920,4))</f>
        <v/>
      </c>
      <c r="R2920" s="27" t="str">
        <f aca="false">IF(J2920="","",INT(P2920/4))</f>
        <v/>
      </c>
      <c r="S2920" s="27" t="str">
        <f aca="false">IF(J2920="","",IF(AND('Daily Count Sheet'!$H$3=Q2920,MOD('Daily Count Sheet'!$I$3,J2920)=R2920),1,""))</f>
        <v/>
      </c>
      <c r="T2920" s="27" t="str">
        <f aca="false">IF(S2920=1,COUNTIF($S$2:S2920,1),"")</f>
        <v/>
      </c>
    </row>
    <row r="2921" customFormat="false" ht="15" hidden="false" customHeight="false" outlineLevel="0" collapsed="false">
      <c r="H2921" s="26"/>
      <c r="I2921" s="27" t="str">
        <f aca="false">IF(A2921="","",IF(H2921&lt;&gt;"",UPPER(TRIM(H2921)),IFERROR(CHOOSE(VALUE(E2921)+1,"A","B","C","D"),IF(OR(LEFT(UPPER(TRIM(E2921)),1)="F",UPPER(TRIM(E2921))="A"),"A",IF(OR(LEFT(UPPER(TRIM(E2921)),1)="M",UPPER(TRIM(E2921))="B"),"B",IF(OR(LEFT(UPPER(TRIM(E2921)),2)="SL",UPPER(TRIM(E2921))="C"),"C",IF(OR(LEFT(UPPER(TRIM(E2921)),1)="D",UPPER(TRIM(E2921))="D"),"D","")))))))</f>
        <v/>
      </c>
      <c r="J2921" s="27" t="str">
        <f aca="false">IF(I2921="","",IF(AND(I2921="D",Settings!$B$6&lt;&gt;"Yes"),"",IFERROR(INDEX(Settings!$C$9:$C$12,MATCH(I2921,Settings!$A$9:$A$12,0)),"")))</f>
        <v/>
      </c>
      <c r="K2921" s="27" t="str">
        <f aca="false">IF(J2921="","",COUNTIF($I$2:I2921,I2921))</f>
        <v/>
      </c>
      <c r="L2921" s="27" t="str">
        <f aca="false">IF(J2921="","",CHOOSE(Q2921+1,"Tue","Wed","Thu","Fri"))</f>
        <v/>
      </c>
      <c r="M2921" s="27" t="str">
        <f aca="false">IF(J2921="","",IF(J2921=1,"Every week",R2921+1&amp;" of "&amp;J2921))</f>
        <v/>
      </c>
      <c r="N2921" s="28" t="str">
        <f aca="false">IF(J2921="","",Settings!$B$4+R2921*7+Q2921)</f>
        <v/>
      </c>
      <c r="O2921" s="28" t="str">
        <f aca="true">IF(J2921="","",N2921+MAX(0,ROUNDUP((TODAY()-N2921)/(J2921*7),0))*J2921*7)</f>
        <v/>
      </c>
      <c r="P2921" s="27" t="str">
        <f aca="false">IF(J2921="","",MOD(K2921-1,J2921*4))</f>
        <v/>
      </c>
      <c r="Q2921" s="27" t="str">
        <f aca="false">IF(J2921="","",MOD(P2921,4))</f>
        <v/>
      </c>
      <c r="R2921" s="27" t="str">
        <f aca="false">IF(J2921="","",INT(P2921/4))</f>
        <v/>
      </c>
      <c r="S2921" s="27" t="str">
        <f aca="false">IF(J2921="","",IF(AND('Daily Count Sheet'!$H$3=Q2921,MOD('Daily Count Sheet'!$I$3,J2921)=R2921),1,""))</f>
        <v/>
      </c>
      <c r="T2921" s="27" t="str">
        <f aca="false">IF(S2921=1,COUNTIF($S$2:S2921,1),"")</f>
        <v/>
      </c>
    </row>
    <row r="2922" customFormat="false" ht="15" hidden="false" customHeight="false" outlineLevel="0" collapsed="false">
      <c r="H2922" s="26"/>
      <c r="I2922" s="27" t="str">
        <f aca="false">IF(A2922="","",IF(H2922&lt;&gt;"",UPPER(TRIM(H2922)),IFERROR(CHOOSE(VALUE(E2922)+1,"A","B","C","D"),IF(OR(LEFT(UPPER(TRIM(E2922)),1)="F",UPPER(TRIM(E2922))="A"),"A",IF(OR(LEFT(UPPER(TRIM(E2922)),1)="M",UPPER(TRIM(E2922))="B"),"B",IF(OR(LEFT(UPPER(TRIM(E2922)),2)="SL",UPPER(TRIM(E2922))="C"),"C",IF(OR(LEFT(UPPER(TRIM(E2922)),1)="D",UPPER(TRIM(E2922))="D"),"D","")))))))</f>
        <v/>
      </c>
      <c r="J2922" s="27" t="str">
        <f aca="false">IF(I2922="","",IF(AND(I2922="D",Settings!$B$6&lt;&gt;"Yes"),"",IFERROR(INDEX(Settings!$C$9:$C$12,MATCH(I2922,Settings!$A$9:$A$12,0)),"")))</f>
        <v/>
      </c>
      <c r="K2922" s="27" t="str">
        <f aca="false">IF(J2922="","",COUNTIF($I$2:I2922,I2922))</f>
        <v/>
      </c>
      <c r="L2922" s="27" t="str">
        <f aca="false">IF(J2922="","",CHOOSE(Q2922+1,"Tue","Wed","Thu","Fri"))</f>
        <v/>
      </c>
      <c r="M2922" s="27" t="str">
        <f aca="false">IF(J2922="","",IF(J2922=1,"Every week",R2922+1&amp;" of "&amp;J2922))</f>
        <v/>
      </c>
      <c r="N2922" s="28" t="str">
        <f aca="false">IF(J2922="","",Settings!$B$4+R2922*7+Q2922)</f>
        <v/>
      </c>
      <c r="O2922" s="28" t="str">
        <f aca="true">IF(J2922="","",N2922+MAX(0,ROUNDUP((TODAY()-N2922)/(J2922*7),0))*J2922*7)</f>
        <v/>
      </c>
      <c r="P2922" s="27" t="str">
        <f aca="false">IF(J2922="","",MOD(K2922-1,J2922*4))</f>
        <v/>
      </c>
      <c r="Q2922" s="27" t="str">
        <f aca="false">IF(J2922="","",MOD(P2922,4))</f>
        <v/>
      </c>
      <c r="R2922" s="27" t="str">
        <f aca="false">IF(J2922="","",INT(P2922/4))</f>
        <v/>
      </c>
      <c r="S2922" s="27" t="str">
        <f aca="false">IF(J2922="","",IF(AND('Daily Count Sheet'!$H$3=Q2922,MOD('Daily Count Sheet'!$I$3,J2922)=R2922),1,""))</f>
        <v/>
      </c>
      <c r="T2922" s="27" t="str">
        <f aca="false">IF(S2922=1,COUNTIF($S$2:S2922,1),"")</f>
        <v/>
      </c>
    </row>
    <row r="2923" customFormat="false" ht="15" hidden="false" customHeight="false" outlineLevel="0" collapsed="false">
      <c r="H2923" s="26"/>
      <c r="I2923" s="27" t="str">
        <f aca="false">IF(A2923="","",IF(H2923&lt;&gt;"",UPPER(TRIM(H2923)),IFERROR(CHOOSE(VALUE(E2923)+1,"A","B","C","D"),IF(OR(LEFT(UPPER(TRIM(E2923)),1)="F",UPPER(TRIM(E2923))="A"),"A",IF(OR(LEFT(UPPER(TRIM(E2923)),1)="M",UPPER(TRIM(E2923))="B"),"B",IF(OR(LEFT(UPPER(TRIM(E2923)),2)="SL",UPPER(TRIM(E2923))="C"),"C",IF(OR(LEFT(UPPER(TRIM(E2923)),1)="D",UPPER(TRIM(E2923))="D"),"D","")))))))</f>
        <v/>
      </c>
      <c r="J2923" s="27" t="str">
        <f aca="false">IF(I2923="","",IF(AND(I2923="D",Settings!$B$6&lt;&gt;"Yes"),"",IFERROR(INDEX(Settings!$C$9:$C$12,MATCH(I2923,Settings!$A$9:$A$12,0)),"")))</f>
        <v/>
      </c>
      <c r="K2923" s="27" t="str">
        <f aca="false">IF(J2923="","",COUNTIF($I$2:I2923,I2923))</f>
        <v/>
      </c>
      <c r="L2923" s="27" t="str">
        <f aca="false">IF(J2923="","",CHOOSE(Q2923+1,"Tue","Wed","Thu","Fri"))</f>
        <v/>
      </c>
      <c r="M2923" s="27" t="str">
        <f aca="false">IF(J2923="","",IF(J2923=1,"Every week",R2923+1&amp;" of "&amp;J2923))</f>
        <v/>
      </c>
      <c r="N2923" s="28" t="str">
        <f aca="false">IF(J2923="","",Settings!$B$4+R2923*7+Q2923)</f>
        <v/>
      </c>
      <c r="O2923" s="28" t="str">
        <f aca="true">IF(J2923="","",N2923+MAX(0,ROUNDUP((TODAY()-N2923)/(J2923*7),0))*J2923*7)</f>
        <v/>
      </c>
      <c r="P2923" s="27" t="str">
        <f aca="false">IF(J2923="","",MOD(K2923-1,J2923*4))</f>
        <v/>
      </c>
      <c r="Q2923" s="27" t="str">
        <f aca="false">IF(J2923="","",MOD(P2923,4))</f>
        <v/>
      </c>
      <c r="R2923" s="27" t="str">
        <f aca="false">IF(J2923="","",INT(P2923/4))</f>
        <v/>
      </c>
      <c r="S2923" s="27" t="str">
        <f aca="false">IF(J2923="","",IF(AND('Daily Count Sheet'!$H$3=Q2923,MOD('Daily Count Sheet'!$I$3,J2923)=R2923),1,""))</f>
        <v/>
      </c>
      <c r="T2923" s="27" t="str">
        <f aca="false">IF(S2923=1,COUNTIF($S$2:S2923,1),"")</f>
        <v/>
      </c>
    </row>
    <row r="2924" customFormat="false" ht="15" hidden="false" customHeight="false" outlineLevel="0" collapsed="false">
      <c r="H2924" s="26"/>
      <c r="I2924" s="27" t="str">
        <f aca="false">IF(A2924="","",IF(H2924&lt;&gt;"",UPPER(TRIM(H2924)),IFERROR(CHOOSE(VALUE(E2924)+1,"A","B","C","D"),IF(OR(LEFT(UPPER(TRIM(E2924)),1)="F",UPPER(TRIM(E2924))="A"),"A",IF(OR(LEFT(UPPER(TRIM(E2924)),1)="M",UPPER(TRIM(E2924))="B"),"B",IF(OR(LEFT(UPPER(TRIM(E2924)),2)="SL",UPPER(TRIM(E2924))="C"),"C",IF(OR(LEFT(UPPER(TRIM(E2924)),1)="D",UPPER(TRIM(E2924))="D"),"D","")))))))</f>
        <v/>
      </c>
      <c r="J2924" s="27" t="str">
        <f aca="false">IF(I2924="","",IF(AND(I2924="D",Settings!$B$6&lt;&gt;"Yes"),"",IFERROR(INDEX(Settings!$C$9:$C$12,MATCH(I2924,Settings!$A$9:$A$12,0)),"")))</f>
        <v/>
      </c>
      <c r="K2924" s="27" t="str">
        <f aca="false">IF(J2924="","",COUNTIF($I$2:I2924,I2924))</f>
        <v/>
      </c>
      <c r="L2924" s="27" t="str">
        <f aca="false">IF(J2924="","",CHOOSE(Q2924+1,"Tue","Wed","Thu","Fri"))</f>
        <v/>
      </c>
      <c r="M2924" s="27" t="str">
        <f aca="false">IF(J2924="","",IF(J2924=1,"Every week",R2924+1&amp;" of "&amp;J2924))</f>
        <v/>
      </c>
      <c r="N2924" s="28" t="str">
        <f aca="false">IF(J2924="","",Settings!$B$4+R2924*7+Q2924)</f>
        <v/>
      </c>
      <c r="O2924" s="28" t="str">
        <f aca="true">IF(J2924="","",N2924+MAX(0,ROUNDUP((TODAY()-N2924)/(J2924*7),0))*J2924*7)</f>
        <v/>
      </c>
      <c r="P2924" s="27" t="str">
        <f aca="false">IF(J2924="","",MOD(K2924-1,J2924*4))</f>
        <v/>
      </c>
      <c r="Q2924" s="27" t="str">
        <f aca="false">IF(J2924="","",MOD(P2924,4))</f>
        <v/>
      </c>
      <c r="R2924" s="27" t="str">
        <f aca="false">IF(J2924="","",INT(P2924/4))</f>
        <v/>
      </c>
      <c r="S2924" s="27" t="str">
        <f aca="false">IF(J2924="","",IF(AND('Daily Count Sheet'!$H$3=Q2924,MOD('Daily Count Sheet'!$I$3,J2924)=R2924),1,""))</f>
        <v/>
      </c>
      <c r="T2924" s="27" t="str">
        <f aca="false">IF(S2924=1,COUNTIF($S$2:S2924,1),"")</f>
        <v/>
      </c>
    </row>
    <row r="2925" customFormat="false" ht="15" hidden="false" customHeight="false" outlineLevel="0" collapsed="false">
      <c r="H2925" s="26"/>
      <c r="I2925" s="27" t="str">
        <f aca="false">IF(A2925="","",IF(H2925&lt;&gt;"",UPPER(TRIM(H2925)),IFERROR(CHOOSE(VALUE(E2925)+1,"A","B","C","D"),IF(OR(LEFT(UPPER(TRIM(E2925)),1)="F",UPPER(TRIM(E2925))="A"),"A",IF(OR(LEFT(UPPER(TRIM(E2925)),1)="M",UPPER(TRIM(E2925))="B"),"B",IF(OR(LEFT(UPPER(TRIM(E2925)),2)="SL",UPPER(TRIM(E2925))="C"),"C",IF(OR(LEFT(UPPER(TRIM(E2925)),1)="D",UPPER(TRIM(E2925))="D"),"D","")))))))</f>
        <v/>
      </c>
      <c r="J2925" s="27" t="str">
        <f aca="false">IF(I2925="","",IF(AND(I2925="D",Settings!$B$6&lt;&gt;"Yes"),"",IFERROR(INDEX(Settings!$C$9:$C$12,MATCH(I2925,Settings!$A$9:$A$12,0)),"")))</f>
        <v/>
      </c>
      <c r="K2925" s="27" t="str">
        <f aca="false">IF(J2925="","",COUNTIF($I$2:I2925,I2925))</f>
        <v/>
      </c>
      <c r="L2925" s="27" t="str">
        <f aca="false">IF(J2925="","",CHOOSE(Q2925+1,"Tue","Wed","Thu","Fri"))</f>
        <v/>
      </c>
      <c r="M2925" s="27" t="str">
        <f aca="false">IF(J2925="","",IF(J2925=1,"Every week",R2925+1&amp;" of "&amp;J2925))</f>
        <v/>
      </c>
      <c r="N2925" s="28" t="str">
        <f aca="false">IF(J2925="","",Settings!$B$4+R2925*7+Q2925)</f>
        <v/>
      </c>
      <c r="O2925" s="28" t="str">
        <f aca="true">IF(J2925="","",N2925+MAX(0,ROUNDUP((TODAY()-N2925)/(J2925*7),0))*J2925*7)</f>
        <v/>
      </c>
      <c r="P2925" s="27" t="str">
        <f aca="false">IF(J2925="","",MOD(K2925-1,J2925*4))</f>
        <v/>
      </c>
      <c r="Q2925" s="27" t="str">
        <f aca="false">IF(J2925="","",MOD(P2925,4))</f>
        <v/>
      </c>
      <c r="R2925" s="27" t="str">
        <f aca="false">IF(J2925="","",INT(P2925/4))</f>
        <v/>
      </c>
      <c r="S2925" s="27" t="str">
        <f aca="false">IF(J2925="","",IF(AND('Daily Count Sheet'!$H$3=Q2925,MOD('Daily Count Sheet'!$I$3,J2925)=R2925),1,""))</f>
        <v/>
      </c>
      <c r="T2925" s="27" t="str">
        <f aca="false">IF(S2925=1,COUNTIF($S$2:S2925,1),"")</f>
        <v/>
      </c>
    </row>
    <row r="2926" customFormat="false" ht="15" hidden="false" customHeight="false" outlineLevel="0" collapsed="false">
      <c r="H2926" s="26"/>
      <c r="I2926" s="27" t="str">
        <f aca="false">IF(A2926="","",IF(H2926&lt;&gt;"",UPPER(TRIM(H2926)),IFERROR(CHOOSE(VALUE(E2926)+1,"A","B","C","D"),IF(OR(LEFT(UPPER(TRIM(E2926)),1)="F",UPPER(TRIM(E2926))="A"),"A",IF(OR(LEFT(UPPER(TRIM(E2926)),1)="M",UPPER(TRIM(E2926))="B"),"B",IF(OR(LEFT(UPPER(TRIM(E2926)),2)="SL",UPPER(TRIM(E2926))="C"),"C",IF(OR(LEFT(UPPER(TRIM(E2926)),1)="D",UPPER(TRIM(E2926))="D"),"D","")))))))</f>
        <v/>
      </c>
      <c r="J2926" s="27" t="str">
        <f aca="false">IF(I2926="","",IF(AND(I2926="D",Settings!$B$6&lt;&gt;"Yes"),"",IFERROR(INDEX(Settings!$C$9:$C$12,MATCH(I2926,Settings!$A$9:$A$12,0)),"")))</f>
        <v/>
      </c>
      <c r="K2926" s="27" t="str">
        <f aca="false">IF(J2926="","",COUNTIF($I$2:I2926,I2926))</f>
        <v/>
      </c>
      <c r="L2926" s="27" t="str">
        <f aca="false">IF(J2926="","",CHOOSE(Q2926+1,"Tue","Wed","Thu","Fri"))</f>
        <v/>
      </c>
      <c r="M2926" s="27" t="str">
        <f aca="false">IF(J2926="","",IF(J2926=1,"Every week",R2926+1&amp;" of "&amp;J2926))</f>
        <v/>
      </c>
      <c r="N2926" s="28" t="str">
        <f aca="false">IF(J2926="","",Settings!$B$4+R2926*7+Q2926)</f>
        <v/>
      </c>
      <c r="O2926" s="28" t="str">
        <f aca="true">IF(J2926="","",N2926+MAX(0,ROUNDUP((TODAY()-N2926)/(J2926*7),0))*J2926*7)</f>
        <v/>
      </c>
      <c r="P2926" s="27" t="str">
        <f aca="false">IF(J2926="","",MOD(K2926-1,J2926*4))</f>
        <v/>
      </c>
      <c r="Q2926" s="27" t="str">
        <f aca="false">IF(J2926="","",MOD(P2926,4))</f>
        <v/>
      </c>
      <c r="R2926" s="27" t="str">
        <f aca="false">IF(J2926="","",INT(P2926/4))</f>
        <v/>
      </c>
      <c r="S2926" s="27" t="str">
        <f aca="false">IF(J2926="","",IF(AND('Daily Count Sheet'!$H$3=Q2926,MOD('Daily Count Sheet'!$I$3,J2926)=R2926),1,""))</f>
        <v/>
      </c>
      <c r="T2926" s="27" t="str">
        <f aca="false">IF(S2926=1,COUNTIF($S$2:S2926,1),"")</f>
        <v/>
      </c>
    </row>
    <row r="2927" customFormat="false" ht="15" hidden="false" customHeight="false" outlineLevel="0" collapsed="false">
      <c r="H2927" s="26"/>
      <c r="I2927" s="27" t="str">
        <f aca="false">IF(A2927="","",IF(H2927&lt;&gt;"",UPPER(TRIM(H2927)),IFERROR(CHOOSE(VALUE(E2927)+1,"A","B","C","D"),IF(OR(LEFT(UPPER(TRIM(E2927)),1)="F",UPPER(TRIM(E2927))="A"),"A",IF(OR(LEFT(UPPER(TRIM(E2927)),1)="M",UPPER(TRIM(E2927))="B"),"B",IF(OR(LEFT(UPPER(TRIM(E2927)),2)="SL",UPPER(TRIM(E2927))="C"),"C",IF(OR(LEFT(UPPER(TRIM(E2927)),1)="D",UPPER(TRIM(E2927))="D"),"D","")))))))</f>
        <v/>
      </c>
      <c r="J2927" s="27" t="str">
        <f aca="false">IF(I2927="","",IF(AND(I2927="D",Settings!$B$6&lt;&gt;"Yes"),"",IFERROR(INDEX(Settings!$C$9:$C$12,MATCH(I2927,Settings!$A$9:$A$12,0)),"")))</f>
        <v/>
      </c>
      <c r="K2927" s="27" t="str">
        <f aca="false">IF(J2927="","",COUNTIF($I$2:I2927,I2927))</f>
        <v/>
      </c>
      <c r="L2927" s="27" t="str">
        <f aca="false">IF(J2927="","",CHOOSE(Q2927+1,"Tue","Wed","Thu","Fri"))</f>
        <v/>
      </c>
      <c r="M2927" s="27" t="str">
        <f aca="false">IF(J2927="","",IF(J2927=1,"Every week",R2927+1&amp;" of "&amp;J2927))</f>
        <v/>
      </c>
      <c r="N2927" s="28" t="str">
        <f aca="false">IF(J2927="","",Settings!$B$4+R2927*7+Q2927)</f>
        <v/>
      </c>
      <c r="O2927" s="28" t="str">
        <f aca="true">IF(J2927="","",N2927+MAX(0,ROUNDUP((TODAY()-N2927)/(J2927*7),0))*J2927*7)</f>
        <v/>
      </c>
      <c r="P2927" s="27" t="str">
        <f aca="false">IF(J2927="","",MOD(K2927-1,J2927*4))</f>
        <v/>
      </c>
      <c r="Q2927" s="27" t="str">
        <f aca="false">IF(J2927="","",MOD(P2927,4))</f>
        <v/>
      </c>
      <c r="R2927" s="27" t="str">
        <f aca="false">IF(J2927="","",INT(P2927/4))</f>
        <v/>
      </c>
      <c r="S2927" s="27" t="str">
        <f aca="false">IF(J2927="","",IF(AND('Daily Count Sheet'!$H$3=Q2927,MOD('Daily Count Sheet'!$I$3,J2927)=R2927),1,""))</f>
        <v/>
      </c>
      <c r="T2927" s="27" t="str">
        <f aca="false">IF(S2927=1,COUNTIF($S$2:S2927,1),"")</f>
        <v/>
      </c>
    </row>
    <row r="2928" customFormat="false" ht="15" hidden="false" customHeight="false" outlineLevel="0" collapsed="false">
      <c r="H2928" s="26"/>
      <c r="I2928" s="27" t="str">
        <f aca="false">IF(A2928="","",IF(H2928&lt;&gt;"",UPPER(TRIM(H2928)),IFERROR(CHOOSE(VALUE(E2928)+1,"A","B","C","D"),IF(OR(LEFT(UPPER(TRIM(E2928)),1)="F",UPPER(TRIM(E2928))="A"),"A",IF(OR(LEFT(UPPER(TRIM(E2928)),1)="M",UPPER(TRIM(E2928))="B"),"B",IF(OR(LEFT(UPPER(TRIM(E2928)),2)="SL",UPPER(TRIM(E2928))="C"),"C",IF(OR(LEFT(UPPER(TRIM(E2928)),1)="D",UPPER(TRIM(E2928))="D"),"D","")))))))</f>
        <v/>
      </c>
      <c r="J2928" s="27" t="str">
        <f aca="false">IF(I2928="","",IF(AND(I2928="D",Settings!$B$6&lt;&gt;"Yes"),"",IFERROR(INDEX(Settings!$C$9:$C$12,MATCH(I2928,Settings!$A$9:$A$12,0)),"")))</f>
        <v/>
      </c>
      <c r="K2928" s="27" t="str">
        <f aca="false">IF(J2928="","",COUNTIF($I$2:I2928,I2928))</f>
        <v/>
      </c>
      <c r="L2928" s="27" t="str">
        <f aca="false">IF(J2928="","",CHOOSE(Q2928+1,"Tue","Wed","Thu","Fri"))</f>
        <v/>
      </c>
      <c r="M2928" s="27" t="str">
        <f aca="false">IF(J2928="","",IF(J2928=1,"Every week",R2928+1&amp;" of "&amp;J2928))</f>
        <v/>
      </c>
      <c r="N2928" s="28" t="str">
        <f aca="false">IF(J2928="","",Settings!$B$4+R2928*7+Q2928)</f>
        <v/>
      </c>
      <c r="O2928" s="28" t="str">
        <f aca="true">IF(J2928="","",N2928+MAX(0,ROUNDUP((TODAY()-N2928)/(J2928*7),0))*J2928*7)</f>
        <v/>
      </c>
      <c r="P2928" s="27" t="str">
        <f aca="false">IF(J2928="","",MOD(K2928-1,J2928*4))</f>
        <v/>
      </c>
      <c r="Q2928" s="27" t="str">
        <f aca="false">IF(J2928="","",MOD(P2928,4))</f>
        <v/>
      </c>
      <c r="R2928" s="27" t="str">
        <f aca="false">IF(J2928="","",INT(P2928/4))</f>
        <v/>
      </c>
      <c r="S2928" s="27" t="str">
        <f aca="false">IF(J2928="","",IF(AND('Daily Count Sheet'!$H$3=Q2928,MOD('Daily Count Sheet'!$I$3,J2928)=R2928),1,""))</f>
        <v/>
      </c>
      <c r="T2928" s="27" t="str">
        <f aca="false">IF(S2928=1,COUNTIF($S$2:S2928,1),"")</f>
        <v/>
      </c>
    </row>
    <row r="2929" customFormat="false" ht="15" hidden="false" customHeight="false" outlineLevel="0" collapsed="false">
      <c r="H2929" s="26"/>
      <c r="I2929" s="27" t="str">
        <f aca="false">IF(A2929="","",IF(H2929&lt;&gt;"",UPPER(TRIM(H2929)),IFERROR(CHOOSE(VALUE(E2929)+1,"A","B","C","D"),IF(OR(LEFT(UPPER(TRIM(E2929)),1)="F",UPPER(TRIM(E2929))="A"),"A",IF(OR(LEFT(UPPER(TRIM(E2929)),1)="M",UPPER(TRIM(E2929))="B"),"B",IF(OR(LEFT(UPPER(TRIM(E2929)),2)="SL",UPPER(TRIM(E2929))="C"),"C",IF(OR(LEFT(UPPER(TRIM(E2929)),1)="D",UPPER(TRIM(E2929))="D"),"D","")))))))</f>
        <v/>
      </c>
      <c r="J2929" s="27" t="str">
        <f aca="false">IF(I2929="","",IF(AND(I2929="D",Settings!$B$6&lt;&gt;"Yes"),"",IFERROR(INDEX(Settings!$C$9:$C$12,MATCH(I2929,Settings!$A$9:$A$12,0)),"")))</f>
        <v/>
      </c>
      <c r="K2929" s="27" t="str">
        <f aca="false">IF(J2929="","",COUNTIF($I$2:I2929,I2929))</f>
        <v/>
      </c>
      <c r="L2929" s="27" t="str">
        <f aca="false">IF(J2929="","",CHOOSE(Q2929+1,"Tue","Wed","Thu","Fri"))</f>
        <v/>
      </c>
      <c r="M2929" s="27" t="str">
        <f aca="false">IF(J2929="","",IF(J2929=1,"Every week",R2929+1&amp;" of "&amp;J2929))</f>
        <v/>
      </c>
      <c r="N2929" s="28" t="str">
        <f aca="false">IF(J2929="","",Settings!$B$4+R2929*7+Q2929)</f>
        <v/>
      </c>
      <c r="O2929" s="28" t="str">
        <f aca="true">IF(J2929="","",N2929+MAX(0,ROUNDUP((TODAY()-N2929)/(J2929*7),0))*J2929*7)</f>
        <v/>
      </c>
      <c r="P2929" s="27" t="str">
        <f aca="false">IF(J2929="","",MOD(K2929-1,J2929*4))</f>
        <v/>
      </c>
      <c r="Q2929" s="27" t="str">
        <f aca="false">IF(J2929="","",MOD(P2929,4))</f>
        <v/>
      </c>
      <c r="R2929" s="27" t="str">
        <f aca="false">IF(J2929="","",INT(P2929/4))</f>
        <v/>
      </c>
      <c r="S2929" s="27" t="str">
        <f aca="false">IF(J2929="","",IF(AND('Daily Count Sheet'!$H$3=Q2929,MOD('Daily Count Sheet'!$I$3,J2929)=R2929),1,""))</f>
        <v/>
      </c>
      <c r="T2929" s="27" t="str">
        <f aca="false">IF(S2929=1,COUNTIF($S$2:S2929,1),"")</f>
        <v/>
      </c>
    </row>
    <row r="2930" customFormat="false" ht="15" hidden="false" customHeight="false" outlineLevel="0" collapsed="false">
      <c r="H2930" s="26"/>
      <c r="I2930" s="27" t="str">
        <f aca="false">IF(A2930="","",IF(H2930&lt;&gt;"",UPPER(TRIM(H2930)),IFERROR(CHOOSE(VALUE(E2930)+1,"A","B","C","D"),IF(OR(LEFT(UPPER(TRIM(E2930)),1)="F",UPPER(TRIM(E2930))="A"),"A",IF(OR(LEFT(UPPER(TRIM(E2930)),1)="M",UPPER(TRIM(E2930))="B"),"B",IF(OR(LEFT(UPPER(TRIM(E2930)),2)="SL",UPPER(TRIM(E2930))="C"),"C",IF(OR(LEFT(UPPER(TRIM(E2930)),1)="D",UPPER(TRIM(E2930))="D"),"D","")))))))</f>
        <v/>
      </c>
      <c r="J2930" s="27" t="str">
        <f aca="false">IF(I2930="","",IF(AND(I2930="D",Settings!$B$6&lt;&gt;"Yes"),"",IFERROR(INDEX(Settings!$C$9:$C$12,MATCH(I2930,Settings!$A$9:$A$12,0)),"")))</f>
        <v/>
      </c>
      <c r="K2930" s="27" t="str">
        <f aca="false">IF(J2930="","",COUNTIF($I$2:I2930,I2930))</f>
        <v/>
      </c>
      <c r="L2930" s="27" t="str">
        <f aca="false">IF(J2930="","",CHOOSE(Q2930+1,"Tue","Wed","Thu","Fri"))</f>
        <v/>
      </c>
      <c r="M2930" s="27" t="str">
        <f aca="false">IF(J2930="","",IF(J2930=1,"Every week",R2930+1&amp;" of "&amp;J2930))</f>
        <v/>
      </c>
      <c r="N2930" s="28" t="str">
        <f aca="false">IF(J2930="","",Settings!$B$4+R2930*7+Q2930)</f>
        <v/>
      </c>
      <c r="O2930" s="28" t="str">
        <f aca="true">IF(J2930="","",N2930+MAX(0,ROUNDUP((TODAY()-N2930)/(J2930*7),0))*J2930*7)</f>
        <v/>
      </c>
      <c r="P2930" s="27" t="str">
        <f aca="false">IF(J2930="","",MOD(K2930-1,J2930*4))</f>
        <v/>
      </c>
      <c r="Q2930" s="27" t="str">
        <f aca="false">IF(J2930="","",MOD(P2930,4))</f>
        <v/>
      </c>
      <c r="R2930" s="27" t="str">
        <f aca="false">IF(J2930="","",INT(P2930/4))</f>
        <v/>
      </c>
      <c r="S2930" s="27" t="str">
        <f aca="false">IF(J2930="","",IF(AND('Daily Count Sheet'!$H$3=Q2930,MOD('Daily Count Sheet'!$I$3,J2930)=R2930),1,""))</f>
        <v/>
      </c>
      <c r="T2930" s="27" t="str">
        <f aca="false">IF(S2930=1,COUNTIF($S$2:S2930,1),"")</f>
        <v/>
      </c>
    </row>
    <row r="2931" customFormat="false" ht="15" hidden="false" customHeight="false" outlineLevel="0" collapsed="false">
      <c r="H2931" s="26"/>
      <c r="I2931" s="27" t="str">
        <f aca="false">IF(A2931="","",IF(H2931&lt;&gt;"",UPPER(TRIM(H2931)),IFERROR(CHOOSE(VALUE(E2931)+1,"A","B","C","D"),IF(OR(LEFT(UPPER(TRIM(E2931)),1)="F",UPPER(TRIM(E2931))="A"),"A",IF(OR(LEFT(UPPER(TRIM(E2931)),1)="M",UPPER(TRIM(E2931))="B"),"B",IF(OR(LEFT(UPPER(TRIM(E2931)),2)="SL",UPPER(TRIM(E2931))="C"),"C",IF(OR(LEFT(UPPER(TRIM(E2931)),1)="D",UPPER(TRIM(E2931))="D"),"D","")))))))</f>
        <v/>
      </c>
      <c r="J2931" s="27" t="str">
        <f aca="false">IF(I2931="","",IF(AND(I2931="D",Settings!$B$6&lt;&gt;"Yes"),"",IFERROR(INDEX(Settings!$C$9:$C$12,MATCH(I2931,Settings!$A$9:$A$12,0)),"")))</f>
        <v/>
      </c>
      <c r="K2931" s="27" t="str">
        <f aca="false">IF(J2931="","",COUNTIF($I$2:I2931,I2931))</f>
        <v/>
      </c>
      <c r="L2931" s="27" t="str">
        <f aca="false">IF(J2931="","",CHOOSE(Q2931+1,"Tue","Wed","Thu","Fri"))</f>
        <v/>
      </c>
      <c r="M2931" s="27" t="str">
        <f aca="false">IF(J2931="","",IF(J2931=1,"Every week",R2931+1&amp;" of "&amp;J2931))</f>
        <v/>
      </c>
      <c r="N2931" s="28" t="str">
        <f aca="false">IF(J2931="","",Settings!$B$4+R2931*7+Q2931)</f>
        <v/>
      </c>
      <c r="O2931" s="28" t="str">
        <f aca="true">IF(J2931="","",N2931+MAX(0,ROUNDUP((TODAY()-N2931)/(J2931*7),0))*J2931*7)</f>
        <v/>
      </c>
      <c r="P2931" s="27" t="str">
        <f aca="false">IF(J2931="","",MOD(K2931-1,J2931*4))</f>
        <v/>
      </c>
      <c r="Q2931" s="27" t="str">
        <f aca="false">IF(J2931="","",MOD(P2931,4))</f>
        <v/>
      </c>
      <c r="R2931" s="27" t="str">
        <f aca="false">IF(J2931="","",INT(P2931/4))</f>
        <v/>
      </c>
      <c r="S2931" s="27" t="str">
        <f aca="false">IF(J2931="","",IF(AND('Daily Count Sheet'!$H$3=Q2931,MOD('Daily Count Sheet'!$I$3,J2931)=R2931),1,""))</f>
        <v/>
      </c>
      <c r="T2931" s="27" t="str">
        <f aca="false">IF(S2931=1,COUNTIF($S$2:S2931,1),"")</f>
        <v/>
      </c>
    </row>
    <row r="2932" customFormat="false" ht="15" hidden="false" customHeight="false" outlineLevel="0" collapsed="false">
      <c r="H2932" s="26"/>
      <c r="I2932" s="27" t="str">
        <f aca="false">IF(A2932="","",IF(H2932&lt;&gt;"",UPPER(TRIM(H2932)),IFERROR(CHOOSE(VALUE(E2932)+1,"A","B","C","D"),IF(OR(LEFT(UPPER(TRIM(E2932)),1)="F",UPPER(TRIM(E2932))="A"),"A",IF(OR(LEFT(UPPER(TRIM(E2932)),1)="M",UPPER(TRIM(E2932))="B"),"B",IF(OR(LEFT(UPPER(TRIM(E2932)),2)="SL",UPPER(TRIM(E2932))="C"),"C",IF(OR(LEFT(UPPER(TRIM(E2932)),1)="D",UPPER(TRIM(E2932))="D"),"D","")))))))</f>
        <v/>
      </c>
      <c r="J2932" s="27" t="str">
        <f aca="false">IF(I2932="","",IF(AND(I2932="D",Settings!$B$6&lt;&gt;"Yes"),"",IFERROR(INDEX(Settings!$C$9:$C$12,MATCH(I2932,Settings!$A$9:$A$12,0)),"")))</f>
        <v/>
      </c>
      <c r="K2932" s="27" t="str">
        <f aca="false">IF(J2932="","",COUNTIF($I$2:I2932,I2932))</f>
        <v/>
      </c>
      <c r="L2932" s="27" t="str">
        <f aca="false">IF(J2932="","",CHOOSE(Q2932+1,"Tue","Wed","Thu","Fri"))</f>
        <v/>
      </c>
      <c r="M2932" s="27" t="str">
        <f aca="false">IF(J2932="","",IF(J2932=1,"Every week",R2932+1&amp;" of "&amp;J2932))</f>
        <v/>
      </c>
      <c r="N2932" s="28" t="str">
        <f aca="false">IF(J2932="","",Settings!$B$4+R2932*7+Q2932)</f>
        <v/>
      </c>
      <c r="O2932" s="28" t="str">
        <f aca="true">IF(J2932="","",N2932+MAX(0,ROUNDUP((TODAY()-N2932)/(J2932*7),0))*J2932*7)</f>
        <v/>
      </c>
      <c r="P2932" s="27" t="str">
        <f aca="false">IF(J2932="","",MOD(K2932-1,J2932*4))</f>
        <v/>
      </c>
      <c r="Q2932" s="27" t="str">
        <f aca="false">IF(J2932="","",MOD(P2932,4))</f>
        <v/>
      </c>
      <c r="R2932" s="27" t="str">
        <f aca="false">IF(J2932="","",INT(P2932/4))</f>
        <v/>
      </c>
      <c r="S2932" s="27" t="str">
        <f aca="false">IF(J2932="","",IF(AND('Daily Count Sheet'!$H$3=Q2932,MOD('Daily Count Sheet'!$I$3,J2932)=R2932),1,""))</f>
        <v/>
      </c>
      <c r="T2932" s="27" t="str">
        <f aca="false">IF(S2932=1,COUNTIF($S$2:S2932,1),"")</f>
        <v/>
      </c>
    </row>
    <row r="2933" customFormat="false" ht="15" hidden="false" customHeight="false" outlineLevel="0" collapsed="false">
      <c r="H2933" s="26"/>
      <c r="I2933" s="27" t="str">
        <f aca="false">IF(A2933="","",IF(H2933&lt;&gt;"",UPPER(TRIM(H2933)),IFERROR(CHOOSE(VALUE(E2933)+1,"A","B","C","D"),IF(OR(LEFT(UPPER(TRIM(E2933)),1)="F",UPPER(TRIM(E2933))="A"),"A",IF(OR(LEFT(UPPER(TRIM(E2933)),1)="M",UPPER(TRIM(E2933))="B"),"B",IF(OR(LEFT(UPPER(TRIM(E2933)),2)="SL",UPPER(TRIM(E2933))="C"),"C",IF(OR(LEFT(UPPER(TRIM(E2933)),1)="D",UPPER(TRIM(E2933))="D"),"D","")))))))</f>
        <v/>
      </c>
      <c r="J2933" s="27" t="str">
        <f aca="false">IF(I2933="","",IF(AND(I2933="D",Settings!$B$6&lt;&gt;"Yes"),"",IFERROR(INDEX(Settings!$C$9:$C$12,MATCH(I2933,Settings!$A$9:$A$12,0)),"")))</f>
        <v/>
      </c>
      <c r="K2933" s="27" t="str">
        <f aca="false">IF(J2933="","",COUNTIF($I$2:I2933,I2933))</f>
        <v/>
      </c>
      <c r="L2933" s="27" t="str">
        <f aca="false">IF(J2933="","",CHOOSE(Q2933+1,"Tue","Wed","Thu","Fri"))</f>
        <v/>
      </c>
      <c r="M2933" s="27" t="str">
        <f aca="false">IF(J2933="","",IF(J2933=1,"Every week",R2933+1&amp;" of "&amp;J2933))</f>
        <v/>
      </c>
      <c r="N2933" s="28" t="str">
        <f aca="false">IF(J2933="","",Settings!$B$4+R2933*7+Q2933)</f>
        <v/>
      </c>
      <c r="O2933" s="28" t="str">
        <f aca="true">IF(J2933="","",N2933+MAX(0,ROUNDUP((TODAY()-N2933)/(J2933*7),0))*J2933*7)</f>
        <v/>
      </c>
      <c r="P2933" s="27" t="str">
        <f aca="false">IF(J2933="","",MOD(K2933-1,J2933*4))</f>
        <v/>
      </c>
      <c r="Q2933" s="27" t="str">
        <f aca="false">IF(J2933="","",MOD(P2933,4))</f>
        <v/>
      </c>
      <c r="R2933" s="27" t="str">
        <f aca="false">IF(J2933="","",INT(P2933/4))</f>
        <v/>
      </c>
      <c r="S2933" s="27" t="str">
        <f aca="false">IF(J2933="","",IF(AND('Daily Count Sheet'!$H$3=Q2933,MOD('Daily Count Sheet'!$I$3,J2933)=R2933),1,""))</f>
        <v/>
      </c>
      <c r="T2933" s="27" t="str">
        <f aca="false">IF(S2933=1,COUNTIF($S$2:S2933,1),"")</f>
        <v/>
      </c>
    </row>
    <row r="2934" customFormat="false" ht="15" hidden="false" customHeight="false" outlineLevel="0" collapsed="false">
      <c r="H2934" s="26"/>
      <c r="I2934" s="27" t="str">
        <f aca="false">IF(A2934="","",IF(H2934&lt;&gt;"",UPPER(TRIM(H2934)),IFERROR(CHOOSE(VALUE(E2934)+1,"A","B","C","D"),IF(OR(LEFT(UPPER(TRIM(E2934)),1)="F",UPPER(TRIM(E2934))="A"),"A",IF(OR(LEFT(UPPER(TRIM(E2934)),1)="M",UPPER(TRIM(E2934))="B"),"B",IF(OR(LEFT(UPPER(TRIM(E2934)),2)="SL",UPPER(TRIM(E2934))="C"),"C",IF(OR(LEFT(UPPER(TRIM(E2934)),1)="D",UPPER(TRIM(E2934))="D"),"D","")))))))</f>
        <v/>
      </c>
      <c r="J2934" s="27" t="str">
        <f aca="false">IF(I2934="","",IF(AND(I2934="D",Settings!$B$6&lt;&gt;"Yes"),"",IFERROR(INDEX(Settings!$C$9:$C$12,MATCH(I2934,Settings!$A$9:$A$12,0)),"")))</f>
        <v/>
      </c>
      <c r="K2934" s="27" t="str">
        <f aca="false">IF(J2934="","",COUNTIF($I$2:I2934,I2934))</f>
        <v/>
      </c>
      <c r="L2934" s="27" t="str">
        <f aca="false">IF(J2934="","",CHOOSE(Q2934+1,"Tue","Wed","Thu","Fri"))</f>
        <v/>
      </c>
      <c r="M2934" s="27" t="str">
        <f aca="false">IF(J2934="","",IF(J2934=1,"Every week",R2934+1&amp;" of "&amp;J2934))</f>
        <v/>
      </c>
      <c r="N2934" s="28" t="str">
        <f aca="false">IF(J2934="","",Settings!$B$4+R2934*7+Q2934)</f>
        <v/>
      </c>
      <c r="O2934" s="28" t="str">
        <f aca="true">IF(J2934="","",N2934+MAX(0,ROUNDUP((TODAY()-N2934)/(J2934*7),0))*J2934*7)</f>
        <v/>
      </c>
      <c r="P2934" s="27" t="str">
        <f aca="false">IF(J2934="","",MOD(K2934-1,J2934*4))</f>
        <v/>
      </c>
      <c r="Q2934" s="27" t="str">
        <f aca="false">IF(J2934="","",MOD(P2934,4))</f>
        <v/>
      </c>
      <c r="R2934" s="27" t="str">
        <f aca="false">IF(J2934="","",INT(P2934/4))</f>
        <v/>
      </c>
      <c r="S2934" s="27" t="str">
        <f aca="false">IF(J2934="","",IF(AND('Daily Count Sheet'!$H$3=Q2934,MOD('Daily Count Sheet'!$I$3,J2934)=R2934),1,""))</f>
        <v/>
      </c>
      <c r="T2934" s="27" t="str">
        <f aca="false">IF(S2934=1,COUNTIF($S$2:S2934,1),"")</f>
        <v/>
      </c>
    </row>
    <row r="2935" customFormat="false" ht="15" hidden="false" customHeight="false" outlineLevel="0" collapsed="false">
      <c r="H2935" s="26"/>
      <c r="I2935" s="27" t="str">
        <f aca="false">IF(A2935="","",IF(H2935&lt;&gt;"",UPPER(TRIM(H2935)),IFERROR(CHOOSE(VALUE(E2935)+1,"A","B","C","D"),IF(OR(LEFT(UPPER(TRIM(E2935)),1)="F",UPPER(TRIM(E2935))="A"),"A",IF(OR(LEFT(UPPER(TRIM(E2935)),1)="M",UPPER(TRIM(E2935))="B"),"B",IF(OR(LEFT(UPPER(TRIM(E2935)),2)="SL",UPPER(TRIM(E2935))="C"),"C",IF(OR(LEFT(UPPER(TRIM(E2935)),1)="D",UPPER(TRIM(E2935))="D"),"D","")))))))</f>
        <v/>
      </c>
      <c r="J2935" s="27" t="str">
        <f aca="false">IF(I2935="","",IF(AND(I2935="D",Settings!$B$6&lt;&gt;"Yes"),"",IFERROR(INDEX(Settings!$C$9:$C$12,MATCH(I2935,Settings!$A$9:$A$12,0)),"")))</f>
        <v/>
      </c>
      <c r="K2935" s="27" t="str">
        <f aca="false">IF(J2935="","",COUNTIF($I$2:I2935,I2935))</f>
        <v/>
      </c>
      <c r="L2935" s="27" t="str">
        <f aca="false">IF(J2935="","",CHOOSE(Q2935+1,"Tue","Wed","Thu","Fri"))</f>
        <v/>
      </c>
      <c r="M2935" s="27" t="str">
        <f aca="false">IF(J2935="","",IF(J2935=1,"Every week",R2935+1&amp;" of "&amp;J2935))</f>
        <v/>
      </c>
      <c r="N2935" s="28" t="str">
        <f aca="false">IF(J2935="","",Settings!$B$4+R2935*7+Q2935)</f>
        <v/>
      </c>
      <c r="O2935" s="28" t="str">
        <f aca="true">IF(J2935="","",N2935+MAX(0,ROUNDUP((TODAY()-N2935)/(J2935*7),0))*J2935*7)</f>
        <v/>
      </c>
      <c r="P2935" s="27" t="str">
        <f aca="false">IF(J2935="","",MOD(K2935-1,J2935*4))</f>
        <v/>
      </c>
      <c r="Q2935" s="27" t="str">
        <f aca="false">IF(J2935="","",MOD(P2935,4))</f>
        <v/>
      </c>
      <c r="R2935" s="27" t="str">
        <f aca="false">IF(J2935="","",INT(P2935/4))</f>
        <v/>
      </c>
      <c r="S2935" s="27" t="str">
        <f aca="false">IF(J2935="","",IF(AND('Daily Count Sheet'!$H$3=Q2935,MOD('Daily Count Sheet'!$I$3,J2935)=R2935),1,""))</f>
        <v/>
      </c>
      <c r="T2935" s="27" t="str">
        <f aca="false">IF(S2935=1,COUNTIF($S$2:S2935,1),"")</f>
        <v/>
      </c>
    </row>
    <row r="2936" customFormat="false" ht="15" hidden="false" customHeight="false" outlineLevel="0" collapsed="false">
      <c r="H2936" s="26"/>
      <c r="I2936" s="27" t="str">
        <f aca="false">IF(A2936="","",IF(H2936&lt;&gt;"",UPPER(TRIM(H2936)),IFERROR(CHOOSE(VALUE(E2936)+1,"A","B","C","D"),IF(OR(LEFT(UPPER(TRIM(E2936)),1)="F",UPPER(TRIM(E2936))="A"),"A",IF(OR(LEFT(UPPER(TRIM(E2936)),1)="M",UPPER(TRIM(E2936))="B"),"B",IF(OR(LEFT(UPPER(TRIM(E2936)),2)="SL",UPPER(TRIM(E2936))="C"),"C",IF(OR(LEFT(UPPER(TRIM(E2936)),1)="D",UPPER(TRIM(E2936))="D"),"D","")))))))</f>
        <v/>
      </c>
      <c r="J2936" s="27" t="str">
        <f aca="false">IF(I2936="","",IF(AND(I2936="D",Settings!$B$6&lt;&gt;"Yes"),"",IFERROR(INDEX(Settings!$C$9:$C$12,MATCH(I2936,Settings!$A$9:$A$12,0)),"")))</f>
        <v/>
      </c>
      <c r="K2936" s="27" t="str">
        <f aca="false">IF(J2936="","",COUNTIF($I$2:I2936,I2936))</f>
        <v/>
      </c>
      <c r="L2936" s="27" t="str">
        <f aca="false">IF(J2936="","",CHOOSE(Q2936+1,"Tue","Wed","Thu","Fri"))</f>
        <v/>
      </c>
      <c r="M2936" s="27" t="str">
        <f aca="false">IF(J2936="","",IF(J2936=1,"Every week",R2936+1&amp;" of "&amp;J2936))</f>
        <v/>
      </c>
      <c r="N2936" s="28" t="str">
        <f aca="false">IF(J2936="","",Settings!$B$4+R2936*7+Q2936)</f>
        <v/>
      </c>
      <c r="O2936" s="28" t="str">
        <f aca="true">IF(J2936="","",N2936+MAX(0,ROUNDUP((TODAY()-N2936)/(J2936*7),0))*J2936*7)</f>
        <v/>
      </c>
      <c r="P2936" s="27" t="str">
        <f aca="false">IF(J2936="","",MOD(K2936-1,J2936*4))</f>
        <v/>
      </c>
      <c r="Q2936" s="27" t="str">
        <f aca="false">IF(J2936="","",MOD(P2936,4))</f>
        <v/>
      </c>
      <c r="R2936" s="27" t="str">
        <f aca="false">IF(J2936="","",INT(P2936/4))</f>
        <v/>
      </c>
      <c r="S2936" s="27" t="str">
        <f aca="false">IF(J2936="","",IF(AND('Daily Count Sheet'!$H$3=Q2936,MOD('Daily Count Sheet'!$I$3,J2936)=R2936),1,""))</f>
        <v/>
      </c>
      <c r="T2936" s="27" t="str">
        <f aca="false">IF(S2936=1,COUNTIF($S$2:S2936,1),"")</f>
        <v/>
      </c>
    </row>
    <row r="2937" customFormat="false" ht="15" hidden="false" customHeight="false" outlineLevel="0" collapsed="false">
      <c r="H2937" s="26"/>
      <c r="I2937" s="27" t="str">
        <f aca="false">IF(A2937="","",IF(H2937&lt;&gt;"",UPPER(TRIM(H2937)),IFERROR(CHOOSE(VALUE(E2937)+1,"A","B","C","D"),IF(OR(LEFT(UPPER(TRIM(E2937)),1)="F",UPPER(TRIM(E2937))="A"),"A",IF(OR(LEFT(UPPER(TRIM(E2937)),1)="M",UPPER(TRIM(E2937))="B"),"B",IF(OR(LEFT(UPPER(TRIM(E2937)),2)="SL",UPPER(TRIM(E2937))="C"),"C",IF(OR(LEFT(UPPER(TRIM(E2937)),1)="D",UPPER(TRIM(E2937))="D"),"D","")))))))</f>
        <v/>
      </c>
      <c r="J2937" s="27" t="str">
        <f aca="false">IF(I2937="","",IF(AND(I2937="D",Settings!$B$6&lt;&gt;"Yes"),"",IFERROR(INDEX(Settings!$C$9:$C$12,MATCH(I2937,Settings!$A$9:$A$12,0)),"")))</f>
        <v/>
      </c>
      <c r="K2937" s="27" t="str">
        <f aca="false">IF(J2937="","",COUNTIF($I$2:I2937,I2937))</f>
        <v/>
      </c>
      <c r="L2937" s="27" t="str">
        <f aca="false">IF(J2937="","",CHOOSE(Q2937+1,"Tue","Wed","Thu","Fri"))</f>
        <v/>
      </c>
      <c r="M2937" s="27" t="str">
        <f aca="false">IF(J2937="","",IF(J2937=1,"Every week",R2937+1&amp;" of "&amp;J2937))</f>
        <v/>
      </c>
      <c r="N2937" s="28" t="str">
        <f aca="false">IF(J2937="","",Settings!$B$4+R2937*7+Q2937)</f>
        <v/>
      </c>
      <c r="O2937" s="28" t="str">
        <f aca="true">IF(J2937="","",N2937+MAX(0,ROUNDUP((TODAY()-N2937)/(J2937*7),0))*J2937*7)</f>
        <v/>
      </c>
      <c r="P2937" s="27" t="str">
        <f aca="false">IF(J2937="","",MOD(K2937-1,J2937*4))</f>
        <v/>
      </c>
      <c r="Q2937" s="27" t="str">
        <f aca="false">IF(J2937="","",MOD(P2937,4))</f>
        <v/>
      </c>
      <c r="R2937" s="27" t="str">
        <f aca="false">IF(J2937="","",INT(P2937/4))</f>
        <v/>
      </c>
      <c r="S2937" s="27" t="str">
        <f aca="false">IF(J2937="","",IF(AND('Daily Count Sheet'!$H$3=Q2937,MOD('Daily Count Sheet'!$I$3,J2937)=R2937),1,""))</f>
        <v/>
      </c>
      <c r="T2937" s="27" t="str">
        <f aca="false">IF(S2937=1,COUNTIF($S$2:S2937,1),"")</f>
        <v/>
      </c>
    </row>
    <row r="2938" customFormat="false" ht="15" hidden="false" customHeight="false" outlineLevel="0" collapsed="false">
      <c r="H2938" s="26"/>
      <c r="I2938" s="27" t="str">
        <f aca="false">IF(A2938="","",IF(H2938&lt;&gt;"",UPPER(TRIM(H2938)),IFERROR(CHOOSE(VALUE(E2938)+1,"A","B","C","D"),IF(OR(LEFT(UPPER(TRIM(E2938)),1)="F",UPPER(TRIM(E2938))="A"),"A",IF(OR(LEFT(UPPER(TRIM(E2938)),1)="M",UPPER(TRIM(E2938))="B"),"B",IF(OR(LEFT(UPPER(TRIM(E2938)),2)="SL",UPPER(TRIM(E2938))="C"),"C",IF(OR(LEFT(UPPER(TRIM(E2938)),1)="D",UPPER(TRIM(E2938))="D"),"D","")))))))</f>
        <v/>
      </c>
      <c r="J2938" s="27" t="str">
        <f aca="false">IF(I2938="","",IF(AND(I2938="D",Settings!$B$6&lt;&gt;"Yes"),"",IFERROR(INDEX(Settings!$C$9:$C$12,MATCH(I2938,Settings!$A$9:$A$12,0)),"")))</f>
        <v/>
      </c>
      <c r="K2938" s="27" t="str">
        <f aca="false">IF(J2938="","",COUNTIF($I$2:I2938,I2938))</f>
        <v/>
      </c>
      <c r="L2938" s="27" t="str">
        <f aca="false">IF(J2938="","",CHOOSE(Q2938+1,"Tue","Wed","Thu","Fri"))</f>
        <v/>
      </c>
      <c r="M2938" s="27" t="str">
        <f aca="false">IF(J2938="","",IF(J2938=1,"Every week",R2938+1&amp;" of "&amp;J2938))</f>
        <v/>
      </c>
      <c r="N2938" s="28" t="str">
        <f aca="false">IF(J2938="","",Settings!$B$4+R2938*7+Q2938)</f>
        <v/>
      </c>
      <c r="O2938" s="28" t="str">
        <f aca="true">IF(J2938="","",N2938+MAX(0,ROUNDUP((TODAY()-N2938)/(J2938*7),0))*J2938*7)</f>
        <v/>
      </c>
      <c r="P2938" s="27" t="str">
        <f aca="false">IF(J2938="","",MOD(K2938-1,J2938*4))</f>
        <v/>
      </c>
      <c r="Q2938" s="27" t="str">
        <f aca="false">IF(J2938="","",MOD(P2938,4))</f>
        <v/>
      </c>
      <c r="R2938" s="27" t="str">
        <f aca="false">IF(J2938="","",INT(P2938/4))</f>
        <v/>
      </c>
      <c r="S2938" s="27" t="str">
        <f aca="false">IF(J2938="","",IF(AND('Daily Count Sheet'!$H$3=Q2938,MOD('Daily Count Sheet'!$I$3,J2938)=R2938),1,""))</f>
        <v/>
      </c>
      <c r="T2938" s="27" t="str">
        <f aca="false">IF(S2938=1,COUNTIF($S$2:S2938,1),"")</f>
        <v/>
      </c>
    </row>
    <row r="2939" customFormat="false" ht="15" hidden="false" customHeight="false" outlineLevel="0" collapsed="false">
      <c r="H2939" s="26"/>
      <c r="I2939" s="27" t="str">
        <f aca="false">IF(A2939="","",IF(H2939&lt;&gt;"",UPPER(TRIM(H2939)),IFERROR(CHOOSE(VALUE(E2939)+1,"A","B","C","D"),IF(OR(LEFT(UPPER(TRIM(E2939)),1)="F",UPPER(TRIM(E2939))="A"),"A",IF(OR(LEFT(UPPER(TRIM(E2939)),1)="M",UPPER(TRIM(E2939))="B"),"B",IF(OR(LEFT(UPPER(TRIM(E2939)),2)="SL",UPPER(TRIM(E2939))="C"),"C",IF(OR(LEFT(UPPER(TRIM(E2939)),1)="D",UPPER(TRIM(E2939))="D"),"D","")))))))</f>
        <v/>
      </c>
      <c r="J2939" s="27" t="str">
        <f aca="false">IF(I2939="","",IF(AND(I2939="D",Settings!$B$6&lt;&gt;"Yes"),"",IFERROR(INDEX(Settings!$C$9:$C$12,MATCH(I2939,Settings!$A$9:$A$12,0)),"")))</f>
        <v/>
      </c>
      <c r="K2939" s="27" t="str">
        <f aca="false">IF(J2939="","",COUNTIF($I$2:I2939,I2939))</f>
        <v/>
      </c>
      <c r="L2939" s="27" t="str">
        <f aca="false">IF(J2939="","",CHOOSE(Q2939+1,"Tue","Wed","Thu","Fri"))</f>
        <v/>
      </c>
      <c r="M2939" s="27" t="str">
        <f aca="false">IF(J2939="","",IF(J2939=1,"Every week",R2939+1&amp;" of "&amp;J2939))</f>
        <v/>
      </c>
      <c r="N2939" s="28" t="str">
        <f aca="false">IF(J2939="","",Settings!$B$4+R2939*7+Q2939)</f>
        <v/>
      </c>
      <c r="O2939" s="28" t="str">
        <f aca="true">IF(J2939="","",N2939+MAX(0,ROUNDUP((TODAY()-N2939)/(J2939*7),0))*J2939*7)</f>
        <v/>
      </c>
      <c r="P2939" s="27" t="str">
        <f aca="false">IF(J2939="","",MOD(K2939-1,J2939*4))</f>
        <v/>
      </c>
      <c r="Q2939" s="27" t="str">
        <f aca="false">IF(J2939="","",MOD(P2939,4))</f>
        <v/>
      </c>
      <c r="R2939" s="27" t="str">
        <f aca="false">IF(J2939="","",INT(P2939/4))</f>
        <v/>
      </c>
      <c r="S2939" s="27" t="str">
        <f aca="false">IF(J2939="","",IF(AND('Daily Count Sheet'!$H$3=Q2939,MOD('Daily Count Sheet'!$I$3,J2939)=R2939),1,""))</f>
        <v/>
      </c>
      <c r="T2939" s="27" t="str">
        <f aca="false">IF(S2939=1,COUNTIF($S$2:S2939,1),"")</f>
        <v/>
      </c>
    </row>
    <row r="2940" customFormat="false" ht="15" hidden="false" customHeight="false" outlineLevel="0" collapsed="false">
      <c r="H2940" s="26"/>
      <c r="I2940" s="27" t="str">
        <f aca="false">IF(A2940="","",IF(H2940&lt;&gt;"",UPPER(TRIM(H2940)),IFERROR(CHOOSE(VALUE(E2940)+1,"A","B","C","D"),IF(OR(LEFT(UPPER(TRIM(E2940)),1)="F",UPPER(TRIM(E2940))="A"),"A",IF(OR(LEFT(UPPER(TRIM(E2940)),1)="M",UPPER(TRIM(E2940))="B"),"B",IF(OR(LEFT(UPPER(TRIM(E2940)),2)="SL",UPPER(TRIM(E2940))="C"),"C",IF(OR(LEFT(UPPER(TRIM(E2940)),1)="D",UPPER(TRIM(E2940))="D"),"D","")))))))</f>
        <v/>
      </c>
      <c r="J2940" s="27" t="str">
        <f aca="false">IF(I2940="","",IF(AND(I2940="D",Settings!$B$6&lt;&gt;"Yes"),"",IFERROR(INDEX(Settings!$C$9:$C$12,MATCH(I2940,Settings!$A$9:$A$12,0)),"")))</f>
        <v/>
      </c>
      <c r="K2940" s="27" t="str">
        <f aca="false">IF(J2940="","",COUNTIF($I$2:I2940,I2940))</f>
        <v/>
      </c>
      <c r="L2940" s="27" t="str">
        <f aca="false">IF(J2940="","",CHOOSE(Q2940+1,"Tue","Wed","Thu","Fri"))</f>
        <v/>
      </c>
      <c r="M2940" s="27" t="str">
        <f aca="false">IF(J2940="","",IF(J2940=1,"Every week",R2940+1&amp;" of "&amp;J2940))</f>
        <v/>
      </c>
      <c r="N2940" s="28" t="str">
        <f aca="false">IF(J2940="","",Settings!$B$4+R2940*7+Q2940)</f>
        <v/>
      </c>
      <c r="O2940" s="28" t="str">
        <f aca="true">IF(J2940="","",N2940+MAX(0,ROUNDUP((TODAY()-N2940)/(J2940*7),0))*J2940*7)</f>
        <v/>
      </c>
      <c r="P2940" s="27" t="str">
        <f aca="false">IF(J2940="","",MOD(K2940-1,J2940*4))</f>
        <v/>
      </c>
      <c r="Q2940" s="27" t="str">
        <f aca="false">IF(J2940="","",MOD(P2940,4))</f>
        <v/>
      </c>
      <c r="R2940" s="27" t="str">
        <f aca="false">IF(J2940="","",INT(P2940/4))</f>
        <v/>
      </c>
      <c r="S2940" s="27" t="str">
        <f aca="false">IF(J2940="","",IF(AND('Daily Count Sheet'!$H$3=Q2940,MOD('Daily Count Sheet'!$I$3,J2940)=R2940),1,""))</f>
        <v/>
      </c>
      <c r="T2940" s="27" t="str">
        <f aca="false">IF(S2940=1,COUNTIF($S$2:S2940,1),"")</f>
        <v/>
      </c>
    </row>
    <row r="2941" customFormat="false" ht="15" hidden="false" customHeight="false" outlineLevel="0" collapsed="false">
      <c r="H2941" s="26"/>
      <c r="I2941" s="27" t="str">
        <f aca="false">IF(A2941="","",IF(H2941&lt;&gt;"",UPPER(TRIM(H2941)),IFERROR(CHOOSE(VALUE(E2941)+1,"A","B","C","D"),IF(OR(LEFT(UPPER(TRIM(E2941)),1)="F",UPPER(TRIM(E2941))="A"),"A",IF(OR(LEFT(UPPER(TRIM(E2941)),1)="M",UPPER(TRIM(E2941))="B"),"B",IF(OR(LEFT(UPPER(TRIM(E2941)),2)="SL",UPPER(TRIM(E2941))="C"),"C",IF(OR(LEFT(UPPER(TRIM(E2941)),1)="D",UPPER(TRIM(E2941))="D"),"D","")))))))</f>
        <v/>
      </c>
      <c r="J2941" s="27" t="str">
        <f aca="false">IF(I2941="","",IF(AND(I2941="D",Settings!$B$6&lt;&gt;"Yes"),"",IFERROR(INDEX(Settings!$C$9:$C$12,MATCH(I2941,Settings!$A$9:$A$12,0)),"")))</f>
        <v/>
      </c>
      <c r="K2941" s="27" t="str">
        <f aca="false">IF(J2941="","",COUNTIF($I$2:I2941,I2941))</f>
        <v/>
      </c>
      <c r="L2941" s="27" t="str">
        <f aca="false">IF(J2941="","",CHOOSE(Q2941+1,"Tue","Wed","Thu","Fri"))</f>
        <v/>
      </c>
      <c r="M2941" s="27" t="str">
        <f aca="false">IF(J2941="","",IF(J2941=1,"Every week",R2941+1&amp;" of "&amp;J2941))</f>
        <v/>
      </c>
      <c r="N2941" s="28" t="str">
        <f aca="false">IF(J2941="","",Settings!$B$4+R2941*7+Q2941)</f>
        <v/>
      </c>
      <c r="O2941" s="28" t="str">
        <f aca="true">IF(J2941="","",N2941+MAX(0,ROUNDUP((TODAY()-N2941)/(J2941*7),0))*J2941*7)</f>
        <v/>
      </c>
      <c r="P2941" s="27" t="str">
        <f aca="false">IF(J2941="","",MOD(K2941-1,J2941*4))</f>
        <v/>
      </c>
      <c r="Q2941" s="27" t="str">
        <f aca="false">IF(J2941="","",MOD(P2941,4))</f>
        <v/>
      </c>
      <c r="R2941" s="27" t="str">
        <f aca="false">IF(J2941="","",INT(P2941/4))</f>
        <v/>
      </c>
      <c r="S2941" s="27" t="str">
        <f aca="false">IF(J2941="","",IF(AND('Daily Count Sheet'!$H$3=Q2941,MOD('Daily Count Sheet'!$I$3,J2941)=R2941),1,""))</f>
        <v/>
      </c>
      <c r="T2941" s="27" t="str">
        <f aca="false">IF(S2941=1,COUNTIF($S$2:S2941,1),"")</f>
        <v/>
      </c>
    </row>
    <row r="2942" customFormat="false" ht="15" hidden="false" customHeight="false" outlineLevel="0" collapsed="false">
      <c r="H2942" s="26"/>
      <c r="I2942" s="27" t="str">
        <f aca="false">IF(A2942="","",IF(H2942&lt;&gt;"",UPPER(TRIM(H2942)),IFERROR(CHOOSE(VALUE(E2942)+1,"A","B","C","D"),IF(OR(LEFT(UPPER(TRIM(E2942)),1)="F",UPPER(TRIM(E2942))="A"),"A",IF(OR(LEFT(UPPER(TRIM(E2942)),1)="M",UPPER(TRIM(E2942))="B"),"B",IF(OR(LEFT(UPPER(TRIM(E2942)),2)="SL",UPPER(TRIM(E2942))="C"),"C",IF(OR(LEFT(UPPER(TRIM(E2942)),1)="D",UPPER(TRIM(E2942))="D"),"D","")))))))</f>
        <v/>
      </c>
      <c r="J2942" s="27" t="str">
        <f aca="false">IF(I2942="","",IF(AND(I2942="D",Settings!$B$6&lt;&gt;"Yes"),"",IFERROR(INDEX(Settings!$C$9:$C$12,MATCH(I2942,Settings!$A$9:$A$12,0)),"")))</f>
        <v/>
      </c>
      <c r="K2942" s="27" t="str">
        <f aca="false">IF(J2942="","",COUNTIF($I$2:I2942,I2942))</f>
        <v/>
      </c>
      <c r="L2942" s="27" t="str">
        <f aca="false">IF(J2942="","",CHOOSE(Q2942+1,"Tue","Wed","Thu","Fri"))</f>
        <v/>
      </c>
      <c r="M2942" s="27" t="str">
        <f aca="false">IF(J2942="","",IF(J2942=1,"Every week",R2942+1&amp;" of "&amp;J2942))</f>
        <v/>
      </c>
      <c r="N2942" s="28" t="str">
        <f aca="false">IF(J2942="","",Settings!$B$4+R2942*7+Q2942)</f>
        <v/>
      </c>
      <c r="O2942" s="28" t="str">
        <f aca="true">IF(J2942="","",N2942+MAX(0,ROUNDUP((TODAY()-N2942)/(J2942*7),0))*J2942*7)</f>
        <v/>
      </c>
      <c r="P2942" s="27" t="str">
        <f aca="false">IF(J2942="","",MOD(K2942-1,J2942*4))</f>
        <v/>
      </c>
      <c r="Q2942" s="27" t="str">
        <f aca="false">IF(J2942="","",MOD(P2942,4))</f>
        <v/>
      </c>
      <c r="R2942" s="27" t="str">
        <f aca="false">IF(J2942="","",INT(P2942/4))</f>
        <v/>
      </c>
      <c r="S2942" s="27" t="str">
        <f aca="false">IF(J2942="","",IF(AND('Daily Count Sheet'!$H$3=Q2942,MOD('Daily Count Sheet'!$I$3,J2942)=R2942),1,""))</f>
        <v/>
      </c>
      <c r="T2942" s="27" t="str">
        <f aca="false">IF(S2942=1,COUNTIF($S$2:S2942,1),"")</f>
        <v/>
      </c>
    </row>
    <row r="2943" customFormat="false" ht="15" hidden="false" customHeight="false" outlineLevel="0" collapsed="false">
      <c r="H2943" s="26"/>
      <c r="I2943" s="27" t="str">
        <f aca="false">IF(A2943="","",IF(H2943&lt;&gt;"",UPPER(TRIM(H2943)),IFERROR(CHOOSE(VALUE(E2943)+1,"A","B","C","D"),IF(OR(LEFT(UPPER(TRIM(E2943)),1)="F",UPPER(TRIM(E2943))="A"),"A",IF(OR(LEFT(UPPER(TRIM(E2943)),1)="M",UPPER(TRIM(E2943))="B"),"B",IF(OR(LEFT(UPPER(TRIM(E2943)),2)="SL",UPPER(TRIM(E2943))="C"),"C",IF(OR(LEFT(UPPER(TRIM(E2943)),1)="D",UPPER(TRIM(E2943))="D"),"D","")))))))</f>
        <v/>
      </c>
      <c r="J2943" s="27" t="str">
        <f aca="false">IF(I2943="","",IF(AND(I2943="D",Settings!$B$6&lt;&gt;"Yes"),"",IFERROR(INDEX(Settings!$C$9:$C$12,MATCH(I2943,Settings!$A$9:$A$12,0)),"")))</f>
        <v/>
      </c>
      <c r="K2943" s="27" t="str">
        <f aca="false">IF(J2943="","",COUNTIF($I$2:I2943,I2943))</f>
        <v/>
      </c>
      <c r="L2943" s="27" t="str">
        <f aca="false">IF(J2943="","",CHOOSE(Q2943+1,"Tue","Wed","Thu","Fri"))</f>
        <v/>
      </c>
      <c r="M2943" s="27" t="str">
        <f aca="false">IF(J2943="","",IF(J2943=1,"Every week",R2943+1&amp;" of "&amp;J2943))</f>
        <v/>
      </c>
      <c r="N2943" s="28" t="str">
        <f aca="false">IF(J2943="","",Settings!$B$4+R2943*7+Q2943)</f>
        <v/>
      </c>
      <c r="O2943" s="28" t="str">
        <f aca="true">IF(J2943="","",N2943+MAX(0,ROUNDUP((TODAY()-N2943)/(J2943*7),0))*J2943*7)</f>
        <v/>
      </c>
      <c r="P2943" s="27" t="str">
        <f aca="false">IF(J2943="","",MOD(K2943-1,J2943*4))</f>
        <v/>
      </c>
      <c r="Q2943" s="27" t="str">
        <f aca="false">IF(J2943="","",MOD(P2943,4))</f>
        <v/>
      </c>
      <c r="R2943" s="27" t="str">
        <f aca="false">IF(J2943="","",INT(P2943/4))</f>
        <v/>
      </c>
      <c r="S2943" s="27" t="str">
        <f aca="false">IF(J2943="","",IF(AND('Daily Count Sheet'!$H$3=Q2943,MOD('Daily Count Sheet'!$I$3,J2943)=R2943),1,""))</f>
        <v/>
      </c>
      <c r="T2943" s="27" t="str">
        <f aca="false">IF(S2943=1,COUNTIF($S$2:S2943,1),"")</f>
        <v/>
      </c>
    </row>
    <row r="2944" customFormat="false" ht="15" hidden="false" customHeight="false" outlineLevel="0" collapsed="false">
      <c r="H2944" s="26"/>
      <c r="I2944" s="27" t="str">
        <f aca="false">IF(A2944="","",IF(H2944&lt;&gt;"",UPPER(TRIM(H2944)),IFERROR(CHOOSE(VALUE(E2944)+1,"A","B","C","D"),IF(OR(LEFT(UPPER(TRIM(E2944)),1)="F",UPPER(TRIM(E2944))="A"),"A",IF(OR(LEFT(UPPER(TRIM(E2944)),1)="M",UPPER(TRIM(E2944))="B"),"B",IF(OR(LEFT(UPPER(TRIM(E2944)),2)="SL",UPPER(TRIM(E2944))="C"),"C",IF(OR(LEFT(UPPER(TRIM(E2944)),1)="D",UPPER(TRIM(E2944))="D"),"D","")))))))</f>
        <v/>
      </c>
      <c r="J2944" s="27" t="str">
        <f aca="false">IF(I2944="","",IF(AND(I2944="D",Settings!$B$6&lt;&gt;"Yes"),"",IFERROR(INDEX(Settings!$C$9:$C$12,MATCH(I2944,Settings!$A$9:$A$12,0)),"")))</f>
        <v/>
      </c>
      <c r="K2944" s="27" t="str">
        <f aca="false">IF(J2944="","",COUNTIF($I$2:I2944,I2944))</f>
        <v/>
      </c>
      <c r="L2944" s="27" t="str">
        <f aca="false">IF(J2944="","",CHOOSE(Q2944+1,"Tue","Wed","Thu","Fri"))</f>
        <v/>
      </c>
      <c r="M2944" s="27" t="str">
        <f aca="false">IF(J2944="","",IF(J2944=1,"Every week",R2944+1&amp;" of "&amp;J2944))</f>
        <v/>
      </c>
      <c r="N2944" s="28" t="str">
        <f aca="false">IF(J2944="","",Settings!$B$4+R2944*7+Q2944)</f>
        <v/>
      </c>
      <c r="O2944" s="28" t="str">
        <f aca="true">IF(J2944="","",N2944+MAX(0,ROUNDUP((TODAY()-N2944)/(J2944*7),0))*J2944*7)</f>
        <v/>
      </c>
      <c r="P2944" s="27" t="str">
        <f aca="false">IF(J2944="","",MOD(K2944-1,J2944*4))</f>
        <v/>
      </c>
      <c r="Q2944" s="27" t="str">
        <f aca="false">IF(J2944="","",MOD(P2944,4))</f>
        <v/>
      </c>
      <c r="R2944" s="27" t="str">
        <f aca="false">IF(J2944="","",INT(P2944/4))</f>
        <v/>
      </c>
      <c r="S2944" s="27" t="str">
        <f aca="false">IF(J2944="","",IF(AND('Daily Count Sheet'!$H$3=Q2944,MOD('Daily Count Sheet'!$I$3,J2944)=R2944),1,""))</f>
        <v/>
      </c>
      <c r="T2944" s="27" t="str">
        <f aca="false">IF(S2944=1,COUNTIF($S$2:S2944,1),"")</f>
        <v/>
      </c>
    </row>
    <row r="2945" customFormat="false" ht="15" hidden="false" customHeight="false" outlineLevel="0" collapsed="false">
      <c r="H2945" s="26"/>
      <c r="I2945" s="27" t="str">
        <f aca="false">IF(A2945="","",IF(H2945&lt;&gt;"",UPPER(TRIM(H2945)),IFERROR(CHOOSE(VALUE(E2945)+1,"A","B","C","D"),IF(OR(LEFT(UPPER(TRIM(E2945)),1)="F",UPPER(TRIM(E2945))="A"),"A",IF(OR(LEFT(UPPER(TRIM(E2945)),1)="M",UPPER(TRIM(E2945))="B"),"B",IF(OR(LEFT(UPPER(TRIM(E2945)),2)="SL",UPPER(TRIM(E2945))="C"),"C",IF(OR(LEFT(UPPER(TRIM(E2945)),1)="D",UPPER(TRIM(E2945))="D"),"D","")))))))</f>
        <v/>
      </c>
      <c r="J2945" s="27" t="str">
        <f aca="false">IF(I2945="","",IF(AND(I2945="D",Settings!$B$6&lt;&gt;"Yes"),"",IFERROR(INDEX(Settings!$C$9:$C$12,MATCH(I2945,Settings!$A$9:$A$12,0)),"")))</f>
        <v/>
      </c>
      <c r="K2945" s="27" t="str">
        <f aca="false">IF(J2945="","",COUNTIF($I$2:I2945,I2945))</f>
        <v/>
      </c>
      <c r="L2945" s="27" t="str">
        <f aca="false">IF(J2945="","",CHOOSE(Q2945+1,"Tue","Wed","Thu","Fri"))</f>
        <v/>
      </c>
      <c r="M2945" s="27" t="str">
        <f aca="false">IF(J2945="","",IF(J2945=1,"Every week",R2945+1&amp;" of "&amp;J2945))</f>
        <v/>
      </c>
      <c r="N2945" s="28" t="str">
        <f aca="false">IF(J2945="","",Settings!$B$4+R2945*7+Q2945)</f>
        <v/>
      </c>
      <c r="O2945" s="28" t="str">
        <f aca="true">IF(J2945="","",N2945+MAX(0,ROUNDUP((TODAY()-N2945)/(J2945*7),0))*J2945*7)</f>
        <v/>
      </c>
      <c r="P2945" s="27" t="str">
        <f aca="false">IF(J2945="","",MOD(K2945-1,J2945*4))</f>
        <v/>
      </c>
      <c r="Q2945" s="27" t="str">
        <f aca="false">IF(J2945="","",MOD(P2945,4))</f>
        <v/>
      </c>
      <c r="R2945" s="27" t="str">
        <f aca="false">IF(J2945="","",INT(P2945/4))</f>
        <v/>
      </c>
      <c r="S2945" s="27" t="str">
        <f aca="false">IF(J2945="","",IF(AND('Daily Count Sheet'!$H$3=Q2945,MOD('Daily Count Sheet'!$I$3,J2945)=R2945),1,""))</f>
        <v/>
      </c>
      <c r="T2945" s="27" t="str">
        <f aca="false">IF(S2945=1,COUNTIF($S$2:S2945,1),"")</f>
        <v/>
      </c>
    </row>
    <row r="2946" customFormat="false" ht="15" hidden="false" customHeight="false" outlineLevel="0" collapsed="false">
      <c r="H2946" s="26"/>
      <c r="I2946" s="27" t="str">
        <f aca="false">IF(A2946="","",IF(H2946&lt;&gt;"",UPPER(TRIM(H2946)),IFERROR(CHOOSE(VALUE(E2946)+1,"A","B","C","D"),IF(OR(LEFT(UPPER(TRIM(E2946)),1)="F",UPPER(TRIM(E2946))="A"),"A",IF(OR(LEFT(UPPER(TRIM(E2946)),1)="M",UPPER(TRIM(E2946))="B"),"B",IF(OR(LEFT(UPPER(TRIM(E2946)),2)="SL",UPPER(TRIM(E2946))="C"),"C",IF(OR(LEFT(UPPER(TRIM(E2946)),1)="D",UPPER(TRIM(E2946))="D"),"D","")))))))</f>
        <v/>
      </c>
      <c r="J2946" s="27" t="str">
        <f aca="false">IF(I2946="","",IF(AND(I2946="D",Settings!$B$6&lt;&gt;"Yes"),"",IFERROR(INDEX(Settings!$C$9:$C$12,MATCH(I2946,Settings!$A$9:$A$12,0)),"")))</f>
        <v/>
      </c>
      <c r="K2946" s="27" t="str">
        <f aca="false">IF(J2946="","",COUNTIF($I$2:I2946,I2946))</f>
        <v/>
      </c>
      <c r="L2946" s="27" t="str">
        <f aca="false">IF(J2946="","",CHOOSE(Q2946+1,"Tue","Wed","Thu","Fri"))</f>
        <v/>
      </c>
      <c r="M2946" s="27" t="str">
        <f aca="false">IF(J2946="","",IF(J2946=1,"Every week",R2946+1&amp;" of "&amp;J2946))</f>
        <v/>
      </c>
      <c r="N2946" s="28" t="str">
        <f aca="false">IF(J2946="","",Settings!$B$4+R2946*7+Q2946)</f>
        <v/>
      </c>
      <c r="O2946" s="28" t="str">
        <f aca="true">IF(J2946="","",N2946+MAX(0,ROUNDUP((TODAY()-N2946)/(J2946*7),0))*J2946*7)</f>
        <v/>
      </c>
      <c r="P2946" s="27" t="str">
        <f aca="false">IF(J2946="","",MOD(K2946-1,J2946*4))</f>
        <v/>
      </c>
      <c r="Q2946" s="27" t="str">
        <f aca="false">IF(J2946="","",MOD(P2946,4))</f>
        <v/>
      </c>
      <c r="R2946" s="27" t="str">
        <f aca="false">IF(J2946="","",INT(P2946/4))</f>
        <v/>
      </c>
      <c r="S2946" s="27" t="str">
        <f aca="false">IF(J2946="","",IF(AND('Daily Count Sheet'!$H$3=Q2946,MOD('Daily Count Sheet'!$I$3,J2946)=R2946),1,""))</f>
        <v/>
      </c>
      <c r="T2946" s="27" t="str">
        <f aca="false">IF(S2946=1,COUNTIF($S$2:S2946,1),"")</f>
        <v/>
      </c>
    </row>
    <row r="2947" customFormat="false" ht="15" hidden="false" customHeight="false" outlineLevel="0" collapsed="false">
      <c r="H2947" s="26"/>
      <c r="I2947" s="27" t="str">
        <f aca="false">IF(A2947="","",IF(H2947&lt;&gt;"",UPPER(TRIM(H2947)),IFERROR(CHOOSE(VALUE(E2947)+1,"A","B","C","D"),IF(OR(LEFT(UPPER(TRIM(E2947)),1)="F",UPPER(TRIM(E2947))="A"),"A",IF(OR(LEFT(UPPER(TRIM(E2947)),1)="M",UPPER(TRIM(E2947))="B"),"B",IF(OR(LEFT(UPPER(TRIM(E2947)),2)="SL",UPPER(TRIM(E2947))="C"),"C",IF(OR(LEFT(UPPER(TRIM(E2947)),1)="D",UPPER(TRIM(E2947))="D"),"D","")))))))</f>
        <v/>
      </c>
      <c r="J2947" s="27" t="str">
        <f aca="false">IF(I2947="","",IF(AND(I2947="D",Settings!$B$6&lt;&gt;"Yes"),"",IFERROR(INDEX(Settings!$C$9:$C$12,MATCH(I2947,Settings!$A$9:$A$12,0)),"")))</f>
        <v/>
      </c>
      <c r="K2947" s="27" t="str">
        <f aca="false">IF(J2947="","",COUNTIF($I$2:I2947,I2947))</f>
        <v/>
      </c>
      <c r="L2947" s="27" t="str">
        <f aca="false">IF(J2947="","",CHOOSE(Q2947+1,"Tue","Wed","Thu","Fri"))</f>
        <v/>
      </c>
      <c r="M2947" s="27" t="str">
        <f aca="false">IF(J2947="","",IF(J2947=1,"Every week",R2947+1&amp;" of "&amp;J2947))</f>
        <v/>
      </c>
      <c r="N2947" s="28" t="str">
        <f aca="false">IF(J2947="","",Settings!$B$4+R2947*7+Q2947)</f>
        <v/>
      </c>
      <c r="O2947" s="28" t="str">
        <f aca="true">IF(J2947="","",N2947+MAX(0,ROUNDUP((TODAY()-N2947)/(J2947*7),0))*J2947*7)</f>
        <v/>
      </c>
      <c r="P2947" s="27" t="str">
        <f aca="false">IF(J2947="","",MOD(K2947-1,J2947*4))</f>
        <v/>
      </c>
      <c r="Q2947" s="27" t="str">
        <f aca="false">IF(J2947="","",MOD(P2947,4))</f>
        <v/>
      </c>
      <c r="R2947" s="27" t="str">
        <f aca="false">IF(J2947="","",INT(P2947/4))</f>
        <v/>
      </c>
      <c r="S2947" s="27" t="str">
        <f aca="false">IF(J2947="","",IF(AND('Daily Count Sheet'!$H$3=Q2947,MOD('Daily Count Sheet'!$I$3,J2947)=R2947),1,""))</f>
        <v/>
      </c>
      <c r="T2947" s="27" t="str">
        <f aca="false">IF(S2947=1,COUNTIF($S$2:S2947,1),"")</f>
        <v/>
      </c>
    </row>
    <row r="2948" customFormat="false" ht="15" hidden="false" customHeight="false" outlineLevel="0" collapsed="false">
      <c r="H2948" s="26"/>
      <c r="I2948" s="27" t="str">
        <f aca="false">IF(A2948="","",IF(H2948&lt;&gt;"",UPPER(TRIM(H2948)),IFERROR(CHOOSE(VALUE(E2948)+1,"A","B","C","D"),IF(OR(LEFT(UPPER(TRIM(E2948)),1)="F",UPPER(TRIM(E2948))="A"),"A",IF(OR(LEFT(UPPER(TRIM(E2948)),1)="M",UPPER(TRIM(E2948))="B"),"B",IF(OR(LEFT(UPPER(TRIM(E2948)),2)="SL",UPPER(TRIM(E2948))="C"),"C",IF(OR(LEFT(UPPER(TRIM(E2948)),1)="D",UPPER(TRIM(E2948))="D"),"D","")))))))</f>
        <v/>
      </c>
      <c r="J2948" s="27" t="str">
        <f aca="false">IF(I2948="","",IF(AND(I2948="D",Settings!$B$6&lt;&gt;"Yes"),"",IFERROR(INDEX(Settings!$C$9:$C$12,MATCH(I2948,Settings!$A$9:$A$12,0)),"")))</f>
        <v/>
      </c>
      <c r="K2948" s="27" t="str">
        <f aca="false">IF(J2948="","",COUNTIF($I$2:I2948,I2948))</f>
        <v/>
      </c>
      <c r="L2948" s="27" t="str">
        <f aca="false">IF(J2948="","",CHOOSE(Q2948+1,"Tue","Wed","Thu","Fri"))</f>
        <v/>
      </c>
      <c r="M2948" s="27" t="str">
        <f aca="false">IF(J2948="","",IF(J2948=1,"Every week",R2948+1&amp;" of "&amp;J2948))</f>
        <v/>
      </c>
      <c r="N2948" s="28" t="str">
        <f aca="false">IF(J2948="","",Settings!$B$4+R2948*7+Q2948)</f>
        <v/>
      </c>
      <c r="O2948" s="28" t="str">
        <f aca="true">IF(J2948="","",N2948+MAX(0,ROUNDUP((TODAY()-N2948)/(J2948*7),0))*J2948*7)</f>
        <v/>
      </c>
      <c r="P2948" s="27" t="str">
        <f aca="false">IF(J2948="","",MOD(K2948-1,J2948*4))</f>
        <v/>
      </c>
      <c r="Q2948" s="27" t="str">
        <f aca="false">IF(J2948="","",MOD(P2948,4))</f>
        <v/>
      </c>
      <c r="R2948" s="27" t="str">
        <f aca="false">IF(J2948="","",INT(P2948/4))</f>
        <v/>
      </c>
      <c r="S2948" s="27" t="str">
        <f aca="false">IF(J2948="","",IF(AND('Daily Count Sheet'!$H$3=Q2948,MOD('Daily Count Sheet'!$I$3,J2948)=R2948),1,""))</f>
        <v/>
      </c>
      <c r="T2948" s="27" t="str">
        <f aca="false">IF(S2948=1,COUNTIF($S$2:S2948,1),"")</f>
        <v/>
      </c>
    </row>
    <row r="2949" customFormat="false" ht="15" hidden="false" customHeight="false" outlineLevel="0" collapsed="false">
      <c r="H2949" s="26"/>
      <c r="I2949" s="27" t="str">
        <f aca="false">IF(A2949="","",IF(H2949&lt;&gt;"",UPPER(TRIM(H2949)),IFERROR(CHOOSE(VALUE(E2949)+1,"A","B","C","D"),IF(OR(LEFT(UPPER(TRIM(E2949)),1)="F",UPPER(TRIM(E2949))="A"),"A",IF(OR(LEFT(UPPER(TRIM(E2949)),1)="M",UPPER(TRIM(E2949))="B"),"B",IF(OR(LEFT(UPPER(TRIM(E2949)),2)="SL",UPPER(TRIM(E2949))="C"),"C",IF(OR(LEFT(UPPER(TRIM(E2949)),1)="D",UPPER(TRIM(E2949))="D"),"D","")))))))</f>
        <v/>
      </c>
      <c r="J2949" s="27" t="str">
        <f aca="false">IF(I2949="","",IF(AND(I2949="D",Settings!$B$6&lt;&gt;"Yes"),"",IFERROR(INDEX(Settings!$C$9:$C$12,MATCH(I2949,Settings!$A$9:$A$12,0)),"")))</f>
        <v/>
      </c>
      <c r="K2949" s="27" t="str">
        <f aca="false">IF(J2949="","",COUNTIF($I$2:I2949,I2949))</f>
        <v/>
      </c>
      <c r="L2949" s="27" t="str">
        <f aca="false">IF(J2949="","",CHOOSE(Q2949+1,"Tue","Wed","Thu","Fri"))</f>
        <v/>
      </c>
      <c r="M2949" s="27" t="str">
        <f aca="false">IF(J2949="","",IF(J2949=1,"Every week",R2949+1&amp;" of "&amp;J2949))</f>
        <v/>
      </c>
      <c r="N2949" s="28" t="str">
        <f aca="false">IF(J2949="","",Settings!$B$4+R2949*7+Q2949)</f>
        <v/>
      </c>
      <c r="O2949" s="28" t="str">
        <f aca="true">IF(J2949="","",N2949+MAX(0,ROUNDUP((TODAY()-N2949)/(J2949*7),0))*J2949*7)</f>
        <v/>
      </c>
      <c r="P2949" s="27" t="str">
        <f aca="false">IF(J2949="","",MOD(K2949-1,J2949*4))</f>
        <v/>
      </c>
      <c r="Q2949" s="27" t="str">
        <f aca="false">IF(J2949="","",MOD(P2949,4))</f>
        <v/>
      </c>
      <c r="R2949" s="27" t="str">
        <f aca="false">IF(J2949="","",INT(P2949/4))</f>
        <v/>
      </c>
      <c r="S2949" s="27" t="str">
        <f aca="false">IF(J2949="","",IF(AND('Daily Count Sheet'!$H$3=Q2949,MOD('Daily Count Sheet'!$I$3,J2949)=R2949),1,""))</f>
        <v/>
      </c>
      <c r="T2949" s="27" t="str">
        <f aca="false">IF(S2949=1,COUNTIF($S$2:S2949,1),"")</f>
        <v/>
      </c>
    </row>
    <row r="2950" customFormat="false" ht="15" hidden="false" customHeight="false" outlineLevel="0" collapsed="false">
      <c r="H2950" s="26"/>
      <c r="I2950" s="27" t="str">
        <f aca="false">IF(A2950="","",IF(H2950&lt;&gt;"",UPPER(TRIM(H2950)),IFERROR(CHOOSE(VALUE(E2950)+1,"A","B","C","D"),IF(OR(LEFT(UPPER(TRIM(E2950)),1)="F",UPPER(TRIM(E2950))="A"),"A",IF(OR(LEFT(UPPER(TRIM(E2950)),1)="M",UPPER(TRIM(E2950))="B"),"B",IF(OR(LEFT(UPPER(TRIM(E2950)),2)="SL",UPPER(TRIM(E2950))="C"),"C",IF(OR(LEFT(UPPER(TRIM(E2950)),1)="D",UPPER(TRIM(E2950))="D"),"D","")))))))</f>
        <v/>
      </c>
      <c r="J2950" s="27" t="str">
        <f aca="false">IF(I2950="","",IF(AND(I2950="D",Settings!$B$6&lt;&gt;"Yes"),"",IFERROR(INDEX(Settings!$C$9:$C$12,MATCH(I2950,Settings!$A$9:$A$12,0)),"")))</f>
        <v/>
      </c>
      <c r="K2950" s="27" t="str">
        <f aca="false">IF(J2950="","",COUNTIF($I$2:I2950,I2950))</f>
        <v/>
      </c>
      <c r="L2950" s="27" t="str">
        <f aca="false">IF(J2950="","",CHOOSE(Q2950+1,"Tue","Wed","Thu","Fri"))</f>
        <v/>
      </c>
      <c r="M2950" s="27" t="str">
        <f aca="false">IF(J2950="","",IF(J2950=1,"Every week",R2950+1&amp;" of "&amp;J2950))</f>
        <v/>
      </c>
      <c r="N2950" s="28" t="str">
        <f aca="false">IF(J2950="","",Settings!$B$4+R2950*7+Q2950)</f>
        <v/>
      </c>
      <c r="O2950" s="28" t="str">
        <f aca="true">IF(J2950="","",N2950+MAX(0,ROUNDUP((TODAY()-N2950)/(J2950*7),0))*J2950*7)</f>
        <v/>
      </c>
      <c r="P2950" s="27" t="str">
        <f aca="false">IF(J2950="","",MOD(K2950-1,J2950*4))</f>
        <v/>
      </c>
      <c r="Q2950" s="27" t="str">
        <f aca="false">IF(J2950="","",MOD(P2950,4))</f>
        <v/>
      </c>
      <c r="R2950" s="27" t="str">
        <f aca="false">IF(J2950="","",INT(P2950/4))</f>
        <v/>
      </c>
      <c r="S2950" s="27" t="str">
        <f aca="false">IF(J2950="","",IF(AND('Daily Count Sheet'!$H$3=Q2950,MOD('Daily Count Sheet'!$I$3,J2950)=R2950),1,""))</f>
        <v/>
      </c>
      <c r="T2950" s="27" t="str">
        <f aca="false">IF(S2950=1,COUNTIF($S$2:S2950,1),"")</f>
        <v/>
      </c>
    </row>
    <row r="2951" customFormat="false" ht="15" hidden="false" customHeight="false" outlineLevel="0" collapsed="false">
      <c r="H2951" s="26"/>
      <c r="I2951" s="27" t="str">
        <f aca="false">IF(A2951="","",IF(H2951&lt;&gt;"",UPPER(TRIM(H2951)),IFERROR(CHOOSE(VALUE(E2951)+1,"A","B","C","D"),IF(OR(LEFT(UPPER(TRIM(E2951)),1)="F",UPPER(TRIM(E2951))="A"),"A",IF(OR(LEFT(UPPER(TRIM(E2951)),1)="M",UPPER(TRIM(E2951))="B"),"B",IF(OR(LEFT(UPPER(TRIM(E2951)),2)="SL",UPPER(TRIM(E2951))="C"),"C",IF(OR(LEFT(UPPER(TRIM(E2951)),1)="D",UPPER(TRIM(E2951))="D"),"D","")))))))</f>
        <v/>
      </c>
      <c r="J2951" s="27" t="str">
        <f aca="false">IF(I2951="","",IF(AND(I2951="D",Settings!$B$6&lt;&gt;"Yes"),"",IFERROR(INDEX(Settings!$C$9:$C$12,MATCH(I2951,Settings!$A$9:$A$12,0)),"")))</f>
        <v/>
      </c>
      <c r="K2951" s="27" t="str">
        <f aca="false">IF(J2951="","",COUNTIF($I$2:I2951,I2951))</f>
        <v/>
      </c>
      <c r="L2951" s="27" t="str">
        <f aca="false">IF(J2951="","",CHOOSE(Q2951+1,"Tue","Wed","Thu","Fri"))</f>
        <v/>
      </c>
      <c r="M2951" s="27" t="str">
        <f aca="false">IF(J2951="","",IF(J2951=1,"Every week",R2951+1&amp;" of "&amp;J2951))</f>
        <v/>
      </c>
      <c r="N2951" s="28" t="str">
        <f aca="false">IF(J2951="","",Settings!$B$4+R2951*7+Q2951)</f>
        <v/>
      </c>
      <c r="O2951" s="28" t="str">
        <f aca="true">IF(J2951="","",N2951+MAX(0,ROUNDUP((TODAY()-N2951)/(J2951*7),0))*J2951*7)</f>
        <v/>
      </c>
      <c r="P2951" s="27" t="str">
        <f aca="false">IF(J2951="","",MOD(K2951-1,J2951*4))</f>
        <v/>
      </c>
      <c r="Q2951" s="27" t="str">
        <f aca="false">IF(J2951="","",MOD(P2951,4))</f>
        <v/>
      </c>
      <c r="R2951" s="27" t="str">
        <f aca="false">IF(J2951="","",INT(P2951/4))</f>
        <v/>
      </c>
      <c r="S2951" s="27" t="str">
        <f aca="false">IF(J2951="","",IF(AND('Daily Count Sheet'!$H$3=Q2951,MOD('Daily Count Sheet'!$I$3,J2951)=R2951),1,""))</f>
        <v/>
      </c>
      <c r="T2951" s="27" t="str">
        <f aca="false">IF(S2951=1,COUNTIF($S$2:S2951,1),"")</f>
        <v/>
      </c>
    </row>
    <row r="2952" customFormat="false" ht="15" hidden="false" customHeight="false" outlineLevel="0" collapsed="false">
      <c r="H2952" s="26"/>
      <c r="I2952" s="27" t="str">
        <f aca="false">IF(A2952="","",IF(H2952&lt;&gt;"",UPPER(TRIM(H2952)),IFERROR(CHOOSE(VALUE(E2952)+1,"A","B","C","D"),IF(OR(LEFT(UPPER(TRIM(E2952)),1)="F",UPPER(TRIM(E2952))="A"),"A",IF(OR(LEFT(UPPER(TRIM(E2952)),1)="M",UPPER(TRIM(E2952))="B"),"B",IF(OR(LEFT(UPPER(TRIM(E2952)),2)="SL",UPPER(TRIM(E2952))="C"),"C",IF(OR(LEFT(UPPER(TRIM(E2952)),1)="D",UPPER(TRIM(E2952))="D"),"D","")))))))</f>
        <v/>
      </c>
      <c r="J2952" s="27" t="str">
        <f aca="false">IF(I2952="","",IF(AND(I2952="D",Settings!$B$6&lt;&gt;"Yes"),"",IFERROR(INDEX(Settings!$C$9:$C$12,MATCH(I2952,Settings!$A$9:$A$12,0)),"")))</f>
        <v/>
      </c>
      <c r="K2952" s="27" t="str">
        <f aca="false">IF(J2952="","",COUNTIF($I$2:I2952,I2952))</f>
        <v/>
      </c>
      <c r="L2952" s="27" t="str">
        <f aca="false">IF(J2952="","",CHOOSE(Q2952+1,"Tue","Wed","Thu","Fri"))</f>
        <v/>
      </c>
      <c r="M2952" s="27" t="str">
        <f aca="false">IF(J2952="","",IF(J2952=1,"Every week",R2952+1&amp;" of "&amp;J2952))</f>
        <v/>
      </c>
      <c r="N2952" s="28" t="str">
        <f aca="false">IF(J2952="","",Settings!$B$4+R2952*7+Q2952)</f>
        <v/>
      </c>
      <c r="O2952" s="28" t="str">
        <f aca="true">IF(J2952="","",N2952+MAX(0,ROUNDUP((TODAY()-N2952)/(J2952*7),0))*J2952*7)</f>
        <v/>
      </c>
      <c r="P2952" s="27" t="str">
        <f aca="false">IF(J2952="","",MOD(K2952-1,J2952*4))</f>
        <v/>
      </c>
      <c r="Q2952" s="27" t="str">
        <f aca="false">IF(J2952="","",MOD(P2952,4))</f>
        <v/>
      </c>
      <c r="R2952" s="27" t="str">
        <f aca="false">IF(J2952="","",INT(P2952/4))</f>
        <v/>
      </c>
      <c r="S2952" s="27" t="str">
        <f aca="false">IF(J2952="","",IF(AND('Daily Count Sheet'!$H$3=Q2952,MOD('Daily Count Sheet'!$I$3,J2952)=R2952),1,""))</f>
        <v/>
      </c>
      <c r="T2952" s="27" t="str">
        <f aca="false">IF(S2952=1,COUNTIF($S$2:S2952,1),"")</f>
        <v/>
      </c>
    </row>
    <row r="2953" customFormat="false" ht="15" hidden="false" customHeight="false" outlineLevel="0" collapsed="false">
      <c r="H2953" s="26"/>
      <c r="I2953" s="27" t="str">
        <f aca="false">IF(A2953="","",IF(H2953&lt;&gt;"",UPPER(TRIM(H2953)),IFERROR(CHOOSE(VALUE(E2953)+1,"A","B","C","D"),IF(OR(LEFT(UPPER(TRIM(E2953)),1)="F",UPPER(TRIM(E2953))="A"),"A",IF(OR(LEFT(UPPER(TRIM(E2953)),1)="M",UPPER(TRIM(E2953))="B"),"B",IF(OR(LEFT(UPPER(TRIM(E2953)),2)="SL",UPPER(TRIM(E2953))="C"),"C",IF(OR(LEFT(UPPER(TRIM(E2953)),1)="D",UPPER(TRIM(E2953))="D"),"D","")))))))</f>
        <v/>
      </c>
      <c r="J2953" s="27" t="str">
        <f aca="false">IF(I2953="","",IF(AND(I2953="D",Settings!$B$6&lt;&gt;"Yes"),"",IFERROR(INDEX(Settings!$C$9:$C$12,MATCH(I2953,Settings!$A$9:$A$12,0)),"")))</f>
        <v/>
      </c>
      <c r="K2953" s="27" t="str">
        <f aca="false">IF(J2953="","",COUNTIF($I$2:I2953,I2953))</f>
        <v/>
      </c>
      <c r="L2953" s="27" t="str">
        <f aca="false">IF(J2953="","",CHOOSE(Q2953+1,"Tue","Wed","Thu","Fri"))</f>
        <v/>
      </c>
      <c r="M2953" s="27" t="str">
        <f aca="false">IF(J2953="","",IF(J2953=1,"Every week",R2953+1&amp;" of "&amp;J2953))</f>
        <v/>
      </c>
      <c r="N2953" s="28" t="str">
        <f aca="false">IF(J2953="","",Settings!$B$4+R2953*7+Q2953)</f>
        <v/>
      </c>
      <c r="O2953" s="28" t="str">
        <f aca="true">IF(J2953="","",N2953+MAX(0,ROUNDUP((TODAY()-N2953)/(J2953*7),0))*J2953*7)</f>
        <v/>
      </c>
      <c r="P2953" s="27" t="str">
        <f aca="false">IF(J2953="","",MOD(K2953-1,J2953*4))</f>
        <v/>
      </c>
      <c r="Q2953" s="27" t="str">
        <f aca="false">IF(J2953="","",MOD(P2953,4))</f>
        <v/>
      </c>
      <c r="R2953" s="27" t="str">
        <f aca="false">IF(J2953="","",INT(P2953/4))</f>
        <v/>
      </c>
      <c r="S2953" s="27" t="str">
        <f aca="false">IF(J2953="","",IF(AND('Daily Count Sheet'!$H$3=Q2953,MOD('Daily Count Sheet'!$I$3,J2953)=R2953),1,""))</f>
        <v/>
      </c>
      <c r="T2953" s="27" t="str">
        <f aca="false">IF(S2953=1,COUNTIF($S$2:S2953,1),"")</f>
        <v/>
      </c>
    </row>
    <row r="2954" customFormat="false" ht="15" hidden="false" customHeight="false" outlineLevel="0" collapsed="false">
      <c r="H2954" s="26"/>
      <c r="I2954" s="27" t="str">
        <f aca="false">IF(A2954="","",IF(H2954&lt;&gt;"",UPPER(TRIM(H2954)),IFERROR(CHOOSE(VALUE(E2954)+1,"A","B","C","D"),IF(OR(LEFT(UPPER(TRIM(E2954)),1)="F",UPPER(TRIM(E2954))="A"),"A",IF(OR(LEFT(UPPER(TRIM(E2954)),1)="M",UPPER(TRIM(E2954))="B"),"B",IF(OR(LEFT(UPPER(TRIM(E2954)),2)="SL",UPPER(TRIM(E2954))="C"),"C",IF(OR(LEFT(UPPER(TRIM(E2954)),1)="D",UPPER(TRIM(E2954))="D"),"D","")))))))</f>
        <v/>
      </c>
      <c r="J2954" s="27" t="str">
        <f aca="false">IF(I2954="","",IF(AND(I2954="D",Settings!$B$6&lt;&gt;"Yes"),"",IFERROR(INDEX(Settings!$C$9:$C$12,MATCH(I2954,Settings!$A$9:$A$12,0)),"")))</f>
        <v/>
      </c>
      <c r="K2954" s="27" t="str">
        <f aca="false">IF(J2954="","",COUNTIF($I$2:I2954,I2954))</f>
        <v/>
      </c>
      <c r="L2954" s="27" t="str">
        <f aca="false">IF(J2954="","",CHOOSE(Q2954+1,"Tue","Wed","Thu","Fri"))</f>
        <v/>
      </c>
      <c r="M2954" s="27" t="str">
        <f aca="false">IF(J2954="","",IF(J2954=1,"Every week",R2954+1&amp;" of "&amp;J2954))</f>
        <v/>
      </c>
      <c r="N2954" s="28" t="str">
        <f aca="false">IF(J2954="","",Settings!$B$4+R2954*7+Q2954)</f>
        <v/>
      </c>
      <c r="O2954" s="28" t="str">
        <f aca="true">IF(J2954="","",N2954+MAX(0,ROUNDUP((TODAY()-N2954)/(J2954*7),0))*J2954*7)</f>
        <v/>
      </c>
      <c r="P2954" s="27" t="str">
        <f aca="false">IF(J2954="","",MOD(K2954-1,J2954*4))</f>
        <v/>
      </c>
      <c r="Q2954" s="27" t="str">
        <f aca="false">IF(J2954="","",MOD(P2954,4))</f>
        <v/>
      </c>
      <c r="R2954" s="27" t="str">
        <f aca="false">IF(J2954="","",INT(P2954/4))</f>
        <v/>
      </c>
      <c r="S2954" s="27" t="str">
        <f aca="false">IF(J2954="","",IF(AND('Daily Count Sheet'!$H$3=Q2954,MOD('Daily Count Sheet'!$I$3,J2954)=R2954),1,""))</f>
        <v/>
      </c>
      <c r="T2954" s="27" t="str">
        <f aca="false">IF(S2954=1,COUNTIF($S$2:S2954,1),"")</f>
        <v/>
      </c>
    </row>
    <row r="2955" customFormat="false" ht="15" hidden="false" customHeight="false" outlineLevel="0" collapsed="false">
      <c r="H2955" s="26"/>
      <c r="I2955" s="27" t="str">
        <f aca="false">IF(A2955="","",IF(H2955&lt;&gt;"",UPPER(TRIM(H2955)),IFERROR(CHOOSE(VALUE(E2955)+1,"A","B","C","D"),IF(OR(LEFT(UPPER(TRIM(E2955)),1)="F",UPPER(TRIM(E2955))="A"),"A",IF(OR(LEFT(UPPER(TRIM(E2955)),1)="M",UPPER(TRIM(E2955))="B"),"B",IF(OR(LEFT(UPPER(TRIM(E2955)),2)="SL",UPPER(TRIM(E2955))="C"),"C",IF(OR(LEFT(UPPER(TRIM(E2955)),1)="D",UPPER(TRIM(E2955))="D"),"D","")))))))</f>
        <v/>
      </c>
      <c r="J2955" s="27" t="str">
        <f aca="false">IF(I2955="","",IF(AND(I2955="D",Settings!$B$6&lt;&gt;"Yes"),"",IFERROR(INDEX(Settings!$C$9:$C$12,MATCH(I2955,Settings!$A$9:$A$12,0)),"")))</f>
        <v/>
      </c>
      <c r="K2955" s="27" t="str">
        <f aca="false">IF(J2955="","",COUNTIF($I$2:I2955,I2955))</f>
        <v/>
      </c>
      <c r="L2955" s="27" t="str">
        <f aca="false">IF(J2955="","",CHOOSE(Q2955+1,"Tue","Wed","Thu","Fri"))</f>
        <v/>
      </c>
      <c r="M2955" s="27" t="str">
        <f aca="false">IF(J2955="","",IF(J2955=1,"Every week",R2955+1&amp;" of "&amp;J2955))</f>
        <v/>
      </c>
      <c r="N2955" s="28" t="str">
        <f aca="false">IF(J2955="","",Settings!$B$4+R2955*7+Q2955)</f>
        <v/>
      </c>
      <c r="O2955" s="28" t="str">
        <f aca="true">IF(J2955="","",N2955+MAX(0,ROUNDUP((TODAY()-N2955)/(J2955*7),0))*J2955*7)</f>
        <v/>
      </c>
      <c r="P2955" s="27" t="str">
        <f aca="false">IF(J2955="","",MOD(K2955-1,J2955*4))</f>
        <v/>
      </c>
      <c r="Q2955" s="27" t="str">
        <f aca="false">IF(J2955="","",MOD(P2955,4))</f>
        <v/>
      </c>
      <c r="R2955" s="27" t="str">
        <f aca="false">IF(J2955="","",INT(P2955/4))</f>
        <v/>
      </c>
      <c r="S2955" s="27" t="str">
        <f aca="false">IF(J2955="","",IF(AND('Daily Count Sheet'!$H$3=Q2955,MOD('Daily Count Sheet'!$I$3,J2955)=R2955),1,""))</f>
        <v/>
      </c>
      <c r="T2955" s="27" t="str">
        <f aca="false">IF(S2955=1,COUNTIF($S$2:S2955,1),"")</f>
        <v/>
      </c>
    </row>
    <row r="2956" customFormat="false" ht="15" hidden="false" customHeight="false" outlineLevel="0" collapsed="false">
      <c r="H2956" s="26"/>
      <c r="I2956" s="27" t="str">
        <f aca="false">IF(A2956="","",IF(H2956&lt;&gt;"",UPPER(TRIM(H2956)),IFERROR(CHOOSE(VALUE(E2956)+1,"A","B","C","D"),IF(OR(LEFT(UPPER(TRIM(E2956)),1)="F",UPPER(TRIM(E2956))="A"),"A",IF(OR(LEFT(UPPER(TRIM(E2956)),1)="M",UPPER(TRIM(E2956))="B"),"B",IF(OR(LEFT(UPPER(TRIM(E2956)),2)="SL",UPPER(TRIM(E2956))="C"),"C",IF(OR(LEFT(UPPER(TRIM(E2956)),1)="D",UPPER(TRIM(E2956))="D"),"D","")))))))</f>
        <v/>
      </c>
      <c r="J2956" s="27" t="str">
        <f aca="false">IF(I2956="","",IF(AND(I2956="D",Settings!$B$6&lt;&gt;"Yes"),"",IFERROR(INDEX(Settings!$C$9:$C$12,MATCH(I2956,Settings!$A$9:$A$12,0)),"")))</f>
        <v/>
      </c>
      <c r="K2956" s="27" t="str">
        <f aca="false">IF(J2956="","",COUNTIF($I$2:I2956,I2956))</f>
        <v/>
      </c>
      <c r="L2956" s="27" t="str">
        <f aca="false">IF(J2956="","",CHOOSE(Q2956+1,"Tue","Wed","Thu","Fri"))</f>
        <v/>
      </c>
      <c r="M2956" s="27" t="str">
        <f aca="false">IF(J2956="","",IF(J2956=1,"Every week",R2956+1&amp;" of "&amp;J2956))</f>
        <v/>
      </c>
      <c r="N2956" s="28" t="str">
        <f aca="false">IF(J2956="","",Settings!$B$4+R2956*7+Q2956)</f>
        <v/>
      </c>
      <c r="O2956" s="28" t="str">
        <f aca="true">IF(J2956="","",N2956+MAX(0,ROUNDUP((TODAY()-N2956)/(J2956*7),0))*J2956*7)</f>
        <v/>
      </c>
      <c r="P2956" s="27" t="str">
        <f aca="false">IF(J2956="","",MOD(K2956-1,J2956*4))</f>
        <v/>
      </c>
      <c r="Q2956" s="27" t="str">
        <f aca="false">IF(J2956="","",MOD(P2956,4))</f>
        <v/>
      </c>
      <c r="R2956" s="27" t="str">
        <f aca="false">IF(J2956="","",INT(P2956/4))</f>
        <v/>
      </c>
      <c r="S2956" s="27" t="str">
        <f aca="false">IF(J2956="","",IF(AND('Daily Count Sheet'!$H$3=Q2956,MOD('Daily Count Sheet'!$I$3,J2956)=R2956),1,""))</f>
        <v/>
      </c>
      <c r="T2956" s="27" t="str">
        <f aca="false">IF(S2956=1,COUNTIF($S$2:S2956,1),"")</f>
        <v/>
      </c>
    </row>
    <row r="2957" customFormat="false" ht="15" hidden="false" customHeight="false" outlineLevel="0" collapsed="false">
      <c r="H2957" s="26"/>
      <c r="I2957" s="27" t="str">
        <f aca="false">IF(A2957="","",IF(H2957&lt;&gt;"",UPPER(TRIM(H2957)),IFERROR(CHOOSE(VALUE(E2957)+1,"A","B","C","D"),IF(OR(LEFT(UPPER(TRIM(E2957)),1)="F",UPPER(TRIM(E2957))="A"),"A",IF(OR(LEFT(UPPER(TRIM(E2957)),1)="M",UPPER(TRIM(E2957))="B"),"B",IF(OR(LEFT(UPPER(TRIM(E2957)),2)="SL",UPPER(TRIM(E2957))="C"),"C",IF(OR(LEFT(UPPER(TRIM(E2957)),1)="D",UPPER(TRIM(E2957))="D"),"D","")))))))</f>
        <v/>
      </c>
      <c r="J2957" s="27" t="str">
        <f aca="false">IF(I2957="","",IF(AND(I2957="D",Settings!$B$6&lt;&gt;"Yes"),"",IFERROR(INDEX(Settings!$C$9:$C$12,MATCH(I2957,Settings!$A$9:$A$12,0)),"")))</f>
        <v/>
      </c>
      <c r="K2957" s="27" t="str">
        <f aca="false">IF(J2957="","",COUNTIF($I$2:I2957,I2957))</f>
        <v/>
      </c>
      <c r="L2957" s="27" t="str">
        <f aca="false">IF(J2957="","",CHOOSE(Q2957+1,"Tue","Wed","Thu","Fri"))</f>
        <v/>
      </c>
      <c r="M2957" s="27" t="str">
        <f aca="false">IF(J2957="","",IF(J2957=1,"Every week",R2957+1&amp;" of "&amp;J2957))</f>
        <v/>
      </c>
      <c r="N2957" s="28" t="str">
        <f aca="false">IF(J2957="","",Settings!$B$4+R2957*7+Q2957)</f>
        <v/>
      </c>
      <c r="O2957" s="28" t="str">
        <f aca="true">IF(J2957="","",N2957+MAX(0,ROUNDUP((TODAY()-N2957)/(J2957*7),0))*J2957*7)</f>
        <v/>
      </c>
      <c r="P2957" s="27" t="str">
        <f aca="false">IF(J2957="","",MOD(K2957-1,J2957*4))</f>
        <v/>
      </c>
      <c r="Q2957" s="27" t="str">
        <f aca="false">IF(J2957="","",MOD(P2957,4))</f>
        <v/>
      </c>
      <c r="R2957" s="27" t="str">
        <f aca="false">IF(J2957="","",INT(P2957/4))</f>
        <v/>
      </c>
      <c r="S2957" s="27" t="str">
        <f aca="false">IF(J2957="","",IF(AND('Daily Count Sheet'!$H$3=Q2957,MOD('Daily Count Sheet'!$I$3,J2957)=R2957),1,""))</f>
        <v/>
      </c>
      <c r="T2957" s="27" t="str">
        <f aca="false">IF(S2957=1,COUNTIF($S$2:S2957,1),"")</f>
        <v/>
      </c>
    </row>
    <row r="2958" customFormat="false" ht="15" hidden="false" customHeight="false" outlineLevel="0" collapsed="false">
      <c r="H2958" s="26"/>
      <c r="I2958" s="27" t="str">
        <f aca="false">IF(A2958="","",IF(H2958&lt;&gt;"",UPPER(TRIM(H2958)),IFERROR(CHOOSE(VALUE(E2958)+1,"A","B","C","D"),IF(OR(LEFT(UPPER(TRIM(E2958)),1)="F",UPPER(TRIM(E2958))="A"),"A",IF(OR(LEFT(UPPER(TRIM(E2958)),1)="M",UPPER(TRIM(E2958))="B"),"B",IF(OR(LEFT(UPPER(TRIM(E2958)),2)="SL",UPPER(TRIM(E2958))="C"),"C",IF(OR(LEFT(UPPER(TRIM(E2958)),1)="D",UPPER(TRIM(E2958))="D"),"D","")))))))</f>
        <v/>
      </c>
      <c r="J2958" s="27" t="str">
        <f aca="false">IF(I2958="","",IF(AND(I2958="D",Settings!$B$6&lt;&gt;"Yes"),"",IFERROR(INDEX(Settings!$C$9:$C$12,MATCH(I2958,Settings!$A$9:$A$12,0)),"")))</f>
        <v/>
      </c>
      <c r="K2958" s="27" t="str">
        <f aca="false">IF(J2958="","",COUNTIF($I$2:I2958,I2958))</f>
        <v/>
      </c>
      <c r="L2958" s="27" t="str">
        <f aca="false">IF(J2958="","",CHOOSE(Q2958+1,"Tue","Wed","Thu","Fri"))</f>
        <v/>
      </c>
      <c r="M2958" s="27" t="str">
        <f aca="false">IF(J2958="","",IF(J2958=1,"Every week",R2958+1&amp;" of "&amp;J2958))</f>
        <v/>
      </c>
      <c r="N2958" s="28" t="str">
        <f aca="false">IF(J2958="","",Settings!$B$4+R2958*7+Q2958)</f>
        <v/>
      </c>
      <c r="O2958" s="28" t="str">
        <f aca="true">IF(J2958="","",N2958+MAX(0,ROUNDUP((TODAY()-N2958)/(J2958*7),0))*J2958*7)</f>
        <v/>
      </c>
      <c r="P2958" s="27" t="str">
        <f aca="false">IF(J2958="","",MOD(K2958-1,J2958*4))</f>
        <v/>
      </c>
      <c r="Q2958" s="27" t="str">
        <f aca="false">IF(J2958="","",MOD(P2958,4))</f>
        <v/>
      </c>
      <c r="R2958" s="27" t="str">
        <f aca="false">IF(J2958="","",INT(P2958/4))</f>
        <v/>
      </c>
      <c r="S2958" s="27" t="str">
        <f aca="false">IF(J2958="","",IF(AND('Daily Count Sheet'!$H$3=Q2958,MOD('Daily Count Sheet'!$I$3,J2958)=R2958),1,""))</f>
        <v/>
      </c>
      <c r="T2958" s="27" t="str">
        <f aca="false">IF(S2958=1,COUNTIF($S$2:S2958,1),"")</f>
        <v/>
      </c>
    </row>
    <row r="2959" customFormat="false" ht="15" hidden="false" customHeight="false" outlineLevel="0" collapsed="false">
      <c r="H2959" s="26"/>
      <c r="I2959" s="27" t="str">
        <f aca="false">IF(A2959="","",IF(H2959&lt;&gt;"",UPPER(TRIM(H2959)),IFERROR(CHOOSE(VALUE(E2959)+1,"A","B","C","D"),IF(OR(LEFT(UPPER(TRIM(E2959)),1)="F",UPPER(TRIM(E2959))="A"),"A",IF(OR(LEFT(UPPER(TRIM(E2959)),1)="M",UPPER(TRIM(E2959))="B"),"B",IF(OR(LEFT(UPPER(TRIM(E2959)),2)="SL",UPPER(TRIM(E2959))="C"),"C",IF(OR(LEFT(UPPER(TRIM(E2959)),1)="D",UPPER(TRIM(E2959))="D"),"D","")))))))</f>
        <v/>
      </c>
      <c r="J2959" s="27" t="str">
        <f aca="false">IF(I2959="","",IF(AND(I2959="D",Settings!$B$6&lt;&gt;"Yes"),"",IFERROR(INDEX(Settings!$C$9:$C$12,MATCH(I2959,Settings!$A$9:$A$12,0)),"")))</f>
        <v/>
      </c>
      <c r="K2959" s="27" t="str">
        <f aca="false">IF(J2959="","",COUNTIF($I$2:I2959,I2959))</f>
        <v/>
      </c>
      <c r="L2959" s="27" t="str">
        <f aca="false">IF(J2959="","",CHOOSE(Q2959+1,"Tue","Wed","Thu","Fri"))</f>
        <v/>
      </c>
      <c r="M2959" s="27" t="str">
        <f aca="false">IF(J2959="","",IF(J2959=1,"Every week",R2959+1&amp;" of "&amp;J2959))</f>
        <v/>
      </c>
      <c r="N2959" s="28" t="str">
        <f aca="false">IF(J2959="","",Settings!$B$4+R2959*7+Q2959)</f>
        <v/>
      </c>
      <c r="O2959" s="28" t="str">
        <f aca="true">IF(J2959="","",N2959+MAX(0,ROUNDUP((TODAY()-N2959)/(J2959*7),0))*J2959*7)</f>
        <v/>
      </c>
      <c r="P2959" s="27" t="str">
        <f aca="false">IF(J2959="","",MOD(K2959-1,J2959*4))</f>
        <v/>
      </c>
      <c r="Q2959" s="27" t="str">
        <f aca="false">IF(J2959="","",MOD(P2959,4))</f>
        <v/>
      </c>
      <c r="R2959" s="27" t="str">
        <f aca="false">IF(J2959="","",INT(P2959/4))</f>
        <v/>
      </c>
      <c r="S2959" s="27" t="str">
        <f aca="false">IF(J2959="","",IF(AND('Daily Count Sheet'!$H$3=Q2959,MOD('Daily Count Sheet'!$I$3,J2959)=R2959),1,""))</f>
        <v/>
      </c>
      <c r="T2959" s="27" t="str">
        <f aca="false">IF(S2959=1,COUNTIF($S$2:S2959,1),"")</f>
        <v/>
      </c>
    </row>
    <row r="2960" customFormat="false" ht="15" hidden="false" customHeight="false" outlineLevel="0" collapsed="false">
      <c r="H2960" s="26"/>
      <c r="I2960" s="27" t="str">
        <f aca="false">IF(A2960="","",IF(H2960&lt;&gt;"",UPPER(TRIM(H2960)),IFERROR(CHOOSE(VALUE(E2960)+1,"A","B","C","D"),IF(OR(LEFT(UPPER(TRIM(E2960)),1)="F",UPPER(TRIM(E2960))="A"),"A",IF(OR(LEFT(UPPER(TRIM(E2960)),1)="M",UPPER(TRIM(E2960))="B"),"B",IF(OR(LEFT(UPPER(TRIM(E2960)),2)="SL",UPPER(TRIM(E2960))="C"),"C",IF(OR(LEFT(UPPER(TRIM(E2960)),1)="D",UPPER(TRIM(E2960))="D"),"D","")))))))</f>
        <v/>
      </c>
      <c r="J2960" s="27" t="str">
        <f aca="false">IF(I2960="","",IF(AND(I2960="D",Settings!$B$6&lt;&gt;"Yes"),"",IFERROR(INDEX(Settings!$C$9:$C$12,MATCH(I2960,Settings!$A$9:$A$12,0)),"")))</f>
        <v/>
      </c>
      <c r="K2960" s="27" t="str">
        <f aca="false">IF(J2960="","",COUNTIF($I$2:I2960,I2960))</f>
        <v/>
      </c>
      <c r="L2960" s="27" t="str">
        <f aca="false">IF(J2960="","",CHOOSE(Q2960+1,"Tue","Wed","Thu","Fri"))</f>
        <v/>
      </c>
      <c r="M2960" s="27" t="str">
        <f aca="false">IF(J2960="","",IF(J2960=1,"Every week",R2960+1&amp;" of "&amp;J2960))</f>
        <v/>
      </c>
      <c r="N2960" s="28" t="str">
        <f aca="false">IF(J2960="","",Settings!$B$4+R2960*7+Q2960)</f>
        <v/>
      </c>
      <c r="O2960" s="28" t="str">
        <f aca="true">IF(J2960="","",N2960+MAX(0,ROUNDUP((TODAY()-N2960)/(J2960*7),0))*J2960*7)</f>
        <v/>
      </c>
      <c r="P2960" s="27" t="str">
        <f aca="false">IF(J2960="","",MOD(K2960-1,J2960*4))</f>
        <v/>
      </c>
      <c r="Q2960" s="27" t="str">
        <f aca="false">IF(J2960="","",MOD(P2960,4))</f>
        <v/>
      </c>
      <c r="R2960" s="27" t="str">
        <f aca="false">IF(J2960="","",INT(P2960/4))</f>
        <v/>
      </c>
      <c r="S2960" s="27" t="str">
        <f aca="false">IF(J2960="","",IF(AND('Daily Count Sheet'!$H$3=Q2960,MOD('Daily Count Sheet'!$I$3,J2960)=R2960),1,""))</f>
        <v/>
      </c>
      <c r="T2960" s="27" t="str">
        <f aca="false">IF(S2960=1,COUNTIF($S$2:S2960,1),"")</f>
        <v/>
      </c>
    </row>
    <row r="2961" customFormat="false" ht="15" hidden="false" customHeight="false" outlineLevel="0" collapsed="false">
      <c r="H2961" s="26"/>
      <c r="I2961" s="27" t="str">
        <f aca="false">IF(A2961="","",IF(H2961&lt;&gt;"",UPPER(TRIM(H2961)),IFERROR(CHOOSE(VALUE(E2961)+1,"A","B","C","D"),IF(OR(LEFT(UPPER(TRIM(E2961)),1)="F",UPPER(TRIM(E2961))="A"),"A",IF(OR(LEFT(UPPER(TRIM(E2961)),1)="M",UPPER(TRIM(E2961))="B"),"B",IF(OR(LEFT(UPPER(TRIM(E2961)),2)="SL",UPPER(TRIM(E2961))="C"),"C",IF(OR(LEFT(UPPER(TRIM(E2961)),1)="D",UPPER(TRIM(E2961))="D"),"D","")))))))</f>
        <v/>
      </c>
      <c r="J2961" s="27" t="str">
        <f aca="false">IF(I2961="","",IF(AND(I2961="D",Settings!$B$6&lt;&gt;"Yes"),"",IFERROR(INDEX(Settings!$C$9:$C$12,MATCH(I2961,Settings!$A$9:$A$12,0)),"")))</f>
        <v/>
      </c>
      <c r="K2961" s="27" t="str">
        <f aca="false">IF(J2961="","",COUNTIF($I$2:I2961,I2961))</f>
        <v/>
      </c>
      <c r="L2961" s="27" t="str">
        <f aca="false">IF(J2961="","",CHOOSE(Q2961+1,"Tue","Wed","Thu","Fri"))</f>
        <v/>
      </c>
      <c r="M2961" s="27" t="str">
        <f aca="false">IF(J2961="","",IF(J2961=1,"Every week",R2961+1&amp;" of "&amp;J2961))</f>
        <v/>
      </c>
      <c r="N2961" s="28" t="str">
        <f aca="false">IF(J2961="","",Settings!$B$4+R2961*7+Q2961)</f>
        <v/>
      </c>
      <c r="O2961" s="28" t="str">
        <f aca="true">IF(J2961="","",N2961+MAX(0,ROUNDUP((TODAY()-N2961)/(J2961*7),0))*J2961*7)</f>
        <v/>
      </c>
      <c r="P2961" s="27" t="str">
        <f aca="false">IF(J2961="","",MOD(K2961-1,J2961*4))</f>
        <v/>
      </c>
      <c r="Q2961" s="27" t="str">
        <f aca="false">IF(J2961="","",MOD(P2961,4))</f>
        <v/>
      </c>
      <c r="R2961" s="27" t="str">
        <f aca="false">IF(J2961="","",INT(P2961/4))</f>
        <v/>
      </c>
      <c r="S2961" s="27" t="str">
        <f aca="false">IF(J2961="","",IF(AND('Daily Count Sheet'!$H$3=Q2961,MOD('Daily Count Sheet'!$I$3,J2961)=R2961),1,""))</f>
        <v/>
      </c>
      <c r="T2961" s="27" t="str">
        <f aca="false">IF(S2961=1,COUNTIF($S$2:S2961,1),"")</f>
        <v/>
      </c>
    </row>
    <row r="2962" customFormat="false" ht="15" hidden="false" customHeight="false" outlineLevel="0" collapsed="false">
      <c r="H2962" s="26"/>
      <c r="I2962" s="27" t="str">
        <f aca="false">IF(A2962="","",IF(H2962&lt;&gt;"",UPPER(TRIM(H2962)),IFERROR(CHOOSE(VALUE(E2962)+1,"A","B","C","D"),IF(OR(LEFT(UPPER(TRIM(E2962)),1)="F",UPPER(TRIM(E2962))="A"),"A",IF(OR(LEFT(UPPER(TRIM(E2962)),1)="M",UPPER(TRIM(E2962))="B"),"B",IF(OR(LEFT(UPPER(TRIM(E2962)),2)="SL",UPPER(TRIM(E2962))="C"),"C",IF(OR(LEFT(UPPER(TRIM(E2962)),1)="D",UPPER(TRIM(E2962))="D"),"D","")))))))</f>
        <v/>
      </c>
      <c r="J2962" s="27" t="str">
        <f aca="false">IF(I2962="","",IF(AND(I2962="D",Settings!$B$6&lt;&gt;"Yes"),"",IFERROR(INDEX(Settings!$C$9:$C$12,MATCH(I2962,Settings!$A$9:$A$12,0)),"")))</f>
        <v/>
      </c>
      <c r="K2962" s="27" t="str">
        <f aca="false">IF(J2962="","",COUNTIF($I$2:I2962,I2962))</f>
        <v/>
      </c>
      <c r="L2962" s="27" t="str">
        <f aca="false">IF(J2962="","",CHOOSE(Q2962+1,"Tue","Wed","Thu","Fri"))</f>
        <v/>
      </c>
      <c r="M2962" s="27" t="str">
        <f aca="false">IF(J2962="","",IF(J2962=1,"Every week",R2962+1&amp;" of "&amp;J2962))</f>
        <v/>
      </c>
      <c r="N2962" s="28" t="str">
        <f aca="false">IF(J2962="","",Settings!$B$4+R2962*7+Q2962)</f>
        <v/>
      </c>
      <c r="O2962" s="28" t="str">
        <f aca="true">IF(J2962="","",N2962+MAX(0,ROUNDUP((TODAY()-N2962)/(J2962*7),0))*J2962*7)</f>
        <v/>
      </c>
      <c r="P2962" s="27" t="str">
        <f aca="false">IF(J2962="","",MOD(K2962-1,J2962*4))</f>
        <v/>
      </c>
      <c r="Q2962" s="27" t="str">
        <f aca="false">IF(J2962="","",MOD(P2962,4))</f>
        <v/>
      </c>
      <c r="R2962" s="27" t="str">
        <f aca="false">IF(J2962="","",INT(P2962/4))</f>
        <v/>
      </c>
      <c r="S2962" s="27" t="str">
        <f aca="false">IF(J2962="","",IF(AND('Daily Count Sheet'!$H$3=Q2962,MOD('Daily Count Sheet'!$I$3,J2962)=R2962),1,""))</f>
        <v/>
      </c>
      <c r="T2962" s="27" t="str">
        <f aca="false">IF(S2962=1,COUNTIF($S$2:S2962,1),"")</f>
        <v/>
      </c>
    </row>
    <row r="2963" customFormat="false" ht="15" hidden="false" customHeight="false" outlineLevel="0" collapsed="false">
      <c r="H2963" s="26"/>
      <c r="I2963" s="27" t="str">
        <f aca="false">IF(A2963="","",IF(H2963&lt;&gt;"",UPPER(TRIM(H2963)),IFERROR(CHOOSE(VALUE(E2963)+1,"A","B","C","D"),IF(OR(LEFT(UPPER(TRIM(E2963)),1)="F",UPPER(TRIM(E2963))="A"),"A",IF(OR(LEFT(UPPER(TRIM(E2963)),1)="M",UPPER(TRIM(E2963))="B"),"B",IF(OR(LEFT(UPPER(TRIM(E2963)),2)="SL",UPPER(TRIM(E2963))="C"),"C",IF(OR(LEFT(UPPER(TRIM(E2963)),1)="D",UPPER(TRIM(E2963))="D"),"D","")))))))</f>
        <v/>
      </c>
      <c r="J2963" s="27" t="str">
        <f aca="false">IF(I2963="","",IF(AND(I2963="D",Settings!$B$6&lt;&gt;"Yes"),"",IFERROR(INDEX(Settings!$C$9:$C$12,MATCH(I2963,Settings!$A$9:$A$12,0)),"")))</f>
        <v/>
      </c>
      <c r="K2963" s="27" t="str">
        <f aca="false">IF(J2963="","",COUNTIF($I$2:I2963,I2963))</f>
        <v/>
      </c>
      <c r="L2963" s="27" t="str">
        <f aca="false">IF(J2963="","",CHOOSE(Q2963+1,"Tue","Wed","Thu","Fri"))</f>
        <v/>
      </c>
      <c r="M2963" s="27" t="str">
        <f aca="false">IF(J2963="","",IF(J2963=1,"Every week",R2963+1&amp;" of "&amp;J2963))</f>
        <v/>
      </c>
      <c r="N2963" s="28" t="str">
        <f aca="false">IF(J2963="","",Settings!$B$4+R2963*7+Q2963)</f>
        <v/>
      </c>
      <c r="O2963" s="28" t="str">
        <f aca="true">IF(J2963="","",N2963+MAX(0,ROUNDUP((TODAY()-N2963)/(J2963*7),0))*J2963*7)</f>
        <v/>
      </c>
      <c r="P2963" s="27" t="str">
        <f aca="false">IF(J2963="","",MOD(K2963-1,J2963*4))</f>
        <v/>
      </c>
      <c r="Q2963" s="27" t="str">
        <f aca="false">IF(J2963="","",MOD(P2963,4))</f>
        <v/>
      </c>
      <c r="R2963" s="27" t="str">
        <f aca="false">IF(J2963="","",INT(P2963/4))</f>
        <v/>
      </c>
      <c r="S2963" s="27" t="str">
        <f aca="false">IF(J2963="","",IF(AND('Daily Count Sheet'!$H$3=Q2963,MOD('Daily Count Sheet'!$I$3,J2963)=R2963),1,""))</f>
        <v/>
      </c>
      <c r="T2963" s="27" t="str">
        <f aca="false">IF(S2963=1,COUNTIF($S$2:S2963,1),"")</f>
        <v/>
      </c>
    </row>
    <row r="2964" customFormat="false" ht="15" hidden="false" customHeight="false" outlineLevel="0" collapsed="false">
      <c r="H2964" s="26"/>
      <c r="I2964" s="27" t="str">
        <f aca="false">IF(A2964="","",IF(H2964&lt;&gt;"",UPPER(TRIM(H2964)),IFERROR(CHOOSE(VALUE(E2964)+1,"A","B","C","D"),IF(OR(LEFT(UPPER(TRIM(E2964)),1)="F",UPPER(TRIM(E2964))="A"),"A",IF(OR(LEFT(UPPER(TRIM(E2964)),1)="M",UPPER(TRIM(E2964))="B"),"B",IF(OR(LEFT(UPPER(TRIM(E2964)),2)="SL",UPPER(TRIM(E2964))="C"),"C",IF(OR(LEFT(UPPER(TRIM(E2964)),1)="D",UPPER(TRIM(E2964))="D"),"D","")))))))</f>
        <v/>
      </c>
      <c r="J2964" s="27" t="str">
        <f aca="false">IF(I2964="","",IF(AND(I2964="D",Settings!$B$6&lt;&gt;"Yes"),"",IFERROR(INDEX(Settings!$C$9:$C$12,MATCH(I2964,Settings!$A$9:$A$12,0)),"")))</f>
        <v/>
      </c>
      <c r="K2964" s="27" t="str">
        <f aca="false">IF(J2964="","",COUNTIF($I$2:I2964,I2964))</f>
        <v/>
      </c>
      <c r="L2964" s="27" t="str">
        <f aca="false">IF(J2964="","",CHOOSE(Q2964+1,"Tue","Wed","Thu","Fri"))</f>
        <v/>
      </c>
      <c r="M2964" s="27" t="str">
        <f aca="false">IF(J2964="","",IF(J2964=1,"Every week",R2964+1&amp;" of "&amp;J2964))</f>
        <v/>
      </c>
      <c r="N2964" s="28" t="str">
        <f aca="false">IF(J2964="","",Settings!$B$4+R2964*7+Q2964)</f>
        <v/>
      </c>
      <c r="O2964" s="28" t="str">
        <f aca="true">IF(J2964="","",N2964+MAX(0,ROUNDUP((TODAY()-N2964)/(J2964*7),0))*J2964*7)</f>
        <v/>
      </c>
      <c r="P2964" s="27" t="str">
        <f aca="false">IF(J2964="","",MOD(K2964-1,J2964*4))</f>
        <v/>
      </c>
      <c r="Q2964" s="27" t="str">
        <f aca="false">IF(J2964="","",MOD(P2964,4))</f>
        <v/>
      </c>
      <c r="R2964" s="27" t="str">
        <f aca="false">IF(J2964="","",INT(P2964/4))</f>
        <v/>
      </c>
      <c r="S2964" s="27" t="str">
        <f aca="false">IF(J2964="","",IF(AND('Daily Count Sheet'!$H$3=Q2964,MOD('Daily Count Sheet'!$I$3,J2964)=R2964),1,""))</f>
        <v/>
      </c>
      <c r="T2964" s="27" t="str">
        <f aca="false">IF(S2964=1,COUNTIF($S$2:S2964,1),"")</f>
        <v/>
      </c>
    </row>
    <row r="2965" customFormat="false" ht="15" hidden="false" customHeight="false" outlineLevel="0" collapsed="false">
      <c r="H2965" s="26"/>
      <c r="I2965" s="27" t="str">
        <f aca="false">IF(A2965="","",IF(H2965&lt;&gt;"",UPPER(TRIM(H2965)),IFERROR(CHOOSE(VALUE(E2965)+1,"A","B","C","D"),IF(OR(LEFT(UPPER(TRIM(E2965)),1)="F",UPPER(TRIM(E2965))="A"),"A",IF(OR(LEFT(UPPER(TRIM(E2965)),1)="M",UPPER(TRIM(E2965))="B"),"B",IF(OR(LEFT(UPPER(TRIM(E2965)),2)="SL",UPPER(TRIM(E2965))="C"),"C",IF(OR(LEFT(UPPER(TRIM(E2965)),1)="D",UPPER(TRIM(E2965))="D"),"D","")))))))</f>
        <v/>
      </c>
      <c r="J2965" s="27" t="str">
        <f aca="false">IF(I2965="","",IF(AND(I2965="D",Settings!$B$6&lt;&gt;"Yes"),"",IFERROR(INDEX(Settings!$C$9:$C$12,MATCH(I2965,Settings!$A$9:$A$12,0)),"")))</f>
        <v/>
      </c>
      <c r="K2965" s="27" t="str">
        <f aca="false">IF(J2965="","",COUNTIF($I$2:I2965,I2965))</f>
        <v/>
      </c>
      <c r="L2965" s="27" t="str">
        <f aca="false">IF(J2965="","",CHOOSE(Q2965+1,"Tue","Wed","Thu","Fri"))</f>
        <v/>
      </c>
      <c r="M2965" s="27" t="str">
        <f aca="false">IF(J2965="","",IF(J2965=1,"Every week",R2965+1&amp;" of "&amp;J2965))</f>
        <v/>
      </c>
      <c r="N2965" s="28" t="str">
        <f aca="false">IF(J2965="","",Settings!$B$4+R2965*7+Q2965)</f>
        <v/>
      </c>
      <c r="O2965" s="28" t="str">
        <f aca="true">IF(J2965="","",N2965+MAX(0,ROUNDUP((TODAY()-N2965)/(J2965*7),0))*J2965*7)</f>
        <v/>
      </c>
      <c r="P2965" s="27" t="str">
        <f aca="false">IF(J2965="","",MOD(K2965-1,J2965*4))</f>
        <v/>
      </c>
      <c r="Q2965" s="27" t="str">
        <f aca="false">IF(J2965="","",MOD(P2965,4))</f>
        <v/>
      </c>
      <c r="R2965" s="27" t="str">
        <f aca="false">IF(J2965="","",INT(P2965/4))</f>
        <v/>
      </c>
      <c r="S2965" s="27" t="str">
        <f aca="false">IF(J2965="","",IF(AND('Daily Count Sheet'!$H$3=Q2965,MOD('Daily Count Sheet'!$I$3,J2965)=R2965),1,""))</f>
        <v/>
      </c>
      <c r="T2965" s="27" t="str">
        <f aca="false">IF(S2965=1,COUNTIF($S$2:S2965,1),"")</f>
        <v/>
      </c>
    </row>
    <row r="2966" customFormat="false" ht="15" hidden="false" customHeight="false" outlineLevel="0" collapsed="false">
      <c r="H2966" s="26"/>
      <c r="I2966" s="27" t="str">
        <f aca="false">IF(A2966="","",IF(H2966&lt;&gt;"",UPPER(TRIM(H2966)),IFERROR(CHOOSE(VALUE(E2966)+1,"A","B","C","D"),IF(OR(LEFT(UPPER(TRIM(E2966)),1)="F",UPPER(TRIM(E2966))="A"),"A",IF(OR(LEFT(UPPER(TRIM(E2966)),1)="M",UPPER(TRIM(E2966))="B"),"B",IF(OR(LEFT(UPPER(TRIM(E2966)),2)="SL",UPPER(TRIM(E2966))="C"),"C",IF(OR(LEFT(UPPER(TRIM(E2966)),1)="D",UPPER(TRIM(E2966))="D"),"D","")))))))</f>
        <v/>
      </c>
      <c r="J2966" s="27" t="str">
        <f aca="false">IF(I2966="","",IF(AND(I2966="D",Settings!$B$6&lt;&gt;"Yes"),"",IFERROR(INDEX(Settings!$C$9:$C$12,MATCH(I2966,Settings!$A$9:$A$12,0)),"")))</f>
        <v/>
      </c>
      <c r="K2966" s="27" t="str">
        <f aca="false">IF(J2966="","",COUNTIF($I$2:I2966,I2966))</f>
        <v/>
      </c>
      <c r="L2966" s="27" t="str">
        <f aca="false">IF(J2966="","",CHOOSE(Q2966+1,"Tue","Wed","Thu","Fri"))</f>
        <v/>
      </c>
      <c r="M2966" s="27" t="str">
        <f aca="false">IF(J2966="","",IF(J2966=1,"Every week",R2966+1&amp;" of "&amp;J2966))</f>
        <v/>
      </c>
      <c r="N2966" s="28" t="str">
        <f aca="false">IF(J2966="","",Settings!$B$4+R2966*7+Q2966)</f>
        <v/>
      </c>
      <c r="O2966" s="28" t="str">
        <f aca="true">IF(J2966="","",N2966+MAX(0,ROUNDUP((TODAY()-N2966)/(J2966*7),0))*J2966*7)</f>
        <v/>
      </c>
      <c r="P2966" s="27" t="str">
        <f aca="false">IF(J2966="","",MOD(K2966-1,J2966*4))</f>
        <v/>
      </c>
      <c r="Q2966" s="27" t="str">
        <f aca="false">IF(J2966="","",MOD(P2966,4))</f>
        <v/>
      </c>
      <c r="R2966" s="27" t="str">
        <f aca="false">IF(J2966="","",INT(P2966/4))</f>
        <v/>
      </c>
      <c r="S2966" s="27" t="str">
        <f aca="false">IF(J2966="","",IF(AND('Daily Count Sheet'!$H$3=Q2966,MOD('Daily Count Sheet'!$I$3,J2966)=R2966),1,""))</f>
        <v/>
      </c>
      <c r="T2966" s="27" t="str">
        <f aca="false">IF(S2966=1,COUNTIF($S$2:S2966,1),"")</f>
        <v/>
      </c>
    </row>
    <row r="2967" customFormat="false" ht="15" hidden="false" customHeight="false" outlineLevel="0" collapsed="false">
      <c r="H2967" s="26"/>
      <c r="I2967" s="27" t="str">
        <f aca="false">IF(A2967="","",IF(H2967&lt;&gt;"",UPPER(TRIM(H2967)),IFERROR(CHOOSE(VALUE(E2967)+1,"A","B","C","D"),IF(OR(LEFT(UPPER(TRIM(E2967)),1)="F",UPPER(TRIM(E2967))="A"),"A",IF(OR(LEFT(UPPER(TRIM(E2967)),1)="M",UPPER(TRIM(E2967))="B"),"B",IF(OR(LEFT(UPPER(TRIM(E2967)),2)="SL",UPPER(TRIM(E2967))="C"),"C",IF(OR(LEFT(UPPER(TRIM(E2967)),1)="D",UPPER(TRIM(E2967))="D"),"D","")))))))</f>
        <v/>
      </c>
      <c r="J2967" s="27" t="str">
        <f aca="false">IF(I2967="","",IF(AND(I2967="D",Settings!$B$6&lt;&gt;"Yes"),"",IFERROR(INDEX(Settings!$C$9:$C$12,MATCH(I2967,Settings!$A$9:$A$12,0)),"")))</f>
        <v/>
      </c>
      <c r="K2967" s="27" t="str">
        <f aca="false">IF(J2967="","",COUNTIF($I$2:I2967,I2967))</f>
        <v/>
      </c>
      <c r="L2967" s="27" t="str">
        <f aca="false">IF(J2967="","",CHOOSE(Q2967+1,"Tue","Wed","Thu","Fri"))</f>
        <v/>
      </c>
      <c r="M2967" s="27" t="str">
        <f aca="false">IF(J2967="","",IF(J2967=1,"Every week",R2967+1&amp;" of "&amp;J2967))</f>
        <v/>
      </c>
      <c r="N2967" s="28" t="str">
        <f aca="false">IF(J2967="","",Settings!$B$4+R2967*7+Q2967)</f>
        <v/>
      </c>
      <c r="O2967" s="28" t="str">
        <f aca="true">IF(J2967="","",N2967+MAX(0,ROUNDUP((TODAY()-N2967)/(J2967*7),0))*J2967*7)</f>
        <v/>
      </c>
      <c r="P2967" s="27" t="str">
        <f aca="false">IF(J2967="","",MOD(K2967-1,J2967*4))</f>
        <v/>
      </c>
      <c r="Q2967" s="27" t="str">
        <f aca="false">IF(J2967="","",MOD(P2967,4))</f>
        <v/>
      </c>
      <c r="R2967" s="27" t="str">
        <f aca="false">IF(J2967="","",INT(P2967/4))</f>
        <v/>
      </c>
      <c r="S2967" s="27" t="str">
        <f aca="false">IF(J2967="","",IF(AND('Daily Count Sheet'!$H$3=Q2967,MOD('Daily Count Sheet'!$I$3,J2967)=R2967),1,""))</f>
        <v/>
      </c>
      <c r="T2967" s="27" t="str">
        <f aca="false">IF(S2967=1,COUNTIF($S$2:S2967,1),"")</f>
        <v/>
      </c>
    </row>
    <row r="2968" customFormat="false" ht="15" hidden="false" customHeight="false" outlineLevel="0" collapsed="false">
      <c r="H2968" s="26"/>
      <c r="I2968" s="27" t="str">
        <f aca="false">IF(A2968="","",IF(H2968&lt;&gt;"",UPPER(TRIM(H2968)),IFERROR(CHOOSE(VALUE(E2968)+1,"A","B","C","D"),IF(OR(LEFT(UPPER(TRIM(E2968)),1)="F",UPPER(TRIM(E2968))="A"),"A",IF(OR(LEFT(UPPER(TRIM(E2968)),1)="M",UPPER(TRIM(E2968))="B"),"B",IF(OR(LEFT(UPPER(TRIM(E2968)),2)="SL",UPPER(TRIM(E2968))="C"),"C",IF(OR(LEFT(UPPER(TRIM(E2968)),1)="D",UPPER(TRIM(E2968))="D"),"D","")))))))</f>
        <v/>
      </c>
      <c r="J2968" s="27" t="str">
        <f aca="false">IF(I2968="","",IF(AND(I2968="D",Settings!$B$6&lt;&gt;"Yes"),"",IFERROR(INDEX(Settings!$C$9:$C$12,MATCH(I2968,Settings!$A$9:$A$12,0)),"")))</f>
        <v/>
      </c>
      <c r="K2968" s="27" t="str">
        <f aca="false">IF(J2968="","",COUNTIF($I$2:I2968,I2968))</f>
        <v/>
      </c>
      <c r="L2968" s="27" t="str">
        <f aca="false">IF(J2968="","",CHOOSE(Q2968+1,"Tue","Wed","Thu","Fri"))</f>
        <v/>
      </c>
      <c r="M2968" s="27" t="str">
        <f aca="false">IF(J2968="","",IF(J2968=1,"Every week",R2968+1&amp;" of "&amp;J2968))</f>
        <v/>
      </c>
      <c r="N2968" s="28" t="str">
        <f aca="false">IF(J2968="","",Settings!$B$4+R2968*7+Q2968)</f>
        <v/>
      </c>
      <c r="O2968" s="28" t="str">
        <f aca="true">IF(J2968="","",N2968+MAX(0,ROUNDUP((TODAY()-N2968)/(J2968*7),0))*J2968*7)</f>
        <v/>
      </c>
      <c r="P2968" s="27" t="str">
        <f aca="false">IF(J2968="","",MOD(K2968-1,J2968*4))</f>
        <v/>
      </c>
      <c r="Q2968" s="27" t="str">
        <f aca="false">IF(J2968="","",MOD(P2968,4))</f>
        <v/>
      </c>
      <c r="R2968" s="27" t="str">
        <f aca="false">IF(J2968="","",INT(P2968/4))</f>
        <v/>
      </c>
      <c r="S2968" s="27" t="str">
        <f aca="false">IF(J2968="","",IF(AND('Daily Count Sheet'!$H$3=Q2968,MOD('Daily Count Sheet'!$I$3,J2968)=R2968),1,""))</f>
        <v/>
      </c>
      <c r="T2968" s="27" t="str">
        <f aca="false">IF(S2968=1,COUNTIF($S$2:S2968,1),"")</f>
        <v/>
      </c>
    </row>
    <row r="2969" customFormat="false" ht="15" hidden="false" customHeight="false" outlineLevel="0" collapsed="false">
      <c r="H2969" s="26"/>
      <c r="I2969" s="27" t="str">
        <f aca="false">IF(A2969="","",IF(H2969&lt;&gt;"",UPPER(TRIM(H2969)),IFERROR(CHOOSE(VALUE(E2969)+1,"A","B","C","D"),IF(OR(LEFT(UPPER(TRIM(E2969)),1)="F",UPPER(TRIM(E2969))="A"),"A",IF(OR(LEFT(UPPER(TRIM(E2969)),1)="M",UPPER(TRIM(E2969))="B"),"B",IF(OR(LEFT(UPPER(TRIM(E2969)),2)="SL",UPPER(TRIM(E2969))="C"),"C",IF(OR(LEFT(UPPER(TRIM(E2969)),1)="D",UPPER(TRIM(E2969))="D"),"D","")))))))</f>
        <v/>
      </c>
      <c r="J2969" s="27" t="str">
        <f aca="false">IF(I2969="","",IF(AND(I2969="D",Settings!$B$6&lt;&gt;"Yes"),"",IFERROR(INDEX(Settings!$C$9:$C$12,MATCH(I2969,Settings!$A$9:$A$12,0)),"")))</f>
        <v/>
      </c>
      <c r="K2969" s="27" t="str">
        <f aca="false">IF(J2969="","",COUNTIF($I$2:I2969,I2969))</f>
        <v/>
      </c>
      <c r="L2969" s="27" t="str">
        <f aca="false">IF(J2969="","",CHOOSE(Q2969+1,"Tue","Wed","Thu","Fri"))</f>
        <v/>
      </c>
      <c r="M2969" s="27" t="str">
        <f aca="false">IF(J2969="","",IF(J2969=1,"Every week",R2969+1&amp;" of "&amp;J2969))</f>
        <v/>
      </c>
      <c r="N2969" s="28" t="str">
        <f aca="false">IF(J2969="","",Settings!$B$4+R2969*7+Q2969)</f>
        <v/>
      </c>
      <c r="O2969" s="28" t="str">
        <f aca="true">IF(J2969="","",N2969+MAX(0,ROUNDUP((TODAY()-N2969)/(J2969*7),0))*J2969*7)</f>
        <v/>
      </c>
      <c r="P2969" s="27" t="str">
        <f aca="false">IF(J2969="","",MOD(K2969-1,J2969*4))</f>
        <v/>
      </c>
      <c r="Q2969" s="27" t="str">
        <f aca="false">IF(J2969="","",MOD(P2969,4))</f>
        <v/>
      </c>
      <c r="R2969" s="27" t="str">
        <f aca="false">IF(J2969="","",INT(P2969/4))</f>
        <v/>
      </c>
      <c r="S2969" s="27" t="str">
        <f aca="false">IF(J2969="","",IF(AND('Daily Count Sheet'!$H$3=Q2969,MOD('Daily Count Sheet'!$I$3,J2969)=R2969),1,""))</f>
        <v/>
      </c>
      <c r="T2969" s="27" t="str">
        <f aca="false">IF(S2969=1,COUNTIF($S$2:S2969,1),"")</f>
        <v/>
      </c>
    </row>
    <row r="2970" customFormat="false" ht="15" hidden="false" customHeight="false" outlineLevel="0" collapsed="false">
      <c r="H2970" s="26"/>
      <c r="I2970" s="27" t="str">
        <f aca="false">IF(A2970="","",IF(H2970&lt;&gt;"",UPPER(TRIM(H2970)),IFERROR(CHOOSE(VALUE(E2970)+1,"A","B","C","D"),IF(OR(LEFT(UPPER(TRIM(E2970)),1)="F",UPPER(TRIM(E2970))="A"),"A",IF(OR(LEFT(UPPER(TRIM(E2970)),1)="M",UPPER(TRIM(E2970))="B"),"B",IF(OR(LEFT(UPPER(TRIM(E2970)),2)="SL",UPPER(TRIM(E2970))="C"),"C",IF(OR(LEFT(UPPER(TRIM(E2970)),1)="D",UPPER(TRIM(E2970))="D"),"D","")))))))</f>
        <v/>
      </c>
      <c r="J2970" s="27" t="str">
        <f aca="false">IF(I2970="","",IF(AND(I2970="D",Settings!$B$6&lt;&gt;"Yes"),"",IFERROR(INDEX(Settings!$C$9:$C$12,MATCH(I2970,Settings!$A$9:$A$12,0)),"")))</f>
        <v/>
      </c>
      <c r="K2970" s="27" t="str">
        <f aca="false">IF(J2970="","",COUNTIF($I$2:I2970,I2970))</f>
        <v/>
      </c>
      <c r="L2970" s="27" t="str">
        <f aca="false">IF(J2970="","",CHOOSE(Q2970+1,"Tue","Wed","Thu","Fri"))</f>
        <v/>
      </c>
      <c r="M2970" s="27" t="str">
        <f aca="false">IF(J2970="","",IF(J2970=1,"Every week",R2970+1&amp;" of "&amp;J2970))</f>
        <v/>
      </c>
      <c r="N2970" s="28" t="str">
        <f aca="false">IF(J2970="","",Settings!$B$4+R2970*7+Q2970)</f>
        <v/>
      </c>
      <c r="O2970" s="28" t="str">
        <f aca="true">IF(J2970="","",N2970+MAX(0,ROUNDUP((TODAY()-N2970)/(J2970*7),0))*J2970*7)</f>
        <v/>
      </c>
      <c r="P2970" s="27" t="str">
        <f aca="false">IF(J2970="","",MOD(K2970-1,J2970*4))</f>
        <v/>
      </c>
      <c r="Q2970" s="27" t="str">
        <f aca="false">IF(J2970="","",MOD(P2970,4))</f>
        <v/>
      </c>
      <c r="R2970" s="27" t="str">
        <f aca="false">IF(J2970="","",INT(P2970/4))</f>
        <v/>
      </c>
      <c r="S2970" s="27" t="str">
        <f aca="false">IF(J2970="","",IF(AND('Daily Count Sheet'!$H$3=Q2970,MOD('Daily Count Sheet'!$I$3,J2970)=R2970),1,""))</f>
        <v/>
      </c>
      <c r="T2970" s="27" t="str">
        <f aca="false">IF(S2970=1,COUNTIF($S$2:S2970,1),"")</f>
        <v/>
      </c>
    </row>
    <row r="2971" customFormat="false" ht="15" hidden="false" customHeight="false" outlineLevel="0" collapsed="false">
      <c r="H2971" s="26"/>
      <c r="I2971" s="27" t="str">
        <f aca="false">IF(A2971="","",IF(H2971&lt;&gt;"",UPPER(TRIM(H2971)),IFERROR(CHOOSE(VALUE(E2971)+1,"A","B","C","D"),IF(OR(LEFT(UPPER(TRIM(E2971)),1)="F",UPPER(TRIM(E2971))="A"),"A",IF(OR(LEFT(UPPER(TRIM(E2971)),1)="M",UPPER(TRIM(E2971))="B"),"B",IF(OR(LEFT(UPPER(TRIM(E2971)),2)="SL",UPPER(TRIM(E2971))="C"),"C",IF(OR(LEFT(UPPER(TRIM(E2971)),1)="D",UPPER(TRIM(E2971))="D"),"D","")))))))</f>
        <v/>
      </c>
      <c r="J2971" s="27" t="str">
        <f aca="false">IF(I2971="","",IF(AND(I2971="D",Settings!$B$6&lt;&gt;"Yes"),"",IFERROR(INDEX(Settings!$C$9:$C$12,MATCH(I2971,Settings!$A$9:$A$12,0)),"")))</f>
        <v/>
      </c>
      <c r="K2971" s="27" t="str">
        <f aca="false">IF(J2971="","",COUNTIF($I$2:I2971,I2971))</f>
        <v/>
      </c>
      <c r="L2971" s="27" t="str">
        <f aca="false">IF(J2971="","",CHOOSE(Q2971+1,"Tue","Wed","Thu","Fri"))</f>
        <v/>
      </c>
      <c r="M2971" s="27" t="str">
        <f aca="false">IF(J2971="","",IF(J2971=1,"Every week",R2971+1&amp;" of "&amp;J2971))</f>
        <v/>
      </c>
      <c r="N2971" s="28" t="str">
        <f aca="false">IF(J2971="","",Settings!$B$4+R2971*7+Q2971)</f>
        <v/>
      </c>
      <c r="O2971" s="28" t="str">
        <f aca="true">IF(J2971="","",N2971+MAX(0,ROUNDUP((TODAY()-N2971)/(J2971*7),0))*J2971*7)</f>
        <v/>
      </c>
      <c r="P2971" s="27" t="str">
        <f aca="false">IF(J2971="","",MOD(K2971-1,J2971*4))</f>
        <v/>
      </c>
      <c r="Q2971" s="27" t="str">
        <f aca="false">IF(J2971="","",MOD(P2971,4))</f>
        <v/>
      </c>
      <c r="R2971" s="27" t="str">
        <f aca="false">IF(J2971="","",INT(P2971/4))</f>
        <v/>
      </c>
      <c r="S2971" s="27" t="str">
        <f aca="false">IF(J2971="","",IF(AND('Daily Count Sheet'!$H$3=Q2971,MOD('Daily Count Sheet'!$I$3,J2971)=R2971),1,""))</f>
        <v/>
      </c>
      <c r="T2971" s="27" t="str">
        <f aca="false">IF(S2971=1,COUNTIF($S$2:S2971,1),"")</f>
        <v/>
      </c>
    </row>
    <row r="2972" customFormat="false" ht="15" hidden="false" customHeight="false" outlineLevel="0" collapsed="false">
      <c r="H2972" s="26"/>
      <c r="I2972" s="27" t="str">
        <f aca="false">IF(A2972="","",IF(H2972&lt;&gt;"",UPPER(TRIM(H2972)),IFERROR(CHOOSE(VALUE(E2972)+1,"A","B","C","D"),IF(OR(LEFT(UPPER(TRIM(E2972)),1)="F",UPPER(TRIM(E2972))="A"),"A",IF(OR(LEFT(UPPER(TRIM(E2972)),1)="M",UPPER(TRIM(E2972))="B"),"B",IF(OR(LEFT(UPPER(TRIM(E2972)),2)="SL",UPPER(TRIM(E2972))="C"),"C",IF(OR(LEFT(UPPER(TRIM(E2972)),1)="D",UPPER(TRIM(E2972))="D"),"D","")))))))</f>
        <v/>
      </c>
      <c r="J2972" s="27" t="str">
        <f aca="false">IF(I2972="","",IF(AND(I2972="D",Settings!$B$6&lt;&gt;"Yes"),"",IFERROR(INDEX(Settings!$C$9:$C$12,MATCH(I2972,Settings!$A$9:$A$12,0)),"")))</f>
        <v/>
      </c>
      <c r="K2972" s="27" t="str">
        <f aca="false">IF(J2972="","",COUNTIF($I$2:I2972,I2972))</f>
        <v/>
      </c>
      <c r="L2972" s="27" t="str">
        <f aca="false">IF(J2972="","",CHOOSE(Q2972+1,"Tue","Wed","Thu","Fri"))</f>
        <v/>
      </c>
      <c r="M2972" s="27" t="str">
        <f aca="false">IF(J2972="","",IF(J2972=1,"Every week",R2972+1&amp;" of "&amp;J2972))</f>
        <v/>
      </c>
      <c r="N2972" s="28" t="str">
        <f aca="false">IF(J2972="","",Settings!$B$4+R2972*7+Q2972)</f>
        <v/>
      </c>
      <c r="O2972" s="28" t="str">
        <f aca="true">IF(J2972="","",N2972+MAX(0,ROUNDUP((TODAY()-N2972)/(J2972*7),0))*J2972*7)</f>
        <v/>
      </c>
      <c r="P2972" s="27" t="str">
        <f aca="false">IF(J2972="","",MOD(K2972-1,J2972*4))</f>
        <v/>
      </c>
      <c r="Q2972" s="27" t="str">
        <f aca="false">IF(J2972="","",MOD(P2972,4))</f>
        <v/>
      </c>
      <c r="R2972" s="27" t="str">
        <f aca="false">IF(J2972="","",INT(P2972/4))</f>
        <v/>
      </c>
      <c r="S2972" s="27" t="str">
        <f aca="false">IF(J2972="","",IF(AND('Daily Count Sheet'!$H$3=Q2972,MOD('Daily Count Sheet'!$I$3,J2972)=R2972),1,""))</f>
        <v/>
      </c>
      <c r="T2972" s="27" t="str">
        <f aca="false">IF(S2972=1,COUNTIF($S$2:S2972,1),"")</f>
        <v/>
      </c>
    </row>
    <row r="2973" customFormat="false" ht="15" hidden="false" customHeight="false" outlineLevel="0" collapsed="false">
      <c r="H2973" s="26"/>
      <c r="I2973" s="27" t="str">
        <f aca="false">IF(A2973="","",IF(H2973&lt;&gt;"",UPPER(TRIM(H2973)),IFERROR(CHOOSE(VALUE(E2973)+1,"A","B","C","D"),IF(OR(LEFT(UPPER(TRIM(E2973)),1)="F",UPPER(TRIM(E2973))="A"),"A",IF(OR(LEFT(UPPER(TRIM(E2973)),1)="M",UPPER(TRIM(E2973))="B"),"B",IF(OR(LEFT(UPPER(TRIM(E2973)),2)="SL",UPPER(TRIM(E2973))="C"),"C",IF(OR(LEFT(UPPER(TRIM(E2973)),1)="D",UPPER(TRIM(E2973))="D"),"D","")))))))</f>
        <v/>
      </c>
      <c r="J2973" s="27" t="str">
        <f aca="false">IF(I2973="","",IF(AND(I2973="D",Settings!$B$6&lt;&gt;"Yes"),"",IFERROR(INDEX(Settings!$C$9:$C$12,MATCH(I2973,Settings!$A$9:$A$12,0)),"")))</f>
        <v/>
      </c>
      <c r="K2973" s="27" t="str">
        <f aca="false">IF(J2973="","",COUNTIF($I$2:I2973,I2973))</f>
        <v/>
      </c>
      <c r="L2973" s="27" t="str">
        <f aca="false">IF(J2973="","",CHOOSE(Q2973+1,"Tue","Wed","Thu","Fri"))</f>
        <v/>
      </c>
      <c r="M2973" s="27" t="str">
        <f aca="false">IF(J2973="","",IF(J2973=1,"Every week",R2973+1&amp;" of "&amp;J2973))</f>
        <v/>
      </c>
      <c r="N2973" s="28" t="str">
        <f aca="false">IF(J2973="","",Settings!$B$4+R2973*7+Q2973)</f>
        <v/>
      </c>
      <c r="O2973" s="28" t="str">
        <f aca="true">IF(J2973="","",N2973+MAX(0,ROUNDUP((TODAY()-N2973)/(J2973*7),0))*J2973*7)</f>
        <v/>
      </c>
      <c r="P2973" s="27" t="str">
        <f aca="false">IF(J2973="","",MOD(K2973-1,J2973*4))</f>
        <v/>
      </c>
      <c r="Q2973" s="27" t="str">
        <f aca="false">IF(J2973="","",MOD(P2973,4))</f>
        <v/>
      </c>
      <c r="R2973" s="27" t="str">
        <f aca="false">IF(J2973="","",INT(P2973/4))</f>
        <v/>
      </c>
      <c r="S2973" s="27" t="str">
        <f aca="false">IF(J2973="","",IF(AND('Daily Count Sheet'!$H$3=Q2973,MOD('Daily Count Sheet'!$I$3,J2973)=R2973),1,""))</f>
        <v/>
      </c>
      <c r="T2973" s="27" t="str">
        <f aca="false">IF(S2973=1,COUNTIF($S$2:S2973,1),"")</f>
        <v/>
      </c>
    </row>
    <row r="2974" customFormat="false" ht="15" hidden="false" customHeight="false" outlineLevel="0" collapsed="false">
      <c r="H2974" s="26"/>
      <c r="I2974" s="27" t="str">
        <f aca="false">IF(A2974="","",IF(H2974&lt;&gt;"",UPPER(TRIM(H2974)),IFERROR(CHOOSE(VALUE(E2974)+1,"A","B","C","D"),IF(OR(LEFT(UPPER(TRIM(E2974)),1)="F",UPPER(TRIM(E2974))="A"),"A",IF(OR(LEFT(UPPER(TRIM(E2974)),1)="M",UPPER(TRIM(E2974))="B"),"B",IF(OR(LEFT(UPPER(TRIM(E2974)),2)="SL",UPPER(TRIM(E2974))="C"),"C",IF(OR(LEFT(UPPER(TRIM(E2974)),1)="D",UPPER(TRIM(E2974))="D"),"D","")))))))</f>
        <v/>
      </c>
      <c r="J2974" s="27" t="str">
        <f aca="false">IF(I2974="","",IF(AND(I2974="D",Settings!$B$6&lt;&gt;"Yes"),"",IFERROR(INDEX(Settings!$C$9:$C$12,MATCH(I2974,Settings!$A$9:$A$12,0)),"")))</f>
        <v/>
      </c>
      <c r="K2974" s="27" t="str">
        <f aca="false">IF(J2974="","",COUNTIF($I$2:I2974,I2974))</f>
        <v/>
      </c>
      <c r="L2974" s="27" t="str">
        <f aca="false">IF(J2974="","",CHOOSE(Q2974+1,"Tue","Wed","Thu","Fri"))</f>
        <v/>
      </c>
      <c r="M2974" s="27" t="str">
        <f aca="false">IF(J2974="","",IF(J2974=1,"Every week",R2974+1&amp;" of "&amp;J2974))</f>
        <v/>
      </c>
      <c r="N2974" s="28" t="str">
        <f aca="false">IF(J2974="","",Settings!$B$4+R2974*7+Q2974)</f>
        <v/>
      </c>
      <c r="O2974" s="28" t="str">
        <f aca="true">IF(J2974="","",N2974+MAX(0,ROUNDUP((TODAY()-N2974)/(J2974*7),0))*J2974*7)</f>
        <v/>
      </c>
      <c r="P2974" s="27" t="str">
        <f aca="false">IF(J2974="","",MOD(K2974-1,J2974*4))</f>
        <v/>
      </c>
      <c r="Q2974" s="27" t="str">
        <f aca="false">IF(J2974="","",MOD(P2974,4))</f>
        <v/>
      </c>
      <c r="R2974" s="27" t="str">
        <f aca="false">IF(J2974="","",INT(P2974/4))</f>
        <v/>
      </c>
      <c r="S2974" s="27" t="str">
        <f aca="false">IF(J2974="","",IF(AND('Daily Count Sheet'!$H$3=Q2974,MOD('Daily Count Sheet'!$I$3,J2974)=R2974),1,""))</f>
        <v/>
      </c>
      <c r="T2974" s="27" t="str">
        <f aca="false">IF(S2974=1,COUNTIF($S$2:S2974,1),"")</f>
        <v/>
      </c>
    </row>
    <row r="2975" customFormat="false" ht="15" hidden="false" customHeight="false" outlineLevel="0" collapsed="false">
      <c r="H2975" s="26"/>
      <c r="I2975" s="27" t="str">
        <f aca="false">IF(A2975="","",IF(H2975&lt;&gt;"",UPPER(TRIM(H2975)),IFERROR(CHOOSE(VALUE(E2975)+1,"A","B","C","D"),IF(OR(LEFT(UPPER(TRIM(E2975)),1)="F",UPPER(TRIM(E2975))="A"),"A",IF(OR(LEFT(UPPER(TRIM(E2975)),1)="M",UPPER(TRIM(E2975))="B"),"B",IF(OR(LEFT(UPPER(TRIM(E2975)),2)="SL",UPPER(TRIM(E2975))="C"),"C",IF(OR(LEFT(UPPER(TRIM(E2975)),1)="D",UPPER(TRIM(E2975))="D"),"D","")))))))</f>
        <v/>
      </c>
      <c r="J2975" s="27" t="str">
        <f aca="false">IF(I2975="","",IF(AND(I2975="D",Settings!$B$6&lt;&gt;"Yes"),"",IFERROR(INDEX(Settings!$C$9:$C$12,MATCH(I2975,Settings!$A$9:$A$12,0)),"")))</f>
        <v/>
      </c>
      <c r="K2975" s="27" t="str">
        <f aca="false">IF(J2975="","",COUNTIF($I$2:I2975,I2975))</f>
        <v/>
      </c>
      <c r="L2975" s="27" t="str">
        <f aca="false">IF(J2975="","",CHOOSE(Q2975+1,"Tue","Wed","Thu","Fri"))</f>
        <v/>
      </c>
      <c r="M2975" s="27" t="str">
        <f aca="false">IF(J2975="","",IF(J2975=1,"Every week",R2975+1&amp;" of "&amp;J2975))</f>
        <v/>
      </c>
      <c r="N2975" s="28" t="str">
        <f aca="false">IF(J2975="","",Settings!$B$4+R2975*7+Q2975)</f>
        <v/>
      </c>
      <c r="O2975" s="28" t="str">
        <f aca="true">IF(J2975="","",N2975+MAX(0,ROUNDUP((TODAY()-N2975)/(J2975*7),0))*J2975*7)</f>
        <v/>
      </c>
      <c r="P2975" s="27" t="str">
        <f aca="false">IF(J2975="","",MOD(K2975-1,J2975*4))</f>
        <v/>
      </c>
      <c r="Q2975" s="27" t="str">
        <f aca="false">IF(J2975="","",MOD(P2975,4))</f>
        <v/>
      </c>
      <c r="R2975" s="27" t="str">
        <f aca="false">IF(J2975="","",INT(P2975/4))</f>
        <v/>
      </c>
      <c r="S2975" s="27" t="str">
        <f aca="false">IF(J2975="","",IF(AND('Daily Count Sheet'!$H$3=Q2975,MOD('Daily Count Sheet'!$I$3,J2975)=R2975),1,""))</f>
        <v/>
      </c>
      <c r="T2975" s="27" t="str">
        <f aca="false">IF(S2975=1,COUNTIF($S$2:S2975,1),"")</f>
        <v/>
      </c>
    </row>
    <row r="2976" customFormat="false" ht="15" hidden="false" customHeight="false" outlineLevel="0" collapsed="false">
      <c r="H2976" s="26"/>
      <c r="I2976" s="27" t="str">
        <f aca="false">IF(A2976="","",IF(H2976&lt;&gt;"",UPPER(TRIM(H2976)),IFERROR(CHOOSE(VALUE(E2976)+1,"A","B","C","D"),IF(OR(LEFT(UPPER(TRIM(E2976)),1)="F",UPPER(TRIM(E2976))="A"),"A",IF(OR(LEFT(UPPER(TRIM(E2976)),1)="M",UPPER(TRIM(E2976))="B"),"B",IF(OR(LEFT(UPPER(TRIM(E2976)),2)="SL",UPPER(TRIM(E2976))="C"),"C",IF(OR(LEFT(UPPER(TRIM(E2976)),1)="D",UPPER(TRIM(E2976))="D"),"D","")))))))</f>
        <v/>
      </c>
      <c r="J2976" s="27" t="str">
        <f aca="false">IF(I2976="","",IF(AND(I2976="D",Settings!$B$6&lt;&gt;"Yes"),"",IFERROR(INDEX(Settings!$C$9:$C$12,MATCH(I2976,Settings!$A$9:$A$12,0)),"")))</f>
        <v/>
      </c>
      <c r="K2976" s="27" t="str">
        <f aca="false">IF(J2976="","",COUNTIF($I$2:I2976,I2976))</f>
        <v/>
      </c>
      <c r="L2976" s="27" t="str">
        <f aca="false">IF(J2976="","",CHOOSE(Q2976+1,"Tue","Wed","Thu","Fri"))</f>
        <v/>
      </c>
      <c r="M2976" s="27" t="str">
        <f aca="false">IF(J2976="","",IF(J2976=1,"Every week",R2976+1&amp;" of "&amp;J2976))</f>
        <v/>
      </c>
      <c r="N2976" s="28" t="str">
        <f aca="false">IF(J2976="","",Settings!$B$4+R2976*7+Q2976)</f>
        <v/>
      </c>
      <c r="O2976" s="28" t="str">
        <f aca="true">IF(J2976="","",N2976+MAX(0,ROUNDUP((TODAY()-N2976)/(J2976*7),0))*J2976*7)</f>
        <v/>
      </c>
      <c r="P2976" s="27" t="str">
        <f aca="false">IF(J2976="","",MOD(K2976-1,J2976*4))</f>
        <v/>
      </c>
      <c r="Q2976" s="27" t="str">
        <f aca="false">IF(J2976="","",MOD(P2976,4))</f>
        <v/>
      </c>
      <c r="R2976" s="27" t="str">
        <f aca="false">IF(J2976="","",INT(P2976/4))</f>
        <v/>
      </c>
      <c r="S2976" s="27" t="str">
        <f aca="false">IF(J2976="","",IF(AND('Daily Count Sheet'!$H$3=Q2976,MOD('Daily Count Sheet'!$I$3,J2976)=R2976),1,""))</f>
        <v/>
      </c>
      <c r="T2976" s="27" t="str">
        <f aca="false">IF(S2976=1,COUNTIF($S$2:S2976,1),"")</f>
        <v/>
      </c>
    </row>
    <row r="2977" customFormat="false" ht="15" hidden="false" customHeight="false" outlineLevel="0" collapsed="false">
      <c r="H2977" s="26"/>
      <c r="I2977" s="27" t="str">
        <f aca="false">IF(A2977="","",IF(H2977&lt;&gt;"",UPPER(TRIM(H2977)),IFERROR(CHOOSE(VALUE(E2977)+1,"A","B","C","D"),IF(OR(LEFT(UPPER(TRIM(E2977)),1)="F",UPPER(TRIM(E2977))="A"),"A",IF(OR(LEFT(UPPER(TRIM(E2977)),1)="M",UPPER(TRIM(E2977))="B"),"B",IF(OR(LEFT(UPPER(TRIM(E2977)),2)="SL",UPPER(TRIM(E2977))="C"),"C",IF(OR(LEFT(UPPER(TRIM(E2977)),1)="D",UPPER(TRIM(E2977))="D"),"D","")))))))</f>
        <v/>
      </c>
      <c r="J2977" s="27" t="str">
        <f aca="false">IF(I2977="","",IF(AND(I2977="D",Settings!$B$6&lt;&gt;"Yes"),"",IFERROR(INDEX(Settings!$C$9:$C$12,MATCH(I2977,Settings!$A$9:$A$12,0)),"")))</f>
        <v/>
      </c>
      <c r="K2977" s="27" t="str">
        <f aca="false">IF(J2977="","",COUNTIF($I$2:I2977,I2977))</f>
        <v/>
      </c>
      <c r="L2977" s="27" t="str">
        <f aca="false">IF(J2977="","",CHOOSE(Q2977+1,"Tue","Wed","Thu","Fri"))</f>
        <v/>
      </c>
      <c r="M2977" s="27" t="str">
        <f aca="false">IF(J2977="","",IF(J2977=1,"Every week",R2977+1&amp;" of "&amp;J2977))</f>
        <v/>
      </c>
      <c r="N2977" s="28" t="str">
        <f aca="false">IF(J2977="","",Settings!$B$4+R2977*7+Q2977)</f>
        <v/>
      </c>
      <c r="O2977" s="28" t="str">
        <f aca="true">IF(J2977="","",N2977+MAX(0,ROUNDUP((TODAY()-N2977)/(J2977*7),0))*J2977*7)</f>
        <v/>
      </c>
      <c r="P2977" s="27" t="str">
        <f aca="false">IF(J2977="","",MOD(K2977-1,J2977*4))</f>
        <v/>
      </c>
      <c r="Q2977" s="27" t="str">
        <f aca="false">IF(J2977="","",MOD(P2977,4))</f>
        <v/>
      </c>
      <c r="R2977" s="27" t="str">
        <f aca="false">IF(J2977="","",INT(P2977/4))</f>
        <v/>
      </c>
      <c r="S2977" s="27" t="str">
        <f aca="false">IF(J2977="","",IF(AND('Daily Count Sheet'!$H$3=Q2977,MOD('Daily Count Sheet'!$I$3,J2977)=R2977),1,""))</f>
        <v/>
      </c>
      <c r="T2977" s="27" t="str">
        <f aca="false">IF(S2977=1,COUNTIF($S$2:S2977,1),"")</f>
        <v/>
      </c>
    </row>
    <row r="2978" customFormat="false" ht="15" hidden="false" customHeight="false" outlineLevel="0" collapsed="false">
      <c r="H2978" s="26"/>
      <c r="I2978" s="27" t="str">
        <f aca="false">IF(A2978="","",IF(H2978&lt;&gt;"",UPPER(TRIM(H2978)),IFERROR(CHOOSE(VALUE(E2978)+1,"A","B","C","D"),IF(OR(LEFT(UPPER(TRIM(E2978)),1)="F",UPPER(TRIM(E2978))="A"),"A",IF(OR(LEFT(UPPER(TRIM(E2978)),1)="M",UPPER(TRIM(E2978))="B"),"B",IF(OR(LEFT(UPPER(TRIM(E2978)),2)="SL",UPPER(TRIM(E2978))="C"),"C",IF(OR(LEFT(UPPER(TRIM(E2978)),1)="D",UPPER(TRIM(E2978))="D"),"D","")))))))</f>
        <v/>
      </c>
      <c r="J2978" s="27" t="str">
        <f aca="false">IF(I2978="","",IF(AND(I2978="D",Settings!$B$6&lt;&gt;"Yes"),"",IFERROR(INDEX(Settings!$C$9:$C$12,MATCH(I2978,Settings!$A$9:$A$12,0)),"")))</f>
        <v/>
      </c>
      <c r="K2978" s="27" t="str">
        <f aca="false">IF(J2978="","",COUNTIF($I$2:I2978,I2978))</f>
        <v/>
      </c>
      <c r="L2978" s="27" t="str">
        <f aca="false">IF(J2978="","",CHOOSE(Q2978+1,"Tue","Wed","Thu","Fri"))</f>
        <v/>
      </c>
      <c r="M2978" s="27" t="str">
        <f aca="false">IF(J2978="","",IF(J2978=1,"Every week",R2978+1&amp;" of "&amp;J2978))</f>
        <v/>
      </c>
      <c r="N2978" s="28" t="str">
        <f aca="false">IF(J2978="","",Settings!$B$4+R2978*7+Q2978)</f>
        <v/>
      </c>
      <c r="O2978" s="28" t="str">
        <f aca="true">IF(J2978="","",N2978+MAX(0,ROUNDUP((TODAY()-N2978)/(J2978*7),0))*J2978*7)</f>
        <v/>
      </c>
      <c r="P2978" s="27" t="str">
        <f aca="false">IF(J2978="","",MOD(K2978-1,J2978*4))</f>
        <v/>
      </c>
      <c r="Q2978" s="27" t="str">
        <f aca="false">IF(J2978="","",MOD(P2978,4))</f>
        <v/>
      </c>
      <c r="R2978" s="27" t="str">
        <f aca="false">IF(J2978="","",INT(P2978/4))</f>
        <v/>
      </c>
      <c r="S2978" s="27" t="str">
        <f aca="false">IF(J2978="","",IF(AND('Daily Count Sheet'!$H$3=Q2978,MOD('Daily Count Sheet'!$I$3,J2978)=R2978),1,""))</f>
        <v/>
      </c>
      <c r="T2978" s="27" t="str">
        <f aca="false">IF(S2978=1,COUNTIF($S$2:S2978,1),"")</f>
        <v/>
      </c>
    </row>
    <row r="2979" customFormat="false" ht="15" hidden="false" customHeight="false" outlineLevel="0" collapsed="false">
      <c r="H2979" s="26"/>
      <c r="I2979" s="27" t="str">
        <f aca="false">IF(A2979="","",IF(H2979&lt;&gt;"",UPPER(TRIM(H2979)),IFERROR(CHOOSE(VALUE(E2979)+1,"A","B","C","D"),IF(OR(LEFT(UPPER(TRIM(E2979)),1)="F",UPPER(TRIM(E2979))="A"),"A",IF(OR(LEFT(UPPER(TRIM(E2979)),1)="M",UPPER(TRIM(E2979))="B"),"B",IF(OR(LEFT(UPPER(TRIM(E2979)),2)="SL",UPPER(TRIM(E2979))="C"),"C",IF(OR(LEFT(UPPER(TRIM(E2979)),1)="D",UPPER(TRIM(E2979))="D"),"D","")))))))</f>
        <v/>
      </c>
      <c r="J2979" s="27" t="str">
        <f aca="false">IF(I2979="","",IF(AND(I2979="D",Settings!$B$6&lt;&gt;"Yes"),"",IFERROR(INDEX(Settings!$C$9:$C$12,MATCH(I2979,Settings!$A$9:$A$12,0)),"")))</f>
        <v/>
      </c>
      <c r="K2979" s="27" t="str">
        <f aca="false">IF(J2979="","",COUNTIF($I$2:I2979,I2979))</f>
        <v/>
      </c>
      <c r="L2979" s="27" t="str">
        <f aca="false">IF(J2979="","",CHOOSE(Q2979+1,"Tue","Wed","Thu","Fri"))</f>
        <v/>
      </c>
      <c r="M2979" s="27" t="str">
        <f aca="false">IF(J2979="","",IF(J2979=1,"Every week",R2979+1&amp;" of "&amp;J2979))</f>
        <v/>
      </c>
      <c r="N2979" s="28" t="str">
        <f aca="false">IF(J2979="","",Settings!$B$4+R2979*7+Q2979)</f>
        <v/>
      </c>
      <c r="O2979" s="28" t="str">
        <f aca="true">IF(J2979="","",N2979+MAX(0,ROUNDUP((TODAY()-N2979)/(J2979*7),0))*J2979*7)</f>
        <v/>
      </c>
      <c r="P2979" s="27" t="str">
        <f aca="false">IF(J2979="","",MOD(K2979-1,J2979*4))</f>
        <v/>
      </c>
      <c r="Q2979" s="27" t="str">
        <f aca="false">IF(J2979="","",MOD(P2979,4))</f>
        <v/>
      </c>
      <c r="R2979" s="27" t="str">
        <f aca="false">IF(J2979="","",INT(P2979/4))</f>
        <v/>
      </c>
      <c r="S2979" s="27" t="str">
        <f aca="false">IF(J2979="","",IF(AND('Daily Count Sheet'!$H$3=Q2979,MOD('Daily Count Sheet'!$I$3,J2979)=R2979),1,""))</f>
        <v/>
      </c>
      <c r="T2979" s="27" t="str">
        <f aca="false">IF(S2979=1,COUNTIF($S$2:S2979,1),"")</f>
        <v/>
      </c>
    </row>
    <row r="2980" customFormat="false" ht="15" hidden="false" customHeight="false" outlineLevel="0" collapsed="false">
      <c r="H2980" s="26"/>
      <c r="I2980" s="27" t="str">
        <f aca="false">IF(A2980="","",IF(H2980&lt;&gt;"",UPPER(TRIM(H2980)),IFERROR(CHOOSE(VALUE(E2980)+1,"A","B","C","D"),IF(OR(LEFT(UPPER(TRIM(E2980)),1)="F",UPPER(TRIM(E2980))="A"),"A",IF(OR(LEFT(UPPER(TRIM(E2980)),1)="M",UPPER(TRIM(E2980))="B"),"B",IF(OR(LEFT(UPPER(TRIM(E2980)),2)="SL",UPPER(TRIM(E2980))="C"),"C",IF(OR(LEFT(UPPER(TRIM(E2980)),1)="D",UPPER(TRIM(E2980))="D"),"D","")))))))</f>
        <v/>
      </c>
      <c r="J2980" s="27" t="str">
        <f aca="false">IF(I2980="","",IF(AND(I2980="D",Settings!$B$6&lt;&gt;"Yes"),"",IFERROR(INDEX(Settings!$C$9:$C$12,MATCH(I2980,Settings!$A$9:$A$12,0)),"")))</f>
        <v/>
      </c>
      <c r="K2980" s="27" t="str">
        <f aca="false">IF(J2980="","",COUNTIF($I$2:I2980,I2980))</f>
        <v/>
      </c>
      <c r="L2980" s="27" t="str">
        <f aca="false">IF(J2980="","",CHOOSE(Q2980+1,"Tue","Wed","Thu","Fri"))</f>
        <v/>
      </c>
      <c r="M2980" s="27" t="str">
        <f aca="false">IF(J2980="","",IF(J2980=1,"Every week",R2980+1&amp;" of "&amp;J2980))</f>
        <v/>
      </c>
      <c r="N2980" s="28" t="str">
        <f aca="false">IF(J2980="","",Settings!$B$4+R2980*7+Q2980)</f>
        <v/>
      </c>
      <c r="O2980" s="28" t="str">
        <f aca="true">IF(J2980="","",N2980+MAX(0,ROUNDUP((TODAY()-N2980)/(J2980*7),0))*J2980*7)</f>
        <v/>
      </c>
      <c r="P2980" s="27" t="str">
        <f aca="false">IF(J2980="","",MOD(K2980-1,J2980*4))</f>
        <v/>
      </c>
      <c r="Q2980" s="27" t="str">
        <f aca="false">IF(J2980="","",MOD(P2980,4))</f>
        <v/>
      </c>
      <c r="R2980" s="27" t="str">
        <f aca="false">IF(J2980="","",INT(P2980/4))</f>
        <v/>
      </c>
      <c r="S2980" s="27" t="str">
        <f aca="false">IF(J2980="","",IF(AND('Daily Count Sheet'!$H$3=Q2980,MOD('Daily Count Sheet'!$I$3,J2980)=R2980),1,""))</f>
        <v/>
      </c>
      <c r="T2980" s="27" t="str">
        <f aca="false">IF(S2980=1,COUNTIF($S$2:S2980,1),"")</f>
        <v/>
      </c>
    </row>
    <row r="2981" customFormat="false" ht="15" hidden="false" customHeight="false" outlineLevel="0" collapsed="false">
      <c r="H2981" s="26"/>
      <c r="I2981" s="27" t="str">
        <f aca="false">IF(A2981="","",IF(H2981&lt;&gt;"",UPPER(TRIM(H2981)),IFERROR(CHOOSE(VALUE(E2981)+1,"A","B","C","D"),IF(OR(LEFT(UPPER(TRIM(E2981)),1)="F",UPPER(TRIM(E2981))="A"),"A",IF(OR(LEFT(UPPER(TRIM(E2981)),1)="M",UPPER(TRIM(E2981))="B"),"B",IF(OR(LEFT(UPPER(TRIM(E2981)),2)="SL",UPPER(TRIM(E2981))="C"),"C",IF(OR(LEFT(UPPER(TRIM(E2981)),1)="D",UPPER(TRIM(E2981))="D"),"D","")))))))</f>
        <v/>
      </c>
      <c r="J2981" s="27" t="str">
        <f aca="false">IF(I2981="","",IF(AND(I2981="D",Settings!$B$6&lt;&gt;"Yes"),"",IFERROR(INDEX(Settings!$C$9:$C$12,MATCH(I2981,Settings!$A$9:$A$12,0)),"")))</f>
        <v/>
      </c>
      <c r="K2981" s="27" t="str">
        <f aca="false">IF(J2981="","",COUNTIF($I$2:I2981,I2981))</f>
        <v/>
      </c>
      <c r="L2981" s="27" t="str">
        <f aca="false">IF(J2981="","",CHOOSE(Q2981+1,"Tue","Wed","Thu","Fri"))</f>
        <v/>
      </c>
      <c r="M2981" s="27" t="str">
        <f aca="false">IF(J2981="","",IF(J2981=1,"Every week",R2981+1&amp;" of "&amp;J2981))</f>
        <v/>
      </c>
      <c r="N2981" s="28" t="str">
        <f aca="false">IF(J2981="","",Settings!$B$4+R2981*7+Q2981)</f>
        <v/>
      </c>
      <c r="O2981" s="28" t="str">
        <f aca="true">IF(J2981="","",N2981+MAX(0,ROUNDUP((TODAY()-N2981)/(J2981*7),0))*J2981*7)</f>
        <v/>
      </c>
      <c r="P2981" s="27" t="str">
        <f aca="false">IF(J2981="","",MOD(K2981-1,J2981*4))</f>
        <v/>
      </c>
      <c r="Q2981" s="27" t="str">
        <f aca="false">IF(J2981="","",MOD(P2981,4))</f>
        <v/>
      </c>
      <c r="R2981" s="27" t="str">
        <f aca="false">IF(J2981="","",INT(P2981/4))</f>
        <v/>
      </c>
      <c r="S2981" s="27" t="str">
        <f aca="false">IF(J2981="","",IF(AND('Daily Count Sheet'!$H$3=Q2981,MOD('Daily Count Sheet'!$I$3,J2981)=R2981),1,""))</f>
        <v/>
      </c>
      <c r="T2981" s="27" t="str">
        <f aca="false">IF(S2981=1,COUNTIF($S$2:S2981,1),"")</f>
        <v/>
      </c>
    </row>
    <row r="2982" customFormat="false" ht="15" hidden="false" customHeight="false" outlineLevel="0" collapsed="false">
      <c r="H2982" s="26"/>
      <c r="I2982" s="27" t="str">
        <f aca="false">IF(A2982="","",IF(H2982&lt;&gt;"",UPPER(TRIM(H2982)),IFERROR(CHOOSE(VALUE(E2982)+1,"A","B","C","D"),IF(OR(LEFT(UPPER(TRIM(E2982)),1)="F",UPPER(TRIM(E2982))="A"),"A",IF(OR(LEFT(UPPER(TRIM(E2982)),1)="M",UPPER(TRIM(E2982))="B"),"B",IF(OR(LEFT(UPPER(TRIM(E2982)),2)="SL",UPPER(TRIM(E2982))="C"),"C",IF(OR(LEFT(UPPER(TRIM(E2982)),1)="D",UPPER(TRIM(E2982))="D"),"D","")))))))</f>
        <v/>
      </c>
      <c r="J2982" s="27" t="str">
        <f aca="false">IF(I2982="","",IF(AND(I2982="D",Settings!$B$6&lt;&gt;"Yes"),"",IFERROR(INDEX(Settings!$C$9:$C$12,MATCH(I2982,Settings!$A$9:$A$12,0)),"")))</f>
        <v/>
      </c>
      <c r="K2982" s="27" t="str">
        <f aca="false">IF(J2982="","",COUNTIF($I$2:I2982,I2982))</f>
        <v/>
      </c>
      <c r="L2982" s="27" t="str">
        <f aca="false">IF(J2982="","",CHOOSE(Q2982+1,"Tue","Wed","Thu","Fri"))</f>
        <v/>
      </c>
      <c r="M2982" s="27" t="str">
        <f aca="false">IF(J2982="","",IF(J2982=1,"Every week",R2982+1&amp;" of "&amp;J2982))</f>
        <v/>
      </c>
      <c r="N2982" s="28" t="str">
        <f aca="false">IF(J2982="","",Settings!$B$4+R2982*7+Q2982)</f>
        <v/>
      </c>
      <c r="O2982" s="28" t="str">
        <f aca="true">IF(J2982="","",N2982+MAX(0,ROUNDUP((TODAY()-N2982)/(J2982*7),0))*J2982*7)</f>
        <v/>
      </c>
      <c r="P2982" s="27" t="str">
        <f aca="false">IF(J2982="","",MOD(K2982-1,J2982*4))</f>
        <v/>
      </c>
      <c r="Q2982" s="27" t="str">
        <f aca="false">IF(J2982="","",MOD(P2982,4))</f>
        <v/>
      </c>
      <c r="R2982" s="27" t="str">
        <f aca="false">IF(J2982="","",INT(P2982/4))</f>
        <v/>
      </c>
      <c r="S2982" s="27" t="str">
        <f aca="false">IF(J2982="","",IF(AND('Daily Count Sheet'!$H$3=Q2982,MOD('Daily Count Sheet'!$I$3,J2982)=R2982),1,""))</f>
        <v/>
      </c>
      <c r="T2982" s="27" t="str">
        <f aca="false">IF(S2982=1,COUNTIF($S$2:S2982,1),"")</f>
        <v/>
      </c>
    </row>
    <row r="2983" customFormat="false" ht="15" hidden="false" customHeight="false" outlineLevel="0" collapsed="false">
      <c r="H2983" s="26"/>
      <c r="I2983" s="27" t="str">
        <f aca="false">IF(A2983="","",IF(H2983&lt;&gt;"",UPPER(TRIM(H2983)),IFERROR(CHOOSE(VALUE(E2983)+1,"A","B","C","D"),IF(OR(LEFT(UPPER(TRIM(E2983)),1)="F",UPPER(TRIM(E2983))="A"),"A",IF(OR(LEFT(UPPER(TRIM(E2983)),1)="M",UPPER(TRIM(E2983))="B"),"B",IF(OR(LEFT(UPPER(TRIM(E2983)),2)="SL",UPPER(TRIM(E2983))="C"),"C",IF(OR(LEFT(UPPER(TRIM(E2983)),1)="D",UPPER(TRIM(E2983))="D"),"D","")))))))</f>
        <v/>
      </c>
      <c r="J2983" s="27" t="str">
        <f aca="false">IF(I2983="","",IF(AND(I2983="D",Settings!$B$6&lt;&gt;"Yes"),"",IFERROR(INDEX(Settings!$C$9:$C$12,MATCH(I2983,Settings!$A$9:$A$12,0)),"")))</f>
        <v/>
      </c>
      <c r="K2983" s="27" t="str">
        <f aca="false">IF(J2983="","",COUNTIF($I$2:I2983,I2983))</f>
        <v/>
      </c>
      <c r="L2983" s="27" t="str">
        <f aca="false">IF(J2983="","",CHOOSE(Q2983+1,"Tue","Wed","Thu","Fri"))</f>
        <v/>
      </c>
      <c r="M2983" s="27" t="str">
        <f aca="false">IF(J2983="","",IF(J2983=1,"Every week",R2983+1&amp;" of "&amp;J2983))</f>
        <v/>
      </c>
      <c r="N2983" s="28" t="str">
        <f aca="false">IF(J2983="","",Settings!$B$4+R2983*7+Q2983)</f>
        <v/>
      </c>
      <c r="O2983" s="28" t="str">
        <f aca="true">IF(J2983="","",N2983+MAX(0,ROUNDUP((TODAY()-N2983)/(J2983*7),0))*J2983*7)</f>
        <v/>
      </c>
      <c r="P2983" s="27" t="str">
        <f aca="false">IF(J2983="","",MOD(K2983-1,J2983*4))</f>
        <v/>
      </c>
      <c r="Q2983" s="27" t="str">
        <f aca="false">IF(J2983="","",MOD(P2983,4))</f>
        <v/>
      </c>
      <c r="R2983" s="27" t="str">
        <f aca="false">IF(J2983="","",INT(P2983/4))</f>
        <v/>
      </c>
      <c r="S2983" s="27" t="str">
        <f aca="false">IF(J2983="","",IF(AND('Daily Count Sheet'!$H$3=Q2983,MOD('Daily Count Sheet'!$I$3,J2983)=R2983),1,""))</f>
        <v/>
      </c>
      <c r="T2983" s="27" t="str">
        <f aca="false">IF(S2983=1,COUNTIF($S$2:S2983,1),"")</f>
        <v/>
      </c>
    </row>
    <row r="2984" customFormat="false" ht="15" hidden="false" customHeight="false" outlineLevel="0" collapsed="false">
      <c r="H2984" s="26"/>
      <c r="I2984" s="27" t="str">
        <f aca="false">IF(A2984="","",IF(H2984&lt;&gt;"",UPPER(TRIM(H2984)),IFERROR(CHOOSE(VALUE(E2984)+1,"A","B","C","D"),IF(OR(LEFT(UPPER(TRIM(E2984)),1)="F",UPPER(TRIM(E2984))="A"),"A",IF(OR(LEFT(UPPER(TRIM(E2984)),1)="M",UPPER(TRIM(E2984))="B"),"B",IF(OR(LEFT(UPPER(TRIM(E2984)),2)="SL",UPPER(TRIM(E2984))="C"),"C",IF(OR(LEFT(UPPER(TRIM(E2984)),1)="D",UPPER(TRIM(E2984))="D"),"D","")))))))</f>
        <v/>
      </c>
      <c r="J2984" s="27" t="str">
        <f aca="false">IF(I2984="","",IF(AND(I2984="D",Settings!$B$6&lt;&gt;"Yes"),"",IFERROR(INDEX(Settings!$C$9:$C$12,MATCH(I2984,Settings!$A$9:$A$12,0)),"")))</f>
        <v/>
      </c>
      <c r="K2984" s="27" t="str">
        <f aca="false">IF(J2984="","",COUNTIF($I$2:I2984,I2984))</f>
        <v/>
      </c>
      <c r="L2984" s="27" t="str">
        <f aca="false">IF(J2984="","",CHOOSE(Q2984+1,"Tue","Wed","Thu","Fri"))</f>
        <v/>
      </c>
      <c r="M2984" s="27" t="str">
        <f aca="false">IF(J2984="","",IF(J2984=1,"Every week",R2984+1&amp;" of "&amp;J2984))</f>
        <v/>
      </c>
      <c r="N2984" s="28" t="str">
        <f aca="false">IF(J2984="","",Settings!$B$4+R2984*7+Q2984)</f>
        <v/>
      </c>
      <c r="O2984" s="28" t="str">
        <f aca="true">IF(J2984="","",N2984+MAX(0,ROUNDUP((TODAY()-N2984)/(J2984*7),0))*J2984*7)</f>
        <v/>
      </c>
      <c r="P2984" s="27" t="str">
        <f aca="false">IF(J2984="","",MOD(K2984-1,J2984*4))</f>
        <v/>
      </c>
      <c r="Q2984" s="27" t="str">
        <f aca="false">IF(J2984="","",MOD(P2984,4))</f>
        <v/>
      </c>
      <c r="R2984" s="27" t="str">
        <f aca="false">IF(J2984="","",INT(P2984/4))</f>
        <v/>
      </c>
      <c r="S2984" s="27" t="str">
        <f aca="false">IF(J2984="","",IF(AND('Daily Count Sheet'!$H$3=Q2984,MOD('Daily Count Sheet'!$I$3,J2984)=R2984),1,""))</f>
        <v/>
      </c>
      <c r="T2984" s="27" t="str">
        <f aca="false">IF(S2984=1,COUNTIF($S$2:S2984,1),"")</f>
        <v/>
      </c>
    </row>
    <row r="2985" customFormat="false" ht="15" hidden="false" customHeight="false" outlineLevel="0" collapsed="false">
      <c r="H2985" s="26"/>
      <c r="I2985" s="27" t="str">
        <f aca="false">IF(A2985="","",IF(H2985&lt;&gt;"",UPPER(TRIM(H2985)),IFERROR(CHOOSE(VALUE(E2985)+1,"A","B","C","D"),IF(OR(LEFT(UPPER(TRIM(E2985)),1)="F",UPPER(TRIM(E2985))="A"),"A",IF(OR(LEFT(UPPER(TRIM(E2985)),1)="M",UPPER(TRIM(E2985))="B"),"B",IF(OR(LEFT(UPPER(TRIM(E2985)),2)="SL",UPPER(TRIM(E2985))="C"),"C",IF(OR(LEFT(UPPER(TRIM(E2985)),1)="D",UPPER(TRIM(E2985))="D"),"D","")))))))</f>
        <v/>
      </c>
      <c r="J2985" s="27" t="str">
        <f aca="false">IF(I2985="","",IF(AND(I2985="D",Settings!$B$6&lt;&gt;"Yes"),"",IFERROR(INDEX(Settings!$C$9:$C$12,MATCH(I2985,Settings!$A$9:$A$12,0)),"")))</f>
        <v/>
      </c>
      <c r="K2985" s="27" t="str">
        <f aca="false">IF(J2985="","",COUNTIF($I$2:I2985,I2985))</f>
        <v/>
      </c>
      <c r="L2985" s="27" t="str">
        <f aca="false">IF(J2985="","",CHOOSE(Q2985+1,"Tue","Wed","Thu","Fri"))</f>
        <v/>
      </c>
      <c r="M2985" s="27" t="str">
        <f aca="false">IF(J2985="","",IF(J2985=1,"Every week",R2985+1&amp;" of "&amp;J2985))</f>
        <v/>
      </c>
      <c r="N2985" s="28" t="str">
        <f aca="false">IF(J2985="","",Settings!$B$4+R2985*7+Q2985)</f>
        <v/>
      </c>
      <c r="O2985" s="28" t="str">
        <f aca="true">IF(J2985="","",N2985+MAX(0,ROUNDUP((TODAY()-N2985)/(J2985*7),0))*J2985*7)</f>
        <v/>
      </c>
      <c r="P2985" s="27" t="str">
        <f aca="false">IF(J2985="","",MOD(K2985-1,J2985*4))</f>
        <v/>
      </c>
      <c r="Q2985" s="27" t="str">
        <f aca="false">IF(J2985="","",MOD(P2985,4))</f>
        <v/>
      </c>
      <c r="R2985" s="27" t="str">
        <f aca="false">IF(J2985="","",INT(P2985/4))</f>
        <v/>
      </c>
      <c r="S2985" s="27" t="str">
        <f aca="false">IF(J2985="","",IF(AND('Daily Count Sheet'!$H$3=Q2985,MOD('Daily Count Sheet'!$I$3,J2985)=R2985),1,""))</f>
        <v/>
      </c>
      <c r="T2985" s="27" t="str">
        <f aca="false">IF(S2985=1,COUNTIF($S$2:S2985,1),"")</f>
        <v/>
      </c>
    </row>
    <row r="2986" customFormat="false" ht="15" hidden="false" customHeight="false" outlineLevel="0" collapsed="false">
      <c r="H2986" s="26"/>
      <c r="I2986" s="27" t="str">
        <f aca="false">IF(A2986="","",IF(H2986&lt;&gt;"",UPPER(TRIM(H2986)),IFERROR(CHOOSE(VALUE(E2986)+1,"A","B","C","D"),IF(OR(LEFT(UPPER(TRIM(E2986)),1)="F",UPPER(TRIM(E2986))="A"),"A",IF(OR(LEFT(UPPER(TRIM(E2986)),1)="M",UPPER(TRIM(E2986))="B"),"B",IF(OR(LEFT(UPPER(TRIM(E2986)),2)="SL",UPPER(TRIM(E2986))="C"),"C",IF(OR(LEFT(UPPER(TRIM(E2986)),1)="D",UPPER(TRIM(E2986))="D"),"D","")))))))</f>
        <v/>
      </c>
      <c r="J2986" s="27" t="str">
        <f aca="false">IF(I2986="","",IF(AND(I2986="D",Settings!$B$6&lt;&gt;"Yes"),"",IFERROR(INDEX(Settings!$C$9:$C$12,MATCH(I2986,Settings!$A$9:$A$12,0)),"")))</f>
        <v/>
      </c>
      <c r="K2986" s="27" t="str">
        <f aca="false">IF(J2986="","",COUNTIF($I$2:I2986,I2986))</f>
        <v/>
      </c>
      <c r="L2986" s="27" t="str">
        <f aca="false">IF(J2986="","",CHOOSE(Q2986+1,"Tue","Wed","Thu","Fri"))</f>
        <v/>
      </c>
      <c r="M2986" s="27" t="str">
        <f aca="false">IF(J2986="","",IF(J2986=1,"Every week",R2986+1&amp;" of "&amp;J2986))</f>
        <v/>
      </c>
      <c r="N2986" s="28" t="str">
        <f aca="false">IF(J2986="","",Settings!$B$4+R2986*7+Q2986)</f>
        <v/>
      </c>
      <c r="O2986" s="28" t="str">
        <f aca="true">IF(J2986="","",N2986+MAX(0,ROUNDUP((TODAY()-N2986)/(J2986*7),0))*J2986*7)</f>
        <v/>
      </c>
      <c r="P2986" s="27" t="str">
        <f aca="false">IF(J2986="","",MOD(K2986-1,J2986*4))</f>
        <v/>
      </c>
      <c r="Q2986" s="27" t="str">
        <f aca="false">IF(J2986="","",MOD(P2986,4))</f>
        <v/>
      </c>
      <c r="R2986" s="27" t="str">
        <f aca="false">IF(J2986="","",INT(P2986/4))</f>
        <v/>
      </c>
      <c r="S2986" s="27" t="str">
        <f aca="false">IF(J2986="","",IF(AND('Daily Count Sheet'!$H$3=Q2986,MOD('Daily Count Sheet'!$I$3,J2986)=R2986),1,""))</f>
        <v/>
      </c>
      <c r="T2986" s="27" t="str">
        <f aca="false">IF(S2986=1,COUNTIF($S$2:S2986,1),"")</f>
        <v/>
      </c>
    </row>
    <row r="2987" customFormat="false" ht="15" hidden="false" customHeight="false" outlineLevel="0" collapsed="false">
      <c r="H2987" s="26"/>
      <c r="I2987" s="27" t="str">
        <f aca="false">IF(A2987="","",IF(H2987&lt;&gt;"",UPPER(TRIM(H2987)),IFERROR(CHOOSE(VALUE(E2987)+1,"A","B","C","D"),IF(OR(LEFT(UPPER(TRIM(E2987)),1)="F",UPPER(TRIM(E2987))="A"),"A",IF(OR(LEFT(UPPER(TRIM(E2987)),1)="M",UPPER(TRIM(E2987))="B"),"B",IF(OR(LEFT(UPPER(TRIM(E2987)),2)="SL",UPPER(TRIM(E2987))="C"),"C",IF(OR(LEFT(UPPER(TRIM(E2987)),1)="D",UPPER(TRIM(E2987))="D"),"D","")))))))</f>
        <v/>
      </c>
      <c r="J2987" s="27" t="str">
        <f aca="false">IF(I2987="","",IF(AND(I2987="D",Settings!$B$6&lt;&gt;"Yes"),"",IFERROR(INDEX(Settings!$C$9:$C$12,MATCH(I2987,Settings!$A$9:$A$12,0)),"")))</f>
        <v/>
      </c>
      <c r="K2987" s="27" t="str">
        <f aca="false">IF(J2987="","",COUNTIF($I$2:I2987,I2987))</f>
        <v/>
      </c>
      <c r="L2987" s="27" t="str">
        <f aca="false">IF(J2987="","",CHOOSE(Q2987+1,"Tue","Wed","Thu","Fri"))</f>
        <v/>
      </c>
      <c r="M2987" s="27" t="str">
        <f aca="false">IF(J2987="","",IF(J2987=1,"Every week",R2987+1&amp;" of "&amp;J2987))</f>
        <v/>
      </c>
      <c r="N2987" s="28" t="str">
        <f aca="false">IF(J2987="","",Settings!$B$4+R2987*7+Q2987)</f>
        <v/>
      </c>
      <c r="O2987" s="28" t="str">
        <f aca="true">IF(J2987="","",N2987+MAX(0,ROUNDUP((TODAY()-N2987)/(J2987*7),0))*J2987*7)</f>
        <v/>
      </c>
      <c r="P2987" s="27" t="str">
        <f aca="false">IF(J2987="","",MOD(K2987-1,J2987*4))</f>
        <v/>
      </c>
      <c r="Q2987" s="27" t="str">
        <f aca="false">IF(J2987="","",MOD(P2987,4))</f>
        <v/>
      </c>
      <c r="R2987" s="27" t="str">
        <f aca="false">IF(J2987="","",INT(P2987/4))</f>
        <v/>
      </c>
      <c r="S2987" s="27" t="str">
        <f aca="false">IF(J2987="","",IF(AND('Daily Count Sheet'!$H$3=Q2987,MOD('Daily Count Sheet'!$I$3,J2987)=R2987),1,""))</f>
        <v/>
      </c>
      <c r="T2987" s="27" t="str">
        <f aca="false">IF(S2987=1,COUNTIF($S$2:S2987,1),"")</f>
        <v/>
      </c>
    </row>
    <row r="2988" customFormat="false" ht="15" hidden="false" customHeight="false" outlineLevel="0" collapsed="false">
      <c r="H2988" s="26"/>
      <c r="I2988" s="27" t="str">
        <f aca="false">IF(A2988="","",IF(H2988&lt;&gt;"",UPPER(TRIM(H2988)),IFERROR(CHOOSE(VALUE(E2988)+1,"A","B","C","D"),IF(OR(LEFT(UPPER(TRIM(E2988)),1)="F",UPPER(TRIM(E2988))="A"),"A",IF(OR(LEFT(UPPER(TRIM(E2988)),1)="M",UPPER(TRIM(E2988))="B"),"B",IF(OR(LEFT(UPPER(TRIM(E2988)),2)="SL",UPPER(TRIM(E2988))="C"),"C",IF(OR(LEFT(UPPER(TRIM(E2988)),1)="D",UPPER(TRIM(E2988))="D"),"D","")))))))</f>
        <v/>
      </c>
      <c r="J2988" s="27" t="str">
        <f aca="false">IF(I2988="","",IF(AND(I2988="D",Settings!$B$6&lt;&gt;"Yes"),"",IFERROR(INDEX(Settings!$C$9:$C$12,MATCH(I2988,Settings!$A$9:$A$12,0)),"")))</f>
        <v/>
      </c>
      <c r="K2988" s="27" t="str">
        <f aca="false">IF(J2988="","",COUNTIF($I$2:I2988,I2988))</f>
        <v/>
      </c>
      <c r="L2988" s="27" t="str">
        <f aca="false">IF(J2988="","",CHOOSE(Q2988+1,"Tue","Wed","Thu","Fri"))</f>
        <v/>
      </c>
      <c r="M2988" s="27" t="str">
        <f aca="false">IF(J2988="","",IF(J2988=1,"Every week",R2988+1&amp;" of "&amp;J2988))</f>
        <v/>
      </c>
      <c r="N2988" s="28" t="str">
        <f aca="false">IF(J2988="","",Settings!$B$4+R2988*7+Q2988)</f>
        <v/>
      </c>
      <c r="O2988" s="28" t="str">
        <f aca="true">IF(J2988="","",N2988+MAX(0,ROUNDUP((TODAY()-N2988)/(J2988*7),0))*J2988*7)</f>
        <v/>
      </c>
      <c r="P2988" s="27" t="str">
        <f aca="false">IF(J2988="","",MOD(K2988-1,J2988*4))</f>
        <v/>
      </c>
      <c r="Q2988" s="27" t="str">
        <f aca="false">IF(J2988="","",MOD(P2988,4))</f>
        <v/>
      </c>
      <c r="R2988" s="27" t="str">
        <f aca="false">IF(J2988="","",INT(P2988/4))</f>
        <v/>
      </c>
      <c r="S2988" s="27" t="str">
        <f aca="false">IF(J2988="","",IF(AND('Daily Count Sheet'!$H$3=Q2988,MOD('Daily Count Sheet'!$I$3,J2988)=R2988),1,""))</f>
        <v/>
      </c>
      <c r="T2988" s="27" t="str">
        <f aca="false">IF(S2988=1,COUNTIF($S$2:S2988,1),"")</f>
        <v/>
      </c>
    </row>
    <row r="2989" customFormat="false" ht="15" hidden="false" customHeight="false" outlineLevel="0" collapsed="false">
      <c r="H2989" s="26"/>
      <c r="I2989" s="27" t="str">
        <f aca="false">IF(A2989="","",IF(H2989&lt;&gt;"",UPPER(TRIM(H2989)),IFERROR(CHOOSE(VALUE(E2989)+1,"A","B","C","D"),IF(OR(LEFT(UPPER(TRIM(E2989)),1)="F",UPPER(TRIM(E2989))="A"),"A",IF(OR(LEFT(UPPER(TRIM(E2989)),1)="M",UPPER(TRIM(E2989))="B"),"B",IF(OR(LEFT(UPPER(TRIM(E2989)),2)="SL",UPPER(TRIM(E2989))="C"),"C",IF(OR(LEFT(UPPER(TRIM(E2989)),1)="D",UPPER(TRIM(E2989))="D"),"D","")))))))</f>
        <v/>
      </c>
      <c r="J2989" s="27" t="str">
        <f aca="false">IF(I2989="","",IF(AND(I2989="D",Settings!$B$6&lt;&gt;"Yes"),"",IFERROR(INDEX(Settings!$C$9:$C$12,MATCH(I2989,Settings!$A$9:$A$12,0)),"")))</f>
        <v/>
      </c>
      <c r="K2989" s="27" t="str">
        <f aca="false">IF(J2989="","",COUNTIF($I$2:I2989,I2989))</f>
        <v/>
      </c>
      <c r="L2989" s="27" t="str">
        <f aca="false">IF(J2989="","",CHOOSE(Q2989+1,"Tue","Wed","Thu","Fri"))</f>
        <v/>
      </c>
      <c r="M2989" s="27" t="str">
        <f aca="false">IF(J2989="","",IF(J2989=1,"Every week",R2989+1&amp;" of "&amp;J2989))</f>
        <v/>
      </c>
      <c r="N2989" s="28" t="str">
        <f aca="false">IF(J2989="","",Settings!$B$4+R2989*7+Q2989)</f>
        <v/>
      </c>
      <c r="O2989" s="28" t="str">
        <f aca="true">IF(J2989="","",N2989+MAX(0,ROUNDUP((TODAY()-N2989)/(J2989*7),0))*J2989*7)</f>
        <v/>
      </c>
      <c r="P2989" s="27" t="str">
        <f aca="false">IF(J2989="","",MOD(K2989-1,J2989*4))</f>
        <v/>
      </c>
      <c r="Q2989" s="27" t="str">
        <f aca="false">IF(J2989="","",MOD(P2989,4))</f>
        <v/>
      </c>
      <c r="R2989" s="27" t="str">
        <f aca="false">IF(J2989="","",INT(P2989/4))</f>
        <v/>
      </c>
      <c r="S2989" s="27" t="str">
        <f aca="false">IF(J2989="","",IF(AND('Daily Count Sheet'!$H$3=Q2989,MOD('Daily Count Sheet'!$I$3,J2989)=R2989),1,""))</f>
        <v/>
      </c>
      <c r="T2989" s="27" t="str">
        <f aca="false">IF(S2989=1,COUNTIF($S$2:S2989,1),"")</f>
        <v/>
      </c>
    </row>
    <row r="2990" customFormat="false" ht="15" hidden="false" customHeight="false" outlineLevel="0" collapsed="false">
      <c r="H2990" s="26"/>
      <c r="I2990" s="27" t="str">
        <f aca="false">IF(A2990="","",IF(H2990&lt;&gt;"",UPPER(TRIM(H2990)),IFERROR(CHOOSE(VALUE(E2990)+1,"A","B","C","D"),IF(OR(LEFT(UPPER(TRIM(E2990)),1)="F",UPPER(TRIM(E2990))="A"),"A",IF(OR(LEFT(UPPER(TRIM(E2990)),1)="M",UPPER(TRIM(E2990))="B"),"B",IF(OR(LEFT(UPPER(TRIM(E2990)),2)="SL",UPPER(TRIM(E2990))="C"),"C",IF(OR(LEFT(UPPER(TRIM(E2990)),1)="D",UPPER(TRIM(E2990))="D"),"D","")))))))</f>
        <v/>
      </c>
      <c r="J2990" s="27" t="str">
        <f aca="false">IF(I2990="","",IF(AND(I2990="D",Settings!$B$6&lt;&gt;"Yes"),"",IFERROR(INDEX(Settings!$C$9:$C$12,MATCH(I2990,Settings!$A$9:$A$12,0)),"")))</f>
        <v/>
      </c>
      <c r="K2990" s="27" t="str">
        <f aca="false">IF(J2990="","",COUNTIF($I$2:I2990,I2990))</f>
        <v/>
      </c>
      <c r="L2990" s="27" t="str">
        <f aca="false">IF(J2990="","",CHOOSE(Q2990+1,"Tue","Wed","Thu","Fri"))</f>
        <v/>
      </c>
      <c r="M2990" s="27" t="str">
        <f aca="false">IF(J2990="","",IF(J2990=1,"Every week",R2990+1&amp;" of "&amp;J2990))</f>
        <v/>
      </c>
      <c r="N2990" s="28" t="str">
        <f aca="false">IF(J2990="","",Settings!$B$4+R2990*7+Q2990)</f>
        <v/>
      </c>
      <c r="O2990" s="28" t="str">
        <f aca="true">IF(J2990="","",N2990+MAX(0,ROUNDUP((TODAY()-N2990)/(J2990*7),0))*J2990*7)</f>
        <v/>
      </c>
      <c r="P2990" s="27" t="str">
        <f aca="false">IF(J2990="","",MOD(K2990-1,J2990*4))</f>
        <v/>
      </c>
      <c r="Q2990" s="27" t="str">
        <f aca="false">IF(J2990="","",MOD(P2990,4))</f>
        <v/>
      </c>
      <c r="R2990" s="27" t="str">
        <f aca="false">IF(J2990="","",INT(P2990/4))</f>
        <v/>
      </c>
      <c r="S2990" s="27" t="str">
        <f aca="false">IF(J2990="","",IF(AND('Daily Count Sheet'!$H$3=Q2990,MOD('Daily Count Sheet'!$I$3,J2990)=R2990),1,""))</f>
        <v/>
      </c>
      <c r="T2990" s="27" t="str">
        <f aca="false">IF(S2990=1,COUNTIF($S$2:S2990,1),"")</f>
        <v/>
      </c>
    </row>
    <row r="2991" customFormat="false" ht="15" hidden="false" customHeight="false" outlineLevel="0" collapsed="false">
      <c r="H2991" s="26"/>
      <c r="I2991" s="27" t="str">
        <f aca="false">IF(A2991="","",IF(H2991&lt;&gt;"",UPPER(TRIM(H2991)),IFERROR(CHOOSE(VALUE(E2991)+1,"A","B","C","D"),IF(OR(LEFT(UPPER(TRIM(E2991)),1)="F",UPPER(TRIM(E2991))="A"),"A",IF(OR(LEFT(UPPER(TRIM(E2991)),1)="M",UPPER(TRIM(E2991))="B"),"B",IF(OR(LEFT(UPPER(TRIM(E2991)),2)="SL",UPPER(TRIM(E2991))="C"),"C",IF(OR(LEFT(UPPER(TRIM(E2991)),1)="D",UPPER(TRIM(E2991))="D"),"D","")))))))</f>
        <v/>
      </c>
      <c r="J2991" s="27" t="str">
        <f aca="false">IF(I2991="","",IF(AND(I2991="D",Settings!$B$6&lt;&gt;"Yes"),"",IFERROR(INDEX(Settings!$C$9:$C$12,MATCH(I2991,Settings!$A$9:$A$12,0)),"")))</f>
        <v/>
      </c>
      <c r="K2991" s="27" t="str">
        <f aca="false">IF(J2991="","",COUNTIF($I$2:I2991,I2991))</f>
        <v/>
      </c>
      <c r="L2991" s="27" t="str">
        <f aca="false">IF(J2991="","",CHOOSE(Q2991+1,"Tue","Wed","Thu","Fri"))</f>
        <v/>
      </c>
      <c r="M2991" s="27" t="str">
        <f aca="false">IF(J2991="","",IF(J2991=1,"Every week",R2991+1&amp;" of "&amp;J2991))</f>
        <v/>
      </c>
      <c r="N2991" s="28" t="str">
        <f aca="false">IF(J2991="","",Settings!$B$4+R2991*7+Q2991)</f>
        <v/>
      </c>
      <c r="O2991" s="28" t="str">
        <f aca="true">IF(J2991="","",N2991+MAX(0,ROUNDUP((TODAY()-N2991)/(J2991*7),0))*J2991*7)</f>
        <v/>
      </c>
      <c r="P2991" s="27" t="str">
        <f aca="false">IF(J2991="","",MOD(K2991-1,J2991*4))</f>
        <v/>
      </c>
      <c r="Q2991" s="27" t="str">
        <f aca="false">IF(J2991="","",MOD(P2991,4))</f>
        <v/>
      </c>
      <c r="R2991" s="27" t="str">
        <f aca="false">IF(J2991="","",INT(P2991/4))</f>
        <v/>
      </c>
      <c r="S2991" s="27" t="str">
        <f aca="false">IF(J2991="","",IF(AND('Daily Count Sheet'!$H$3=Q2991,MOD('Daily Count Sheet'!$I$3,J2991)=R2991),1,""))</f>
        <v/>
      </c>
      <c r="T2991" s="27" t="str">
        <f aca="false">IF(S2991=1,COUNTIF($S$2:S2991,1),"")</f>
        <v/>
      </c>
    </row>
    <row r="2992" customFormat="false" ht="15" hidden="false" customHeight="false" outlineLevel="0" collapsed="false">
      <c r="H2992" s="26"/>
      <c r="I2992" s="27" t="str">
        <f aca="false">IF(A2992="","",IF(H2992&lt;&gt;"",UPPER(TRIM(H2992)),IFERROR(CHOOSE(VALUE(E2992)+1,"A","B","C","D"),IF(OR(LEFT(UPPER(TRIM(E2992)),1)="F",UPPER(TRIM(E2992))="A"),"A",IF(OR(LEFT(UPPER(TRIM(E2992)),1)="M",UPPER(TRIM(E2992))="B"),"B",IF(OR(LEFT(UPPER(TRIM(E2992)),2)="SL",UPPER(TRIM(E2992))="C"),"C",IF(OR(LEFT(UPPER(TRIM(E2992)),1)="D",UPPER(TRIM(E2992))="D"),"D","")))))))</f>
        <v/>
      </c>
      <c r="J2992" s="27" t="str">
        <f aca="false">IF(I2992="","",IF(AND(I2992="D",Settings!$B$6&lt;&gt;"Yes"),"",IFERROR(INDEX(Settings!$C$9:$C$12,MATCH(I2992,Settings!$A$9:$A$12,0)),"")))</f>
        <v/>
      </c>
      <c r="K2992" s="27" t="str">
        <f aca="false">IF(J2992="","",COUNTIF($I$2:I2992,I2992))</f>
        <v/>
      </c>
      <c r="L2992" s="27" t="str">
        <f aca="false">IF(J2992="","",CHOOSE(Q2992+1,"Tue","Wed","Thu","Fri"))</f>
        <v/>
      </c>
      <c r="M2992" s="27" t="str">
        <f aca="false">IF(J2992="","",IF(J2992=1,"Every week",R2992+1&amp;" of "&amp;J2992))</f>
        <v/>
      </c>
      <c r="N2992" s="28" t="str">
        <f aca="false">IF(J2992="","",Settings!$B$4+R2992*7+Q2992)</f>
        <v/>
      </c>
      <c r="O2992" s="28" t="str">
        <f aca="true">IF(J2992="","",N2992+MAX(0,ROUNDUP((TODAY()-N2992)/(J2992*7),0))*J2992*7)</f>
        <v/>
      </c>
      <c r="P2992" s="27" t="str">
        <f aca="false">IF(J2992="","",MOD(K2992-1,J2992*4))</f>
        <v/>
      </c>
      <c r="Q2992" s="27" t="str">
        <f aca="false">IF(J2992="","",MOD(P2992,4))</f>
        <v/>
      </c>
      <c r="R2992" s="27" t="str">
        <f aca="false">IF(J2992="","",INT(P2992/4))</f>
        <v/>
      </c>
      <c r="S2992" s="27" t="str">
        <f aca="false">IF(J2992="","",IF(AND('Daily Count Sheet'!$H$3=Q2992,MOD('Daily Count Sheet'!$I$3,J2992)=R2992),1,""))</f>
        <v/>
      </c>
      <c r="T2992" s="27" t="str">
        <f aca="false">IF(S2992=1,COUNTIF($S$2:S2992,1),"")</f>
        <v/>
      </c>
    </row>
    <row r="2993" customFormat="false" ht="15" hidden="false" customHeight="false" outlineLevel="0" collapsed="false">
      <c r="H2993" s="26"/>
      <c r="I2993" s="27" t="str">
        <f aca="false">IF(A2993="","",IF(H2993&lt;&gt;"",UPPER(TRIM(H2993)),IFERROR(CHOOSE(VALUE(E2993)+1,"A","B","C","D"),IF(OR(LEFT(UPPER(TRIM(E2993)),1)="F",UPPER(TRIM(E2993))="A"),"A",IF(OR(LEFT(UPPER(TRIM(E2993)),1)="M",UPPER(TRIM(E2993))="B"),"B",IF(OR(LEFT(UPPER(TRIM(E2993)),2)="SL",UPPER(TRIM(E2993))="C"),"C",IF(OR(LEFT(UPPER(TRIM(E2993)),1)="D",UPPER(TRIM(E2993))="D"),"D","")))))))</f>
        <v/>
      </c>
      <c r="J2993" s="27" t="str">
        <f aca="false">IF(I2993="","",IF(AND(I2993="D",Settings!$B$6&lt;&gt;"Yes"),"",IFERROR(INDEX(Settings!$C$9:$C$12,MATCH(I2993,Settings!$A$9:$A$12,0)),"")))</f>
        <v/>
      </c>
      <c r="K2993" s="27" t="str">
        <f aca="false">IF(J2993="","",COUNTIF($I$2:I2993,I2993))</f>
        <v/>
      </c>
      <c r="L2993" s="27" t="str">
        <f aca="false">IF(J2993="","",CHOOSE(Q2993+1,"Tue","Wed","Thu","Fri"))</f>
        <v/>
      </c>
      <c r="M2993" s="27" t="str">
        <f aca="false">IF(J2993="","",IF(J2993=1,"Every week",R2993+1&amp;" of "&amp;J2993))</f>
        <v/>
      </c>
      <c r="N2993" s="28" t="str">
        <f aca="false">IF(J2993="","",Settings!$B$4+R2993*7+Q2993)</f>
        <v/>
      </c>
      <c r="O2993" s="28" t="str">
        <f aca="true">IF(J2993="","",N2993+MAX(0,ROUNDUP((TODAY()-N2993)/(J2993*7),0))*J2993*7)</f>
        <v/>
      </c>
      <c r="P2993" s="27" t="str">
        <f aca="false">IF(J2993="","",MOD(K2993-1,J2993*4))</f>
        <v/>
      </c>
      <c r="Q2993" s="27" t="str">
        <f aca="false">IF(J2993="","",MOD(P2993,4))</f>
        <v/>
      </c>
      <c r="R2993" s="27" t="str">
        <f aca="false">IF(J2993="","",INT(P2993/4))</f>
        <v/>
      </c>
      <c r="S2993" s="27" t="str">
        <f aca="false">IF(J2993="","",IF(AND('Daily Count Sheet'!$H$3=Q2993,MOD('Daily Count Sheet'!$I$3,J2993)=R2993),1,""))</f>
        <v/>
      </c>
      <c r="T2993" s="27" t="str">
        <f aca="false">IF(S2993=1,COUNTIF($S$2:S2993,1),"")</f>
        <v/>
      </c>
    </row>
    <row r="2994" customFormat="false" ht="15" hidden="false" customHeight="false" outlineLevel="0" collapsed="false">
      <c r="H2994" s="26"/>
      <c r="I2994" s="27" t="str">
        <f aca="false">IF(A2994="","",IF(H2994&lt;&gt;"",UPPER(TRIM(H2994)),IFERROR(CHOOSE(VALUE(E2994)+1,"A","B","C","D"),IF(OR(LEFT(UPPER(TRIM(E2994)),1)="F",UPPER(TRIM(E2994))="A"),"A",IF(OR(LEFT(UPPER(TRIM(E2994)),1)="M",UPPER(TRIM(E2994))="B"),"B",IF(OR(LEFT(UPPER(TRIM(E2994)),2)="SL",UPPER(TRIM(E2994))="C"),"C",IF(OR(LEFT(UPPER(TRIM(E2994)),1)="D",UPPER(TRIM(E2994))="D"),"D","")))))))</f>
        <v/>
      </c>
      <c r="J2994" s="27" t="str">
        <f aca="false">IF(I2994="","",IF(AND(I2994="D",Settings!$B$6&lt;&gt;"Yes"),"",IFERROR(INDEX(Settings!$C$9:$C$12,MATCH(I2994,Settings!$A$9:$A$12,0)),"")))</f>
        <v/>
      </c>
      <c r="K2994" s="27" t="str">
        <f aca="false">IF(J2994="","",COUNTIF($I$2:I2994,I2994))</f>
        <v/>
      </c>
      <c r="L2994" s="27" t="str">
        <f aca="false">IF(J2994="","",CHOOSE(Q2994+1,"Tue","Wed","Thu","Fri"))</f>
        <v/>
      </c>
      <c r="M2994" s="27" t="str">
        <f aca="false">IF(J2994="","",IF(J2994=1,"Every week",R2994+1&amp;" of "&amp;J2994))</f>
        <v/>
      </c>
      <c r="N2994" s="28" t="str">
        <f aca="false">IF(J2994="","",Settings!$B$4+R2994*7+Q2994)</f>
        <v/>
      </c>
      <c r="O2994" s="28" t="str">
        <f aca="true">IF(J2994="","",N2994+MAX(0,ROUNDUP((TODAY()-N2994)/(J2994*7),0))*J2994*7)</f>
        <v/>
      </c>
      <c r="P2994" s="27" t="str">
        <f aca="false">IF(J2994="","",MOD(K2994-1,J2994*4))</f>
        <v/>
      </c>
      <c r="Q2994" s="27" t="str">
        <f aca="false">IF(J2994="","",MOD(P2994,4))</f>
        <v/>
      </c>
      <c r="R2994" s="27" t="str">
        <f aca="false">IF(J2994="","",INT(P2994/4))</f>
        <v/>
      </c>
      <c r="S2994" s="27" t="str">
        <f aca="false">IF(J2994="","",IF(AND('Daily Count Sheet'!$H$3=Q2994,MOD('Daily Count Sheet'!$I$3,J2994)=R2994),1,""))</f>
        <v/>
      </c>
      <c r="T2994" s="27" t="str">
        <f aca="false">IF(S2994=1,COUNTIF($S$2:S2994,1),"")</f>
        <v/>
      </c>
    </row>
    <row r="2995" customFormat="false" ht="15" hidden="false" customHeight="false" outlineLevel="0" collapsed="false">
      <c r="H2995" s="26"/>
      <c r="I2995" s="27" t="str">
        <f aca="false">IF(A2995="","",IF(H2995&lt;&gt;"",UPPER(TRIM(H2995)),IFERROR(CHOOSE(VALUE(E2995)+1,"A","B","C","D"),IF(OR(LEFT(UPPER(TRIM(E2995)),1)="F",UPPER(TRIM(E2995))="A"),"A",IF(OR(LEFT(UPPER(TRIM(E2995)),1)="M",UPPER(TRIM(E2995))="B"),"B",IF(OR(LEFT(UPPER(TRIM(E2995)),2)="SL",UPPER(TRIM(E2995))="C"),"C",IF(OR(LEFT(UPPER(TRIM(E2995)),1)="D",UPPER(TRIM(E2995))="D"),"D","")))))))</f>
        <v/>
      </c>
      <c r="J2995" s="27" t="str">
        <f aca="false">IF(I2995="","",IF(AND(I2995="D",Settings!$B$6&lt;&gt;"Yes"),"",IFERROR(INDEX(Settings!$C$9:$C$12,MATCH(I2995,Settings!$A$9:$A$12,0)),"")))</f>
        <v/>
      </c>
      <c r="K2995" s="27" t="str">
        <f aca="false">IF(J2995="","",COUNTIF($I$2:I2995,I2995))</f>
        <v/>
      </c>
      <c r="L2995" s="27" t="str">
        <f aca="false">IF(J2995="","",CHOOSE(Q2995+1,"Tue","Wed","Thu","Fri"))</f>
        <v/>
      </c>
      <c r="M2995" s="27" t="str">
        <f aca="false">IF(J2995="","",IF(J2995=1,"Every week",R2995+1&amp;" of "&amp;J2995))</f>
        <v/>
      </c>
      <c r="N2995" s="28" t="str">
        <f aca="false">IF(J2995="","",Settings!$B$4+R2995*7+Q2995)</f>
        <v/>
      </c>
      <c r="O2995" s="28" t="str">
        <f aca="true">IF(J2995="","",N2995+MAX(0,ROUNDUP((TODAY()-N2995)/(J2995*7),0))*J2995*7)</f>
        <v/>
      </c>
      <c r="P2995" s="27" t="str">
        <f aca="false">IF(J2995="","",MOD(K2995-1,J2995*4))</f>
        <v/>
      </c>
      <c r="Q2995" s="27" t="str">
        <f aca="false">IF(J2995="","",MOD(P2995,4))</f>
        <v/>
      </c>
      <c r="R2995" s="27" t="str">
        <f aca="false">IF(J2995="","",INT(P2995/4))</f>
        <v/>
      </c>
      <c r="S2995" s="27" t="str">
        <f aca="false">IF(J2995="","",IF(AND('Daily Count Sheet'!$H$3=Q2995,MOD('Daily Count Sheet'!$I$3,J2995)=R2995),1,""))</f>
        <v/>
      </c>
      <c r="T2995" s="27" t="str">
        <f aca="false">IF(S2995=1,COUNTIF($S$2:S2995,1),"")</f>
        <v/>
      </c>
    </row>
    <row r="2996" customFormat="false" ht="15" hidden="false" customHeight="false" outlineLevel="0" collapsed="false">
      <c r="H2996" s="26"/>
      <c r="I2996" s="27" t="str">
        <f aca="false">IF(A2996="","",IF(H2996&lt;&gt;"",UPPER(TRIM(H2996)),IFERROR(CHOOSE(VALUE(E2996)+1,"A","B","C","D"),IF(OR(LEFT(UPPER(TRIM(E2996)),1)="F",UPPER(TRIM(E2996))="A"),"A",IF(OR(LEFT(UPPER(TRIM(E2996)),1)="M",UPPER(TRIM(E2996))="B"),"B",IF(OR(LEFT(UPPER(TRIM(E2996)),2)="SL",UPPER(TRIM(E2996))="C"),"C",IF(OR(LEFT(UPPER(TRIM(E2996)),1)="D",UPPER(TRIM(E2996))="D"),"D","")))))))</f>
        <v/>
      </c>
      <c r="J2996" s="27" t="str">
        <f aca="false">IF(I2996="","",IF(AND(I2996="D",Settings!$B$6&lt;&gt;"Yes"),"",IFERROR(INDEX(Settings!$C$9:$C$12,MATCH(I2996,Settings!$A$9:$A$12,0)),"")))</f>
        <v/>
      </c>
      <c r="K2996" s="27" t="str">
        <f aca="false">IF(J2996="","",COUNTIF($I$2:I2996,I2996))</f>
        <v/>
      </c>
      <c r="L2996" s="27" t="str">
        <f aca="false">IF(J2996="","",CHOOSE(Q2996+1,"Tue","Wed","Thu","Fri"))</f>
        <v/>
      </c>
      <c r="M2996" s="27" t="str">
        <f aca="false">IF(J2996="","",IF(J2996=1,"Every week",R2996+1&amp;" of "&amp;J2996))</f>
        <v/>
      </c>
      <c r="N2996" s="28" t="str">
        <f aca="false">IF(J2996="","",Settings!$B$4+R2996*7+Q2996)</f>
        <v/>
      </c>
      <c r="O2996" s="28" t="str">
        <f aca="true">IF(J2996="","",N2996+MAX(0,ROUNDUP((TODAY()-N2996)/(J2996*7),0))*J2996*7)</f>
        <v/>
      </c>
      <c r="P2996" s="27" t="str">
        <f aca="false">IF(J2996="","",MOD(K2996-1,J2996*4))</f>
        <v/>
      </c>
      <c r="Q2996" s="27" t="str">
        <f aca="false">IF(J2996="","",MOD(P2996,4))</f>
        <v/>
      </c>
      <c r="R2996" s="27" t="str">
        <f aca="false">IF(J2996="","",INT(P2996/4))</f>
        <v/>
      </c>
      <c r="S2996" s="27" t="str">
        <f aca="false">IF(J2996="","",IF(AND('Daily Count Sheet'!$H$3=Q2996,MOD('Daily Count Sheet'!$I$3,J2996)=R2996),1,""))</f>
        <v/>
      </c>
      <c r="T2996" s="27" t="str">
        <f aca="false">IF(S2996=1,COUNTIF($S$2:S2996,1),"")</f>
        <v/>
      </c>
    </row>
    <row r="2997" customFormat="false" ht="15" hidden="false" customHeight="false" outlineLevel="0" collapsed="false">
      <c r="H2997" s="26"/>
      <c r="I2997" s="27" t="str">
        <f aca="false">IF(A2997="","",IF(H2997&lt;&gt;"",UPPER(TRIM(H2997)),IFERROR(CHOOSE(VALUE(E2997)+1,"A","B","C","D"),IF(OR(LEFT(UPPER(TRIM(E2997)),1)="F",UPPER(TRIM(E2997))="A"),"A",IF(OR(LEFT(UPPER(TRIM(E2997)),1)="M",UPPER(TRIM(E2997))="B"),"B",IF(OR(LEFT(UPPER(TRIM(E2997)),2)="SL",UPPER(TRIM(E2997))="C"),"C",IF(OR(LEFT(UPPER(TRIM(E2997)),1)="D",UPPER(TRIM(E2997))="D"),"D","")))))))</f>
        <v/>
      </c>
      <c r="J2997" s="27" t="str">
        <f aca="false">IF(I2997="","",IF(AND(I2997="D",Settings!$B$6&lt;&gt;"Yes"),"",IFERROR(INDEX(Settings!$C$9:$C$12,MATCH(I2997,Settings!$A$9:$A$12,0)),"")))</f>
        <v/>
      </c>
      <c r="K2997" s="27" t="str">
        <f aca="false">IF(J2997="","",COUNTIF($I$2:I2997,I2997))</f>
        <v/>
      </c>
      <c r="L2997" s="27" t="str">
        <f aca="false">IF(J2997="","",CHOOSE(Q2997+1,"Tue","Wed","Thu","Fri"))</f>
        <v/>
      </c>
      <c r="M2997" s="27" t="str">
        <f aca="false">IF(J2997="","",IF(J2997=1,"Every week",R2997+1&amp;" of "&amp;J2997))</f>
        <v/>
      </c>
      <c r="N2997" s="28" t="str">
        <f aca="false">IF(J2997="","",Settings!$B$4+R2997*7+Q2997)</f>
        <v/>
      </c>
      <c r="O2997" s="28" t="str">
        <f aca="true">IF(J2997="","",N2997+MAX(0,ROUNDUP((TODAY()-N2997)/(J2997*7),0))*J2997*7)</f>
        <v/>
      </c>
      <c r="P2997" s="27" t="str">
        <f aca="false">IF(J2997="","",MOD(K2997-1,J2997*4))</f>
        <v/>
      </c>
      <c r="Q2997" s="27" t="str">
        <f aca="false">IF(J2997="","",MOD(P2997,4))</f>
        <v/>
      </c>
      <c r="R2997" s="27" t="str">
        <f aca="false">IF(J2997="","",INT(P2997/4))</f>
        <v/>
      </c>
      <c r="S2997" s="27" t="str">
        <f aca="false">IF(J2997="","",IF(AND('Daily Count Sheet'!$H$3=Q2997,MOD('Daily Count Sheet'!$I$3,J2997)=R2997),1,""))</f>
        <v/>
      </c>
      <c r="T2997" s="27" t="str">
        <f aca="false">IF(S2997=1,COUNTIF($S$2:S2997,1),"")</f>
        <v/>
      </c>
    </row>
    <row r="2998" customFormat="false" ht="15" hidden="false" customHeight="false" outlineLevel="0" collapsed="false">
      <c r="H2998" s="26"/>
      <c r="I2998" s="27" t="str">
        <f aca="false">IF(A2998="","",IF(H2998&lt;&gt;"",UPPER(TRIM(H2998)),IFERROR(CHOOSE(VALUE(E2998)+1,"A","B","C","D"),IF(OR(LEFT(UPPER(TRIM(E2998)),1)="F",UPPER(TRIM(E2998))="A"),"A",IF(OR(LEFT(UPPER(TRIM(E2998)),1)="M",UPPER(TRIM(E2998))="B"),"B",IF(OR(LEFT(UPPER(TRIM(E2998)),2)="SL",UPPER(TRIM(E2998))="C"),"C",IF(OR(LEFT(UPPER(TRIM(E2998)),1)="D",UPPER(TRIM(E2998))="D"),"D","")))))))</f>
        <v/>
      </c>
      <c r="J2998" s="27" t="str">
        <f aca="false">IF(I2998="","",IF(AND(I2998="D",Settings!$B$6&lt;&gt;"Yes"),"",IFERROR(INDEX(Settings!$C$9:$C$12,MATCH(I2998,Settings!$A$9:$A$12,0)),"")))</f>
        <v/>
      </c>
      <c r="K2998" s="27" t="str">
        <f aca="false">IF(J2998="","",COUNTIF($I$2:I2998,I2998))</f>
        <v/>
      </c>
      <c r="L2998" s="27" t="str">
        <f aca="false">IF(J2998="","",CHOOSE(Q2998+1,"Tue","Wed","Thu","Fri"))</f>
        <v/>
      </c>
      <c r="M2998" s="27" t="str">
        <f aca="false">IF(J2998="","",IF(J2998=1,"Every week",R2998+1&amp;" of "&amp;J2998))</f>
        <v/>
      </c>
      <c r="N2998" s="28" t="str">
        <f aca="false">IF(J2998="","",Settings!$B$4+R2998*7+Q2998)</f>
        <v/>
      </c>
      <c r="O2998" s="28" t="str">
        <f aca="true">IF(J2998="","",N2998+MAX(0,ROUNDUP((TODAY()-N2998)/(J2998*7),0))*J2998*7)</f>
        <v/>
      </c>
      <c r="P2998" s="27" t="str">
        <f aca="false">IF(J2998="","",MOD(K2998-1,J2998*4))</f>
        <v/>
      </c>
      <c r="Q2998" s="27" t="str">
        <f aca="false">IF(J2998="","",MOD(P2998,4))</f>
        <v/>
      </c>
      <c r="R2998" s="27" t="str">
        <f aca="false">IF(J2998="","",INT(P2998/4))</f>
        <v/>
      </c>
      <c r="S2998" s="27" t="str">
        <f aca="false">IF(J2998="","",IF(AND('Daily Count Sheet'!$H$3=Q2998,MOD('Daily Count Sheet'!$I$3,J2998)=R2998),1,""))</f>
        <v/>
      </c>
      <c r="T2998" s="27" t="str">
        <f aca="false">IF(S2998=1,COUNTIF($S$2:S2998,1),"")</f>
        <v/>
      </c>
    </row>
    <row r="2999" customFormat="false" ht="15" hidden="false" customHeight="false" outlineLevel="0" collapsed="false">
      <c r="H2999" s="26"/>
      <c r="I2999" s="27" t="str">
        <f aca="false">IF(A2999="","",IF(H2999&lt;&gt;"",UPPER(TRIM(H2999)),IFERROR(CHOOSE(VALUE(E2999)+1,"A","B","C","D"),IF(OR(LEFT(UPPER(TRIM(E2999)),1)="F",UPPER(TRIM(E2999))="A"),"A",IF(OR(LEFT(UPPER(TRIM(E2999)),1)="M",UPPER(TRIM(E2999))="B"),"B",IF(OR(LEFT(UPPER(TRIM(E2999)),2)="SL",UPPER(TRIM(E2999))="C"),"C",IF(OR(LEFT(UPPER(TRIM(E2999)),1)="D",UPPER(TRIM(E2999))="D"),"D","")))))))</f>
        <v/>
      </c>
      <c r="J2999" s="27" t="str">
        <f aca="false">IF(I2999="","",IF(AND(I2999="D",Settings!$B$6&lt;&gt;"Yes"),"",IFERROR(INDEX(Settings!$C$9:$C$12,MATCH(I2999,Settings!$A$9:$A$12,0)),"")))</f>
        <v/>
      </c>
      <c r="K2999" s="27" t="str">
        <f aca="false">IF(J2999="","",COUNTIF($I$2:I2999,I2999))</f>
        <v/>
      </c>
      <c r="L2999" s="27" t="str">
        <f aca="false">IF(J2999="","",CHOOSE(Q2999+1,"Tue","Wed","Thu","Fri"))</f>
        <v/>
      </c>
      <c r="M2999" s="27" t="str">
        <f aca="false">IF(J2999="","",IF(J2999=1,"Every week",R2999+1&amp;" of "&amp;J2999))</f>
        <v/>
      </c>
      <c r="N2999" s="28" t="str">
        <f aca="false">IF(J2999="","",Settings!$B$4+R2999*7+Q2999)</f>
        <v/>
      </c>
      <c r="O2999" s="28" t="str">
        <f aca="true">IF(J2999="","",N2999+MAX(0,ROUNDUP((TODAY()-N2999)/(J2999*7),0))*J2999*7)</f>
        <v/>
      </c>
      <c r="P2999" s="27" t="str">
        <f aca="false">IF(J2999="","",MOD(K2999-1,J2999*4))</f>
        <v/>
      </c>
      <c r="Q2999" s="27" t="str">
        <f aca="false">IF(J2999="","",MOD(P2999,4))</f>
        <v/>
      </c>
      <c r="R2999" s="27" t="str">
        <f aca="false">IF(J2999="","",INT(P2999/4))</f>
        <v/>
      </c>
      <c r="S2999" s="27" t="str">
        <f aca="false">IF(J2999="","",IF(AND('Daily Count Sheet'!$H$3=Q2999,MOD('Daily Count Sheet'!$I$3,J2999)=R2999),1,""))</f>
        <v/>
      </c>
      <c r="T2999" s="27" t="str">
        <f aca="false">IF(S2999=1,COUNTIF($S$2:S2999,1),"")</f>
        <v/>
      </c>
    </row>
    <row r="3000" customFormat="false" ht="15" hidden="false" customHeight="false" outlineLevel="0" collapsed="false">
      <c r="H3000" s="26"/>
      <c r="I3000" s="27" t="str">
        <f aca="false">IF(A3000="","",IF(H3000&lt;&gt;"",UPPER(TRIM(H3000)),IFERROR(CHOOSE(VALUE(E3000)+1,"A","B","C","D"),IF(OR(LEFT(UPPER(TRIM(E3000)),1)="F",UPPER(TRIM(E3000))="A"),"A",IF(OR(LEFT(UPPER(TRIM(E3000)),1)="M",UPPER(TRIM(E3000))="B"),"B",IF(OR(LEFT(UPPER(TRIM(E3000)),2)="SL",UPPER(TRIM(E3000))="C"),"C",IF(OR(LEFT(UPPER(TRIM(E3000)),1)="D",UPPER(TRIM(E3000))="D"),"D","")))))))</f>
        <v/>
      </c>
      <c r="J3000" s="27" t="str">
        <f aca="false">IF(I3000="","",IF(AND(I3000="D",Settings!$B$6&lt;&gt;"Yes"),"",IFERROR(INDEX(Settings!$C$9:$C$12,MATCH(I3000,Settings!$A$9:$A$12,0)),"")))</f>
        <v/>
      </c>
      <c r="K3000" s="27" t="str">
        <f aca="false">IF(J3000="","",COUNTIF($I$2:I3000,I3000))</f>
        <v/>
      </c>
      <c r="L3000" s="27" t="str">
        <f aca="false">IF(J3000="","",CHOOSE(Q3000+1,"Tue","Wed","Thu","Fri"))</f>
        <v/>
      </c>
      <c r="M3000" s="27" t="str">
        <f aca="false">IF(J3000="","",IF(J3000=1,"Every week",R3000+1&amp;" of "&amp;J3000))</f>
        <v/>
      </c>
      <c r="N3000" s="28" t="str">
        <f aca="false">IF(J3000="","",Settings!$B$4+R3000*7+Q3000)</f>
        <v/>
      </c>
      <c r="O3000" s="28" t="str">
        <f aca="true">IF(J3000="","",N3000+MAX(0,ROUNDUP((TODAY()-N3000)/(J3000*7),0))*J3000*7)</f>
        <v/>
      </c>
      <c r="P3000" s="27" t="str">
        <f aca="false">IF(J3000="","",MOD(K3000-1,J3000*4))</f>
        <v/>
      </c>
      <c r="Q3000" s="27" t="str">
        <f aca="false">IF(J3000="","",MOD(P3000,4))</f>
        <v/>
      </c>
      <c r="R3000" s="27" t="str">
        <f aca="false">IF(J3000="","",INT(P3000/4))</f>
        <v/>
      </c>
      <c r="S3000" s="27" t="str">
        <f aca="false">IF(J3000="","",IF(AND('Daily Count Sheet'!$H$3=Q3000,MOD('Daily Count Sheet'!$I$3,J3000)=R3000),1,""))</f>
        <v/>
      </c>
      <c r="T3000" s="27" t="str">
        <f aca="false">IF(S3000=1,COUNTIF($S$2:S3000,1),"")</f>
        <v/>
      </c>
    </row>
    <row r="3001" customFormat="false" ht="15" hidden="false" customHeight="false" outlineLevel="0" collapsed="false">
      <c r="H3001" s="26"/>
      <c r="I3001" s="27" t="str">
        <f aca="false">IF(A3001="","",IF(H3001&lt;&gt;"",UPPER(TRIM(H3001)),IFERROR(CHOOSE(VALUE(E3001)+1,"A","B","C","D"),IF(OR(LEFT(UPPER(TRIM(E3001)),1)="F",UPPER(TRIM(E3001))="A"),"A",IF(OR(LEFT(UPPER(TRIM(E3001)),1)="M",UPPER(TRIM(E3001))="B"),"B",IF(OR(LEFT(UPPER(TRIM(E3001)),2)="SL",UPPER(TRIM(E3001))="C"),"C",IF(OR(LEFT(UPPER(TRIM(E3001)),1)="D",UPPER(TRIM(E3001))="D"),"D","")))))))</f>
        <v/>
      </c>
      <c r="J3001" s="27" t="str">
        <f aca="false">IF(I3001="","",IF(AND(I3001="D",Settings!$B$6&lt;&gt;"Yes"),"",IFERROR(INDEX(Settings!$C$9:$C$12,MATCH(I3001,Settings!$A$9:$A$12,0)),"")))</f>
        <v/>
      </c>
      <c r="K3001" s="27" t="str">
        <f aca="false">IF(J3001="","",COUNTIF($I$2:I3001,I3001))</f>
        <v/>
      </c>
      <c r="L3001" s="27" t="str">
        <f aca="false">IF(J3001="","",CHOOSE(Q3001+1,"Tue","Wed","Thu","Fri"))</f>
        <v/>
      </c>
      <c r="M3001" s="27" t="str">
        <f aca="false">IF(J3001="","",IF(J3001=1,"Every week",R3001+1&amp;" of "&amp;J3001))</f>
        <v/>
      </c>
      <c r="N3001" s="28" t="str">
        <f aca="false">IF(J3001="","",Settings!$B$4+R3001*7+Q3001)</f>
        <v/>
      </c>
      <c r="O3001" s="28" t="str">
        <f aca="true">IF(J3001="","",N3001+MAX(0,ROUNDUP((TODAY()-N3001)/(J3001*7),0))*J3001*7)</f>
        <v/>
      </c>
      <c r="P3001" s="27" t="str">
        <f aca="false">IF(J3001="","",MOD(K3001-1,J3001*4))</f>
        <v/>
      </c>
      <c r="Q3001" s="27" t="str">
        <f aca="false">IF(J3001="","",MOD(P3001,4))</f>
        <v/>
      </c>
      <c r="R3001" s="27" t="str">
        <f aca="false">IF(J3001="","",INT(P3001/4))</f>
        <v/>
      </c>
      <c r="S3001" s="27" t="str">
        <f aca="false">IF(J3001="","",IF(AND('Daily Count Sheet'!$H$3=Q3001,MOD('Daily Count Sheet'!$I$3,J3001)=R3001),1,""))</f>
        <v/>
      </c>
      <c r="T3001" s="27" t="str">
        <f aca="false">IF(S3001=1,COUNTIF($S$2:S3001,1),"")</f>
        <v/>
      </c>
    </row>
  </sheetData>
  <conditionalFormatting sqref="I2:I3001">
    <cfRule type="expression" priority="2" aboveAverage="0" equalAverage="0" bottom="0" percent="0" rank="0" text="" dxfId="0">
      <formula>$I2="A"</formula>
    </cfRule>
    <cfRule type="expression" priority="3" aboveAverage="0" equalAverage="0" bottom="0" percent="0" rank="0" text="" dxfId="1">
      <formula>$I2="B"</formula>
    </cfRule>
    <cfRule type="expression" priority="4" aboveAverage="0" equalAverage="0" bottom="0" percent="0" rank="0" text="" dxfId="2">
      <formula>$I2="C"</formula>
    </cfRule>
    <cfRule type="expression" priority="5" aboveAverage="0" equalAverage="0" bottom="0" percent="0" rank="0" text="" dxfId="3">
      <formula>$I2="D"</formula>
    </cfRule>
  </conditionalFormatting>
  <dataValidations count="1">
    <dataValidation allowBlank="true" errorStyle="stop" operator="between" showDropDown="false" showErrorMessage="false" showInputMessage="false" sqref="H2:H300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7" min="4" style="0" width="11"/>
    <col collapsed="false" customWidth="true" hidden="false" outlineLevel="0" max="8" min="8" style="0" width="9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tr">
        <f aca="false">"13 weeks from "&amp;TEXT(Settings!$B$4,"ddd m/d/yyyy")&amp;". Capacity "&amp;Settings!$B$5&amp;" SKUs a day."</f>
        <v>13 weeks from Tue 10/20/2026. Capacity 50 SKUs a day.</v>
      </c>
    </row>
    <row r="4" customFormat="false" ht="15" hidden="false" customHeight="false" outlineLevel="0" collapsed="false">
      <c r="A4" s="25" t="s">
        <v>72</v>
      </c>
      <c r="B4" s="25" t="s">
        <v>73</v>
      </c>
      <c r="C4" s="25" t="s">
        <v>74</v>
      </c>
      <c r="D4" s="25" t="s">
        <v>75</v>
      </c>
      <c r="E4" s="25" t="s">
        <v>76</v>
      </c>
      <c r="F4" s="25" t="s">
        <v>77</v>
      </c>
      <c r="G4" s="25" t="s">
        <v>78</v>
      </c>
      <c r="H4" s="25" t="s">
        <v>56</v>
      </c>
      <c r="I4" s="25" t="s">
        <v>79</v>
      </c>
      <c r="J4" s="25" t="s">
        <v>80</v>
      </c>
    </row>
    <row r="5" customFormat="false" ht="15" hidden="false" customHeight="false" outlineLevel="0" collapsed="false">
      <c r="A5" s="29" t="n">
        <f aca="false">Settings!$B$4+INT((5-5)/4)*7+MOD(5-5,4)</f>
        <v>46315</v>
      </c>
      <c r="B5" s="30" t="str">
        <f aca="false">CHOOSE(MOD(5-5,4)+1,"Tue","Wed","Thu","Fri")</f>
        <v>Tue</v>
      </c>
      <c r="C5" s="30" t="n">
        <f aca="false">INT((5-5)/4)+1</f>
        <v>1</v>
      </c>
      <c r="D5" s="30" t="n">
        <f aca="false">COUNTIFS(Velocity!$I$2:$I$3001,"A",Velocity!$Q$2:$Q$3001,MOD(5-5,4),Velocity!$R$2:$R$3001,MOD($C5-1,Settings!$C$9))</f>
        <v>0</v>
      </c>
      <c r="E5" s="30" t="n">
        <f aca="false">COUNTIFS(Velocity!$I$2:$I$3001,"B",Velocity!$Q$2:$Q$3001,MOD(5-5,4),Velocity!$R$2:$R$3001,MOD($C5-1,Settings!$C$10))</f>
        <v>0</v>
      </c>
      <c r="F5" s="30" t="n">
        <f aca="false">COUNTIFS(Velocity!$I$2:$I$3001,"C",Velocity!$Q$2:$Q$3001,MOD(5-5,4),Velocity!$R$2:$R$3001,MOD($C5-1,Settings!$C$11))</f>
        <v>0</v>
      </c>
      <c r="G5" s="30" t="n">
        <f aca="false">COUNTIFS(Velocity!$I$2:$I$3001,"D",Velocity!$Q$2:$Q$3001,MOD(5-5,4),Velocity!$R$2:$R$3001,MOD($C5-1,Settings!$C$12))</f>
        <v>0</v>
      </c>
      <c r="H5" s="31" t="n">
        <f aca="false">SUM(D5:G5)</f>
        <v>0</v>
      </c>
      <c r="I5" s="32" t="n">
        <f aca="false">Settings!$B$5</f>
        <v>50</v>
      </c>
      <c r="J5" s="33" t="n">
        <f aca="false">I5-H5</f>
        <v>50</v>
      </c>
    </row>
    <row r="6" customFormat="false" ht="15" hidden="false" customHeight="false" outlineLevel="0" collapsed="false">
      <c r="A6" s="29" t="n">
        <f aca="false">Settings!$B$4+INT((6-5)/4)*7+MOD(6-5,4)</f>
        <v>46316</v>
      </c>
      <c r="B6" s="30" t="str">
        <f aca="false">CHOOSE(MOD(6-5,4)+1,"Tue","Wed","Thu","Fri")</f>
        <v>Wed</v>
      </c>
      <c r="C6" s="30" t="n">
        <f aca="false">INT((6-5)/4)+1</f>
        <v>1</v>
      </c>
      <c r="D6" s="30" t="n">
        <f aca="false">COUNTIFS(Velocity!$I$2:$I$3001,"A",Velocity!$Q$2:$Q$3001,MOD(6-5,4),Velocity!$R$2:$R$3001,MOD($C6-1,Settings!$C$9))</f>
        <v>0</v>
      </c>
      <c r="E6" s="30" t="n">
        <f aca="false">COUNTIFS(Velocity!$I$2:$I$3001,"B",Velocity!$Q$2:$Q$3001,MOD(6-5,4),Velocity!$R$2:$R$3001,MOD($C6-1,Settings!$C$10))</f>
        <v>0</v>
      </c>
      <c r="F6" s="30" t="n">
        <f aca="false">COUNTIFS(Velocity!$I$2:$I$3001,"C",Velocity!$Q$2:$Q$3001,MOD(6-5,4),Velocity!$R$2:$R$3001,MOD($C6-1,Settings!$C$11))</f>
        <v>0</v>
      </c>
      <c r="G6" s="30" t="n">
        <f aca="false">COUNTIFS(Velocity!$I$2:$I$3001,"D",Velocity!$Q$2:$Q$3001,MOD(6-5,4),Velocity!$R$2:$R$3001,MOD($C6-1,Settings!$C$12))</f>
        <v>0</v>
      </c>
      <c r="H6" s="31" t="n">
        <f aca="false">SUM(D6:G6)</f>
        <v>0</v>
      </c>
      <c r="I6" s="32" t="n">
        <f aca="false">Settings!$B$5</f>
        <v>50</v>
      </c>
      <c r="J6" s="33" t="n">
        <f aca="false">I6-H6</f>
        <v>50</v>
      </c>
    </row>
    <row r="7" customFormat="false" ht="15" hidden="false" customHeight="false" outlineLevel="0" collapsed="false">
      <c r="A7" s="29" t="n">
        <f aca="false">Settings!$B$4+INT((7-5)/4)*7+MOD(7-5,4)</f>
        <v>46317</v>
      </c>
      <c r="B7" s="30" t="str">
        <f aca="false">CHOOSE(MOD(7-5,4)+1,"Tue","Wed","Thu","Fri")</f>
        <v>Thu</v>
      </c>
      <c r="C7" s="30" t="n">
        <f aca="false">INT((7-5)/4)+1</f>
        <v>1</v>
      </c>
      <c r="D7" s="30" t="n">
        <f aca="false">COUNTIFS(Velocity!$I$2:$I$3001,"A",Velocity!$Q$2:$Q$3001,MOD(7-5,4),Velocity!$R$2:$R$3001,MOD($C7-1,Settings!$C$9))</f>
        <v>0</v>
      </c>
      <c r="E7" s="30" t="n">
        <f aca="false">COUNTIFS(Velocity!$I$2:$I$3001,"B",Velocity!$Q$2:$Q$3001,MOD(7-5,4),Velocity!$R$2:$R$3001,MOD($C7-1,Settings!$C$10))</f>
        <v>0</v>
      </c>
      <c r="F7" s="30" t="n">
        <f aca="false">COUNTIFS(Velocity!$I$2:$I$3001,"C",Velocity!$Q$2:$Q$3001,MOD(7-5,4),Velocity!$R$2:$R$3001,MOD($C7-1,Settings!$C$11))</f>
        <v>0</v>
      </c>
      <c r="G7" s="30" t="n">
        <f aca="false">COUNTIFS(Velocity!$I$2:$I$3001,"D",Velocity!$Q$2:$Q$3001,MOD(7-5,4),Velocity!$R$2:$R$3001,MOD($C7-1,Settings!$C$12))</f>
        <v>0</v>
      </c>
      <c r="H7" s="31" t="n">
        <f aca="false">SUM(D7:G7)</f>
        <v>0</v>
      </c>
      <c r="I7" s="32" t="n">
        <f aca="false">Settings!$B$5</f>
        <v>50</v>
      </c>
      <c r="J7" s="33" t="n">
        <f aca="false">I7-H7</f>
        <v>50</v>
      </c>
    </row>
    <row r="8" customFormat="false" ht="15" hidden="false" customHeight="false" outlineLevel="0" collapsed="false">
      <c r="A8" s="29" t="n">
        <f aca="false">Settings!$B$4+INT((8-5)/4)*7+MOD(8-5,4)</f>
        <v>46318</v>
      </c>
      <c r="B8" s="30" t="str">
        <f aca="false">CHOOSE(MOD(8-5,4)+1,"Tue","Wed","Thu","Fri")</f>
        <v>Fri</v>
      </c>
      <c r="C8" s="30" t="n">
        <f aca="false">INT((8-5)/4)+1</f>
        <v>1</v>
      </c>
      <c r="D8" s="30" t="n">
        <f aca="false">COUNTIFS(Velocity!$I$2:$I$3001,"A",Velocity!$Q$2:$Q$3001,MOD(8-5,4),Velocity!$R$2:$R$3001,MOD($C8-1,Settings!$C$9))</f>
        <v>0</v>
      </c>
      <c r="E8" s="30" t="n">
        <f aca="false">COUNTIFS(Velocity!$I$2:$I$3001,"B",Velocity!$Q$2:$Q$3001,MOD(8-5,4),Velocity!$R$2:$R$3001,MOD($C8-1,Settings!$C$10))</f>
        <v>0</v>
      </c>
      <c r="F8" s="30" t="n">
        <f aca="false">COUNTIFS(Velocity!$I$2:$I$3001,"C",Velocity!$Q$2:$Q$3001,MOD(8-5,4),Velocity!$R$2:$R$3001,MOD($C8-1,Settings!$C$11))</f>
        <v>0</v>
      </c>
      <c r="G8" s="30" t="n">
        <f aca="false">COUNTIFS(Velocity!$I$2:$I$3001,"D",Velocity!$Q$2:$Q$3001,MOD(8-5,4),Velocity!$R$2:$R$3001,MOD($C8-1,Settings!$C$12))</f>
        <v>0</v>
      </c>
      <c r="H8" s="31" t="n">
        <f aca="false">SUM(D8:G8)</f>
        <v>0</v>
      </c>
      <c r="I8" s="32" t="n">
        <f aca="false">Settings!$B$5</f>
        <v>50</v>
      </c>
      <c r="J8" s="33" t="n">
        <f aca="false">I8-H8</f>
        <v>50</v>
      </c>
    </row>
    <row r="9" customFormat="false" ht="15" hidden="false" customHeight="false" outlineLevel="0" collapsed="false">
      <c r="A9" s="34" t="n">
        <f aca="false">Settings!$B$4+INT((9-5)/4)*7+MOD(9-5,4)</f>
        <v>46322</v>
      </c>
      <c r="B9" s="35" t="str">
        <f aca="false">CHOOSE(MOD(9-5,4)+1,"Tue","Wed","Thu","Fri")</f>
        <v>Tue</v>
      </c>
      <c r="C9" s="35" t="n">
        <f aca="false">INT((9-5)/4)+1</f>
        <v>2</v>
      </c>
      <c r="D9" s="35" t="n">
        <f aca="false">COUNTIFS(Velocity!$I$2:$I$3001,"A",Velocity!$Q$2:$Q$3001,MOD(9-5,4),Velocity!$R$2:$R$3001,MOD($C9-1,Settings!$C$9))</f>
        <v>0</v>
      </c>
      <c r="E9" s="35" t="n">
        <f aca="false">COUNTIFS(Velocity!$I$2:$I$3001,"B",Velocity!$Q$2:$Q$3001,MOD(9-5,4),Velocity!$R$2:$R$3001,MOD($C9-1,Settings!$C$10))</f>
        <v>0</v>
      </c>
      <c r="F9" s="35" t="n">
        <f aca="false">COUNTIFS(Velocity!$I$2:$I$3001,"C",Velocity!$Q$2:$Q$3001,MOD(9-5,4),Velocity!$R$2:$R$3001,MOD($C9-1,Settings!$C$11))</f>
        <v>0</v>
      </c>
      <c r="G9" s="35" t="n">
        <f aca="false">COUNTIFS(Velocity!$I$2:$I$3001,"D",Velocity!$Q$2:$Q$3001,MOD(9-5,4),Velocity!$R$2:$R$3001,MOD($C9-1,Settings!$C$12))</f>
        <v>0</v>
      </c>
      <c r="H9" s="36" t="n">
        <f aca="false">SUM(D9:G9)</f>
        <v>0</v>
      </c>
      <c r="I9" s="37" t="n">
        <f aca="false">Settings!$B$5</f>
        <v>50</v>
      </c>
      <c r="J9" s="38" t="n">
        <f aca="false">I9-H9</f>
        <v>50</v>
      </c>
    </row>
    <row r="10" customFormat="false" ht="15" hidden="false" customHeight="false" outlineLevel="0" collapsed="false">
      <c r="A10" s="34" t="n">
        <f aca="false">Settings!$B$4+INT((10-5)/4)*7+MOD(10-5,4)</f>
        <v>46323</v>
      </c>
      <c r="B10" s="35" t="str">
        <f aca="false">CHOOSE(MOD(10-5,4)+1,"Tue","Wed","Thu","Fri")</f>
        <v>Wed</v>
      </c>
      <c r="C10" s="35" t="n">
        <f aca="false">INT((10-5)/4)+1</f>
        <v>2</v>
      </c>
      <c r="D10" s="35" t="n">
        <f aca="false">COUNTIFS(Velocity!$I$2:$I$3001,"A",Velocity!$Q$2:$Q$3001,MOD(10-5,4),Velocity!$R$2:$R$3001,MOD($C10-1,Settings!$C$9))</f>
        <v>0</v>
      </c>
      <c r="E10" s="35" t="n">
        <f aca="false">COUNTIFS(Velocity!$I$2:$I$3001,"B",Velocity!$Q$2:$Q$3001,MOD(10-5,4),Velocity!$R$2:$R$3001,MOD($C10-1,Settings!$C$10))</f>
        <v>0</v>
      </c>
      <c r="F10" s="35" t="n">
        <f aca="false">COUNTIFS(Velocity!$I$2:$I$3001,"C",Velocity!$Q$2:$Q$3001,MOD(10-5,4),Velocity!$R$2:$R$3001,MOD($C10-1,Settings!$C$11))</f>
        <v>0</v>
      </c>
      <c r="G10" s="35" t="n">
        <f aca="false">COUNTIFS(Velocity!$I$2:$I$3001,"D",Velocity!$Q$2:$Q$3001,MOD(10-5,4),Velocity!$R$2:$R$3001,MOD($C10-1,Settings!$C$12))</f>
        <v>0</v>
      </c>
      <c r="H10" s="36" t="n">
        <f aca="false">SUM(D10:G10)</f>
        <v>0</v>
      </c>
      <c r="I10" s="37" t="n">
        <f aca="false">Settings!$B$5</f>
        <v>50</v>
      </c>
      <c r="J10" s="38" t="n">
        <f aca="false">I10-H10</f>
        <v>50</v>
      </c>
    </row>
    <row r="11" customFormat="false" ht="15" hidden="false" customHeight="false" outlineLevel="0" collapsed="false">
      <c r="A11" s="34" t="n">
        <f aca="false">Settings!$B$4+INT((11-5)/4)*7+MOD(11-5,4)</f>
        <v>46324</v>
      </c>
      <c r="B11" s="35" t="str">
        <f aca="false">CHOOSE(MOD(11-5,4)+1,"Tue","Wed","Thu","Fri")</f>
        <v>Thu</v>
      </c>
      <c r="C11" s="35" t="n">
        <f aca="false">INT((11-5)/4)+1</f>
        <v>2</v>
      </c>
      <c r="D11" s="35" t="n">
        <f aca="false">COUNTIFS(Velocity!$I$2:$I$3001,"A",Velocity!$Q$2:$Q$3001,MOD(11-5,4),Velocity!$R$2:$R$3001,MOD($C11-1,Settings!$C$9))</f>
        <v>0</v>
      </c>
      <c r="E11" s="35" t="n">
        <f aca="false">COUNTIFS(Velocity!$I$2:$I$3001,"B",Velocity!$Q$2:$Q$3001,MOD(11-5,4),Velocity!$R$2:$R$3001,MOD($C11-1,Settings!$C$10))</f>
        <v>0</v>
      </c>
      <c r="F11" s="35" t="n">
        <f aca="false">COUNTIFS(Velocity!$I$2:$I$3001,"C",Velocity!$Q$2:$Q$3001,MOD(11-5,4),Velocity!$R$2:$R$3001,MOD($C11-1,Settings!$C$11))</f>
        <v>0</v>
      </c>
      <c r="G11" s="35" t="n">
        <f aca="false">COUNTIFS(Velocity!$I$2:$I$3001,"D",Velocity!$Q$2:$Q$3001,MOD(11-5,4),Velocity!$R$2:$R$3001,MOD($C11-1,Settings!$C$12))</f>
        <v>0</v>
      </c>
      <c r="H11" s="36" t="n">
        <f aca="false">SUM(D11:G11)</f>
        <v>0</v>
      </c>
      <c r="I11" s="37" t="n">
        <f aca="false">Settings!$B$5</f>
        <v>50</v>
      </c>
      <c r="J11" s="38" t="n">
        <f aca="false">I11-H11</f>
        <v>50</v>
      </c>
    </row>
    <row r="12" customFormat="false" ht="15" hidden="false" customHeight="false" outlineLevel="0" collapsed="false">
      <c r="A12" s="34" t="n">
        <f aca="false">Settings!$B$4+INT((12-5)/4)*7+MOD(12-5,4)</f>
        <v>46325</v>
      </c>
      <c r="B12" s="35" t="str">
        <f aca="false">CHOOSE(MOD(12-5,4)+1,"Tue","Wed","Thu","Fri")</f>
        <v>Fri</v>
      </c>
      <c r="C12" s="35" t="n">
        <f aca="false">INT((12-5)/4)+1</f>
        <v>2</v>
      </c>
      <c r="D12" s="35" t="n">
        <f aca="false">COUNTIFS(Velocity!$I$2:$I$3001,"A",Velocity!$Q$2:$Q$3001,MOD(12-5,4),Velocity!$R$2:$R$3001,MOD($C12-1,Settings!$C$9))</f>
        <v>0</v>
      </c>
      <c r="E12" s="35" t="n">
        <f aca="false">COUNTIFS(Velocity!$I$2:$I$3001,"B",Velocity!$Q$2:$Q$3001,MOD(12-5,4),Velocity!$R$2:$R$3001,MOD($C12-1,Settings!$C$10))</f>
        <v>0</v>
      </c>
      <c r="F12" s="35" t="n">
        <f aca="false">COUNTIFS(Velocity!$I$2:$I$3001,"C",Velocity!$Q$2:$Q$3001,MOD(12-5,4),Velocity!$R$2:$R$3001,MOD($C12-1,Settings!$C$11))</f>
        <v>0</v>
      </c>
      <c r="G12" s="35" t="n">
        <f aca="false">COUNTIFS(Velocity!$I$2:$I$3001,"D",Velocity!$Q$2:$Q$3001,MOD(12-5,4),Velocity!$R$2:$R$3001,MOD($C12-1,Settings!$C$12))</f>
        <v>0</v>
      </c>
      <c r="H12" s="36" t="n">
        <f aca="false">SUM(D12:G12)</f>
        <v>0</v>
      </c>
      <c r="I12" s="37" t="n">
        <f aca="false">Settings!$B$5</f>
        <v>50</v>
      </c>
      <c r="J12" s="38" t="n">
        <f aca="false">I12-H12</f>
        <v>50</v>
      </c>
    </row>
    <row r="13" customFormat="false" ht="15" hidden="false" customHeight="false" outlineLevel="0" collapsed="false">
      <c r="A13" s="29" t="n">
        <f aca="false">Settings!$B$4+INT((13-5)/4)*7+MOD(13-5,4)</f>
        <v>46329</v>
      </c>
      <c r="B13" s="30" t="str">
        <f aca="false">CHOOSE(MOD(13-5,4)+1,"Tue","Wed","Thu","Fri")</f>
        <v>Tue</v>
      </c>
      <c r="C13" s="30" t="n">
        <f aca="false">INT((13-5)/4)+1</f>
        <v>3</v>
      </c>
      <c r="D13" s="30" t="n">
        <f aca="false">COUNTIFS(Velocity!$I$2:$I$3001,"A",Velocity!$Q$2:$Q$3001,MOD(13-5,4),Velocity!$R$2:$R$3001,MOD($C13-1,Settings!$C$9))</f>
        <v>0</v>
      </c>
      <c r="E13" s="30" t="n">
        <f aca="false">COUNTIFS(Velocity!$I$2:$I$3001,"B",Velocity!$Q$2:$Q$3001,MOD(13-5,4),Velocity!$R$2:$R$3001,MOD($C13-1,Settings!$C$10))</f>
        <v>0</v>
      </c>
      <c r="F13" s="30" t="n">
        <f aca="false">COUNTIFS(Velocity!$I$2:$I$3001,"C",Velocity!$Q$2:$Q$3001,MOD(13-5,4),Velocity!$R$2:$R$3001,MOD($C13-1,Settings!$C$11))</f>
        <v>0</v>
      </c>
      <c r="G13" s="30" t="n">
        <f aca="false">COUNTIFS(Velocity!$I$2:$I$3001,"D",Velocity!$Q$2:$Q$3001,MOD(13-5,4),Velocity!$R$2:$R$3001,MOD($C13-1,Settings!$C$12))</f>
        <v>0</v>
      </c>
      <c r="H13" s="31" t="n">
        <f aca="false">SUM(D13:G13)</f>
        <v>0</v>
      </c>
      <c r="I13" s="32" t="n">
        <f aca="false">Settings!$B$5</f>
        <v>50</v>
      </c>
      <c r="J13" s="33" t="n">
        <f aca="false">I13-H13</f>
        <v>50</v>
      </c>
    </row>
    <row r="14" customFormat="false" ht="15" hidden="false" customHeight="false" outlineLevel="0" collapsed="false">
      <c r="A14" s="29" t="n">
        <f aca="false">Settings!$B$4+INT((14-5)/4)*7+MOD(14-5,4)</f>
        <v>46330</v>
      </c>
      <c r="B14" s="30" t="str">
        <f aca="false">CHOOSE(MOD(14-5,4)+1,"Tue","Wed","Thu","Fri")</f>
        <v>Wed</v>
      </c>
      <c r="C14" s="30" t="n">
        <f aca="false">INT((14-5)/4)+1</f>
        <v>3</v>
      </c>
      <c r="D14" s="30" t="n">
        <f aca="false">COUNTIFS(Velocity!$I$2:$I$3001,"A",Velocity!$Q$2:$Q$3001,MOD(14-5,4),Velocity!$R$2:$R$3001,MOD($C14-1,Settings!$C$9))</f>
        <v>0</v>
      </c>
      <c r="E14" s="30" t="n">
        <f aca="false">COUNTIFS(Velocity!$I$2:$I$3001,"B",Velocity!$Q$2:$Q$3001,MOD(14-5,4),Velocity!$R$2:$R$3001,MOD($C14-1,Settings!$C$10))</f>
        <v>0</v>
      </c>
      <c r="F14" s="30" t="n">
        <f aca="false">COUNTIFS(Velocity!$I$2:$I$3001,"C",Velocity!$Q$2:$Q$3001,MOD(14-5,4),Velocity!$R$2:$R$3001,MOD($C14-1,Settings!$C$11))</f>
        <v>0</v>
      </c>
      <c r="G14" s="30" t="n">
        <f aca="false">COUNTIFS(Velocity!$I$2:$I$3001,"D",Velocity!$Q$2:$Q$3001,MOD(14-5,4),Velocity!$R$2:$R$3001,MOD($C14-1,Settings!$C$12))</f>
        <v>0</v>
      </c>
      <c r="H14" s="31" t="n">
        <f aca="false">SUM(D14:G14)</f>
        <v>0</v>
      </c>
      <c r="I14" s="32" t="n">
        <f aca="false">Settings!$B$5</f>
        <v>50</v>
      </c>
      <c r="J14" s="33" t="n">
        <f aca="false">I14-H14</f>
        <v>50</v>
      </c>
    </row>
    <row r="15" customFormat="false" ht="15" hidden="false" customHeight="false" outlineLevel="0" collapsed="false">
      <c r="A15" s="29" t="n">
        <f aca="false">Settings!$B$4+INT((15-5)/4)*7+MOD(15-5,4)</f>
        <v>46331</v>
      </c>
      <c r="B15" s="30" t="str">
        <f aca="false">CHOOSE(MOD(15-5,4)+1,"Tue","Wed","Thu","Fri")</f>
        <v>Thu</v>
      </c>
      <c r="C15" s="30" t="n">
        <f aca="false">INT((15-5)/4)+1</f>
        <v>3</v>
      </c>
      <c r="D15" s="30" t="n">
        <f aca="false">COUNTIFS(Velocity!$I$2:$I$3001,"A",Velocity!$Q$2:$Q$3001,MOD(15-5,4),Velocity!$R$2:$R$3001,MOD($C15-1,Settings!$C$9))</f>
        <v>0</v>
      </c>
      <c r="E15" s="30" t="n">
        <f aca="false">COUNTIFS(Velocity!$I$2:$I$3001,"B",Velocity!$Q$2:$Q$3001,MOD(15-5,4),Velocity!$R$2:$R$3001,MOD($C15-1,Settings!$C$10))</f>
        <v>0</v>
      </c>
      <c r="F15" s="30" t="n">
        <f aca="false">COUNTIFS(Velocity!$I$2:$I$3001,"C",Velocity!$Q$2:$Q$3001,MOD(15-5,4),Velocity!$R$2:$R$3001,MOD($C15-1,Settings!$C$11))</f>
        <v>0</v>
      </c>
      <c r="G15" s="30" t="n">
        <f aca="false">COUNTIFS(Velocity!$I$2:$I$3001,"D",Velocity!$Q$2:$Q$3001,MOD(15-5,4),Velocity!$R$2:$R$3001,MOD($C15-1,Settings!$C$12))</f>
        <v>0</v>
      </c>
      <c r="H15" s="31" t="n">
        <f aca="false">SUM(D15:G15)</f>
        <v>0</v>
      </c>
      <c r="I15" s="32" t="n">
        <f aca="false">Settings!$B$5</f>
        <v>50</v>
      </c>
      <c r="J15" s="33" t="n">
        <f aca="false">I15-H15</f>
        <v>50</v>
      </c>
    </row>
    <row r="16" customFormat="false" ht="15" hidden="false" customHeight="false" outlineLevel="0" collapsed="false">
      <c r="A16" s="29" t="n">
        <f aca="false">Settings!$B$4+INT((16-5)/4)*7+MOD(16-5,4)</f>
        <v>46332</v>
      </c>
      <c r="B16" s="30" t="str">
        <f aca="false">CHOOSE(MOD(16-5,4)+1,"Tue","Wed","Thu","Fri")</f>
        <v>Fri</v>
      </c>
      <c r="C16" s="30" t="n">
        <f aca="false">INT((16-5)/4)+1</f>
        <v>3</v>
      </c>
      <c r="D16" s="30" t="n">
        <f aca="false">COUNTIFS(Velocity!$I$2:$I$3001,"A",Velocity!$Q$2:$Q$3001,MOD(16-5,4),Velocity!$R$2:$R$3001,MOD($C16-1,Settings!$C$9))</f>
        <v>0</v>
      </c>
      <c r="E16" s="30" t="n">
        <f aca="false">COUNTIFS(Velocity!$I$2:$I$3001,"B",Velocity!$Q$2:$Q$3001,MOD(16-5,4),Velocity!$R$2:$R$3001,MOD($C16-1,Settings!$C$10))</f>
        <v>0</v>
      </c>
      <c r="F16" s="30" t="n">
        <f aca="false">COUNTIFS(Velocity!$I$2:$I$3001,"C",Velocity!$Q$2:$Q$3001,MOD(16-5,4),Velocity!$R$2:$R$3001,MOD($C16-1,Settings!$C$11))</f>
        <v>0</v>
      </c>
      <c r="G16" s="30" t="n">
        <f aca="false">COUNTIFS(Velocity!$I$2:$I$3001,"D",Velocity!$Q$2:$Q$3001,MOD(16-5,4),Velocity!$R$2:$R$3001,MOD($C16-1,Settings!$C$12))</f>
        <v>0</v>
      </c>
      <c r="H16" s="31" t="n">
        <f aca="false">SUM(D16:G16)</f>
        <v>0</v>
      </c>
      <c r="I16" s="32" t="n">
        <f aca="false">Settings!$B$5</f>
        <v>50</v>
      </c>
      <c r="J16" s="33" t="n">
        <f aca="false">I16-H16</f>
        <v>50</v>
      </c>
    </row>
    <row r="17" customFormat="false" ht="15" hidden="false" customHeight="false" outlineLevel="0" collapsed="false">
      <c r="A17" s="34" t="n">
        <f aca="false">Settings!$B$4+INT((17-5)/4)*7+MOD(17-5,4)</f>
        <v>46336</v>
      </c>
      <c r="B17" s="35" t="str">
        <f aca="false">CHOOSE(MOD(17-5,4)+1,"Tue","Wed","Thu","Fri")</f>
        <v>Tue</v>
      </c>
      <c r="C17" s="35" t="n">
        <f aca="false">INT((17-5)/4)+1</f>
        <v>4</v>
      </c>
      <c r="D17" s="35" t="n">
        <f aca="false">COUNTIFS(Velocity!$I$2:$I$3001,"A",Velocity!$Q$2:$Q$3001,MOD(17-5,4),Velocity!$R$2:$R$3001,MOD($C17-1,Settings!$C$9))</f>
        <v>0</v>
      </c>
      <c r="E17" s="35" t="n">
        <f aca="false">COUNTIFS(Velocity!$I$2:$I$3001,"B",Velocity!$Q$2:$Q$3001,MOD(17-5,4),Velocity!$R$2:$R$3001,MOD($C17-1,Settings!$C$10))</f>
        <v>0</v>
      </c>
      <c r="F17" s="35" t="n">
        <f aca="false">COUNTIFS(Velocity!$I$2:$I$3001,"C",Velocity!$Q$2:$Q$3001,MOD(17-5,4),Velocity!$R$2:$R$3001,MOD($C17-1,Settings!$C$11))</f>
        <v>0</v>
      </c>
      <c r="G17" s="35" t="n">
        <f aca="false">COUNTIFS(Velocity!$I$2:$I$3001,"D",Velocity!$Q$2:$Q$3001,MOD(17-5,4),Velocity!$R$2:$R$3001,MOD($C17-1,Settings!$C$12))</f>
        <v>0</v>
      </c>
      <c r="H17" s="36" t="n">
        <f aca="false">SUM(D17:G17)</f>
        <v>0</v>
      </c>
      <c r="I17" s="37" t="n">
        <f aca="false">Settings!$B$5</f>
        <v>50</v>
      </c>
      <c r="J17" s="38" t="n">
        <f aca="false">I17-H17</f>
        <v>50</v>
      </c>
    </row>
    <row r="18" customFormat="false" ht="15" hidden="false" customHeight="false" outlineLevel="0" collapsed="false">
      <c r="A18" s="34" t="n">
        <f aca="false">Settings!$B$4+INT((18-5)/4)*7+MOD(18-5,4)</f>
        <v>46337</v>
      </c>
      <c r="B18" s="35" t="str">
        <f aca="false">CHOOSE(MOD(18-5,4)+1,"Tue","Wed","Thu","Fri")</f>
        <v>Wed</v>
      </c>
      <c r="C18" s="35" t="n">
        <f aca="false">INT((18-5)/4)+1</f>
        <v>4</v>
      </c>
      <c r="D18" s="35" t="n">
        <f aca="false">COUNTIFS(Velocity!$I$2:$I$3001,"A",Velocity!$Q$2:$Q$3001,MOD(18-5,4),Velocity!$R$2:$R$3001,MOD($C18-1,Settings!$C$9))</f>
        <v>0</v>
      </c>
      <c r="E18" s="35" t="n">
        <f aca="false">COUNTIFS(Velocity!$I$2:$I$3001,"B",Velocity!$Q$2:$Q$3001,MOD(18-5,4),Velocity!$R$2:$R$3001,MOD($C18-1,Settings!$C$10))</f>
        <v>0</v>
      </c>
      <c r="F18" s="35" t="n">
        <f aca="false">COUNTIFS(Velocity!$I$2:$I$3001,"C",Velocity!$Q$2:$Q$3001,MOD(18-5,4),Velocity!$R$2:$R$3001,MOD($C18-1,Settings!$C$11))</f>
        <v>0</v>
      </c>
      <c r="G18" s="35" t="n">
        <f aca="false">COUNTIFS(Velocity!$I$2:$I$3001,"D",Velocity!$Q$2:$Q$3001,MOD(18-5,4),Velocity!$R$2:$R$3001,MOD($C18-1,Settings!$C$12))</f>
        <v>0</v>
      </c>
      <c r="H18" s="36" t="n">
        <f aca="false">SUM(D18:G18)</f>
        <v>0</v>
      </c>
      <c r="I18" s="37" t="n">
        <f aca="false">Settings!$B$5</f>
        <v>50</v>
      </c>
      <c r="J18" s="38" t="n">
        <f aca="false">I18-H18</f>
        <v>50</v>
      </c>
    </row>
    <row r="19" customFormat="false" ht="15" hidden="false" customHeight="false" outlineLevel="0" collapsed="false">
      <c r="A19" s="34" t="n">
        <f aca="false">Settings!$B$4+INT((19-5)/4)*7+MOD(19-5,4)</f>
        <v>46338</v>
      </c>
      <c r="B19" s="35" t="str">
        <f aca="false">CHOOSE(MOD(19-5,4)+1,"Tue","Wed","Thu","Fri")</f>
        <v>Thu</v>
      </c>
      <c r="C19" s="35" t="n">
        <f aca="false">INT((19-5)/4)+1</f>
        <v>4</v>
      </c>
      <c r="D19" s="35" t="n">
        <f aca="false">COUNTIFS(Velocity!$I$2:$I$3001,"A",Velocity!$Q$2:$Q$3001,MOD(19-5,4),Velocity!$R$2:$R$3001,MOD($C19-1,Settings!$C$9))</f>
        <v>0</v>
      </c>
      <c r="E19" s="35" t="n">
        <f aca="false">COUNTIFS(Velocity!$I$2:$I$3001,"B",Velocity!$Q$2:$Q$3001,MOD(19-5,4),Velocity!$R$2:$R$3001,MOD($C19-1,Settings!$C$10))</f>
        <v>0</v>
      </c>
      <c r="F19" s="35" t="n">
        <f aca="false">COUNTIFS(Velocity!$I$2:$I$3001,"C",Velocity!$Q$2:$Q$3001,MOD(19-5,4),Velocity!$R$2:$R$3001,MOD($C19-1,Settings!$C$11))</f>
        <v>0</v>
      </c>
      <c r="G19" s="35" t="n">
        <f aca="false">COUNTIFS(Velocity!$I$2:$I$3001,"D",Velocity!$Q$2:$Q$3001,MOD(19-5,4),Velocity!$R$2:$R$3001,MOD($C19-1,Settings!$C$12))</f>
        <v>0</v>
      </c>
      <c r="H19" s="36" t="n">
        <f aca="false">SUM(D19:G19)</f>
        <v>0</v>
      </c>
      <c r="I19" s="37" t="n">
        <f aca="false">Settings!$B$5</f>
        <v>50</v>
      </c>
      <c r="J19" s="38" t="n">
        <f aca="false">I19-H19</f>
        <v>50</v>
      </c>
    </row>
    <row r="20" customFormat="false" ht="15" hidden="false" customHeight="false" outlineLevel="0" collapsed="false">
      <c r="A20" s="34" t="n">
        <f aca="false">Settings!$B$4+INT((20-5)/4)*7+MOD(20-5,4)</f>
        <v>46339</v>
      </c>
      <c r="B20" s="35" t="str">
        <f aca="false">CHOOSE(MOD(20-5,4)+1,"Tue","Wed","Thu","Fri")</f>
        <v>Fri</v>
      </c>
      <c r="C20" s="35" t="n">
        <f aca="false">INT((20-5)/4)+1</f>
        <v>4</v>
      </c>
      <c r="D20" s="35" t="n">
        <f aca="false">COUNTIFS(Velocity!$I$2:$I$3001,"A",Velocity!$Q$2:$Q$3001,MOD(20-5,4),Velocity!$R$2:$R$3001,MOD($C20-1,Settings!$C$9))</f>
        <v>0</v>
      </c>
      <c r="E20" s="35" t="n">
        <f aca="false">COUNTIFS(Velocity!$I$2:$I$3001,"B",Velocity!$Q$2:$Q$3001,MOD(20-5,4),Velocity!$R$2:$R$3001,MOD($C20-1,Settings!$C$10))</f>
        <v>0</v>
      </c>
      <c r="F20" s="35" t="n">
        <f aca="false">COUNTIFS(Velocity!$I$2:$I$3001,"C",Velocity!$Q$2:$Q$3001,MOD(20-5,4),Velocity!$R$2:$R$3001,MOD($C20-1,Settings!$C$11))</f>
        <v>0</v>
      </c>
      <c r="G20" s="35" t="n">
        <f aca="false">COUNTIFS(Velocity!$I$2:$I$3001,"D",Velocity!$Q$2:$Q$3001,MOD(20-5,4),Velocity!$R$2:$R$3001,MOD($C20-1,Settings!$C$12))</f>
        <v>0</v>
      </c>
      <c r="H20" s="36" t="n">
        <f aca="false">SUM(D20:G20)</f>
        <v>0</v>
      </c>
      <c r="I20" s="37" t="n">
        <f aca="false">Settings!$B$5</f>
        <v>50</v>
      </c>
      <c r="J20" s="38" t="n">
        <f aca="false">I20-H20</f>
        <v>50</v>
      </c>
    </row>
    <row r="21" customFormat="false" ht="15" hidden="false" customHeight="false" outlineLevel="0" collapsed="false">
      <c r="A21" s="29" t="n">
        <f aca="false">Settings!$B$4+INT((21-5)/4)*7+MOD(21-5,4)</f>
        <v>46343</v>
      </c>
      <c r="B21" s="30" t="str">
        <f aca="false">CHOOSE(MOD(21-5,4)+1,"Tue","Wed","Thu","Fri")</f>
        <v>Tue</v>
      </c>
      <c r="C21" s="30" t="n">
        <f aca="false">INT((21-5)/4)+1</f>
        <v>5</v>
      </c>
      <c r="D21" s="30" t="n">
        <f aca="false">COUNTIFS(Velocity!$I$2:$I$3001,"A",Velocity!$Q$2:$Q$3001,MOD(21-5,4),Velocity!$R$2:$R$3001,MOD($C21-1,Settings!$C$9))</f>
        <v>0</v>
      </c>
      <c r="E21" s="30" t="n">
        <f aca="false">COUNTIFS(Velocity!$I$2:$I$3001,"B",Velocity!$Q$2:$Q$3001,MOD(21-5,4),Velocity!$R$2:$R$3001,MOD($C21-1,Settings!$C$10))</f>
        <v>0</v>
      </c>
      <c r="F21" s="30" t="n">
        <f aca="false">COUNTIFS(Velocity!$I$2:$I$3001,"C",Velocity!$Q$2:$Q$3001,MOD(21-5,4),Velocity!$R$2:$R$3001,MOD($C21-1,Settings!$C$11))</f>
        <v>0</v>
      </c>
      <c r="G21" s="30" t="n">
        <f aca="false">COUNTIFS(Velocity!$I$2:$I$3001,"D",Velocity!$Q$2:$Q$3001,MOD(21-5,4),Velocity!$R$2:$R$3001,MOD($C21-1,Settings!$C$12))</f>
        <v>0</v>
      </c>
      <c r="H21" s="31" t="n">
        <f aca="false">SUM(D21:G21)</f>
        <v>0</v>
      </c>
      <c r="I21" s="32" t="n">
        <f aca="false">Settings!$B$5</f>
        <v>50</v>
      </c>
      <c r="J21" s="33" t="n">
        <f aca="false">I21-H21</f>
        <v>50</v>
      </c>
    </row>
    <row r="22" customFormat="false" ht="15" hidden="false" customHeight="false" outlineLevel="0" collapsed="false">
      <c r="A22" s="29" t="n">
        <f aca="false">Settings!$B$4+INT((22-5)/4)*7+MOD(22-5,4)</f>
        <v>46344</v>
      </c>
      <c r="B22" s="30" t="str">
        <f aca="false">CHOOSE(MOD(22-5,4)+1,"Tue","Wed","Thu","Fri")</f>
        <v>Wed</v>
      </c>
      <c r="C22" s="30" t="n">
        <f aca="false">INT((22-5)/4)+1</f>
        <v>5</v>
      </c>
      <c r="D22" s="30" t="n">
        <f aca="false">COUNTIFS(Velocity!$I$2:$I$3001,"A",Velocity!$Q$2:$Q$3001,MOD(22-5,4),Velocity!$R$2:$R$3001,MOD($C22-1,Settings!$C$9))</f>
        <v>0</v>
      </c>
      <c r="E22" s="30" t="n">
        <f aca="false">COUNTIFS(Velocity!$I$2:$I$3001,"B",Velocity!$Q$2:$Q$3001,MOD(22-5,4),Velocity!$R$2:$R$3001,MOD($C22-1,Settings!$C$10))</f>
        <v>0</v>
      </c>
      <c r="F22" s="30" t="n">
        <f aca="false">COUNTIFS(Velocity!$I$2:$I$3001,"C",Velocity!$Q$2:$Q$3001,MOD(22-5,4),Velocity!$R$2:$R$3001,MOD($C22-1,Settings!$C$11))</f>
        <v>0</v>
      </c>
      <c r="G22" s="30" t="n">
        <f aca="false">COUNTIFS(Velocity!$I$2:$I$3001,"D",Velocity!$Q$2:$Q$3001,MOD(22-5,4),Velocity!$R$2:$R$3001,MOD($C22-1,Settings!$C$12))</f>
        <v>0</v>
      </c>
      <c r="H22" s="31" t="n">
        <f aca="false">SUM(D22:G22)</f>
        <v>0</v>
      </c>
      <c r="I22" s="32" t="n">
        <f aca="false">Settings!$B$5</f>
        <v>50</v>
      </c>
      <c r="J22" s="33" t="n">
        <f aca="false">I22-H22</f>
        <v>50</v>
      </c>
    </row>
    <row r="23" customFormat="false" ht="15" hidden="false" customHeight="false" outlineLevel="0" collapsed="false">
      <c r="A23" s="29" t="n">
        <f aca="false">Settings!$B$4+INT((23-5)/4)*7+MOD(23-5,4)</f>
        <v>46345</v>
      </c>
      <c r="B23" s="30" t="str">
        <f aca="false">CHOOSE(MOD(23-5,4)+1,"Tue","Wed","Thu","Fri")</f>
        <v>Thu</v>
      </c>
      <c r="C23" s="30" t="n">
        <f aca="false">INT((23-5)/4)+1</f>
        <v>5</v>
      </c>
      <c r="D23" s="30" t="n">
        <f aca="false">COUNTIFS(Velocity!$I$2:$I$3001,"A",Velocity!$Q$2:$Q$3001,MOD(23-5,4),Velocity!$R$2:$R$3001,MOD($C23-1,Settings!$C$9))</f>
        <v>0</v>
      </c>
      <c r="E23" s="30" t="n">
        <f aca="false">COUNTIFS(Velocity!$I$2:$I$3001,"B",Velocity!$Q$2:$Q$3001,MOD(23-5,4),Velocity!$R$2:$R$3001,MOD($C23-1,Settings!$C$10))</f>
        <v>0</v>
      </c>
      <c r="F23" s="30" t="n">
        <f aca="false">COUNTIFS(Velocity!$I$2:$I$3001,"C",Velocity!$Q$2:$Q$3001,MOD(23-5,4),Velocity!$R$2:$R$3001,MOD($C23-1,Settings!$C$11))</f>
        <v>0</v>
      </c>
      <c r="G23" s="30" t="n">
        <f aca="false">COUNTIFS(Velocity!$I$2:$I$3001,"D",Velocity!$Q$2:$Q$3001,MOD(23-5,4),Velocity!$R$2:$R$3001,MOD($C23-1,Settings!$C$12))</f>
        <v>0</v>
      </c>
      <c r="H23" s="31" t="n">
        <f aca="false">SUM(D23:G23)</f>
        <v>0</v>
      </c>
      <c r="I23" s="32" t="n">
        <f aca="false">Settings!$B$5</f>
        <v>50</v>
      </c>
      <c r="J23" s="33" t="n">
        <f aca="false">I23-H23</f>
        <v>50</v>
      </c>
    </row>
    <row r="24" customFormat="false" ht="15" hidden="false" customHeight="false" outlineLevel="0" collapsed="false">
      <c r="A24" s="29" t="n">
        <f aca="false">Settings!$B$4+INT((24-5)/4)*7+MOD(24-5,4)</f>
        <v>46346</v>
      </c>
      <c r="B24" s="30" t="str">
        <f aca="false">CHOOSE(MOD(24-5,4)+1,"Tue","Wed","Thu","Fri")</f>
        <v>Fri</v>
      </c>
      <c r="C24" s="30" t="n">
        <f aca="false">INT((24-5)/4)+1</f>
        <v>5</v>
      </c>
      <c r="D24" s="30" t="n">
        <f aca="false">COUNTIFS(Velocity!$I$2:$I$3001,"A",Velocity!$Q$2:$Q$3001,MOD(24-5,4),Velocity!$R$2:$R$3001,MOD($C24-1,Settings!$C$9))</f>
        <v>0</v>
      </c>
      <c r="E24" s="30" t="n">
        <f aca="false">COUNTIFS(Velocity!$I$2:$I$3001,"B",Velocity!$Q$2:$Q$3001,MOD(24-5,4),Velocity!$R$2:$R$3001,MOD($C24-1,Settings!$C$10))</f>
        <v>0</v>
      </c>
      <c r="F24" s="30" t="n">
        <f aca="false">COUNTIFS(Velocity!$I$2:$I$3001,"C",Velocity!$Q$2:$Q$3001,MOD(24-5,4),Velocity!$R$2:$R$3001,MOD($C24-1,Settings!$C$11))</f>
        <v>0</v>
      </c>
      <c r="G24" s="30" t="n">
        <f aca="false">COUNTIFS(Velocity!$I$2:$I$3001,"D",Velocity!$Q$2:$Q$3001,MOD(24-5,4),Velocity!$R$2:$R$3001,MOD($C24-1,Settings!$C$12))</f>
        <v>0</v>
      </c>
      <c r="H24" s="31" t="n">
        <f aca="false">SUM(D24:G24)</f>
        <v>0</v>
      </c>
      <c r="I24" s="32" t="n">
        <f aca="false">Settings!$B$5</f>
        <v>50</v>
      </c>
      <c r="J24" s="33" t="n">
        <f aca="false">I24-H24</f>
        <v>50</v>
      </c>
    </row>
    <row r="25" customFormat="false" ht="15" hidden="false" customHeight="false" outlineLevel="0" collapsed="false">
      <c r="A25" s="34" t="n">
        <f aca="false">Settings!$B$4+INT((25-5)/4)*7+MOD(25-5,4)</f>
        <v>46350</v>
      </c>
      <c r="B25" s="35" t="str">
        <f aca="false">CHOOSE(MOD(25-5,4)+1,"Tue","Wed","Thu","Fri")</f>
        <v>Tue</v>
      </c>
      <c r="C25" s="35" t="n">
        <f aca="false">INT((25-5)/4)+1</f>
        <v>6</v>
      </c>
      <c r="D25" s="35" t="n">
        <f aca="false">COUNTIFS(Velocity!$I$2:$I$3001,"A",Velocity!$Q$2:$Q$3001,MOD(25-5,4),Velocity!$R$2:$R$3001,MOD($C25-1,Settings!$C$9))</f>
        <v>0</v>
      </c>
      <c r="E25" s="35" t="n">
        <f aca="false">COUNTIFS(Velocity!$I$2:$I$3001,"B",Velocity!$Q$2:$Q$3001,MOD(25-5,4),Velocity!$R$2:$R$3001,MOD($C25-1,Settings!$C$10))</f>
        <v>0</v>
      </c>
      <c r="F25" s="35" t="n">
        <f aca="false">COUNTIFS(Velocity!$I$2:$I$3001,"C",Velocity!$Q$2:$Q$3001,MOD(25-5,4),Velocity!$R$2:$R$3001,MOD($C25-1,Settings!$C$11))</f>
        <v>0</v>
      </c>
      <c r="G25" s="35" t="n">
        <f aca="false">COUNTIFS(Velocity!$I$2:$I$3001,"D",Velocity!$Q$2:$Q$3001,MOD(25-5,4),Velocity!$R$2:$R$3001,MOD($C25-1,Settings!$C$12))</f>
        <v>0</v>
      </c>
      <c r="H25" s="36" t="n">
        <f aca="false">SUM(D25:G25)</f>
        <v>0</v>
      </c>
      <c r="I25" s="37" t="n">
        <f aca="false">Settings!$B$5</f>
        <v>50</v>
      </c>
      <c r="J25" s="38" t="n">
        <f aca="false">I25-H25</f>
        <v>50</v>
      </c>
    </row>
    <row r="26" customFormat="false" ht="15" hidden="false" customHeight="false" outlineLevel="0" collapsed="false">
      <c r="A26" s="34" t="n">
        <f aca="false">Settings!$B$4+INT((26-5)/4)*7+MOD(26-5,4)</f>
        <v>46351</v>
      </c>
      <c r="B26" s="35" t="str">
        <f aca="false">CHOOSE(MOD(26-5,4)+1,"Tue","Wed","Thu","Fri")</f>
        <v>Wed</v>
      </c>
      <c r="C26" s="35" t="n">
        <f aca="false">INT((26-5)/4)+1</f>
        <v>6</v>
      </c>
      <c r="D26" s="35" t="n">
        <f aca="false">COUNTIFS(Velocity!$I$2:$I$3001,"A",Velocity!$Q$2:$Q$3001,MOD(26-5,4),Velocity!$R$2:$R$3001,MOD($C26-1,Settings!$C$9))</f>
        <v>0</v>
      </c>
      <c r="E26" s="35" t="n">
        <f aca="false">COUNTIFS(Velocity!$I$2:$I$3001,"B",Velocity!$Q$2:$Q$3001,MOD(26-5,4),Velocity!$R$2:$R$3001,MOD($C26-1,Settings!$C$10))</f>
        <v>0</v>
      </c>
      <c r="F26" s="35" t="n">
        <f aca="false">COUNTIFS(Velocity!$I$2:$I$3001,"C",Velocity!$Q$2:$Q$3001,MOD(26-5,4),Velocity!$R$2:$R$3001,MOD($C26-1,Settings!$C$11))</f>
        <v>0</v>
      </c>
      <c r="G26" s="35" t="n">
        <f aca="false">COUNTIFS(Velocity!$I$2:$I$3001,"D",Velocity!$Q$2:$Q$3001,MOD(26-5,4),Velocity!$R$2:$R$3001,MOD($C26-1,Settings!$C$12))</f>
        <v>0</v>
      </c>
      <c r="H26" s="36" t="n">
        <f aca="false">SUM(D26:G26)</f>
        <v>0</v>
      </c>
      <c r="I26" s="37" t="n">
        <f aca="false">Settings!$B$5</f>
        <v>50</v>
      </c>
      <c r="J26" s="38" t="n">
        <f aca="false">I26-H26</f>
        <v>50</v>
      </c>
    </row>
    <row r="27" customFormat="false" ht="15" hidden="false" customHeight="false" outlineLevel="0" collapsed="false">
      <c r="A27" s="34" t="n">
        <f aca="false">Settings!$B$4+INT((27-5)/4)*7+MOD(27-5,4)</f>
        <v>46352</v>
      </c>
      <c r="B27" s="35" t="str">
        <f aca="false">CHOOSE(MOD(27-5,4)+1,"Tue","Wed","Thu","Fri")</f>
        <v>Thu</v>
      </c>
      <c r="C27" s="35" t="n">
        <f aca="false">INT((27-5)/4)+1</f>
        <v>6</v>
      </c>
      <c r="D27" s="35" t="n">
        <f aca="false">COUNTIFS(Velocity!$I$2:$I$3001,"A",Velocity!$Q$2:$Q$3001,MOD(27-5,4),Velocity!$R$2:$R$3001,MOD($C27-1,Settings!$C$9))</f>
        <v>0</v>
      </c>
      <c r="E27" s="35" t="n">
        <f aca="false">COUNTIFS(Velocity!$I$2:$I$3001,"B",Velocity!$Q$2:$Q$3001,MOD(27-5,4),Velocity!$R$2:$R$3001,MOD($C27-1,Settings!$C$10))</f>
        <v>0</v>
      </c>
      <c r="F27" s="35" t="n">
        <f aca="false">COUNTIFS(Velocity!$I$2:$I$3001,"C",Velocity!$Q$2:$Q$3001,MOD(27-5,4),Velocity!$R$2:$R$3001,MOD($C27-1,Settings!$C$11))</f>
        <v>0</v>
      </c>
      <c r="G27" s="35" t="n">
        <f aca="false">COUNTIFS(Velocity!$I$2:$I$3001,"D",Velocity!$Q$2:$Q$3001,MOD(27-5,4),Velocity!$R$2:$R$3001,MOD($C27-1,Settings!$C$12))</f>
        <v>0</v>
      </c>
      <c r="H27" s="36" t="n">
        <f aca="false">SUM(D27:G27)</f>
        <v>0</v>
      </c>
      <c r="I27" s="37" t="n">
        <f aca="false">Settings!$B$5</f>
        <v>50</v>
      </c>
      <c r="J27" s="38" t="n">
        <f aca="false">I27-H27</f>
        <v>50</v>
      </c>
    </row>
    <row r="28" customFormat="false" ht="15" hidden="false" customHeight="false" outlineLevel="0" collapsed="false">
      <c r="A28" s="34" t="n">
        <f aca="false">Settings!$B$4+INT((28-5)/4)*7+MOD(28-5,4)</f>
        <v>46353</v>
      </c>
      <c r="B28" s="35" t="str">
        <f aca="false">CHOOSE(MOD(28-5,4)+1,"Tue","Wed","Thu","Fri")</f>
        <v>Fri</v>
      </c>
      <c r="C28" s="35" t="n">
        <f aca="false">INT((28-5)/4)+1</f>
        <v>6</v>
      </c>
      <c r="D28" s="35" t="n">
        <f aca="false">COUNTIFS(Velocity!$I$2:$I$3001,"A",Velocity!$Q$2:$Q$3001,MOD(28-5,4),Velocity!$R$2:$R$3001,MOD($C28-1,Settings!$C$9))</f>
        <v>0</v>
      </c>
      <c r="E28" s="35" t="n">
        <f aca="false">COUNTIFS(Velocity!$I$2:$I$3001,"B",Velocity!$Q$2:$Q$3001,MOD(28-5,4),Velocity!$R$2:$R$3001,MOD($C28-1,Settings!$C$10))</f>
        <v>0</v>
      </c>
      <c r="F28" s="35" t="n">
        <f aca="false">COUNTIFS(Velocity!$I$2:$I$3001,"C",Velocity!$Q$2:$Q$3001,MOD(28-5,4),Velocity!$R$2:$R$3001,MOD($C28-1,Settings!$C$11))</f>
        <v>0</v>
      </c>
      <c r="G28" s="35" t="n">
        <f aca="false">COUNTIFS(Velocity!$I$2:$I$3001,"D",Velocity!$Q$2:$Q$3001,MOD(28-5,4),Velocity!$R$2:$R$3001,MOD($C28-1,Settings!$C$12))</f>
        <v>0</v>
      </c>
      <c r="H28" s="36" t="n">
        <f aca="false">SUM(D28:G28)</f>
        <v>0</v>
      </c>
      <c r="I28" s="37" t="n">
        <f aca="false">Settings!$B$5</f>
        <v>50</v>
      </c>
      <c r="J28" s="38" t="n">
        <f aca="false">I28-H28</f>
        <v>50</v>
      </c>
    </row>
    <row r="29" customFormat="false" ht="15" hidden="false" customHeight="false" outlineLevel="0" collapsed="false">
      <c r="A29" s="29" t="n">
        <f aca="false">Settings!$B$4+INT((29-5)/4)*7+MOD(29-5,4)</f>
        <v>46357</v>
      </c>
      <c r="B29" s="30" t="str">
        <f aca="false">CHOOSE(MOD(29-5,4)+1,"Tue","Wed","Thu","Fri")</f>
        <v>Tue</v>
      </c>
      <c r="C29" s="30" t="n">
        <f aca="false">INT((29-5)/4)+1</f>
        <v>7</v>
      </c>
      <c r="D29" s="30" t="n">
        <f aca="false">COUNTIFS(Velocity!$I$2:$I$3001,"A",Velocity!$Q$2:$Q$3001,MOD(29-5,4),Velocity!$R$2:$R$3001,MOD($C29-1,Settings!$C$9))</f>
        <v>0</v>
      </c>
      <c r="E29" s="30" t="n">
        <f aca="false">COUNTIFS(Velocity!$I$2:$I$3001,"B",Velocity!$Q$2:$Q$3001,MOD(29-5,4),Velocity!$R$2:$R$3001,MOD($C29-1,Settings!$C$10))</f>
        <v>0</v>
      </c>
      <c r="F29" s="30" t="n">
        <f aca="false">COUNTIFS(Velocity!$I$2:$I$3001,"C",Velocity!$Q$2:$Q$3001,MOD(29-5,4),Velocity!$R$2:$R$3001,MOD($C29-1,Settings!$C$11))</f>
        <v>0</v>
      </c>
      <c r="G29" s="30" t="n">
        <f aca="false">COUNTIFS(Velocity!$I$2:$I$3001,"D",Velocity!$Q$2:$Q$3001,MOD(29-5,4),Velocity!$R$2:$R$3001,MOD($C29-1,Settings!$C$12))</f>
        <v>0</v>
      </c>
      <c r="H29" s="31" t="n">
        <f aca="false">SUM(D29:G29)</f>
        <v>0</v>
      </c>
      <c r="I29" s="32" t="n">
        <f aca="false">Settings!$B$5</f>
        <v>50</v>
      </c>
      <c r="J29" s="33" t="n">
        <f aca="false">I29-H29</f>
        <v>50</v>
      </c>
    </row>
    <row r="30" customFormat="false" ht="15" hidden="false" customHeight="false" outlineLevel="0" collapsed="false">
      <c r="A30" s="29" t="n">
        <f aca="false">Settings!$B$4+INT((30-5)/4)*7+MOD(30-5,4)</f>
        <v>46358</v>
      </c>
      <c r="B30" s="30" t="str">
        <f aca="false">CHOOSE(MOD(30-5,4)+1,"Tue","Wed","Thu","Fri")</f>
        <v>Wed</v>
      </c>
      <c r="C30" s="30" t="n">
        <f aca="false">INT((30-5)/4)+1</f>
        <v>7</v>
      </c>
      <c r="D30" s="30" t="n">
        <f aca="false">COUNTIFS(Velocity!$I$2:$I$3001,"A",Velocity!$Q$2:$Q$3001,MOD(30-5,4),Velocity!$R$2:$R$3001,MOD($C30-1,Settings!$C$9))</f>
        <v>0</v>
      </c>
      <c r="E30" s="30" t="n">
        <f aca="false">COUNTIFS(Velocity!$I$2:$I$3001,"B",Velocity!$Q$2:$Q$3001,MOD(30-5,4),Velocity!$R$2:$R$3001,MOD($C30-1,Settings!$C$10))</f>
        <v>0</v>
      </c>
      <c r="F30" s="30" t="n">
        <f aca="false">COUNTIFS(Velocity!$I$2:$I$3001,"C",Velocity!$Q$2:$Q$3001,MOD(30-5,4),Velocity!$R$2:$R$3001,MOD($C30-1,Settings!$C$11))</f>
        <v>0</v>
      </c>
      <c r="G30" s="30" t="n">
        <f aca="false">COUNTIFS(Velocity!$I$2:$I$3001,"D",Velocity!$Q$2:$Q$3001,MOD(30-5,4),Velocity!$R$2:$R$3001,MOD($C30-1,Settings!$C$12))</f>
        <v>0</v>
      </c>
      <c r="H30" s="31" t="n">
        <f aca="false">SUM(D30:G30)</f>
        <v>0</v>
      </c>
      <c r="I30" s="32" t="n">
        <f aca="false">Settings!$B$5</f>
        <v>50</v>
      </c>
      <c r="J30" s="33" t="n">
        <f aca="false">I30-H30</f>
        <v>50</v>
      </c>
    </row>
    <row r="31" customFormat="false" ht="15" hidden="false" customHeight="false" outlineLevel="0" collapsed="false">
      <c r="A31" s="29" t="n">
        <f aca="false">Settings!$B$4+INT((31-5)/4)*7+MOD(31-5,4)</f>
        <v>46359</v>
      </c>
      <c r="B31" s="30" t="str">
        <f aca="false">CHOOSE(MOD(31-5,4)+1,"Tue","Wed","Thu","Fri")</f>
        <v>Thu</v>
      </c>
      <c r="C31" s="30" t="n">
        <f aca="false">INT((31-5)/4)+1</f>
        <v>7</v>
      </c>
      <c r="D31" s="30" t="n">
        <f aca="false">COUNTIFS(Velocity!$I$2:$I$3001,"A",Velocity!$Q$2:$Q$3001,MOD(31-5,4),Velocity!$R$2:$R$3001,MOD($C31-1,Settings!$C$9))</f>
        <v>0</v>
      </c>
      <c r="E31" s="30" t="n">
        <f aca="false">COUNTIFS(Velocity!$I$2:$I$3001,"B",Velocity!$Q$2:$Q$3001,MOD(31-5,4),Velocity!$R$2:$R$3001,MOD($C31-1,Settings!$C$10))</f>
        <v>0</v>
      </c>
      <c r="F31" s="30" t="n">
        <f aca="false">COUNTIFS(Velocity!$I$2:$I$3001,"C",Velocity!$Q$2:$Q$3001,MOD(31-5,4),Velocity!$R$2:$R$3001,MOD($C31-1,Settings!$C$11))</f>
        <v>0</v>
      </c>
      <c r="G31" s="30" t="n">
        <f aca="false">COUNTIFS(Velocity!$I$2:$I$3001,"D",Velocity!$Q$2:$Q$3001,MOD(31-5,4),Velocity!$R$2:$R$3001,MOD($C31-1,Settings!$C$12))</f>
        <v>0</v>
      </c>
      <c r="H31" s="31" t="n">
        <f aca="false">SUM(D31:G31)</f>
        <v>0</v>
      </c>
      <c r="I31" s="32" t="n">
        <f aca="false">Settings!$B$5</f>
        <v>50</v>
      </c>
      <c r="J31" s="33" t="n">
        <f aca="false">I31-H31</f>
        <v>50</v>
      </c>
    </row>
    <row r="32" customFormat="false" ht="15" hidden="false" customHeight="false" outlineLevel="0" collapsed="false">
      <c r="A32" s="29" t="n">
        <f aca="false">Settings!$B$4+INT((32-5)/4)*7+MOD(32-5,4)</f>
        <v>46360</v>
      </c>
      <c r="B32" s="30" t="str">
        <f aca="false">CHOOSE(MOD(32-5,4)+1,"Tue","Wed","Thu","Fri")</f>
        <v>Fri</v>
      </c>
      <c r="C32" s="30" t="n">
        <f aca="false">INT((32-5)/4)+1</f>
        <v>7</v>
      </c>
      <c r="D32" s="30" t="n">
        <f aca="false">COUNTIFS(Velocity!$I$2:$I$3001,"A",Velocity!$Q$2:$Q$3001,MOD(32-5,4),Velocity!$R$2:$R$3001,MOD($C32-1,Settings!$C$9))</f>
        <v>0</v>
      </c>
      <c r="E32" s="30" t="n">
        <f aca="false">COUNTIFS(Velocity!$I$2:$I$3001,"B",Velocity!$Q$2:$Q$3001,MOD(32-5,4),Velocity!$R$2:$R$3001,MOD($C32-1,Settings!$C$10))</f>
        <v>0</v>
      </c>
      <c r="F32" s="30" t="n">
        <f aca="false">COUNTIFS(Velocity!$I$2:$I$3001,"C",Velocity!$Q$2:$Q$3001,MOD(32-5,4),Velocity!$R$2:$R$3001,MOD($C32-1,Settings!$C$11))</f>
        <v>0</v>
      </c>
      <c r="G32" s="30" t="n">
        <f aca="false">COUNTIFS(Velocity!$I$2:$I$3001,"D",Velocity!$Q$2:$Q$3001,MOD(32-5,4),Velocity!$R$2:$R$3001,MOD($C32-1,Settings!$C$12))</f>
        <v>0</v>
      </c>
      <c r="H32" s="31" t="n">
        <f aca="false">SUM(D32:G32)</f>
        <v>0</v>
      </c>
      <c r="I32" s="32" t="n">
        <f aca="false">Settings!$B$5</f>
        <v>50</v>
      </c>
      <c r="J32" s="33" t="n">
        <f aca="false">I32-H32</f>
        <v>50</v>
      </c>
    </row>
    <row r="33" customFormat="false" ht="15" hidden="false" customHeight="false" outlineLevel="0" collapsed="false">
      <c r="A33" s="34" t="n">
        <f aca="false">Settings!$B$4+INT((33-5)/4)*7+MOD(33-5,4)</f>
        <v>46364</v>
      </c>
      <c r="B33" s="35" t="str">
        <f aca="false">CHOOSE(MOD(33-5,4)+1,"Tue","Wed","Thu","Fri")</f>
        <v>Tue</v>
      </c>
      <c r="C33" s="35" t="n">
        <f aca="false">INT((33-5)/4)+1</f>
        <v>8</v>
      </c>
      <c r="D33" s="35" t="n">
        <f aca="false">COUNTIFS(Velocity!$I$2:$I$3001,"A",Velocity!$Q$2:$Q$3001,MOD(33-5,4),Velocity!$R$2:$R$3001,MOD($C33-1,Settings!$C$9))</f>
        <v>0</v>
      </c>
      <c r="E33" s="35" t="n">
        <f aca="false">COUNTIFS(Velocity!$I$2:$I$3001,"B",Velocity!$Q$2:$Q$3001,MOD(33-5,4),Velocity!$R$2:$R$3001,MOD($C33-1,Settings!$C$10))</f>
        <v>0</v>
      </c>
      <c r="F33" s="35" t="n">
        <f aca="false">COUNTIFS(Velocity!$I$2:$I$3001,"C",Velocity!$Q$2:$Q$3001,MOD(33-5,4),Velocity!$R$2:$R$3001,MOD($C33-1,Settings!$C$11))</f>
        <v>0</v>
      </c>
      <c r="G33" s="35" t="n">
        <f aca="false">COUNTIFS(Velocity!$I$2:$I$3001,"D",Velocity!$Q$2:$Q$3001,MOD(33-5,4),Velocity!$R$2:$R$3001,MOD($C33-1,Settings!$C$12))</f>
        <v>0</v>
      </c>
      <c r="H33" s="36" t="n">
        <f aca="false">SUM(D33:G33)</f>
        <v>0</v>
      </c>
      <c r="I33" s="37" t="n">
        <f aca="false">Settings!$B$5</f>
        <v>50</v>
      </c>
      <c r="J33" s="38" t="n">
        <f aca="false">I33-H33</f>
        <v>50</v>
      </c>
    </row>
    <row r="34" customFormat="false" ht="15" hidden="false" customHeight="false" outlineLevel="0" collapsed="false">
      <c r="A34" s="34" t="n">
        <f aca="false">Settings!$B$4+INT((34-5)/4)*7+MOD(34-5,4)</f>
        <v>46365</v>
      </c>
      <c r="B34" s="35" t="str">
        <f aca="false">CHOOSE(MOD(34-5,4)+1,"Tue","Wed","Thu","Fri")</f>
        <v>Wed</v>
      </c>
      <c r="C34" s="35" t="n">
        <f aca="false">INT((34-5)/4)+1</f>
        <v>8</v>
      </c>
      <c r="D34" s="35" t="n">
        <f aca="false">COUNTIFS(Velocity!$I$2:$I$3001,"A",Velocity!$Q$2:$Q$3001,MOD(34-5,4),Velocity!$R$2:$R$3001,MOD($C34-1,Settings!$C$9))</f>
        <v>0</v>
      </c>
      <c r="E34" s="35" t="n">
        <f aca="false">COUNTIFS(Velocity!$I$2:$I$3001,"B",Velocity!$Q$2:$Q$3001,MOD(34-5,4),Velocity!$R$2:$R$3001,MOD($C34-1,Settings!$C$10))</f>
        <v>0</v>
      </c>
      <c r="F34" s="35" t="n">
        <f aca="false">COUNTIFS(Velocity!$I$2:$I$3001,"C",Velocity!$Q$2:$Q$3001,MOD(34-5,4),Velocity!$R$2:$R$3001,MOD($C34-1,Settings!$C$11))</f>
        <v>0</v>
      </c>
      <c r="G34" s="35" t="n">
        <f aca="false">COUNTIFS(Velocity!$I$2:$I$3001,"D",Velocity!$Q$2:$Q$3001,MOD(34-5,4),Velocity!$R$2:$R$3001,MOD($C34-1,Settings!$C$12))</f>
        <v>0</v>
      </c>
      <c r="H34" s="36" t="n">
        <f aca="false">SUM(D34:G34)</f>
        <v>0</v>
      </c>
      <c r="I34" s="37" t="n">
        <f aca="false">Settings!$B$5</f>
        <v>50</v>
      </c>
      <c r="J34" s="38" t="n">
        <f aca="false">I34-H34</f>
        <v>50</v>
      </c>
    </row>
    <row r="35" customFormat="false" ht="15" hidden="false" customHeight="false" outlineLevel="0" collapsed="false">
      <c r="A35" s="34" t="n">
        <f aca="false">Settings!$B$4+INT((35-5)/4)*7+MOD(35-5,4)</f>
        <v>46366</v>
      </c>
      <c r="B35" s="35" t="str">
        <f aca="false">CHOOSE(MOD(35-5,4)+1,"Tue","Wed","Thu","Fri")</f>
        <v>Thu</v>
      </c>
      <c r="C35" s="35" t="n">
        <f aca="false">INT((35-5)/4)+1</f>
        <v>8</v>
      </c>
      <c r="D35" s="35" t="n">
        <f aca="false">COUNTIFS(Velocity!$I$2:$I$3001,"A",Velocity!$Q$2:$Q$3001,MOD(35-5,4),Velocity!$R$2:$R$3001,MOD($C35-1,Settings!$C$9))</f>
        <v>0</v>
      </c>
      <c r="E35" s="35" t="n">
        <f aca="false">COUNTIFS(Velocity!$I$2:$I$3001,"B",Velocity!$Q$2:$Q$3001,MOD(35-5,4),Velocity!$R$2:$R$3001,MOD($C35-1,Settings!$C$10))</f>
        <v>0</v>
      </c>
      <c r="F35" s="35" t="n">
        <f aca="false">COUNTIFS(Velocity!$I$2:$I$3001,"C",Velocity!$Q$2:$Q$3001,MOD(35-5,4),Velocity!$R$2:$R$3001,MOD($C35-1,Settings!$C$11))</f>
        <v>0</v>
      </c>
      <c r="G35" s="35" t="n">
        <f aca="false">COUNTIFS(Velocity!$I$2:$I$3001,"D",Velocity!$Q$2:$Q$3001,MOD(35-5,4),Velocity!$R$2:$R$3001,MOD($C35-1,Settings!$C$12))</f>
        <v>0</v>
      </c>
      <c r="H35" s="36" t="n">
        <f aca="false">SUM(D35:G35)</f>
        <v>0</v>
      </c>
      <c r="I35" s="37" t="n">
        <f aca="false">Settings!$B$5</f>
        <v>50</v>
      </c>
      <c r="J35" s="38" t="n">
        <f aca="false">I35-H35</f>
        <v>50</v>
      </c>
    </row>
    <row r="36" customFormat="false" ht="15" hidden="false" customHeight="false" outlineLevel="0" collapsed="false">
      <c r="A36" s="34" t="n">
        <f aca="false">Settings!$B$4+INT((36-5)/4)*7+MOD(36-5,4)</f>
        <v>46367</v>
      </c>
      <c r="B36" s="35" t="str">
        <f aca="false">CHOOSE(MOD(36-5,4)+1,"Tue","Wed","Thu","Fri")</f>
        <v>Fri</v>
      </c>
      <c r="C36" s="35" t="n">
        <f aca="false">INT((36-5)/4)+1</f>
        <v>8</v>
      </c>
      <c r="D36" s="35" t="n">
        <f aca="false">COUNTIFS(Velocity!$I$2:$I$3001,"A",Velocity!$Q$2:$Q$3001,MOD(36-5,4),Velocity!$R$2:$R$3001,MOD($C36-1,Settings!$C$9))</f>
        <v>0</v>
      </c>
      <c r="E36" s="35" t="n">
        <f aca="false">COUNTIFS(Velocity!$I$2:$I$3001,"B",Velocity!$Q$2:$Q$3001,MOD(36-5,4),Velocity!$R$2:$R$3001,MOD($C36-1,Settings!$C$10))</f>
        <v>0</v>
      </c>
      <c r="F36" s="35" t="n">
        <f aca="false">COUNTIFS(Velocity!$I$2:$I$3001,"C",Velocity!$Q$2:$Q$3001,MOD(36-5,4),Velocity!$R$2:$R$3001,MOD($C36-1,Settings!$C$11))</f>
        <v>0</v>
      </c>
      <c r="G36" s="35" t="n">
        <f aca="false">COUNTIFS(Velocity!$I$2:$I$3001,"D",Velocity!$Q$2:$Q$3001,MOD(36-5,4),Velocity!$R$2:$R$3001,MOD($C36-1,Settings!$C$12))</f>
        <v>0</v>
      </c>
      <c r="H36" s="36" t="n">
        <f aca="false">SUM(D36:G36)</f>
        <v>0</v>
      </c>
      <c r="I36" s="37" t="n">
        <f aca="false">Settings!$B$5</f>
        <v>50</v>
      </c>
      <c r="J36" s="38" t="n">
        <f aca="false">I36-H36</f>
        <v>50</v>
      </c>
    </row>
    <row r="37" customFormat="false" ht="15" hidden="false" customHeight="false" outlineLevel="0" collapsed="false">
      <c r="A37" s="29" t="n">
        <f aca="false">Settings!$B$4+INT((37-5)/4)*7+MOD(37-5,4)</f>
        <v>46371</v>
      </c>
      <c r="B37" s="30" t="str">
        <f aca="false">CHOOSE(MOD(37-5,4)+1,"Tue","Wed","Thu","Fri")</f>
        <v>Tue</v>
      </c>
      <c r="C37" s="30" t="n">
        <f aca="false">INT((37-5)/4)+1</f>
        <v>9</v>
      </c>
      <c r="D37" s="30" t="n">
        <f aca="false">COUNTIFS(Velocity!$I$2:$I$3001,"A",Velocity!$Q$2:$Q$3001,MOD(37-5,4),Velocity!$R$2:$R$3001,MOD($C37-1,Settings!$C$9))</f>
        <v>0</v>
      </c>
      <c r="E37" s="30" t="n">
        <f aca="false">COUNTIFS(Velocity!$I$2:$I$3001,"B",Velocity!$Q$2:$Q$3001,MOD(37-5,4),Velocity!$R$2:$R$3001,MOD($C37-1,Settings!$C$10))</f>
        <v>0</v>
      </c>
      <c r="F37" s="30" t="n">
        <f aca="false">COUNTIFS(Velocity!$I$2:$I$3001,"C",Velocity!$Q$2:$Q$3001,MOD(37-5,4),Velocity!$R$2:$R$3001,MOD($C37-1,Settings!$C$11))</f>
        <v>0</v>
      </c>
      <c r="G37" s="30" t="n">
        <f aca="false">COUNTIFS(Velocity!$I$2:$I$3001,"D",Velocity!$Q$2:$Q$3001,MOD(37-5,4),Velocity!$R$2:$R$3001,MOD($C37-1,Settings!$C$12))</f>
        <v>0</v>
      </c>
      <c r="H37" s="31" t="n">
        <f aca="false">SUM(D37:G37)</f>
        <v>0</v>
      </c>
      <c r="I37" s="32" t="n">
        <f aca="false">Settings!$B$5</f>
        <v>50</v>
      </c>
      <c r="J37" s="33" t="n">
        <f aca="false">I37-H37</f>
        <v>50</v>
      </c>
    </row>
    <row r="38" customFormat="false" ht="15" hidden="false" customHeight="false" outlineLevel="0" collapsed="false">
      <c r="A38" s="29" t="n">
        <f aca="false">Settings!$B$4+INT((38-5)/4)*7+MOD(38-5,4)</f>
        <v>46372</v>
      </c>
      <c r="B38" s="30" t="str">
        <f aca="false">CHOOSE(MOD(38-5,4)+1,"Tue","Wed","Thu","Fri")</f>
        <v>Wed</v>
      </c>
      <c r="C38" s="30" t="n">
        <f aca="false">INT((38-5)/4)+1</f>
        <v>9</v>
      </c>
      <c r="D38" s="30" t="n">
        <f aca="false">COUNTIFS(Velocity!$I$2:$I$3001,"A",Velocity!$Q$2:$Q$3001,MOD(38-5,4),Velocity!$R$2:$R$3001,MOD($C38-1,Settings!$C$9))</f>
        <v>0</v>
      </c>
      <c r="E38" s="30" t="n">
        <f aca="false">COUNTIFS(Velocity!$I$2:$I$3001,"B",Velocity!$Q$2:$Q$3001,MOD(38-5,4),Velocity!$R$2:$R$3001,MOD($C38-1,Settings!$C$10))</f>
        <v>0</v>
      </c>
      <c r="F38" s="30" t="n">
        <f aca="false">COUNTIFS(Velocity!$I$2:$I$3001,"C",Velocity!$Q$2:$Q$3001,MOD(38-5,4),Velocity!$R$2:$R$3001,MOD($C38-1,Settings!$C$11))</f>
        <v>0</v>
      </c>
      <c r="G38" s="30" t="n">
        <f aca="false">COUNTIFS(Velocity!$I$2:$I$3001,"D",Velocity!$Q$2:$Q$3001,MOD(38-5,4),Velocity!$R$2:$R$3001,MOD($C38-1,Settings!$C$12))</f>
        <v>0</v>
      </c>
      <c r="H38" s="31" t="n">
        <f aca="false">SUM(D38:G38)</f>
        <v>0</v>
      </c>
      <c r="I38" s="32" t="n">
        <f aca="false">Settings!$B$5</f>
        <v>50</v>
      </c>
      <c r="J38" s="33" t="n">
        <f aca="false">I38-H38</f>
        <v>50</v>
      </c>
    </row>
    <row r="39" customFormat="false" ht="15" hidden="false" customHeight="false" outlineLevel="0" collapsed="false">
      <c r="A39" s="29" t="n">
        <f aca="false">Settings!$B$4+INT((39-5)/4)*7+MOD(39-5,4)</f>
        <v>46373</v>
      </c>
      <c r="B39" s="30" t="str">
        <f aca="false">CHOOSE(MOD(39-5,4)+1,"Tue","Wed","Thu","Fri")</f>
        <v>Thu</v>
      </c>
      <c r="C39" s="30" t="n">
        <f aca="false">INT((39-5)/4)+1</f>
        <v>9</v>
      </c>
      <c r="D39" s="30" t="n">
        <f aca="false">COUNTIFS(Velocity!$I$2:$I$3001,"A",Velocity!$Q$2:$Q$3001,MOD(39-5,4),Velocity!$R$2:$R$3001,MOD($C39-1,Settings!$C$9))</f>
        <v>0</v>
      </c>
      <c r="E39" s="30" t="n">
        <f aca="false">COUNTIFS(Velocity!$I$2:$I$3001,"B",Velocity!$Q$2:$Q$3001,MOD(39-5,4),Velocity!$R$2:$R$3001,MOD($C39-1,Settings!$C$10))</f>
        <v>0</v>
      </c>
      <c r="F39" s="30" t="n">
        <f aca="false">COUNTIFS(Velocity!$I$2:$I$3001,"C",Velocity!$Q$2:$Q$3001,MOD(39-5,4),Velocity!$R$2:$R$3001,MOD($C39-1,Settings!$C$11))</f>
        <v>0</v>
      </c>
      <c r="G39" s="30" t="n">
        <f aca="false">COUNTIFS(Velocity!$I$2:$I$3001,"D",Velocity!$Q$2:$Q$3001,MOD(39-5,4),Velocity!$R$2:$R$3001,MOD($C39-1,Settings!$C$12))</f>
        <v>0</v>
      </c>
      <c r="H39" s="31" t="n">
        <f aca="false">SUM(D39:G39)</f>
        <v>0</v>
      </c>
      <c r="I39" s="32" t="n">
        <f aca="false">Settings!$B$5</f>
        <v>50</v>
      </c>
      <c r="J39" s="33" t="n">
        <f aca="false">I39-H39</f>
        <v>50</v>
      </c>
    </row>
    <row r="40" customFormat="false" ht="15" hidden="false" customHeight="false" outlineLevel="0" collapsed="false">
      <c r="A40" s="29" t="n">
        <f aca="false">Settings!$B$4+INT((40-5)/4)*7+MOD(40-5,4)</f>
        <v>46374</v>
      </c>
      <c r="B40" s="30" t="str">
        <f aca="false">CHOOSE(MOD(40-5,4)+1,"Tue","Wed","Thu","Fri")</f>
        <v>Fri</v>
      </c>
      <c r="C40" s="30" t="n">
        <f aca="false">INT((40-5)/4)+1</f>
        <v>9</v>
      </c>
      <c r="D40" s="30" t="n">
        <f aca="false">COUNTIFS(Velocity!$I$2:$I$3001,"A",Velocity!$Q$2:$Q$3001,MOD(40-5,4),Velocity!$R$2:$R$3001,MOD($C40-1,Settings!$C$9))</f>
        <v>0</v>
      </c>
      <c r="E40" s="30" t="n">
        <f aca="false">COUNTIFS(Velocity!$I$2:$I$3001,"B",Velocity!$Q$2:$Q$3001,MOD(40-5,4),Velocity!$R$2:$R$3001,MOD($C40-1,Settings!$C$10))</f>
        <v>0</v>
      </c>
      <c r="F40" s="30" t="n">
        <f aca="false">COUNTIFS(Velocity!$I$2:$I$3001,"C",Velocity!$Q$2:$Q$3001,MOD(40-5,4),Velocity!$R$2:$R$3001,MOD($C40-1,Settings!$C$11))</f>
        <v>0</v>
      </c>
      <c r="G40" s="30" t="n">
        <f aca="false">COUNTIFS(Velocity!$I$2:$I$3001,"D",Velocity!$Q$2:$Q$3001,MOD(40-5,4),Velocity!$R$2:$R$3001,MOD($C40-1,Settings!$C$12))</f>
        <v>0</v>
      </c>
      <c r="H40" s="31" t="n">
        <f aca="false">SUM(D40:G40)</f>
        <v>0</v>
      </c>
      <c r="I40" s="32" t="n">
        <f aca="false">Settings!$B$5</f>
        <v>50</v>
      </c>
      <c r="J40" s="33" t="n">
        <f aca="false">I40-H40</f>
        <v>50</v>
      </c>
    </row>
    <row r="41" customFormat="false" ht="15" hidden="false" customHeight="false" outlineLevel="0" collapsed="false">
      <c r="A41" s="34" t="n">
        <f aca="false">Settings!$B$4+INT((41-5)/4)*7+MOD(41-5,4)</f>
        <v>46378</v>
      </c>
      <c r="B41" s="35" t="str">
        <f aca="false">CHOOSE(MOD(41-5,4)+1,"Tue","Wed","Thu","Fri")</f>
        <v>Tue</v>
      </c>
      <c r="C41" s="35" t="n">
        <f aca="false">INT((41-5)/4)+1</f>
        <v>10</v>
      </c>
      <c r="D41" s="35" t="n">
        <f aca="false">COUNTIFS(Velocity!$I$2:$I$3001,"A",Velocity!$Q$2:$Q$3001,MOD(41-5,4),Velocity!$R$2:$R$3001,MOD($C41-1,Settings!$C$9))</f>
        <v>0</v>
      </c>
      <c r="E41" s="35" t="n">
        <f aca="false">COUNTIFS(Velocity!$I$2:$I$3001,"B",Velocity!$Q$2:$Q$3001,MOD(41-5,4),Velocity!$R$2:$R$3001,MOD($C41-1,Settings!$C$10))</f>
        <v>0</v>
      </c>
      <c r="F41" s="35" t="n">
        <f aca="false">COUNTIFS(Velocity!$I$2:$I$3001,"C",Velocity!$Q$2:$Q$3001,MOD(41-5,4),Velocity!$R$2:$R$3001,MOD($C41-1,Settings!$C$11))</f>
        <v>0</v>
      </c>
      <c r="G41" s="35" t="n">
        <f aca="false">COUNTIFS(Velocity!$I$2:$I$3001,"D",Velocity!$Q$2:$Q$3001,MOD(41-5,4),Velocity!$R$2:$R$3001,MOD($C41-1,Settings!$C$12))</f>
        <v>0</v>
      </c>
      <c r="H41" s="36" t="n">
        <f aca="false">SUM(D41:G41)</f>
        <v>0</v>
      </c>
      <c r="I41" s="37" t="n">
        <f aca="false">Settings!$B$5</f>
        <v>50</v>
      </c>
      <c r="J41" s="38" t="n">
        <f aca="false">I41-H41</f>
        <v>50</v>
      </c>
    </row>
    <row r="42" customFormat="false" ht="15" hidden="false" customHeight="false" outlineLevel="0" collapsed="false">
      <c r="A42" s="34" t="n">
        <f aca="false">Settings!$B$4+INT((42-5)/4)*7+MOD(42-5,4)</f>
        <v>46379</v>
      </c>
      <c r="B42" s="35" t="str">
        <f aca="false">CHOOSE(MOD(42-5,4)+1,"Tue","Wed","Thu","Fri")</f>
        <v>Wed</v>
      </c>
      <c r="C42" s="35" t="n">
        <f aca="false">INT((42-5)/4)+1</f>
        <v>10</v>
      </c>
      <c r="D42" s="35" t="n">
        <f aca="false">COUNTIFS(Velocity!$I$2:$I$3001,"A",Velocity!$Q$2:$Q$3001,MOD(42-5,4),Velocity!$R$2:$R$3001,MOD($C42-1,Settings!$C$9))</f>
        <v>0</v>
      </c>
      <c r="E42" s="35" t="n">
        <f aca="false">COUNTIFS(Velocity!$I$2:$I$3001,"B",Velocity!$Q$2:$Q$3001,MOD(42-5,4),Velocity!$R$2:$R$3001,MOD($C42-1,Settings!$C$10))</f>
        <v>0</v>
      </c>
      <c r="F42" s="35" t="n">
        <f aca="false">COUNTIFS(Velocity!$I$2:$I$3001,"C",Velocity!$Q$2:$Q$3001,MOD(42-5,4),Velocity!$R$2:$R$3001,MOD($C42-1,Settings!$C$11))</f>
        <v>0</v>
      </c>
      <c r="G42" s="35" t="n">
        <f aca="false">COUNTIFS(Velocity!$I$2:$I$3001,"D",Velocity!$Q$2:$Q$3001,MOD(42-5,4),Velocity!$R$2:$R$3001,MOD($C42-1,Settings!$C$12))</f>
        <v>0</v>
      </c>
      <c r="H42" s="36" t="n">
        <f aca="false">SUM(D42:G42)</f>
        <v>0</v>
      </c>
      <c r="I42" s="37" t="n">
        <f aca="false">Settings!$B$5</f>
        <v>50</v>
      </c>
      <c r="J42" s="38" t="n">
        <f aca="false">I42-H42</f>
        <v>50</v>
      </c>
    </row>
    <row r="43" customFormat="false" ht="15" hidden="false" customHeight="false" outlineLevel="0" collapsed="false">
      <c r="A43" s="34" t="n">
        <f aca="false">Settings!$B$4+INT((43-5)/4)*7+MOD(43-5,4)</f>
        <v>46380</v>
      </c>
      <c r="B43" s="35" t="str">
        <f aca="false">CHOOSE(MOD(43-5,4)+1,"Tue","Wed","Thu","Fri")</f>
        <v>Thu</v>
      </c>
      <c r="C43" s="35" t="n">
        <f aca="false">INT((43-5)/4)+1</f>
        <v>10</v>
      </c>
      <c r="D43" s="35" t="n">
        <f aca="false">COUNTIFS(Velocity!$I$2:$I$3001,"A",Velocity!$Q$2:$Q$3001,MOD(43-5,4),Velocity!$R$2:$R$3001,MOD($C43-1,Settings!$C$9))</f>
        <v>0</v>
      </c>
      <c r="E43" s="35" t="n">
        <f aca="false">COUNTIFS(Velocity!$I$2:$I$3001,"B",Velocity!$Q$2:$Q$3001,MOD(43-5,4),Velocity!$R$2:$R$3001,MOD($C43-1,Settings!$C$10))</f>
        <v>0</v>
      </c>
      <c r="F43" s="35" t="n">
        <f aca="false">COUNTIFS(Velocity!$I$2:$I$3001,"C",Velocity!$Q$2:$Q$3001,MOD(43-5,4),Velocity!$R$2:$R$3001,MOD($C43-1,Settings!$C$11))</f>
        <v>0</v>
      </c>
      <c r="G43" s="35" t="n">
        <f aca="false">COUNTIFS(Velocity!$I$2:$I$3001,"D",Velocity!$Q$2:$Q$3001,MOD(43-5,4),Velocity!$R$2:$R$3001,MOD($C43-1,Settings!$C$12))</f>
        <v>0</v>
      </c>
      <c r="H43" s="36" t="n">
        <f aca="false">SUM(D43:G43)</f>
        <v>0</v>
      </c>
      <c r="I43" s="37" t="n">
        <f aca="false">Settings!$B$5</f>
        <v>50</v>
      </c>
      <c r="J43" s="38" t="n">
        <f aca="false">I43-H43</f>
        <v>50</v>
      </c>
    </row>
    <row r="44" customFormat="false" ht="15" hidden="false" customHeight="false" outlineLevel="0" collapsed="false">
      <c r="A44" s="34" t="n">
        <f aca="false">Settings!$B$4+INT((44-5)/4)*7+MOD(44-5,4)</f>
        <v>46381</v>
      </c>
      <c r="B44" s="35" t="str">
        <f aca="false">CHOOSE(MOD(44-5,4)+1,"Tue","Wed","Thu","Fri")</f>
        <v>Fri</v>
      </c>
      <c r="C44" s="35" t="n">
        <f aca="false">INT((44-5)/4)+1</f>
        <v>10</v>
      </c>
      <c r="D44" s="35" t="n">
        <f aca="false">COUNTIFS(Velocity!$I$2:$I$3001,"A",Velocity!$Q$2:$Q$3001,MOD(44-5,4),Velocity!$R$2:$R$3001,MOD($C44-1,Settings!$C$9))</f>
        <v>0</v>
      </c>
      <c r="E44" s="35" t="n">
        <f aca="false">COUNTIFS(Velocity!$I$2:$I$3001,"B",Velocity!$Q$2:$Q$3001,MOD(44-5,4),Velocity!$R$2:$R$3001,MOD($C44-1,Settings!$C$10))</f>
        <v>0</v>
      </c>
      <c r="F44" s="35" t="n">
        <f aca="false">COUNTIFS(Velocity!$I$2:$I$3001,"C",Velocity!$Q$2:$Q$3001,MOD(44-5,4),Velocity!$R$2:$R$3001,MOD($C44-1,Settings!$C$11))</f>
        <v>0</v>
      </c>
      <c r="G44" s="35" t="n">
        <f aca="false">COUNTIFS(Velocity!$I$2:$I$3001,"D",Velocity!$Q$2:$Q$3001,MOD(44-5,4),Velocity!$R$2:$R$3001,MOD($C44-1,Settings!$C$12))</f>
        <v>0</v>
      </c>
      <c r="H44" s="36" t="n">
        <f aca="false">SUM(D44:G44)</f>
        <v>0</v>
      </c>
      <c r="I44" s="37" t="n">
        <f aca="false">Settings!$B$5</f>
        <v>50</v>
      </c>
      <c r="J44" s="38" t="n">
        <f aca="false">I44-H44</f>
        <v>50</v>
      </c>
    </row>
    <row r="45" customFormat="false" ht="15" hidden="false" customHeight="false" outlineLevel="0" collapsed="false">
      <c r="A45" s="29" t="n">
        <f aca="false">Settings!$B$4+INT((45-5)/4)*7+MOD(45-5,4)</f>
        <v>46385</v>
      </c>
      <c r="B45" s="30" t="str">
        <f aca="false">CHOOSE(MOD(45-5,4)+1,"Tue","Wed","Thu","Fri")</f>
        <v>Tue</v>
      </c>
      <c r="C45" s="30" t="n">
        <f aca="false">INT((45-5)/4)+1</f>
        <v>11</v>
      </c>
      <c r="D45" s="30" t="n">
        <f aca="false">COUNTIFS(Velocity!$I$2:$I$3001,"A",Velocity!$Q$2:$Q$3001,MOD(45-5,4),Velocity!$R$2:$R$3001,MOD($C45-1,Settings!$C$9))</f>
        <v>0</v>
      </c>
      <c r="E45" s="30" t="n">
        <f aca="false">COUNTIFS(Velocity!$I$2:$I$3001,"B",Velocity!$Q$2:$Q$3001,MOD(45-5,4),Velocity!$R$2:$R$3001,MOD($C45-1,Settings!$C$10))</f>
        <v>0</v>
      </c>
      <c r="F45" s="30" t="n">
        <f aca="false">COUNTIFS(Velocity!$I$2:$I$3001,"C",Velocity!$Q$2:$Q$3001,MOD(45-5,4),Velocity!$R$2:$R$3001,MOD($C45-1,Settings!$C$11))</f>
        <v>0</v>
      </c>
      <c r="G45" s="30" t="n">
        <f aca="false">COUNTIFS(Velocity!$I$2:$I$3001,"D",Velocity!$Q$2:$Q$3001,MOD(45-5,4),Velocity!$R$2:$R$3001,MOD($C45-1,Settings!$C$12))</f>
        <v>0</v>
      </c>
      <c r="H45" s="31" t="n">
        <f aca="false">SUM(D45:G45)</f>
        <v>0</v>
      </c>
      <c r="I45" s="32" t="n">
        <f aca="false">Settings!$B$5</f>
        <v>50</v>
      </c>
      <c r="J45" s="33" t="n">
        <f aca="false">I45-H45</f>
        <v>50</v>
      </c>
    </row>
    <row r="46" customFormat="false" ht="15" hidden="false" customHeight="false" outlineLevel="0" collapsed="false">
      <c r="A46" s="29" t="n">
        <f aca="false">Settings!$B$4+INT((46-5)/4)*7+MOD(46-5,4)</f>
        <v>46386</v>
      </c>
      <c r="B46" s="30" t="str">
        <f aca="false">CHOOSE(MOD(46-5,4)+1,"Tue","Wed","Thu","Fri")</f>
        <v>Wed</v>
      </c>
      <c r="C46" s="30" t="n">
        <f aca="false">INT((46-5)/4)+1</f>
        <v>11</v>
      </c>
      <c r="D46" s="30" t="n">
        <f aca="false">COUNTIFS(Velocity!$I$2:$I$3001,"A",Velocity!$Q$2:$Q$3001,MOD(46-5,4),Velocity!$R$2:$R$3001,MOD($C46-1,Settings!$C$9))</f>
        <v>0</v>
      </c>
      <c r="E46" s="30" t="n">
        <f aca="false">COUNTIFS(Velocity!$I$2:$I$3001,"B",Velocity!$Q$2:$Q$3001,MOD(46-5,4),Velocity!$R$2:$R$3001,MOD($C46-1,Settings!$C$10))</f>
        <v>0</v>
      </c>
      <c r="F46" s="30" t="n">
        <f aca="false">COUNTIFS(Velocity!$I$2:$I$3001,"C",Velocity!$Q$2:$Q$3001,MOD(46-5,4),Velocity!$R$2:$R$3001,MOD($C46-1,Settings!$C$11))</f>
        <v>0</v>
      </c>
      <c r="G46" s="30" t="n">
        <f aca="false">COUNTIFS(Velocity!$I$2:$I$3001,"D",Velocity!$Q$2:$Q$3001,MOD(46-5,4),Velocity!$R$2:$R$3001,MOD($C46-1,Settings!$C$12))</f>
        <v>0</v>
      </c>
      <c r="H46" s="31" t="n">
        <f aca="false">SUM(D46:G46)</f>
        <v>0</v>
      </c>
      <c r="I46" s="32" t="n">
        <f aca="false">Settings!$B$5</f>
        <v>50</v>
      </c>
      <c r="J46" s="33" t="n">
        <f aca="false">I46-H46</f>
        <v>50</v>
      </c>
    </row>
    <row r="47" customFormat="false" ht="15" hidden="false" customHeight="false" outlineLevel="0" collapsed="false">
      <c r="A47" s="29" t="n">
        <f aca="false">Settings!$B$4+INT((47-5)/4)*7+MOD(47-5,4)</f>
        <v>46387</v>
      </c>
      <c r="B47" s="30" t="str">
        <f aca="false">CHOOSE(MOD(47-5,4)+1,"Tue","Wed","Thu","Fri")</f>
        <v>Thu</v>
      </c>
      <c r="C47" s="30" t="n">
        <f aca="false">INT((47-5)/4)+1</f>
        <v>11</v>
      </c>
      <c r="D47" s="30" t="n">
        <f aca="false">COUNTIFS(Velocity!$I$2:$I$3001,"A",Velocity!$Q$2:$Q$3001,MOD(47-5,4),Velocity!$R$2:$R$3001,MOD($C47-1,Settings!$C$9))</f>
        <v>0</v>
      </c>
      <c r="E47" s="30" t="n">
        <f aca="false">COUNTIFS(Velocity!$I$2:$I$3001,"B",Velocity!$Q$2:$Q$3001,MOD(47-5,4),Velocity!$R$2:$R$3001,MOD($C47-1,Settings!$C$10))</f>
        <v>0</v>
      </c>
      <c r="F47" s="30" t="n">
        <f aca="false">COUNTIFS(Velocity!$I$2:$I$3001,"C",Velocity!$Q$2:$Q$3001,MOD(47-5,4),Velocity!$R$2:$R$3001,MOD($C47-1,Settings!$C$11))</f>
        <v>0</v>
      </c>
      <c r="G47" s="30" t="n">
        <f aca="false">COUNTIFS(Velocity!$I$2:$I$3001,"D",Velocity!$Q$2:$Q$3001,MOD(47-5,4),Velocity!$R$2:$R$3001,MOD($C47-1,Settings!$C$12))</f>
        <v>0</v>
      </c>
      <c r="H47" s="31" t="n">
        <f aca="false">SUM(D47:G47)</f>
        <v>0</v>
      </c>
      <c r="I47" s="32" t="n">
        <f aca="false">Settings!$B$5</f>
        <v>50</v>
      </c>
      <c r="J47" s="33" t="n">
        <f aca="false">I47-H47</f>
        <v>50</v>
      </c>
    </row>
    <row r="48" customFormat="false" ht="15" hidden="false" customHeight="false" outlineLevel="0" collapsed="false">
      <c r="A48" s="29" t="n">
        <f aca="false">Settings!$B$4+INT((48-5)/4)*7+MOD(48-5,4)</f>
        <v>46388</v>
      </c>
      <c r="B48" s="30" t="str">
        <f aca="false">CHOOSE(MOD(48-5,4)+1,"Tue","Wed","Thu","Fri")</f>
        <v>Fri</v>
      </c>
      <c r="C48" s="30" t="n">
        <f aca="false">INT((48-5)/4)+1</f>
        <v>11</v>
      </c>
      <c r="D48" s="30" t="n">
        <f aca="false">COUNTIFS(Velocity!$I$2:$I$3001,"A",Velocity!$Q$2:$Q$3001,MOD(48-5,4),Velocity!$R$2:$R$3001,MOD($C48-1,Settings!$C$9))</f>
        <v>0</v>
      </c>
      <c r="E48" s="30" t="n">
        <f aca="false">COUNTIFS(Velocity!$I$2:$I$3001,"B",Velocity!$Q$2:$Q$3001,MOD(48-5,4),Velocity!$R$2:$R$3001,MOD($C48-1,Settings!$C$10))</f>
        <v>0</v>
      </c>
      <c r="F48" s="30" t="n">
        <f aca="false">COUNTIFS(Velocity!$I$2:$I$3001,"C",Velocity!$Q$2:$Q$3001,MOD(48-5,4),Velocity!$R$2:$R$3001,MOD($C48-1,Settings!$C$11))</f>
        <v>0</v>
      </c>
      <c r="G48" s="30" t="n">
        <f aca="false">COUNTIFS(Velocity!$I$2:$I$3001,"D",Velocity!$Q$2:$Q$3001,MOD(48-5,4),Velocity!$R$2:$R$3001,MOD($C48-1,Settings!$C$12))</f>
        <v>0</v>
      </c>
      <c r="H48" s="31" t="n">
        <f aca="false">SUM(D48:G48)</f>
        <v>0</v>
      </c>
      <c r="I48" s="32" t="n">
        <f aca="false">Settings!$B$5</f>
        <v>50</v>
      </c>
      <c r="J48" s="33" t="n">
        <f aca="false">I48-H48</f>
        <v>50</v>
      </c>
    </row>
    <row r="49" customFormat="false" ht="15" hidden="false" customHeight="false" outlineLevel="0" collapsed="false">
      <c r="A49" s="34" t="n">
        <f aca="false">Settings!$B$4+INT((49-5)/4)*7+MOD(49-5,4)</f>
        <v>46392</v>
      </c>
      <c r="B49" s="35" t="str">
        <f aca="false">CHOOSE(MOD(49-5,4)+1,"Tue","Wed","Thu","Fri")</f>
        <v>Tue</v>
      </c>
      <c r="C49" s="35" t="n">
        <f aca="false">INT((49-5)/4)+1</f>
        <v>12</v>
      </c>
      <c r="D49" s="35" t="n">
        <f aca="false">COUNTIFS(Velocity!$I$2:$I$3001,"A",Velocity!$Q$2:$Q$3001,MOD(49-5,4),Velocity!$R$2:$R$3001,MOD($C49-1,Settings!$C$9))</f>
        <v>0</v>
      </c>
      <c r="E49" s="35" t="n">
        <f aca="false">COUNTIFS(Velocity!$I$2:$I$3001,"B",Velocity!$Q$2:$Q$3001,MOD(49-5,4),Velocity!$R$2:$R$3001,MOD($C49-1,Settings!$C$10))</f>
        <v>0</v>
      </c>
      <c r="F49" s="35" t="n">
        <f aca="false">COUNTIFS(Velocity!$I$2:$I$3001,"C",Velocity!$Q$2:$Q$3001,MOD(49-5,4),Velocity!$R$2:$R$3001,MOD($C49-1,Settings!$C$11))</f>
        <v>0</v>
      </c>
      <c r="G49" s="35" t="n">
        <f aca="false">COUNTIFS(Velocity!$I$2:$I$3001,"D",Velocity!$Q$2:$Q$3001,MOD(49-5,4),Velocity!$R$2:$R$3001,MOD($C49-1,Settings!$C$12))</f>
        <v>0</v>
      </c>
      <c r="H49" s="36" t="n">
        <f aca="false">SUM(D49:G49)</f>
        <v>0</v>
      </c>
      <c r="I49" s="37" t="n">
        <f aca="false">Settings!$B$5</f>
        <v>50</v>
      </c>
      <c r="J49" s="38" t="n">
        <f aca="false">I49-H49</f>
        <v>50</v>
      </c>
    </row>
    <row r="50" customFormat="false" ht="15" hidden="false" customHeight="false" outlineLevel="0" collapsed="false">
      <c r="A50" s="34" t="n">
        <f aca="false">Settings!$B$4+INT((50-5)/4)*7+MOD(50-5,4)</f>
        <v>46393</v>
      </c>
      <c r="B50" s="35" t="str">
        <f aca="false">CHOOSE(MOD(50-5,4)+1,"Tue","Wed","Thu","Fri")</f>
        <v>Wed</v>
      </c>
      <c r="C50" s="35" t="n">
        <f aca="false">INT((50-5)/4)+1</f>
        <v>12</v>
      </c>
      <c r="D50" s="35" t="n">
        <f aca="false">COUNTIFS(Velocity!$I$2:$I$3001,"A",Velocity!$Q$2:$Q$3001,MOD(50-5,4),Velocity!$R$2:$R$3001,MOD($C50-1,Settings!$C$9))</f>
        <v>0</v>
      </c>
      <c r="E50" s="35" t="n">
        <f aca="false">COUNTIFS(Velocity!$I$2:$I$3001,"B",Velocity!$Q$2:$Q$3001,MOD(50-5,4),Velocity!$R$2:$R$3001,MOD($C50-1,Settings!$C$10))</f>
        <v>0</v>
      </c>
      <c r="F50" s="35" t="n">
        <f aca="false">COUNTIFS(Velocity!$I$2:$I$3001,"C",Velocity!$Q$2:$Q$3001,MOD(50-5,4),Velocity!$R$2:$R$3001,MOD($C50-1,Settings!$C$11))</f>
        <v>0</v>
      </c>
      <c r="G50" s="35" t="n">
        <f aca="false">COUNTIFS(Velocity!$I$2:$I$3001,"D",Velocity!$Q$2:$Q$3001,MOD(50-5,4),Velocity!$R$2:$R$3001,MOD($C50-1,Settings!$C$12))</f>
        <v>0</v>
      </c>
      <c r="H50" s="36" t="n">
        <f aca="false">SUM(D50:G50)</f>
        <v>0</v>
      </c>
      <c r="I50" s="37" t="n">
        <f aca="false">Settings!$B$5</f>
        <v>50</v>
      </c>
      <c r="J50" s="38" t="n">
        <f aca="false">I50-H50</f>
        <v>50</v>
      </c>
    </row>
    <row r="51" customFormat="false" ht="15" hidden="false" customHeight="false" outlineLevel="0" collapsed="false">
      <c r="A51" s="34" t="n">
        <f aca="false">Settings!$B$4+INT((51-5)/4)*7+MOD(51-5,4)</f>
        <v>46394</v>
      </c>
      <c r="B51" s="35" t="str">
        <f aca="false">CHOOSE(MOD(51-5,4)+1,"Tue","Wed","Thu","Fri")</f>
        <v>Thu</v>
      </c>
      <c r="C51" s="35" t="n">
        <f aca="false">INT((51-5)/4)+1</f>
        <v>12</v>
      </c>
      <c r="D51" s="35" t="n">
        <f aca="false">COUNTIFS(Velocity!$I$2:$I$3001,"A",Velocity!$Q$2:$Q$3001,MOD(51-5,4),Velocity!$R$2:$R$3001,MOD($C51-1,Settings!$C$9))</f>
        <v>0</v>
      </c>
      <c r="E51" s="35" t="n">
        <f aca="false">COUNTIFS(Velocity!$I$2:$I$3001,"B",Velocity!$Q$2:$Q$3001,MOD(51-5,4),Velocity!$R$2:$R$3001,MOD($C51-1,Settings!$C$10))</f>
        <v>0</v>
      </c>
      <c r="F51" s="35" t="n">
        <f aca="false">COUNTIFS(Velocity!$I$2:$I$3001,"C",Velocity!$Q$2:$Q$3001,MOD(51-5,4),Velocity!$R$2:$R$3001,MOD($C51-1,Settings!$C$11))</f>
        <v>0</v>
      </c>
      <c r="G51" s="35" t="n">
        <f aca="false">COUNTIFS(Velocity!$I$2:$I$3001,"D",Velocity!$Q$2:$Q$3001,MOD(51-5,4),Velocity!$R$2:$R$3001,MOD($C51-1,Settings!$C$12))</f>
        <v>0</v>
      </c>
      <c r="H51" s="36" t="n">
        <f aca="false">SUM(D51:G51)</f>
        <v>0</v>
      </c>
      <c r="I51" s="37" t="n">
        <f aca="false">Settings!$B$5</f>
        <v>50</v>
      </c>
      <c r="J51" s="38" t="n">
        <f aca="false">I51-H51</f>
        <v>50</v>
      </c>
    </row>
    <row r="52" customFormat="false" ht="15" hidden="false" customHeight="false" outlineLevel="0" collapsed="false">
      <c r="A52" s="34" t="n">
        <f aca="false">Settings!$B$4+INT((52-5)/4)*7+MOD(52-5,4)</f>
        <v>46395</v>
      </c>
      <c r="B52" s="35" t="str">
        <f aca="false">CHOOSE(MOD(52-5,4)+1,"Tue","Wed","Thu","Fri")</f>
        <v>Fri</v>
      </c>
      <c r="C52" s="35" t="n">
        <f aca="false">INT((52-5)/4)+1</f>
        <v>12</v>
      </c>
      <c r="D52" s="35" t="n">
        <f aca="false">COUNTIFS(Velocity!$I$2:$I$3001,"A",Velocity!$Q$2:$Q$3001,MOD(52-5,4),Velocity!$R$2:$R$3001,MOD($C52-1,Settings!$C$9))</f>
        <v>0</v>
      </c>
      <c r="E52" s="35" t="n">
        <f aca="false">COUNTIFS(Velocity!$I$2:$I$3001,"B",Velocity!$Q$2:$Q$3001,MOD(52-5,4),Velocity!$R$2:$R$3001,MOD($C52-1,Settings!$C$10))</f>
        <v>0</v>
      </c>
      <c r="F52" s="35" t="n">
        <f aca="false">COUNTIFS(Velocity!$I$2:$I$3001,"C",Velocity!$Q$2:$Q$3001,MOD(52-5,4),Velocity!$R$2:$R$3001,MOD($C52-1,Settings!$C$11))</f>
        <v>0</v>
      </c>
      <c r="G52" s="35" t="n">
        <f aca="false">COUNTIFS(Velocity!$I$2:$I$3001,"D",Velocity!$Q$2:$Q$3001,MOD(52-5,4),Velocity!$R$2:$R$3001,MOD($C52-1,Settings!$C$12))</f>
        <v>0</v>
      </c>
      <c r="H52" s="36" t="n">
        <f aca="false">SUM(D52:G52)</f>
        <v>0</v>
      </c>
      <c r="I52" s="37" t="n">
        <f aca="false">Settings!$B$5</f>
        <v>50</v>
      </c>
      <c r="J52" s="38" t="n">
        <f aca="false">I52-H52</f>
        <v>50</v>
      </c>
    </row>
    <row r="53" customFormat="false" ht="15" hidden="false" customHeight="false" outlineLevel="0" collapsed="false">
      <c r="A53" s="29" t="n">
        <f aca="false">Settings!$B$4+INT((53-5)/4)*7+MOD(53-5,4)</f>
        <v>46399</v>
      </c>
      <c r="B53" s="30" t="str">
        <f aca="false">CHOOSE(MOD(53-5,4)+1,"Tue","Wed","Thu","Fri")</f>
        <v>Tue</v>
      </c>
      <c r="C53" s="30" t="n">
        <f aca="false">INT((53-5)/4)+1</f>
        <v>13</v>
      </c>
      <c r="D53" s="30" t="n">
        <f aca="false">COUNTIFS(Velocity!$I$2:$I$3001,"A",Velocity!$Q$2:$Q$3001,MOD(53-5,4),Velocity!$R$2:$R$3001,MOD($C53-1,Settings!$C$9))</f>
        <v>0</v>
      </c>
      <c r="E53" s="30" t="n">
        <f aca="false">COUNTIFS(Velocity!$I$2:$I$3001,"B",Velocity!$Q$2:$Q$3001,MOD(53-5,4),Velocity!$R$2:$R$3001,MOD($C53-1,Settings!$C$10))</f>
        <v>0</v>
      </c>
      <c r="F53" s="30" t="n">
        <f aca="false">COUNTIFS(Velocity!$I$2:$I$3001,"C",Velocity!$Q$2:$Q$3001,MOD(53-5,4),Velocity!$R$2:$R$3001,MOD($C53-1,Settings!$C$11))</f>
        <v>0</v>
      </c>
      <c r="G53" s="30" t="n">
        <f aca="false">COUNTIFS(Velocity!$I$2:$I$3001,"D",Velocity!$Q$2:$Q$3001,MOD(53-5,4),Velocity!$R$2:$R$3001,MOD($C53-1,Settings!$C$12))</f>
        <v>0</v>
      </c>
      <c r="H53" s="31" t="n">
        <f aca="false">SUM(D53:G53)</f>
        <v>0</v>
      </c>
      <c r="I53" s="32" t="n">
        <f aca="false">Settings!$B$5</f>
        <v>50</v>
      </c>
      <c r="J53" s="33" t="n">
        <f aca="false">I53-H53</f>
        <v>50</v>
      </c>
    </row>
    <row r="54" customFormat="false" ht="15" hidden="false" customHeight="false" outlineLevel="0" collapsed="false">
      <c r="A54" s="29" t="n">
        <f aca="false">Settings!$B$4+INT((54-5)/4)*7+MOD(54-5,4)</f>
        <v>46400</v>
      </c>
      <c r="B54" s="30" t="str">
        <f aca="false">CHOOSE(MOD(54-5,4)+1,"Tue","Wed","Thu","Fri")</f>
        <v>Wed</v>
      </c>
      <c r="C54" s="30" t="n">
        <f aca="false">INT((54-5)/4)+1</f>
        <v>13</v>
      </c>
      <c r="D54" s="30" t="n">
        <f aca="false">COUNTIFS(Velocity!$I$2:$I$3001,"A",Velocity!$Q$2:$Q$3001,MOD(54-5,4),Velocity!$R$2:$R$3001,MOD($C54-1,Settings!$C$9))</f>
        <v>0</v>
      </c>
      <c r="E54" s="30" t="n">
        <f aca="false">COUNTIFS(Velocity!$I$2:$I$3001,"B",Velocity!$Q$2:$Q$3001,MOD(54-5,4),Velocity!$R$2:$R$3001,MOD($C54-1,Settings!$C$10))</f>
        <v>0</v>
      </c>
      <c r="F54" s="30" t="n">
        <f aca="false">COUNTIFS(Velocity!$I$2:$I$3001,"C",Velocity!$Q$2:$Q$3001,MOD(54-5,4),Velocity!$R$2:$R$3001,MOD($C54-1,Settings!$C$11))</f>
        <v>0</v>
      </c>
      <c r="G54" s="30" t="n">
        <f aca="false">COUNTIFS(Velocity!$I$2:$I$3001,"D",Velocity!$Q$2:$Q$3001,MOD(54-5,4),Velocity!$R$2:$R$3001,MOD($C54-1,Settings!$C$12))</f>
        <v>0</v>
      </c>
      <c r="H54" s="31" t="n">
        <f aca="false">SUM(D54:G54)</f>
        <v>0</v>
      </c>
      <c r="I54" s="32" t="n">
        <f aca="false">Settings!$B$5</f>
        <v>50</v>
      </c>
      <c r="J54" s="33" t="n">
        <f aca="false">I54-H54</f>
        <v>50</v>
      </c>
    </row>
    <row r="55" customFormat="false" ht="15" hidden="false" customHeight="false" outlineLevel="0" collapsed="false">
      <c r="A55" s="29" t="n">
        <f aca="false">Settings!$B$4+INT((55-5)/4)*7+MOD(55-5,4)</f>
        <v>46401</v>
      </c>
      <c r="B55" s="30" t="str">
        <f aca="false">CHOOSE(MOD(55-5,4)+1,"Tue","Wed","Thu","Fri")</f>
        <v>Thu</v>
      </c>
      <c r="C55" s="30" t="n">
        <f aca="false">INT((55-5)/4)+1</f>
        <v>13</v>
      </c>
      <c r="D55" s="30" t="n">
        <f aca="false">COUNTIFS(Velocity!$I$2:$I$3001,"A",Velocity!$Q$2:$Q$3001,MOD(55-5,4),Velocity!$R$2:$R$3001,MOD($C55-1,Settings!$C$9))</f>
        <v>0</v>
      </c>
      <c r="E55" s="30" t="n">
        <f aca="false">COUNTIFS(Velocity!$I$2:$I$3001,"B",Velocity!$Q$2:$Q$3001,MOD(55-5,4),Velocity!$R$2:$R$3001,MOD($C55-1,Settings!$C$10))</f>
        <v>0</v>
      </c>
      <c r="F55" s="30" t="n">
        <f aca="false">COUNTIFS(Velocity!$I$2:$I$3001,"C",Velocity!$Q$2:$Q$3001,MOD(55-5,4),Velocity!$R$2:$R$3001,MOD($C55-1,Settings!$C$11))</f>
        <v>0</v>
      </c>
      <c r="G55" s="30" t="n">
        <f aca="false">COUNTIFS(Velocity!$I$2:$I$3001,"D",Velocity!$Q$2:$Q$3001,MOD(55-5,4),Velocity!$R$2:$R$3001,MOD($C55-1,Settings!$C$12))</f>
        <v>0</v>
      </c>
      <c r="H55" s="31" t="n">
        <f aca="false">SUM(D55:G55)</f>
        <v>0</v>
      </c>
      <c r="I55" s="32" t="n">
        <f aca="false">Settings!$B$5</f>
        <v>50</v>
      </c>
      <c r="J55" s="33" t="n">
        <f aca="false">I55-H55</f>
        <v>50</v>
      </c>
    </row>
    <row r="56" customFormat="false" ht="15" hidden="false" customHeight="false" outlineLevel="0" collapsed="false">
      <c r="A56" s="29" t="n">
        <f aca="false">Settings!$B$4+INT((56-5)/4)*7+MOD(56-5,4)</f>
        <v>46402</v>
      </c>
      <c r="B56" s="30" t="str">
        <f aca="false">CHOOSE(MOD(56-5,4)+1,"Tue","Wed","Thu","Fri")</f>
        <v>Fri</v>
      </c>
      <c r="C56" s="30" t="n">
        <f aca="false">INT((56-5)/4)+1</f>
        <v>13</v>
      </c>
      <c r="D56" s="30" t="n">
        <f aca="false">COUNTIFS(Velocity!$I$2:$I$3001,"A",Velocity!$Q$2:$Q$3001,MOD(56-5,4),Velocity!$R$2:$R$3001,MOD($C56-1,Settings!$C$9))</f>
        <v>0</v>
      </c>
      <c r="E56" s="30" t="n">
        <f aca="false">COUNTIFS(Velocity!$I$2:$I$3001,"B",Velocity!$Q$2:$Q$3001,MOD(56-5,4),Velocity!$R$2:$R$3001,MOD($C56-1,Settings!$C$10))</f>
        <v>0</v>
      </c>
      <c r="F56" s="30" t="n">
        <f aca="false">COUNTIFS(Velocity!$I$2:$I$3001,"C",Velocity!$Q$2:$Q$3001,MOD(56-5,4),Velocity!$R$2:$R$3001,MOD($C56-1,Settings!$C$11))</f>
        <v>0</v>
      </c>
      <c r="G56" s="30" t="n">
        <f aca="false">COUNTIFS(Velocity!$I$2:$I$3001,"D",Velocity!$Q$2:$Q$3001,MOD(56-5,4),Velocity!$R$2:$R$3001,MOD($C56-1,Settings!$C$12))</f>
        <v>0</v>
      </c>
      <c r="H56" s="31" t="n">
        <f aca="false">SUM(D56:G56)</f>
        <v>0</v>
      </c>
      <c r="I56" s="32" t="n">
        <f aca="false">Settings!$B$5</f>
        <v>50</v>
      </c>
      <c r="J56" s="33" t="n">
        <f aca="false">I56-H56</f>
        <v>50</v>
      </c>
    </row>
    <row r="57" customFormat="false" ht="15" hidden="false" customHeight="false" outlineLevel="0" collapsed="false">
      <c r="A57" s="3" t="s">
        <v>56</v>
      </c>
      <c r="D57" s="39" t="n">
        <f aca="false">SUM(D5:D56)</f>
        <v>0</v>
      </c>
      <c r="E57" s="39" t="n">
        <f aca="false">SUM(E5:E56)</f>
        <v>0</v>
      </c>
      <c r="F57" s="39" t="n">
        <f aca="false">SUM(F5:F56)</f>
        <v>0</v>
      </c>
      <c r="G57" s="39" t="n">
        <f aca="false">SUM(G5:G56)</f>
        <v>0</v>
      </c>
      <c r="H57" s="39" t="n">
        <f aca="false">SUM(H5:H56)</f>
        <v>0</v>
      </c>
    </row>
    <row r="58" customFormat="false" ht="15" hidden="false" customHeight="false" outlineLevel="0" collapsed="false">
      <c r="A58" s="3" t="s">
        <v>81</v>
      </c>
      <c r="D58" s="40" t="n">
        <f aca="false">AVERAGE(D5:D56)</f>
        <v>0</v>
      </c>
      <c r="E58" s="40" t="n">
        <f aca="false">AVERAGE(E5:E56)</f>
        <v>0</v>
      </c>
      <c r="F58" s="40" t="n">
        <f aca="false">AVERAGE(F5:F56)</f>
        <v>0</v>
      </c>
      <c r="G58" s="40" t="n">
        <f aca="false">AVERAGE(G5:G56)</f>
        <v>0</v>
      </c>
      <c r="H58" s="40" t="n">
        <f aca="false">AVERAGE(H5:H56)</f>
        <v>0</v>
      </c>
    </row>
    <row r="60" customFormat="false" ht="15" hidden="false" customHeight="false" outlineLevel="0" collapsed="false">
      <c r="A60" s="6" t="s">
        <v>82</v>
      </c>
    </row>
  </sheetData>
  <conditionalFormatting sqref="H5:H56">
    <cfRule type="expression" priority="2" aboveAverage="0" equalAverage="0" bottom="0" percent="0" rank="0" text="" dxfId="4">
      <formula>$H5&gt;$I5</formula>
    </cfRule>
  </conditionalFormatting>
  <conditionalFormatting sqref="J5:J56">
    <cfRule type="expression" priority="3" aboveAverage="0" equalAverage="0" bottom="0" percent="0" rank="0" text="" dxfId="5">
      <formula>$J5&lt;0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6" min="5" style="0" width="13"/>
    <col collapsed="false" customWidth="true" hidden="false" outlineLevel="0" max="7" min="7" style="0" width="30"/>
    <col collapsed="false" customWidth="true" hidden="false" outlineLevel="0" max="9" min="8" style="0" width="4"/>
  </cols>
  <sheetData>
    <row r="1" customFormat="false" ht="17.35" hidden="false" customHeight="false" outlineLevel="0" collapsed="false">
      <c r="A1" s="1" t="s">
        <v>83</v>
      </c>
    </row>
    <row r="3" customFormat="false" ht="15" hidden="false" customHeight="false" outlineLevel="0" collapsed="false">
      <c r="A3" s="3" t="s">
        <v>84</v>
      </c>
      <c r="B3" s="41" t="n">
        <f aca="false">Calendar!A5</f>
        <v>46315</v>
      </c>
      <c r="C3" s="41"/>
      <c r="D3" s="9" t="str">
        <f aca="false">IF(OR(H3&lt;0,H3&gt;3,B3&lt;Settings!$B$4),"⚠ Not a counting day in this schedule","")</f>
        <v/>
      </c>
      <c r="G3" s="42" t="s">
        <v>85</v>
      </c>
      <c r="H3" s="42" t="n">
        <f aca="false">IF(B3&lt;Settings!$B$4,-1,MOD(B3-Settings!$B$4,7))</f>
        <v>0</v>
      </c>
      <c r="I3" s="42" t="n">
        <f aca="false">INT((B3-Settings!$B$4)/7)</f>
        <v>0</v>
      </c>
    </row>
    <row r="4" customFormat="false" ht="15" hidden="false" customHeight="false" outlineLevel="0" collapsed="false">
      <c r="A4" s="3" t="s">
        <v>86</v>
      </c>
      <c r="B4" s="43" t="n">
        <f aca="false">COUNT(Velocity!$S$2:$S$3001)</f>
        <v>0</v>
      </c>
      <c r="C4" s="2" t="str">
        <f aca="false">"A "&amp;COUNTIFS(Velocity!$S$2:$S$3001,1,Velocity!$I$2:$I$3001,"A")&amp;" · B "&amp;COUNTIFS(Velocity!$S$2:$S$3001,1,Velocity!$I$2:$I$3001,"B")&amp;" · C "&amp;COUNTIFS(Velocity!$S$2:$S$3001,1,Velocity!$I$2:$I$3001,"C")&amp;" · D "&amp;COUNTIFS(Velocity!$S$2:$S$3001,1,Velocity!$I$2:$I$3001,"D")</f>
        <v>A 0 · B 0 · C 0 · D 0</v>
      </c>
    </row>
    <row r="5" customFormat="false" ht="15" hidden="false" customHeight="false" outlineLevel="0" collapsed="false">
      <c r="A5" s="44" t="s">
        <v>87</v>
      </c>
    </row>
    <row r="7" customFormat="false" ht="15" hidden="false" customHeight="false" outlineLevel="0" collapsed="false">
      <c r="A7" s="25" t="s">
        <v>88</v>
      </c>
      <c r="B7" s="25" t="s">
        <v>20</v>
      </c>
      <c r="C7" s="25" t="s">
        <v>21</v>
      </c>
      <c r="D7" s="25" t="s">
        <v>24</v>
      </c>
      <c r="E7" s="25" t="s">
        <v>25</v>
      </c>
      <c r="F7" s="25" t="s">
        <v>89</v>
      </c>
      <c r="G7" s="25" t="s">
        <v>90</v>
      </c>
    </row>
    <row r="8" customFormat="false" ht="15" hidden="false" customHeight="false" outlineLevel="0" collapsed="false">
      <c r="A8" s="30" t="str">
        <f aca="false">IF(1&lt;=$B$4,1,"")</f>
        <v/>
      </c>
      <c r="B8" s="5" t="str">
        <f aca="false">IF($A8="","",INDEX(Velocity!$A$2:$A$3001,MATCH($A8,Velocity!$T$2:$T$3001,0)))</f>
        <v/>
      </c>
      <c r="C8" s="5" t="str">
        <f aca="false">IF($A8="","",INDEX(Velocity!$B$2:$B$3001,MATCH($A8,Velocity!$T$2:$T$3001,0)))</f>
        <v/>
      </c>
      <c r="D8" s="30" t="str">
        <f aca="false">IF($A8="","",INDEX(Velocity!$I$2:$I$3001,MATCH($A8,Velocity!$T$2:$T$3001,0)))</f>
        <v/>
      </c>
      <c r="E8" s="29" t="str">
        <f aca="false">IF($A8="","",IF(INDEX(Velocity!$F$2:$F$3001,MATCH($A8,Velocity!$T$2:$T$3001,0))="","Never",INDEX(Velocity!$F$2:$F$3001,MATCH($A8,Velocity!$T$2:$T$3001,0))))</f>
        <v/>
      </c>
      <c r="F8" s="5"/>
      <c r="G8" s="5"/>
    </row>
    <row r="9" customFormat="false" ht="15" hidden="false" customHeight="false" outlineLevel="0" collapsed="false">
      <c r="A9" s="30" t="str">
        <f aca="false">IF(2&lt;=$B$4,2,"")</f>
        <v/>
      </c>
      <c r="B9" s="5" t="str">
        <f aca="false">IF($A9="","",INDEX(Velocity!$A$2:$A$3001,MATCH($A9,Velocity!$T$2:$T$3001,0)))</f>
        <v/>
      </c>
      <c r="C9" s="5" t="str">
        <f aca="false">IF($A9="","",INDEX(Velocity!$B$2:$B$3001,MATCH($A9,Velocity!$T$2:$T$3001,0)))</f>
        <v/>
      </c>
      <c r="D9" s="30" t="str">
        <f aca="false">IF($A9="","",INDEX(Velocity!$I$2:$I$3001,MATCH($A9,Velocity!$T$2:$T$3001,0)))</f>
        <v/>
      </c>
      <c r="E9" s="29" t="str">
        <f aca="false">IF($A9="","",IF(INDEX(Velocity!$F$2:$F$3001,MATCH($A9,Velocity!$T$2:$T$3001,0))="","Never",INDEX(Velocity!$F$2:$F$3001,MATCH($A9,Velocity!$T$2:$T$3001,0))))</f>
        <v/>
      </c>
      <c r="F9" s="5"/>
      <c r="G9" s="5"/>
    </row>
    <row r="10" customFormat="false" ht="15" hidden="false" customHeight="false" outlineLevel="0" collapsed="false">
      <c r="A10" s="30" t="str">
        <f aca="false">IF(3&lt;=$B$4,3,"")</f>
        <v/>
      </c>
      <c r="B10" s="5" t="str">
        <f aca="false">IF($A10="","",INDEX(Velocity!$A$2:$A$3001,MATCH($A10,Velocity!$T$2:$T$3001,0)))</f>
        <v/>
      </c>
      <c r="C10" s="5" t="str">
        <f aca="false">IF($A10="","",INDEX(Velocity!$B$2:$B$3001,MATCH($A10,Velocity!$T$2:$T$3001,0)))</f>
        <v/>
      </c>
      <c r="D10" s="30" t="str">
        <f aca="false">IF($A10="","",INDEX(Velocity!$I$2:$I$3001,MATCH($A10,Velocity!$T$2:$T$3001,0)))</f>
        <v/>
      </c>
      <c r="E10" s="29" t="str">
        <f aca="false">IF($A10="","",IF(INDEX(Velocity!$F$2:$F$3001,MATCH($A10,Velocity!$T$2:$T$3001,0))="","Never",INDEX(Velocity!$F$2:$F$3001,MATCH($A10,Velocity!$T$2:$T$3001,0))))</f>
        <v/>
      </c>
      <c r="F10" s="5"/>
      <c r="G10" s="5"/>
    </row>
    <row r="11" customFormat="false" ht="15" hidden="false" customHeight="false" outlineLevel="0" collapsed="false">
      <c r="A11" s="30" t="str">
        <f aca="false">IF(4&lt;=$B$4,4,"")</f>
        <v/>
      </c>
      <c r="B11" s="5" t="str">
        <f aca="false">IF($A11="","",INDEX(Velocity!$A$2:$A$3001,MATCH($A11,Velocity!$T$2:$T$3001,0)))</f>
        <v/>
      </c>
      <c r="C11" s="5" t="str">
        <f aca="false">IF($A11="","",INDEX(Velocity!$B$2:$B$3001,MATCH($A11,Velocity!$T$2:$T$3001,0)))</f>
        <v/>
      </c>
      <c r="D11" s="30" t="str">
        <f aca="false">IF($A11="","",INDEX(Velocity!$I$2:$I$3001,MATCH($A11,Velocity!$T$2:$T$3001,0)))</f>
        <v/>
      </c>
      <c r="E11" s="29" t="str">
        <f aca="false">IF($A11="","",IF(INDEX(Velocity!$F$2:$F$3001,MATCH($A11,Velocity!$T$2:$T$3001,0))="","Never",INDEX(Velocity!$F$2:$F$3001,MATCH($A11,Velocity!$T$2:$T$3001,0))))</f>
        <v/>
      </c>
      <c r="F11" s="5"/>
      <c r="G11" s="5"/>
    </row>
    <row r="12" customFormat="false" ht="15" hidden="false" customHeight="false" outlineLevel="0" collapsed="false">
      <c r="A12" s="30" t="str">
        <f aca="false">IF(5&lt;=$B$4,5,"")</f>
        <v/>
      </c>
      <c r="B12" s="5" t="str">
        <f aca="false">IF($A12="","",INDEX(Velocity!$A$2:$A$3001,MATCH($A12,Velocity!$T$2:$T$3001,0)))</f>
        <v/>
      </c>
      <c r="C12" s="5" t="str">
        <f aca="false">IF($A12="","",INDEX(Velocity!$B$2:$B$3001,MATCH($A12,Velocity!$T$2:$T$3001,0)))</f>
        <v/>
      </c>
      <c r="D12" s="30" t="str">
        <f aca="false">IF($A12="","",INDEX(Velocity!$I$2:$I$3001,MATCH($A12,Velocity!$T$2:$T$3001,0)))</f>
        <v/>
      </c>
      <c r="E12" s="29" t="str">
        <f aca="false">IF($A12="","",IF(INDEX(Velocity!$F$2:$F$3001,MATCH($A12,Velocity!$T$2:$T$3001,0))="","Never",INDEX(Velocity!$F$2:$F$3001,MATCH($A12,Velocity!$T$2:$T$3001,0))))</f>
        <v/>
      </c>
      <c r="F12" s="5"/>
      <c r="G12" s="5"/>
    </row>
    <row r="13" customFormat="false" ht="15" hidden="false" customHeight="false" outlineLevel="0" collapsed="false">
      <c r="A13" s="30" t="str">
        <f aca="false">IF(6&lt;=$B$4,6,"")</f>
        <v/>
      </c>
      <c r="B13" s="5" t="str">
        <f aca="false">IF($A13="","",INDEX(Velocity!$A$2:$A$3001,MATCH($A13,Velocity!$T$2:$T$3001,0)))</f>
        <v/>
      </c>
      <c r="C13" s="5" t="str">
        <f aca="false">IF($A13="","",INDEX(Velocity!$B$2:$B$3001,MATCH($A13,Velocity!$T$2:$T$3001,0)))</f>
        <v/>
      </c>
      <c r="D13" s="30" t="str">
        <f aca="false">IF($A13="","",INDEX(Velocity!$I$2:$I$3001,MATCH($A13,Velocity!$T$2:$T$3001,0)))</f>
        <v/>
      </c>
      <c r="E13" s="29" t="str">
        <f aca="false">IF($A13="","",IF(INDEX(Velocity!$F$2:$F$3001,MATCH($A13,Velocity!$T$2:$T$3001,0))="","Never",INDEX(Velocity!$F$2:$F$3001,MATCH($A13,Velocity!$T$2:$T$3001,0))))</f>
        <v/>
      </c>
      <c r="F13" s="5"/>
      <c r="G13" s="5"/>
    </row>
    <row r="14" customFormat="false" ht="15" hidden="false" customHeight="false" outlineLevel="0" collapsed="false">
      <c r="A14" s="30" t="str">
        <f aca="false">IF(7&lt;=$B$4,7,"")</f>
        <v/>
      </c>
      <c r="B14" s="5" t="str">
        <f aca="false">IF($A14="","",INDEX(Velocity!$A$2:$A$3001,MATCH($A14,Velocity!$T$2:$T$3001,0)))</f>
        <v/>
      </c>
      <c r="C14" s="5" t="str">
        <f aca="false">IF($A14="","",INDEX(Velocity!$B$2:$B$3001,MATCH($A14,Velocity!$T$2:$T$3001,0)))</f>
        <v/>
      </c>
      <c r="D14" s="30" t="str">
        <f aca="false">IF($A14="","",INDEX(Velocity!$I$2:$I$3001,MATCH($A14,Velocity!$T$2:$T$3001,0)))</f>
        <v/>
      </c>
      <c r="E14" s="29" t="str">
        <f aca="false">IF($A14="","",IF(INDEX(Velocity!$F$2:$F$3001,MATCH($A14,Velocity!$T$2:$T$3001,0))="","Never",INDEX(Velocity!$F$2:$F$3001,MATCH($A14,Velocity!$T$2:$T$3001,0))))</f>
        <v/>
      </c>
      <c r="F14" s="5"/>
      <c r="G14" s="5"/>
    </row>
    <row r="15" customFormat="false" ht="15" hidden="false" customHeight="false" outlineLevel="0" collapsed="false">
      <c r="A15" s="30" t="str">
        <f aca="false">IF(8&lt;=$B$4,8,"")</f>
        <v/>
      </c>
      <c r="B15" s="5" t="str">
        <f aca="false">IF($A15="","",INDEX(Velocity!$A$2:$A$3001,MATCH($A15,Velocity!$T$2:$T$3001,0)))</f>
        <v/>
      </c>
      <c r="C15" s="5" t="str">
        <f aca="false">IF($A15="","",INDEX(Velocity!$B$2:$B$3001,MATCH($A15,Velocity!$T$2:$T$3001,0)))</f>
        <v/>
      </c>
      <c r="D15" s="30" t="str">
        <f aca="false">IF($A15="","",INDEX(Velocity!$I$2:$I$3001,MATCH($A15,Velocity!$T$2:$T$3001,0)))</f>
        <v/>
      </c>
      <c r="E15" s="29" t="str">
        <f aca="false">IF($A15="","",IF(INDEX(Velocity!$F$2:$F$3001,MATCH($A15,Velocity!$T$2:$T$3001,0))="","Never",INDEX(Velocity!$F$2:$F$3001,MATCH($A15,Velocity!$T$2:$T$3001,0))))</f>
        <v/>
      </c>
      <c r="F15" s="5"/>
      <c r="G15" s="5"/>
    </row>
    <row r="16" customFormat="false" ht="15" hidden="false" customHeight="false" outlineLevel="0" collapsed="false">
      <c r="A16" s="30" t="str">
        <f aca="false">IF(9&lt;=$B$4,9,"")</f>
        <v/>
      </c>
      <c r="B16" s="5" t="str">
        <f aca="false">IF($A16="","",INDEX(Velocity!$A$2:$A$3001,MATCH($A16,Velocity!$T$2:$T$3001,0)))</f>
        <v/>
      </c>
      <c r="C16" s="5" t="str">
        <f aca="false">IF($A16="","",INDEX(Velocity!$B$2:$B$3001,MATCH($A16,Velocity!$T$2:$T$3001,0)))</f>
        <v/>
      </c>
      <c r="D16" s="30" t="str">
        <f aca="false">IF($A16="","",INDEX(Velocity!$I$2:$I$3001,MATCH($A16,Velocity!$T$2:$T$3001,0)))</f>
        <v/>
      </c>
      <c r="E16" s="29" t="str">
        <f aca="false">IF($A16="","",IF(INDEX(Velocity!$F$2:$F$3001,MATCH($A16,Velocity!$T$2:$T$3001,0))="","Never",INDEX(Velocity!$F$2:$F$3001,MATCH($A16,Velocity!$T$2:$T$3001,0))))</f>
        <v/>
      </c>
      <c r="F16" s="5"/>
      <c r="G16" s="5"/>
    </row>
    <row r="17" customFormat="false" ht="15" hidden="false" customHeight="false" outlineLevel="0" collapsed="false">
      <c r="A17" s="30" t="str">
        <f aca="false">IF(10&lt;=$B$4,10,"")</f>
        <v/>
      </c>
      <c r="B17" s="5" t="str">
        <f aca="false">IF($A17="","",INDEX(Velocity!$A$2:$A$3001,MATCH($A17,Velocity!$T$2:$T$3001,0)))</f>
        <v/>
      </c>
      <c r="C17" s="5" t="str">
        <f aca="false">IF($A17="","",INDEX(Velocity!$B$2:$B$3001,MATCH($A17,Velocity!$T$2:$T$3001,0)))</f>
        <v/>
      </c>
      <c r="D17" s="30" t="str">
        <f aca="false">IF($A17="","",INDEX(Velocity!$I$2:$I$3001,MATCH($A17,Velocity!$T$2:$T$3001,0)))</f>
        <v/>
      </c>
      <c r="E17" s="29" t="str">
        <f aca="false">IF($A17="","",IF(INDEX(Velocity!$F$2:$F$3001,MATCH($A17,Velocity!$T$2:$T$3001,0))="","Never",INDEX(Velocity!$F$2:$F$3001,MATCH($A17,Velocity!$T$2:$T$3001,0))))</f>
        <v/>
      </c>
      <c r="F17" s="5"/>
      <c r="G17" s="5"/>
    </row>
    <row r="18" customFormat="false" ht="15" hidden="false" customHeight="false" outlineLevel="0" collapsed="false">
      <c r="A18" s="30" t="str">
        <f aca="false">IF(11&lt;=$B$4,11,"")</f>
        <v/>
      </c>
      <c r="B18" s="5" t="str">
        <f aca="false">IF($A18="","",INDEX(Velocity!$A$2:$A$3001,MATCH($A18,Velocity!$T$2:$T$3001,0)))</f>
        <v/>
      </c>
      <c r="C18" s="5" t="str">
        <f aca="false">IF($A18="","",INDEX(Velocity!$B$2:$B$3001,MATCH($A18,Velocity!$T$2:$T$3001,0)))</f>
        <v/>
      </c>
      <c r="D18" s="30" t="str">
        <f aca="false">IF($A18="","",INDEX(Velocity!$I$2:$I$3001,MATCH($A18,Velocity!$T$2:$T$3001,0)))</f>
        <v/>
      </c>
      <c r="E18" s="29" t="str">
        <f aca="false">IF($A18="","",IF(INDEX(Velocity!$F$2:$F$3001,MATCH($A18,Velocity!$T$2:$T$3001,0))="","Never",INDEX(Velocity!$F$2:$F$3001,MATCH($A18,Velocity!$T$2:$T$3001,0))))</f>
        <v/>
      </c>
      <c r="F18" s="5"/>
      <c r="G18" s="5"/>
    </row>
    <row r="19" customFormat="false" ht="15" hidden="false" customHeight="false" outlineLevel="0" collapsed="false">
      <c r="A19" s="30" t="str">
        <f aca="false">IF(12&lt;=$B$4,12,"")</f>
        <v/>
      </c>
      <c r="B19" s="5" t="str">
        <f aca="false">IF($A19="","",INDEX(Velocity!$A$2:$A$3001,MATCH($A19,Velocity!$T$2:$T$3001,0)))</f>
        <v/>
      </c>
      <c r="C19" s="5" t="str">
        <f aca="false">IF($A19="","",INDEX(Velocity!$B$2:$B$3001,MATCH($A19,Velocity!$T$2:$T$3001,0)))</f>
        <v/>
      </c>
      <c r="D19" s="30" t="str">
        <f aca="false">IF($A19="","",INDEX(Velocity!$I$2:$I$3001,MATCH($A19,Velocity!$T$2:$T$3001,0)))</f>
        <v/>
      </c>
      <c r="E19" s="29" t="str">
        <f aca="false">IF($A19="","",IF(INDEX(Velocity!$F$2:$F$3001,MATCH($A19,Velocity!$T$2:$T$3001,0))="","Never",INDEX(Velocity!$F$2:$F$3001,MATCH($A19,Velocity!$T$2:$T$3001,0))))</f>
        <v/>
      </c>
      <c r="F19" s="5"/>
      <c r="G19" s="5"/>
    </row>
    <row r="20" customFormat="false" ht="15" hidden="false" customHeight="false" outlineLevel="0" collapsed="false">
      <c r="A20" s="30" t="str">
        <f aca="false">IF(13&lt;=$B$4,13,"")</f>
        <v/>
      </c>
      <c r="B20" s="5" t="str">
        <f aca="false">IF($A20="","",INDEX(Velocity!$A$2:$A$3001,MATCH($A20,Velocity!$T$2:$T$3001,0)))</f>
        <v/>
      </c>
      <c r="C20" s="5" t="str">
        <f aca="false">IF($A20="","",INDEX(Velocity!$B$2:$B$3001,MATCH($A20,Velocity!$T$2:$T$3001,0)))</f>
        <v/>
      </c>
      <c r="D20" s="30" t="str">
        <f aca="false">IF($A20="","",INDEX(Velocity!$I$2:$I$3001,MATCH($A20,Velocity!$T$2:$T$3001,0)))</f>
        <v/>
      </c>
      <c r="E20" s="29" t="str">
        <f aca="false">IF($A20="","",IF(INDEX(Velocity!$F$2:$F$3001,MATCH($A20,Velocity!$T$2:$T$3001,0))="","Never",INDEX(Velocity!$F$2:$F$3001,MATCH($A20,Velocity!$T$2:$T$3001,0))))</f>
        <v/>
      </c>
      <c r="F20" s="5"/>
      <c r="G20" s="5"/>
    </row>
    <row r="21" customFormat="false" ht="15" hidden="false" customHeight="false" outlineLevel="0" collapsed="false">
      <c r="A21" s="30" t="str">
        <f aca="false">IF(14&lt;=$B$4,14,"")</f>
        <v/>
      </c>
      <c r="B21" s="5" t="str">
        <f aca="false">IF($A21="","",INDEX(Velocity!$A$2:$A$3001,MATCH($A21,Velocity!$T$2:$T$3001,0)))</f>
        <v/>
      </c>
      <c r="C21" s="5" t="str">
        <f aca="false">IF($A21="","",INDEX(Velocity!$B$2:$B$3001,MATCH($A21,Velocity!$T$2:$T$3001,0)))</f>
        <v/>
      </c>
      <c r="D21" s="30" t="str">
        <f aca="false">IF($A21="","",INDEX(Velocity!$I$2:$I$3001,MATCH($A21,Velocity!$T$2:$T$3001,0)))</f>
        <v/>
      </c>
      <c r="E21" s="29" t="str">
        <f aca="false">IF($A21="","",IF(INDEX(Velocity!$F$2:$F$3001,MATCH($A21,Velocity!$T$2:$T$3001,0))="","Never",INDEX(Velocity!$F$2:$F$3001,MATCH($A21,Velocity!$T$2:$T$3001,0))))</f>
        <v/>
      </c>
      <c r="F21" s="5"/>
      <c r="G21" s="5"/>
    </row>
    <row r="22" customFormat="false" ht="15" hidden="false" customHeight="false" outlineLevel="0" collapsed="false">
      <c r="A22" s="30" t="str">
        <f aca="false">IF(15&lt;=$B$4,15,"")</f>
        <v/>
      </c>
      <c r="B22" s="5" t="str">
        <f aca="false">IF($A22="","",INDEX(Velocity!$A$2:$A$3001,MATCH($A22,Velocity!$T$2:$T$3001,0)))</f>
        <v/>
      </c>
      <c r="C22" s="5" t="str">
        <f aca="false">IF($A22="","",INDEX(Velocity!$B$2:$B$3001,MATCH($A22,Velocity!$T$2:$T$3001,0)))</f>
        <v/>
      </c>
      <c r="D22" s="30" t="str">
        <f aca="false">IF($A22="","",INDEX(Velocity!$I$2:$I$3001,MATCH($A22,Velocity!$T$2:$T$3001,0)))</f>
        <v/>
      </c>
      <c r="E22" s="29" t="str">
        <f aca="false">IF($A22="","",IF(INDEX(Velocity!$F$2:$F$3001,MATCH($A22,Velocity!$T$2:$T$3001,0))="","Never",INDEX(Velocity!$F$2:$F$3001,MATCH($A22,Velocity!$T$2:$T$3001,0))))</f>
        <v/>
      </c>
      <c r="F22" s="5"/>
      <c r="G22" s="5"/>
    </row>
    <row r="23" customFormat="false" ht="15" hidden="false" customHeight="false" outlineLevel="0" collapsed="false">
      <c r="A23" s="30" t="str">
        <f aca="false">IF(16&lt;=$B$4,16,"")</f>
        <v/>
      </c>
      <c r="B23" s="5" t="str">
        <f aca="false">IF($A23="","",INDEX(Velocity!$A$2:$A$3001,MATCH($A23,Velocity!$T$2:$T$3001,0)))</f>
        <v/>
      </c>
      <c r="C23" s="5" t="str">
        <f aca="false">IF($A23="","",INDEX(Velocity!$B$2:$B$3001,MATCH($A23,Velocity!$T$2:$T$3001,0)))</f>
        <v/>
      </c>
      <c r="D23" s="30" t="str">
        <f aca="false">IF($A23="","",INDEX(Velocity!$I$2:$I$3001,MATCH($A23,Velocity!$T$2:$T$3001,0)))</f>
        <v/>
      </c>
      <c r="E23" s="29" t="str">
        <f aca="false">IF($A23="","",IF(INDEX(Velocity!$F$2:$F$3001,MATCH($A23,Velocity!$T$2:$T$3001,0))="","Never",INDEX(Velocity!$F$2:$F$3001,MATCH($A23,Velocity!$T$2:$T$3001,0))))</f>
        <v/>
      </c>
      <c r="F23" s="5"/>
      <c r="G23" s="5"/>
    </row>
    <row r="24" customFormat="false" ht="15" hidden="false" customHeight="false" outlineLevel="0" collapsed="false">
      <c r="A24" s="30" t="str">
        <f aca="false">IF(17&lt;=$B$4,17,"")</f>
        <v/>
      </c>
      <c r="B24" s="5" t="str">
        <f aca="false">IF($A24="","",INDEX(Velocity!$A$2:$A$3001,MATCH($A24,Velocity!$T$2:$T$3001,0)))</f>
        <v/>
      </c>
      <c r="C24" s="5" t="str">
        <f aca="false">IF($A24="","",INDEX(Velocity!$B$2:$B$3001,MATCH($A24,Velocity!$T$2:$T$3001,0)))</f>
        <v/>
      </c>
      <c r="D24" s="30" t="str">
        <f aca="false">IF($A24="","",INDEX(Velocity!$I$2:$I$3001,MATCH($A24,Velocity!$T$2:$T$3001,0)))</f>
        <v/>
      </c>
      <c r="E24" s="29" t="str">
        <f aca="false">IF($A24="","",IF(INDEX(Velocity!$F$2:$F$3001,MATCH($A24,Velocity!$T$2:$T$3001,0))="","Never",INDEX(Velocity!$F$2:$F$3001,MATCH($A24,Velocity!$T$2:$T$3001,0))))</f>
        <v/>
      </c>
      <c r="F24" s="5"/>
      <c r="G24" s="5"/>
    </row>
    <row r="25" customFormat="false" ht="15" hidden="false" customHeight="false" outlineLevel="0" collapsed="false">
      <c r="A25" s="30" t="str">
        <f aca="false">IF(18&lt;=$B$4,18,"")</f>
        <v/>
      </c>
      <c r="B25" s="5" t="str">
        <f aca="false">IF($A25="","",INDEX(Velocity!$A$2:$A$3001,MATCH($A25,Velocity!$T$2:$T$3001,0)))</f>
        <v/>
      </c>
      <c r="C25" s="5" t="str">
        <f aca="false">IF($A25="","",INDEX(Velocity!$B$2:$B$3001,MATCH($A25,Velocity!$T$2:$T$3001,0)))</f>
        <v/>
      </c>
      <c r="D25" s="30" t="str">
        <f aca="false">IF($A25="","",INDEX(Velocity!$I$2:$I$3001,MATCH($A25,Velocity!$T$2:$T$3001,0)))</f>
        <v/>
      </c>
      <c r="E25" s="29" t="str">
        <f aca="false">IF($A25="","",IF(INDEX(Velocity!$F$2:$F$3001,MATCH($A25,Velocity!$T$2:$T$3001,0))="","Never",INDEX(Velocity!$F$2:$F$3001,MATCH($A25,Velocity!$T$2:$T$3001,0))))</f>
        <v/>
      </c>
      <c r="F25" s="5"/>
      <c r="G25" s="5"/>
    </row>
    <row r="26" customFormat="false" ht="15" hidden="false" customHeight="false" outlineLevel="0" collapsed="false">
      <c r="A26" s="30" t="str">
        <f aca="false">IF(19&lt;=$B$4,19,"")</f>
        <v/>
      </c>
      <c r="B26" s="5" t="str">
        <f aca="false">IF($A26="","",INDEX(Velocity!$A$2:$A$3001,MATCH($A26,Velocity!$T$2:$T$3001,0)))</f>
        <v/>
      </c>
      <c r="C26" s="5" t="str">
        <f aca="false">IF($A26="","",INDEX(Velocity!$B$2:$B$3001,MATCH($A26,Velocity!$T$2:$T$3001,0)))</f>
        <v/>
      </c>
      <c r="D26" s="30" t="str">
        <f aca="false">IF($A26="","",INDEX(Velocity!$I$2:$I$3001,MATCH($A26,Velocity!$T$2:$T$3001,0)))</f>
        <v/>
      </c>
      <c r="E26" s="29" t="str">
        <f aca="false">IF($A26="","",IF(INDEX(Velocity!$F$2:$F$3001,MATCH($A26,Velocity!$T$2:$T$3001,0))="","Never",INDEX(Velocity!$F$2:$F$3001,MATCH($A26,Velocity!$T$2:$T$3001,0))))</f>
        <v/>
      </c>
      <c r="F26" s="5"/>
      <c r="G26" s="5"/>
    </row>
    <row r="27" customFormat="false" ht="15" hidden="false" customHeight="false" outlineLevel="0" collapsed="false">
      <c r="A27" s="30" t="str">
        <f aca="false">IF(20&lt;=$B$4,20,"")</f>
        <v/>
      </c>
      <c r="B27" s="5" t="str">
        <f aca="false">IF($A27="","",INDEX(Velocity!$A$2:$A$3001,MATCH($A27,Velocity!$T$2:$T$3001,0)))</f>
        <v/>
      </c>
      <c r="C27" s="5" t="str">
        <f aca="false">IF($A27="","",INDEX(Velocity!$B$2:$B$3001,MATCH($A27,Velocity!$T$2:$T$3001,0)))</f>
        <v/>
      </c>
      <c r="D27" s="30" t="str">
        <f aca="false">IF($A27="","",INDEX(Velocity!$I$2:$I$3001,MATCH($A27,Velocity!$T$2:$T$3001,0)))</f>
        <v/>
      </c>
      <c r="E27" s="29" t="str">
        <f aca="false">IF($A27="","",IF(INDEX(Velocity!$F$2:$F$3001,MATCH($A27,Velocity!$T$2:$T$3001,0))="","Never",INDEX(Velocity!$F$2:$F$3001,MATCH($A27,Velocity!$T$2:$T$3001,0))))</f>
        <v/>
      </c>
      <c r="F27" s="5"/>
      <c r="G27" s="5"/>
    </row>
    <row r="28" customFormat="false" ht="15" hidden="false" customHeight="false" outlineLevel="0" collapsed="false">
      <c r="A28" s="30" t="str">
        <f aca="false">IF(21&lt;=$B$4,21,"")</f>
        <v/>
      </c>
      <c r="B28" s="5" t="str">
        <f aca="false">IF($A28="","",INDEX(Velocity!$A$2:$A$3001,MATCH($A28,Velocity!$T$2:$T$3001,0)))</f>
        <v/>
      </c>
      <c r="C28" s="5" t="str">
        <f aca="false">IF($A28="","",INDEX(Velocity!$B$2:$B$3001,MATCH($A28,Velocity!$T$2:$T$3001,0)))</f>
        <v/>
      </c>
      <c r="D28" s="30" t="str">
        <f aca="false">IF($A28="","",INDEX(Velocity!$I$2:$I$3001,MATCH($A28,Velocity!$T$2:$T$3001,0)))</f>
        <v/>
      </c>
      <c r="E28" s="29" t="str">
        <f aca="false">IF($A28="","",IF(INDEX(Velocity!$F$2:$F$3001,MATCH($A28,Velocity!$T$2:$T$3001,0))="","Never",INDEX(Velocity!$F$2:$F$3001,MATCH($A28,Velocity!$T$2:$T$3001,0))))</f>
        <v/>
      </c>
      <c r="F28" s="5"/>
      <c r="G28" s="5"/>
    </row>
    <row r="29" customFormat="false" ht="15" hidden="false" customHeight="false" outlineLevel="0" collapsed="false">
      <c r="A29" s="30" t="str">
        <f aca="false">IF(22&lt;=$B$4,22,"")</f>
        <v/>
      </c>
      <c r="B29" s="5" t="str">
        <f aca="false">IF($A29="","",INDEX(Velocity!$A$2:$A$3001,MATCH($A29,Velocity!$T$2:$T$3001,0)))</f>
        <v/>
      </c>
      <c r="C29" s="5" t="str">
        <f aca="false">IF($A29="","",INDEX(Velocity!$B$2:$B$3001,MATCH($A29,Velocity!$T$2:$T$3001,0)))</f>
        <v/>
      </c>
      <c r="D29" s="30" t="str">
        <f aca="false">IF($A29="","",INDEX(Velocity!$I$2:$I$3001,MATCH($A29,Velocity!$T$2:$T$3001,0)))</f>
        <v/>
      </c>
      <c r="E29" s="29" t="str">
        <f aca="false">IF($A29="","",IF(INDEX(Velocity!$F$2:$F$3001,MATCH($A29,Velocity!$T$2:$T$3001,0))="","Never",INDEX(Velocity!$F$2:$F$3001,MATCH($A29,Velocity!$T$2:$T$3001,0))))</f>
        <v/>
      </c>
      <c r="F29" s="5"/>
      <c r="G29" s="5"/>
    </row>
    <row r="30" customFormat="false" ht="15" hidden="false" customHeight="false" outlineLevel="0" collapsed="false">
      <c r="A30" s="30" t="str">
        <f aca="false">IF(23&lt;=$B$4,23,"")</f>
        <v/>
      </c>
      <c r="B30" s="5" t="str">
        <f aca="false">IF($A30="","",INDEX(Velocity!$A$2:$A$3001,MATCH($A30,Velocity!$T$2:$T$3001,0)))</f>
        <v/>
      </c>
      <c r="C30" s="5" t="str">
        <f aca="false">IF($A30="","",INDEX(Velocity!$B$2:$B$3001,MATCH($A30,Velocity!$T$2:$T$3001,0)))</f>
        <v/>
      </c>
      <c r="D30" s="30" t="str">
        <f aca="false">IF($A30="","",INDEX(Velocity!$I$2:$I$3001,MATCH($A30,Velocity!$T$2:$T$3001,0)))</f>
        <v/>
      </c>
      <c r="E30" s="29" t="str">
        <f aca="false">IF($A30="","",IF(INDEX(Velocity!$F$2:$F$3001,MATCH($A30,Velocity!$T$2:$T$3001,0))="","Never",INDEX(Velocity!$F$2:$F$3001,MATCH($A30,Velocity!$T$2:$T$3001,0))))</f>
        <v/>
      </c>
      <c r="F30" s="5"/>
      <c r="G30" s="5"/>
    </row>
    <row r="31" customFormat="false" ht="15" hidden="false" customHeight="false" outlineLevel="0" collapsed="false">
      <c r="A31" s="30" t="str">
        <f aca="false">IF(24&lt;=$B$4,24,"")</f>
        <v/>
      </c>
      <c r="B31" s="5" t="str">
        <f aca="false">IF($A31="","",INDEX(Velocity!$A$2:$A$3001,MATCH($A31,Velocity!$T$2:$T$3001,0)))</f>
        <v/>
      </c>
      <c r="C31" s="5" t="str">
        <f aca="false">IF($A31="","",INDEX(Velocity!$B$2:$B$3001,MATCH($A31,Velocity!$T$2:$T$3001,0)))</f>
        <v/>
      </c>
      <c r="D31" s="30" t="str">
        <f aca="false">IF($A31="","",INDEX(Velocity!$I$2:$I$3001,MATCH($A31,Velocity!$T$2:$T$3001,0)))</f>
        <v/>
      </c>
      <c r="E31" s="29" t="str">
        <f aca="false">IF($A31="","",IF(INDEX(Velocity!$F$2:$F$3001,MATCH($A31,Velocity!$T$2:$T$3001,0))="","Never",INDEX(Velocity!$F$2:$F$3001,MATCH($A31,Velocity!$T$2:$T$3001,0))))</f>
        <v/>
      </c>
      <c r="F31" s="5"/>
      <c r="G31" s="5"/>
    </row>
    <row r="32" customFormat="false" ht="15" hidden="false" customHeight="false" outlineLevel="0" collapsed="false">
      <c r="A32" s="30" t="str">
        <f aca="false">IF(25&lt;=$B$4,25,"")</f>
        <v/>
      </c>
      <c r="B32" s="5" t="str">
        <f aca="false">IF($A32="","",INDEX(Velocity!$A$2:$A$3001,MATCH($A32,Velocity!$T$2:$T$3001,0)))</f>
        <v/>
      </c>
      <c r="C32" s="5" t="str">
        <f aca="false">IF($A32="","",INDEX(Velocity!$B$2:$B$3001,MATCH($A32,Velocity!$T$2:$T$3001,0)))</f>
        <v/>
      </c>
      <c r="D32" s="30" t="str">
        <f aca="false">IF($A32="","",INDEX(Velocity!$I$2:$I$3001,MATCH($A32,Velocity!$T$2:$T$3001,0)))</f>
        <v/>
      </c>
      <c r="E32" s="29" t="str">
        <f aca="false">IF($A32="","",IF(INDEX(Velocity!$F$2:$F$3001,MATCH($A32,Velocity!$T$2:$T$3001,0))="","Never",INDEX(Velocity!$F$2:$F$3001,MATCH($A32,Velocity!$T$2:$T$3001,0))))</f>
        <v/>
      </c>
      <c r="F32" s="5"/>
      <c r="G32" s="5"/>
    </row>
    <row r="33" customFormat="false" ht="15" hidden="false" customHeight="false" outlineLevel="0" collapsed="false">
      <c r="A33" s="30" t="str">
        <f aca="false">IF(26&lt;=$B$4,26,"")</f>
        <v/>
      </c>
      <c r="B33" s="5" t="str">
        <f aca="false">IF($A33="","",INDEX(Velocity!$A$2:$A$3001,MATCH($A33,Velocity!$T$2:$T$3001,0)))</f>
        <v/>
      </c>
      <c r="C33" s="5" t="str">
        <f aca="false">IF($A33="","",INDEX(Velocity!$B$2:$B$3001,MATCH($A33,Velocity!$T$2:$T$3001,0)))</f>
        <v/>
      </c>
      <c r="D33" s="30" t="str">
        <f aca="false">IF($A33="","",INDEX(Velocity!$I$2:$I$3001,MATCH($A33,Velocity!$T$2:$T$3001,0)))</f>
        <v/>
      </c>
      <c r="E33" s="29" t="str">
        <f aca="false">IF($A33="","",IF(INDEX(Velocity!$F$2:$F$3001,MATCH($A33,Velocity!$T$2:$T$3001,0))="","Never",INDEX(Velocity!$F$2:$F$3001,MATCH($A33,Velocity!$T$2:$T$3001,0))))</f>
        <v/>
      </c>
      <c r="F33" s="5"/>
      <c r="G33" s="5"/>
    </row>
    <row r="34" customFormat="false" ht="15" hidden="false" customHeight="false" outlineLevel="0" collapsed="false">
      <c r="A34" s="30" t="str">
        <f aca="false">IF(27&lt;=$B$4,27,"")</f>
        <v/>
      </c>
      <c r="B34" s="5" t="str">
        <f aca="false">IF($A34="","",INDEX(Velocity!$A$2:$A$3001,MATCH($A34,Velocity!$T$2:$T$3001,0)))</f>
        <v/>
      </c>
      <c r="C34" s="5" t="str">
        <f aca="false">IF($A34="","",INDEX(Velocity!$B$2:$B$3001,MATCH($A34,Velocity!$T$2:$T$3001,0)))</f>
        <v/>
      </c>
      <c r="D34" s="30" t="str">
        <f aca="false">IF($A34="","",INDEX(Velocity!$I$2:$I$3001,MATCH($A34,Velocity!$T$2:$T$3001,0)))</f>
        <v/>
      </c>
      <c r="E34" s="29" t="str">
        <f aca="false">IF($A34="","",IF(INDEX(Velocity!$F$2:$F$3001,MATCH($A34,Velocity!$T$2:$T$3001,0))="","Never",INDEX(Velocity!$F$2:$F$3001,MATCH($A34,Velocity!$T$2:$T$3001,0))))</f>
        <v/>
      </c>
      <c r="F34" s="5"/>
      <c r="G34" s="5"/>
    </row>
    <row r="35" customFormat="false" ht="15" hidden="false" customHeight="false" outlineLevel="0" collapsed="false">
      <c r="A35" s="30" t="str">
        <f aca="false">IF(28&lt;=$B$4,28,"")</f>
        <v/>
      </c>
      <c r="B35" s="5" t="str">
        <f aca="false">IF($A35="","",INDEX(Velocity!$A$2:$A$3001,MATCH($A35,Velocity!$T$2:$T$3001,0)))</f>
        <v/>
      </c>
      <c r="C35" s="5" t="str">
        <f aca="false">IF($A35="","",INDEX(Velocity!$B$2:$B$3001,MATCH($A35,Velocity!$T$2:$T$3001,0)))</f>
        <v/>
      </c>
      <c r="D35" s="30" t="str">
        <f aca="false">IF($A35="","",INDEX(Velocity!$I$2:$I$3001,MATCH($A35,Velocity!$T$2:$T$3001,0)))</f>
        <v/>
      </c>
      <c r="E35" s="29" t="str">
        <f aca="false">IF($A35="","",IF(INDEX(Velocity!$F$2:$F$3001,MATCH($A35,Velocity!$T$2:$T$3001,0))="","Never",INDEX(Velocity!$F$2:$F$3001,MATCH($A35,Velocity!$T$2:$T$3001,0))))</f>
        <v/>
      </c>
      <c r="F35" s="5"/>
      <c r="G35" s="5"/>
    </row>
    <row r="36" customFormat="false" ht="15" hidden="false" customHeight="false" outlineLevel="0" collapsed="false">
      <c r="A36" s="30" t="str">
        <f aca="false">IF(29&lt;=$B$4,29,"")</f>
        <v/>
      </c>
      <c r="B36" s="5" t="str">
        <f aca="false">IF($A36="","",INDEX(Velocity!$A$2:$A$3001,MATCH($A36,Velocity!$T$2:$T$3001,0)))</f>
        <v/>
      </c>
      <c r="C36" s="5" t="str">
        <f aca="false">IF($A36="","",INDEX(Velocity!$B$2:$B$3001,MATCH($A36,Velocity!$T$2:$T$3001,0)))</f>
        <v/>
      </c>
      <c r="D36" s="30" t="str">
        <f aca="false">IF($A36="","",INDEX(Velocity!$I$2:$I$3001,MATCH($A36,Velocity!$T$2:$T$3001,0)))</f>
        <v/>
      </c>
      <c r="E36" s="29" t="str">
        <f aca="false">IF($A36="","",IF(INDEX(Velocity!$F$2:$F$3001,MATCH($A36,Velocity!$T$2:$T$3001,0))="","Never",INDEX(Velocity!$F$2:$F$3001,MATCH($A36,Velocity!$T$2:$T$3001,0))))</f>
        <v/>
      </c>
      <c r="F36" s="5"/>
      <c r="G36" s="5"/>
    </row>
    <row r="37" customFormat="false" ht="15" hidden="false" customHeight="false" outlineLevel="0" collapsed="false">
      <c r="A37" s="30" t="str">
        <f aca="false">IF(30&lt;=$B$4,30,"")</f>
        <v/>
      </c>
      <c r="B37" s="5" t="str">
        <f aca="false">IF($A37="","",INDEX(Velocity!$A$2:$A$3001,MATCH($A37,Velocity!$T$2:$T$3001,0)))</f>
        <v/>
      </c>
      <c r="C37" s="5" t="str">
        <f aca="false">IF($A37="","",INDEX(Velocity!$B$2:$B$3001,MATCH($A37,Velocity!$T$2:$T$3001,0)))</f>
        <v/>
      </c>
      <c r="D37" s="30" t="str">
        <f aca="false">IF($A37="","",INDEX(Velocity!$I$2:$I$3001,MATCH($A37,Velocity!$T$2:$T$3001,0)))</f>
        <v/>
      </c>
      <c r="E37" s="29" t="str">
        <f aca="false">IF($A37="","",IF(INDEX(Velocity!$F$2:$F$3001,MATCH($A37,Velocity!$T$2:$T$3001,0))="","Never",INDEX(Velocity!$F$2:$F$3001,MATCH($A37,Velocity!$T$2:$T$3001,0))))</f>
        <v/>
      </c>
      <c r="F37" s="5"/>
      <c r="G37" s="5"/>
    </row>
    <row r="38" customFormat="false" ht="15" hidden="false" customHeight="false" outlineLevel="0" collapsed="false">
      <c r="A38" s="30" t="str">
        <f aca="false">IF(31&lt;=$B$4,31,"")</f>
        <v/>
      </c>
      <c r="B38" s="5" t="str">
        <f aca="false">IF($A38="","",INDEX(Velocity!$A$2:$A$3001,MATCH($A38,Velocity!$T$2:$T$3001,0)))</f>
        <v/>
      </c>
      <c r="C38" s="5" t="str">
        <f aca="false">IF($A38="","",INDEX(Velocity!$B$2:$B$3001,MATCH($A38,Velocity!$T$2:$T$3001,0)))</f>
        <v/>
      </c>
      <c r="D38" s="30" t="str">
        <f aca="false">IF($A38="","",INDEX(Velocity!$I$2:$I$3001,MATCH($A38,Velocity!$T$2:$T$3001,0)))</f>
        <v/>
      </c>
      <c r="E38" s="29" t="str">
        <f aca="false">IF($A38="","",IF(INDEX(Velocity!$F$2:$F$3001,MATCH($A38,Velocity!$T$2:$T$3001,0))="","Never",INDEX(Velocity!$F$2:$F$3001,MATCH($A38,Velocity!$T$2:$T$3001,0))))</f>
        <v/>
      </c>
      <c r="F38" s="5"/>
      <c r="G38" s="5"/>
    </row>
    <row r="39" customFormat="false" ht="15" hidden="false" customHeight="false" outlineLevel="0" collapsed="false">
      <c r="A39" s="30" t="str">
        <f aca="false">IF(32&lt;=$B$4,32,"")</f>
        <v/>
      </c>
      <c r="B39" s="5" t="str">
        <f aca="false">IF($A39="","",INDEX(Velocity!$A$2:$A$3001,MATCH($A39,Velocity!$T$2:$T$3001,0)))</f>
        <v/>
      </c>
      <c r="C39" s="5" t="str">
        <f aca="false">IF($A39="","",INDEX(Velocity!$B$2:$B$3001,MATCH($A39,Velocity!$T$2:$T$3001,0)))</f>
        <v/>
      </c>
      <c r="D39" s="30" t="str">
        <f aca="false">IF($A39="","",INDEX(Velocity!$I$2:$I$3001,MATCH($A39,Velocity!$T$2:$T$3001,0)))</f>
        <v/>
      </c>
      <c r="E39" s="29" t="str">
        <f aca="false">IF($A39="","",IF(INDEX(Velocity!$F$2:$F$3001,MATCH($A39,Velocity!$T$2:$T$3001,0))="","Never",INDEX(Velocity!$F$2:$F$3001,MATCH($A39,Velocity!$T$2:$T$3001,0))))</f>
        <v/>
      </c>
      <c r="F39" s="5"/>
      <c r="G39" s="5"/>
    </row>
    <row r="40" customFormat="false" ht="15" hidden="false" customHeight="false" outlineLevel="0" collapsed="false">
      <c r="A40" s="30" t="str">
        <f aca="false">IF(33&lt;=$B$4,33,"")</f>
        <v/>
      </c>
      <c r="B40" s="5" t="str">
        <f aca="false">IF($A40="","",INDEX(Velocity!$A$2:$A$3001,MATCH($A40,Velocity!$T$2:$T$3001,0)))</f>
        <v/>
      </c>
      <c r="C40" s="5" t="str">
        <f aca="false">IF($A40="","",INDEX(Velocity!$B$2:$B$3001,MATCH($A40,Velocity!$T$2:$T$3001,0)))</f>
        <v/>
      </c>
      <c r="D40" s="30" t="str">
        <f aca="false">IF($A40="","",INDEX(Velocity!$I$2:$I$3001,MATCH($A40,Velocity!$T$2:$T$3001,0)))</f>
        <v/>
      </c>
      <c r="E40" s="29" t="str">
        <f aca="false">IF($A40="","",IF(INDEX(Velocity!$F$2:$F$3001,MATCH($A40,Velocity!$T$2:$T$3001,0))="","Never",INDEX(Velocity!$F$2:$F$3001,MATCH($A40,Velocity!$T$2:$T$3001,0))))</f>
        <v/>
      </c>
      <c r="F40" s="5"/>
      <c r="G40" s="5"/>
    </row>
    <row r="41" customFormat="false" ht="15" hidden="false" customHeight="false" outlineLevel="0" collapsed="false">
      <c r="A41" s="30" t="str">
        <f aca="false">IF(34&lt;=$B$4,34,"")</f>
        <v/>
      </c>
      <c r="B41" s="5" t="str">
        <f aca="false">IF($A41="","",INDEX(Velocity!$A$2:$A$3001,MATCH($A41,Velocity!$T$2:$T$3001,0)))</f>
        <v/>
      </c>
      <c r="C41" s="5" t="str">
        <f aca="false">IF($A41="","",INDEX(Velocity!$B$2:$B$3001,MATCH($A41,Velocity!$T$2:$T$3001,0)))</f>
        <v/>
      </c>
      <c r="D41" s="30" t="str">
        <f aca="false">IF($A41="","",INDEX(Velocity!$I$2:$I$3001,MATCH($A41,Velocity!$T$2:$T$3001,0)))</f>
        <v/>
      </c>
      <c r="E41" s="29" t="str">
        <f aca="false">IF($A41="","",IF(INDEX(Velocity!$F$2:$F$3001,MATCH($A41,Velocity!$T$2:$T$3001,0))="","Never",INDEX(Velocity!$F$2:$F$3001,MATCH($A41,Velocity!$T$2:$T$3001,0))))</f>
        <v/>
      </c>
      <c r="F41" s="5"/>
      <c r="G41" s="5"/>
    </row>
    <row r="42" customFormat="false" ht="15" hidden="false" customHeight="false" outlineLevel="0" collapsed="false">
      <c r="A42" s="30" t="str">
        <f aca="false">IF(35&lt;=$B$4,35,"")</f>
        <v/>
      </c>
      <c r="B42" s="5" t="str">
        <f aca="false">IF($A42="","",INDEX(Velocity!$A$2:$A$3001,MATCH($A42,Velocity!$T$2:$T$3001,0)))</f>
        <v/>
      </c>
      <c r="C42" s="5" t="str">
        <f aca="false">IF($A42="","",INDEX(Velocity!$B$2:$B$3001,MATCH($A42,Velocity!$T$2:$T$3001,0)))</f>
        <v/>
      </c>
      <c r="D42" s="30" t="str">
        <f aca="false">IF($A42="","",INDEX(Velocity!$I$2:$I$3001,MATCH($A42,Velocity!$T$2:$T$3001,0)))</f>
        <v/>
      </c>
      <c r="E42" s="29" t="str">
        <f aca="false">IF($A42="","",IF(INDEX(Velocity!$F$2:$F$3001,MATCH($A42,Velocity!$T$2:$T$3001,0))="","Never",INDEX(Velocity!$F$2:$F$3001,MATCH($A42,Velocity!$T$2:$T$3001,0))))</f>
        <v/>
      </c>
      <c r="F42" s="5"/>
      <c r="G42" s="5"/>
    </row>
    <row r="43" customFormat="false" ht="15" hidden="false" customHeight="false" outlineLevel="0" collapsed="false">
      <c r="A43" s="30" t="str">
        <f aca="false">IF(36&lt;=$B$4,36,"")</f>
        <v/>
      </c>
      <c r="B43" s="5" t="str">
        <f aca="false">IF($A43="","",INDEX(Velocity!$A$2:$A$3001,MATCH($A43,Velocity!$T$2:$T$3001,0)))</f>
        <v/>
      </c>
      <c r="C43" s="5" t="str">
        <f aca="false">IF($A43="","",INDEX(Velocity!$B$2:$B$3001,MATCH($A43,Velocity!$T$2:$T$3001,0)))</f>
        <v/>
      </c>
      <c r="D43" s="30" t="str">
        <f aca="false">IF($A43="","",INDEX(Velocity!$I$2:$I$3001,MATCH($A43,Velocity!$T$2:$T$3001,0)))</f>
        <v/>
      </c>
      <c r="E43" s="29" t="str">
        <f aca="false">IF($A43="","",IF(INDEX(Velocity!$F$2:$F$3001,MATCH($A43,Velocity!$T$2:$T$3001,0))="","Never",INDEX(Velocity!$F$2:$F$3001,MATCH($A43,Velocity!$T$2:$T$3001,0))))</f>
        <v/>
      </c>
      <c r="F43" s="5"/>
      <c r="G43" s="5"/>
    </row>
    <row r="44" customFormat="false" ht="15" hidden="false" customHeight="false" outlineLevel="0" collapsed="false">
      <c r="A44" s="30" t="str">
        <f aca="false">IF(37&lt;=$B$4,37,"")</f>
        <v/>
      </c>
      <c r="B44" s="5" t="str">
        <f aca="false">IF($A44="","",INDEX(Velocity!$A$2:$A$3001,MATCH($A44,Velocity!$T$2:$T$3001,0)))</f>
        <v/>
      </c>
      <c r="C44" s="5" t="str">
        <f aca="false">IF($A44="","",INDEX(Velocity!$B$2:$B$3001,MATCH($A44,Velocity!$T$2:$T$3001,0)))</f>
        <v/>
      </c>
      <c r="D44" s="30" t="str">
        <f aca="false">IF($A44="","",INDEX(Velocity!$I$2:$I$3001,MATCH($A44,Velocity!$T$2:$T$3001,0)))</f>
        <v/>
      </c>
      <c r="E44" s="29" t="str">
        <f aca="false">IF($A44="","",IF(INDEX(Velocity!$F$2:$F$3001,MATCH($A44,Velocity!$T$2:$T$3001,0))="","Never",INDEX(Velocity!$F$2:$F$3001,MATCH($A44,Velocity!$T$2:$T$3001,0))))</f>
        <v/>
      </c>
      <c r="F44" s="5"/>
      <c r="G44" s="5"/>
    </row>
    <row r="45" customFormat="false" ht="15" hidden="false" customHeight="false" outlineLevel="0" collapsed="false">
      <c r="A45" s="30" t="str">
        <f aca="false">IF(38&lt;=$B$4,38,"")</f>
        <v/>
      </c>
      <c r="B45" s="5" t="str">
        <f aca="false">IF($A45="","",INDEX(Velocity!$A$2:$A$3001,MATCH($A45,Velocity!$T$2:$T$3001,0)))</f>
        <v/>
      </c>
      <c r="C45" s="5" t="str">
        <f aca="false">IF($A45="","",INDEX(Velocity!$B$2:$B$3001,MATCH($A45,Velocity!$T$2:$T$3001,0)))</f>
        <v/>
      </c>
      <c r="D45" s="30" t="str">
        <f aca="false">IF($A45="","",INDEX(Velocity!$I$2:$I$3001,MATCH($A45,Velocity!$T$2:$T$3001,0)))</f>
        <v/>
      </c>
      <c r="E45" s="29" t="str">
        <f aca="false">IF($A45="","",IF(INDEX(Velocity!$F$2:$F$3001,MATCH($A45,Velocity!$T$2:$T$3001,0))="","Never",INDEX(Velocity!$F$2:$F$3001,MATCH($A45,Velocity!$T$2:$T$3001,0))))</f>
        <v/>
      </c>
      <c r="F45" s="5"/>
      <c r="G45" s="5"/>
    </row>
    <row r="46" customFormat="false" ht="15" hidden="false" customHeight="false" outlineLevel="0" collapsed="false">
      <c r="A46" s="30" t="str">
        <f aca="false">IF(39&lt;=$B$4,39,"")</f>
        <v/>
      </c>
      <c r="B46" s="5" t="str">
        <f aca="false">IF($A46="","",INDEX(Velocity!$A$2:$A$3001,MATCH($A46,Velocity!$T$2:$T$3001,0)))</f>
        <v/>
      </c>
      <c r="C46" s="5" t="str">
        <f aca="false">IF($A46="","",INDEX(Velocity!$B$2:$B$3001,MATCH($A46,Velocity!$T$2:$T$3001,0)))</f>
        <v/>
      </c>
      <c r="D46" s="30" t="str">
        <f aca="false">IF($A46="","",INDEX(Velocity!$I$2:$I$3001,MATCH($A46,Velocity!$T$2:$T$3001,0)))</f>
        <v/>
      </c>
      <c r="E46" s="29" t="str">
        <f aca="false">IF($A46="","",IF(INDEX(Velocity!$F$2:$F$3001,MATCH($A46,Velocity!$T$2:$T$3001,0))="","Never",INDEX(Velocity!$F$2:$F$3001,MATCH($A46,Velocity!$T$2:$T$3001,0))))</f>
        <v/>
      </c>
      <c r="F46" s="5"/>
      <c r="G46" s="5"/>
    </row>
    <row r="47" customFormat="false" ht="15" hidden="false" customHeight="false" outlineLevel="0" collapsed="false">
      <c r="A47" s="30" t="str">
        <f aca="false">IF(40&lt;=$B$4,40,"")</f>
        <v/>
      </c>
      <c r="B47" s="5" t="str">
        <f aca="false">IF($A47="","",INDEX(Velocity!$A$2:$A$3001,MATCH($A47,Velocity!$T$2:$T$3001,0)))</f>
        <v/>
      </c>
      <c r="C47" s="5" t="str">
        <f aca="false">IF($A47="","",INDEX(Velocity!$B$2:$B$3001,MATCH($A47,Velocity!$T$2:$T$3001,0)))</f>
        <v/>
      </c>
      <c r="D47" s="30" t="str">
        <f aca="false">IF($A47="","",INDEX(Velocity!$I$2:$I$3001,MATCH($A47,Velocity!$T$2:$T$3001,0)))</f>
        <v/>
      </c>
      <c r="E47" s="29" t="str">
        <f aca="false">IF($A47="","",IF(INDEX(Velocity!$F$2:$F$3001,MATCH($A47,Velocity!$T$2:$T$3001,0))="","Never",INDEX(Velocity!$F$2:$F$3001,MATCH($A47,Velocity!$T$2:$T$3001,0))))</f>
        <v/>
      </c>
      <c r="F47" s="5"/>
      <c r="G47" s="5"/>
    </row>
    <row r="48" customFormat="false" ht="15" hidden="false" customHeight="false" outlineLevel="0" collapsed="false">
      <c r="A48" s="30" t="str">
        <f aca="false">IF(41&lt;=$B$4,41,"")</f>
        <v/>
      </c>
      <c r="B48" s="5" t="str">
        <f aca="false">IF($A48="","",INDEX(Velocity!$A$2:$A$3001,MATCH($A48,Velocity!$T$2:$T$3001,0)))</f>
        <v/>
      </c>
      <c r="C48" s="5" t="str">
        <f aca="false">IF($A48="","",INDEX(Velocity!$B$2:$B$3001,MATCH($A48,Velocity!$T$2:$T$3001,0)))</f>
        <v/>
      </c>
      <c r="D48" s="30" t="str">
        <f aca="false">IF($A48="","",INDEX(Velocity!$I$2:$I$3001,MATCH($A48,Velocity!$T$2:$T$3001,0)))</f>
        <v/>
      </c>
      <c r="E48" s="29" t="str">
        <f aca="false">IF($A48="","",IF(INDEX(Velocity!$F$2:$F$3001,MATCH($A48,Velocity!$T$2:$T$3001,0))="","Never",INDEX(Velocity!$F$2:$F$3001,MATCH($A48,Velocity!$T$2:$T$3001,0))))</f>
        <v/>
      </c>
      <c r="F48" s="5"/>
      <c r="G48" s="5"/>
    </row>
    <row r="49" customFormat="false" ht="15" hidden="false" customHeight="false" outlineLevel="0" collapsed="false">
      <c r="A49" s="30" t="str">
        <f aca="false">IF(42&lt;=$B$4,42,"")</f>
        <v/>
      </c>
      <c r="B49" s="5" t="str">
        <f aca="false">IF($A49="","",INDEX(Velocity!$A$2:$A$3001,MATCH($A49,Velocity!$T$2:$T$3001,0)))</f>
        <v/>
      </c>
      <c r="C49" s="5" t="str">
        <f aca="false">IF($A49="","",INDEX(Velocity!$B$2:$B$3001,MATCH($A49,Velocity!$T$2:$T$3001,0)))</f>
        <v/>
      </c>
      <c r="D49" s="30" t="str">
        <f aca="false">IF($A49="","",INDEX(Velocity!$I$2:$I$3001,MATCH($A49,Velocity!$T$2:$T$3001,0)))</f>
        <v/>
      </c>
      <c r="E49" s="29" t="str">
        <f aca="false">IF($A49="","",IF(INDEX(Velocity!$F$2:$F$3001,MATCH($A49,Velocity!$T$2:$T$3001,0))="","Never",INDEX(Velocity!$F$2:$F$3001,MATCH($A49,Velocity!$T$2:$T$3001,0))))</f>
        <v/>
      </c>
      <c r="F49" s="5"/>
      <c r="G49" s="5"/>
    </row>
    <row r="50" customFormat="false" ht="15" hidden="false" customHeight="false" outlineLevel="0" collapsed="false">
      <c r="A50" s="30" t="str">
        <f aca="false">IF(43&lt;=$B$4,43,"")</f>
        <v/>
      </c>
      <c r="B50" s="5" t="str">
        <f aca="false">IF($A50="","",INDEX(Velocity!$A$2:$A$3001,MATCH($A50,Velocity!$T$2:$T$3001,0)))</f>
        <v/>
      </c>
      <c r="C50" s="5" t="str">
        <f aca="false">IF($A50="","",INDEX(Velocity!$B$2:$B$3001,MATCH($A50,Velocity!$T$2:$T$3001,0)))</f>
        <v/>
      </c>
      <c r="D50" s="30" t="str">
        <f aca="false">IF($A50="","",INDEX(Velocity!$I$2:$I$3001,MATCH($A50,Velocity!$T$2:$T$3001,0)))</f>
        <v/>
      </c>
      <c r="E50" s="29" t="str">
        <f aca="false">IF($A50="","",IF(INDEX(Velocity!$F$2:$F$3001,MATCH($A50,Velocity!$T$2:$T$3001,0))="","Never",INDEX(Velocity!$F$2:$F$3001,MATCH($A50,Velocity!$T$2:$T$3001,0))))</f>
        <v/>
      </c>
      <c r="F50" s="5"/>
      <c r="G50" s="5"/>
    </row>
    <row r="51" customFormat="false" ht="15" hidden="false" customHeight="false" outlineLevel="0" collapsed="false">
      <c r="A51" s="30" t="str">
        <f aca="false">IF(44&lt;=$B$4,44,"")</f>
        <v/>
      </c>
      <c r="B51" s="5" t="str">
        <f aca="false">IF($A51="","",INDEX(Velocity!$A$2:$A$3001,MATCH($A51,Velocity!$T$2:$T$3001,0)))</f>
        <v/>
      </c>
      <c r="C51" s="5" t="str">
        <f aca="false">IF($A51="","",INDEX(Velocity!$B$2:$B$3001,MATCH($A51,Velocity!$T$2:$T$3001,0)))</f>
        <v/>
      </c>
      <c r="D51" s="30" t="str">
        <f aca="false">IF($A51="","",INDEX(Velocity!$I$2:$I$3001,MATCH($A51,Velocity!$T$2:$T$3001,0)))</f>
        <v/>
      </c>
      <c r="E51" s="29" t="str">
        <f aca="false">IF($A51="","",IF(INDEX(Velocity!$F$2:$F$3001,MATCH($A51,Velocity!$T$2:$T$3001,0))="","Never",INDEX(Velocity!$F$2:$F$3001,MATCH($A51,Velocity!$T$2:$T$3001,0))))</f>
        <v/>
      </c>
      <c r="F51" s="5"/>
      <c r="G51" s="5"/>
    </row>
    <row r="52" customFormat="false" ht="15" hidden="false" customHeight="false" outlineLevel="0" collapsed="false">
      <c r="A52" s="30" t="str">
        <f aca="false">IF(45&lt;=$B$4,45,"")</f>
        <v/>
      </c>
      <c r="B52" s="5" t="str">
        <f aca="false">IF($A52="","",INDEX(Velocity!$A$2:$A$3001,MATCH($A52,Velocity!$T$2:$T$3001,0)))</f>
        <v/>
      </c>
      <c r="C52" s="5" t="str">
        <f aca="false">IF($A52="","",INDEX(Velocity!$B$2:$B$3001,MATCH($A52,Velocity!$T$2:$T$3001,0)))</f>
        <v/>
      </c>
      <c r="D52" s="30" t="str">
        <f aca="false">IF($A52="","",INDEX(Velocity!$I$2:$I$3001,MATCH($A52,Velocity!$T$2:$T$3001,0)))</f>
        <v/>
      </c>
      <c r="E52" s="29" t="str">
        <f aca="false">IF($A52="","",IF(INDEX(Velocity!$F$2:$F$3001,MATCH($A52,Velocity!$T$2:$T$3001,0))="","Never",INDEX(Velocity!$F$2:$F$3001,MATCH($A52,Velocity!$T$2:$T$3001,0))))</f>
        <v/>
      </c>
      <c r="F52" s="5"/>
      <c r="G52" s="5"/>
    </row>
    <row r="53" customFormat="false" ht="15" hidden="false" customHeight="false" outlineLevel="0" collapsed="false">
      <c r="A53" s="30" t="str">
        <f aca="false">IF(46&lt;=$B$4,46,"")</f>
        <v/>
      </c>
      <c r="B53" s="5" t="str">
        <f aca="false">IF($A53="","",INDEX(Velocity!$A$2:$A$3001,MATCH($A53,Velocity!$T$2:$T$3001,0)))</f>
        <v/>
      </c>
      <c r="C53" s="5" t="str">
        <f aca="false">IF($A53="","",INDEX(Velocity!$B$2:$B$3001,MATCH($A53,Velocity!$T$2:$T$3001,0)))</f>
        <v/>
      </c>
      <c r="D53" s="30" t="str">
        <f aca="false">IF($A53="","",INDEX(Velocity!$I$2:$I$3001,MATCH($A53,Velocity!$T$2:$T$3001,0)))</f>
        <v/>
      </c>
      <c r="E53" s="29" t="str">
        <f aca="false">IF($A53="","",IF(INDEX(Velocity!$F$2:$F$3001,MATCH($A53,Velocity!$T$2:$T$3001,0))="","Never",INDEX(Velocity!$F$2:$F$3001,MATCH($A53,Velocity!$T$2:$T$3001,0))))</f>
        <v/>
      </c>
      <c r="F53" s="5"/>
      <c r="G53" s="5"/>
    </row>
    <row r="54" customFormat="false" ht="15" hidden="false" customHeight="false" outlineLevel="0" collapsed="false">
      <c r="A54" s="30" t="str">
        <f aca="false">IF(47&lt;=$B$4,47,"")</f>
        <v/>
      </c>
      <c r="B54" s="5" t="str">
        <f aca="false">IF($A54="","",INDEX(Velocity!$A$2:$A$3001,MATCH($A54,Velocity!$T$2:$T$3001,0)))</f>
        <v/>
      </c>
      <c r="C54" s="5" t="str">
        <f aca="false">IF($A54="","",INDEX(Velocity!$B$2:$B$3001,MATCH($A54,Velocity!$T$2:$T$3001,0)))</f>
        <v/>
      </c>
      <c r="D54" s="30" t="str">
        <f aca="false">IF($A54="","",INDEX(Velocity!$I$2:$I$3001,MATCH($A54,Velocity!$T$2:$T$3001,0)))</f>
        <v/>
      </c>
      <c r="E54" s="29" t="str">
        <f aca="false">IF($A54="","",IF(INDEX(Velocity!$F$2:$F$3001,MATCH($A54,Velocity!$T$2:$T$3001,0))="","Never",INDEX(Velocity!$F$2:$F$3001,MATCH($A54,Velocity!$T$2:$T$3001,0))))</f>
        <v/>
      </c>
      <c r="F54" s="5"/>
      <c r="G54" s="5"/>
    </row>
    <row r="55" customFormat="false" ht="15" hidden="false" customHeight="false" outlineLevel="0" collapsed="false">
      <c r="A55" s="30" t="str">
        <f aca="false">IF(48&lt;=$B$4,48,"")</f>
        <v/>
      </c>
      <c r="B55" s="5" t="str">
        <f aca="false">IF($A55="","",INDEX(Velocity!$A$2:$A$3001,MATCH($A55,Velocity!$T$2:$T$3001,0)))</f>
        <v/>
      </c>
      <c r="C55" s="5" t="str">
        <f aca="false">IF($A55="","",INDEX(Velocity!$B$2:$B$3001,MATCH($A55,Velocity!$T$2:$T$3001,0)))</f>
        <v/>
      </c>
      <c r="D55" s="30" t="str">
        <f aca="false">IF($A55="","",INDEX(Velocity!$I$2:$I$3001,MATCH($A55,Velocity!$T$2:$T$3001,0)))</f>
        <v/>
      </c>
      <c r="E55" s="29" t="str">
        <f aca="false">IF($A55="","",IF(INDEX(Velocity!$F$2:$F$3001,MATCH($A55,Velocity!$T$2:$T$3001,0))="","Never",INDEX(Velocity!$F$2:$F$3001,MATCH($A55,Velocity!$T$2:$T$3001,0))))</f>
        <v/>
      </c>
      <c r="F55" s="5"/>
      <c r="G55" s="5"/>
    </row>
    <row r="56" customFormat="false" ht="15" hidden="false" customHeight="false" outlineLevel="0" collapsed="false">
      <c r="A56" s="30" t="str">
        <f aca="false">IF(49&lt;=$B$4,49,"")</f>
        <v/>
      </c>
      <c r="B56" s="5" t="str">
        <f aca="false">IF($A56="","",INDEX(Velocity!$A$2:$A$3001,MATCH($A56,Velocity!$T$2:$T$3001,0)))</f>
        <v/>
      </c>
      <c r="C56" s="5" t="str">
        <f aca="false">IF($A56="","",INDEX(Velocity!$B$2:$B$3001,MATCH($A56,Velocity!$T$2:$T$3001,0)))</f>
        <v/>
      </c>
      <c r="D56" s="30" t="str">
        <f aca="false">IF($A56="","",INDEX(Velocity!$I$2:$I$3001,MATCH($A56,Velocity!$T$2:$T$3001,0)))</f>
        <v/>
      </c>
      <c r="E56" s="29" t="str">
        <f aca="false">IF($A56="","",IF(INDEX(Velocity!$F$2:$F$3001,MATCH($A56,Velocity!$T$2:$T$3001,0))="","Never",INDEX(Velocity!$F$2:$F$3001,MATCH($A56,Velocity!$T$2:$T$3001,0))))</f>
        <v/>
      </c>
      <c r="F56" s="5"/>
      <c r="G56" s="5"/>
    </row>
    <row r="57" customFormat="false" ht="15" hidden="false" customHeight="false" outlineLevel="0" collapsed="false">
      <c r="A57" s="30" t="str">
        <f aca="false">IF(50&lt;=$B$4,50,"")</f>
        <v/>
      </c>
      <c r="B57" s="5" t="str">
        <f aca="false">IF($A57="","",INDEX(Velocity!$A$2:$A$3001,MATCH($A57,Velocity!$T$2:$T$3001,0)))</f>
        <v/>
      </c>
      <c r="C57" s="5" t="str">
        <f aca="false">IF($A57="","",INDEX(Velocity!$B$2:$B$3001,MATCH($A57,Velocity!$T$2:$T$3001,0)))</f>
        <v/>
      </c>
      <c r="D57" s="30" t="str">
        <f aca="false">IF($A57="","",INDEX(Velocity!$I$2:$I$3001,MATCH($A57,Velocity!$T$2:$T$3001,0)))</f>
        <v/>
      </c>
      <c r="E57" s="29" t="str">
        <f aca="false">IF($A57="","",IF(INDEX(Velocity!$F$2:$F$3001,MATCH($A57,Velocity!$T$2:$T$3001,0))="","Never",INDEX(Velocity!$F$2:$F$3001,MATCH($A57,Velocity!$T$2:$T$3001,0))))</f>
        <v/>
      </c>
      <c r="F57" s="5"/>
      <c r="G57" s="5"/>
    </row>
    <row r="58" customFormat="false" ht="15" hidden="false" customHeight="false" outlineLevel="0" collapsed="false">
      <c r="A58" s="30" t="str">
        <f aca="false">IF(51&lt;=$B$4,51,"")</f>
        <v/>
      </c>
      <c r="B58" s="5" t="str">
        <f aca="false">IF($A58="","",INDEX(Velocity!$A$2:$A$3001,MATCH($A58,Velocity!$T$2:$T$3001,0)))</f>
        <v/>
      </c>
      <c r="C58" s="5" t="str">
        <f aca="false">IF($A58="","",INDEX(Velocity!$B$2:$B$3001,MATCH($A58,Velocity!$T$2:$T$3001,0)))</f>
        <v/>
      </c>
      <c r="D58" s="30" t="str">
        <f aca="false">IF($A58="","",INDEX(Velocity!$I$2:$I$3001,MATCH($A58,Velocity!$T$2:$T$3001,0)))</f>
        <v/>
      </c>
      <c r="E58" s="29" t="str">
        <f aca="false">IF($A58="","",IF(INDEX(Velocity!$F$2:$F$3001,MATCH($A58,Velocity!$T$2:$T$3001,0))="","Never",INDEX(Velocity!$F$2:$F$3001,MATCH($A58,Velocity!$T$2:$T$3001,0))))</f>
        <v/>
      </c>
      <c r="F58" s="5"/>
      <c r="G58" s="5"/>
    </row>
    <row r="59" customFormat="false" ht="15" hidden="false" customHeight="false" outlineLevel="0" collapsed="false">
      <c r="A59" s="30" t="str">
        <f aca="false">IF(52&lt;=$B$4,52,"")</f>
        <v/>
      </c>
      <c r="B59" s="5" t="str">
        <f aca="false">IF($A59="","",INDEX(Velocity!$A$2:$A$3001,MATCH($A59,Velocity!$T$2:$T$3001,0)))</f>
        <v/>
      </c>
      <c r="C59" s="5" t="str">
        <f aca="false">IF($A59="","",INDEX(Velocity!$B$2:$B$3001,MATCH($A59,Velocity!$T$2:$T$3001,0)))</f>
        <v/>
      </c>
      <c r="D59" s="30" t="str">
        <f aca="false">IF($A59="","",INDEX(Velocity!$I$2:$I$3001,MATCH($A59,Velocity!$T$2:$T$3001,0)))</f>
        <v/>
      </c>
      <c r="E59" s="29" t="str">
        <f aca="false">IF($A59="","",IF(INDEX(Velocity!$F$2:$F$3001,MATCH($A59,Velocity!$T$2:$T$3001,0))="","Never",INDEX(Velocity!$F$2:$F$3001,MATCH($A59,Velocity!$T$2:$T$3001,0))))</f>
        <v/>
      </c>
      <c r="F59" s="5"/>
      <c r="G59" s="5"/>
    </row>
    <row r="60" customFormat="false" ht="15" hidden="false" customHeight="false" outlineLevel="0" collapsed="false">
      <c r="A60" s="30" t="str">
        <f aca="false">IF(53&lt;=$B$4,53,"")</f>
        <v/>
      </c>
      <c r="B60" s="5" t="str">
        <f aca="false">IF($A60="","",INDEX(Velocity!$A$2:$A$3001,MATCH($A60,Velocity!$T$2:$T$3001,0)))</f>
        <v/>
      </c>
      <c r="C60" s="5" t="str">
        <f aca="false">IF($A60="","",INDEX(Velocity!$B$2:$B$3001,MATCH($A60,Velocity!$T$2:$T$3001,0)))</f>
        <v/>
      </c>
      <c r="D60" s="30" t="str">
        <f aca="false">IF($A60="","",INDEX(Velocity!$I$2:$I$3001,MATCH($A60,Velocity!$T$2:$T$3001,0)))</f>
        <v/>
      </c>
      <c r="E60" s="29" t="str">
        <f aca="false">IF($A60="","",IF(INDEX(Velocity!$F$2:$F$3001,MATCH($A60,Velocity!$T$2:$T$3001,0))="","Never",INDEX(Velocity!$F$2:$F$3001,MATCH($A60,Velocity!$T$2:$T$3001,0))))</f>
        <v/>
      </c>
      <c r="F60" s="5"/>
      <c r="G60" s="5"/>
    </row>
    <row r="61" customFormat="false" ht="15" hidden="false" customHeight="false" outlineLevel="0" collapsed="false">
      <c r="A61" s="30" t="str">
        <f aca="false">IF(54&lt;=$B$4,54,"")</f>
        <v/>
      </c>
      <c r="B61" s="5" t="str">
        <f aca="false">IF($A61="","",INDEX(Velocity!$A$2:$A$3001,MATCH($A61,Velocity!$T$2:$T$3001,0)))</f>
        <v/>
      </c>
      <c r="C61" s="5" t="str">
        <f aca="false">IF($A61="","",INDEX(Velocity!$B$2:$B$3001,MATCH($A61,Velocity!$T$2:$T$3001,0)))</f>
        <v/>
      </c>
      <c r="D61" s="30" t="str">
        <f aca="false">IF($A61="","",INDEX(Velocity!$I$2:$I$3001,MATCH($A61,Velocity!$T$2:$T$3001,0)))</f>
        <v/>
      </c>
      <c r="E61" s="29" t="str">
        <f aca="false">IF($A61="","",IF(INDEX(Velocity!$F$2:$F$3001,MATCH($A61,Velocity!$T$2:$T$3001,0))="","Never",INDEX(Velocity!$F$2:$F$3001,MATCH($A61,Velocity!$T$2:$T$3001,0))))</f>
        <v/>
      </c>
      <c r="F61" s="5"/>
      <c r="G61" s="5"/>
    </row>
    <row r="62" customFormat="false" ht="15" hidden="false" customHeight="false" outlineLevel="0" collapsed="false">
      <c r="A62" s="30" t="str">
        <f aca="false">IF(55&lt;=$B$4,55,"")</f>
        <v/>
      </c>
      <c r="B62" s="5" t="str">
        <f aca="false">IF($A62="","",INDEX(Velocity!$A$2:$A$3001,MATCH($A62,Velocity!$T$2:$T$3001,0)))</f>
        <v/>
      </c>
      <c r="C62" s="5" t="str">
        <f aca="false">IF($A62="","",INDEX(Velocity!$B$2:$B$3001,MATCH($A62,Velocity!$T$2:$T$3001,0)))</f>
        <v/>
      </c>
      <c r="D62" s="30" t="str">
        <f aca="false">IF($A62="","",INDEX(Velocity!$I$2:$I$3001,MATCH($A62,Velocity!$T$2:$T$3001,0)))</f>
        <v/>
      </c>
      <c r="E62" s="29" t="str">
        <f aca="false">IF($A62="","",IF(INDEX(Velocity!$F$2:$F$3001,MATCH($A62,Velocity!$T$2:$T$3001,0))="","Never",INDEX(Velocity!$F$2:$F$3001,MATCH($A62,Velocity!$T$2:$T$3001,0))))</f>
        <v/>
      </c>
      <c r="F62" s="5"/>
      <c r="G62" s="5"/>
    </row>
    <row r="63" customFormat="false" ht="15" hidden="false" customHeight="false" outlineLevel="0" collapsed="false">
      <c r="A63" s="30" t="str">
        <f aca="false">IF(56&lt;=$B$4,56,"")</f>
        <v/>
      </c>
      <c r="B63" s="5" t="str">
        <f aca="false">IF($A63="","",INDEX(Velocity!$A$2:$A$3001,MATCH($A63,Velocity!$T$2:$T$3001,0)))</f>
        <v/>
      </c>
      <c r="C63" s="5" t="str">
        <f aca="false">IF($A63="","",INDEX(Velocity!$B$2:$B$3001,MATCH($A63,Velocity!$T$2:$T$3001,0)))</f>
        <v/>
      </c>
      <c r="D63" s="30" t="str">
        <f aca="false">IF($A63="","",INDEX(Velocity!$I$2:$I$3001,MATCH($A63,Velocity!$T$2:$T$3001,0)))</f>
        <v/>
      </c>
      <c r="E63" s="29" t="str">
        <f aca="false">IF($A63="","",IF(INDEX(Velocity!$F$2:$F$3001,MATCH($A63,Velocity!$T$2:$T$3001,0))="","Never",INDEX(Velocity!$F$2:$F$3001,MATCH($A63,Velocity!$T$2:$T$3001,0))))</f>
        <v/>
      </c>
      <c r="F63" s="5"/>
      <c r="G63" s="5"/>
    </row>
    <row r="64" customFormat="false" ht="15" hidden="false" customHeight="false" outlineLevel="0" collapsed="false">
      <c r="A64" s="30" t="str">
        <f aca="false">IF(57&lt;=$B$4,57,"")</f>
        <v/>
      </c>
      <c r="B64" s="5" t="str">
        <f aca="false">IF($A64="","",INDEX(Velocity!$A$2:$A$3001,MATCH($A64,Velocity!$T$2:$T$3001,0)))</f>
        <v/>
      </c>
      <c r="C64" s="5" t="str">
        <f aca="false">IF($A64="","",INDEX(Velocity!$B$2:$B$3001,MATCH($A64,Velocity!$T$2:$T$3001,0)))</f>
        <v/>
      </c>
      <c r="D64" s="30" t="str">
        <f aca="false">IF($A64="","",INDEX(Velocity!$I$2:$I$3001,MATCH($A64,Velocity!$T$2:$T$3001,0)))</f>
        <v/>
      </c>
      <c r="E64" s="29" t="str">
        <f aca="false">IF($A64="","",IF(INDEX(Velocity!$F$2:$F$3001,MATCH($A64,Velocity!$T$2:$T$3001,0))="","Never",INDEX(Velocity!$F$2:$F$3001,MATCH($A64,Velocity!$T$2:$T$3001,0))))</f>
        <v/>
      </c>
      <c r="F64" s="5"/>
      <c r="G64" s="5"/>
    </row>
    <row r="65" customFormat="false" ht="15" hidden="false" customHeight="false" outlineLevel="0" collapsed="false">
      <c r="A65" s="30" t="str">
        <f aca="false">IF(58&lt;=$B$4,58,"")</f>
        <v/>
      </c>
      <c r="B65" s="5" t="str">
        <f aca="false">IF($A65="","",INDEX(Velocity!$A$2:$A$3001,MATCH($A65,Velocity!$T$2:$T$3001,0)))</f>
        <v/>
      </c>
      <c r="C65" s="5" t="str">
        <f aca="false">IF($A65="","",INDEX(Velocity!$B$2:$B$3001,MATCH($A65,Velocity!$T$2:$T$3001,0)))</f>
        <v/>
      </c>
      <c r="D65" s="30" t="str">
        <f aca="false">IF($A65="","",INDEX(Velocity!$I$2:$I$3001,MATCH($A65,Velocity!$T$2:$T$3001,0)))</f>
        <v/>
      </c>
      <c r="E65" s="29" t="str">
        <f aca="false">IF($A65="","",IF(INDEX(Velocity!$F$2:$F$3001,MATCH($A65,Velocity!$T$2:$T$3001,0))="","Never",INDEX(Velocity!$F$2:$F$3001,MATCH($A65,Velocity!$T$2:$T$3001,0))))</f>
        <v/>
      </c>
      <c r="F65" s="5"/>
      <c r="G65" s="5"/>
    </row>
    <row r="66" customFormat="false" ht="15" hidden="false" customHeight="false" outlineLevel="0" collapsed="false">
      <c r="A66" s="30" t="str">
        <f aca="false">IF(59&lt;=$B$4,59,"")</f>
        <v/>
      </c>
      <c r="B66" s="5" t="str">
        <f aca="false">IF($A66="","",INDEX(Velocity!$A$2:$A$3001,MATCH($A66,Velocity!$T$2:$T$3001,0)))</f>
        <v/>
      </c>
      <c r="C66" s="5" t="str">
        <f aca="false">IF($A66="","",INDEX(Velocity!$B$2:$B$3001,MATCH($A66,Velocity!$T$2:$T$3001,0)))</f>
        <v/>
      </c>
      <c r="D66" s="30" t="str">
        <f aca="false">IF($A66="","",INDEX(Velocity!$I$2:$I$3001,MATCH($A66,Velocity!$T$2:$T$3001,0)))</f>
        <v/>
      </c>
      <c r="E66" s="29" t="str">
        <f aca="false">IF($A66="","",IF(INDEX(Velocity!$F$2:$F$3001,MATCH($A66,Velocity!$T$2:$T$3001,0))="","Never",INDEX(Velocity!$F$2:$F$3001,MATCH($A66,Velocity!$T$2:$T$3001,0))))</f>
        <v/>
      </c>
      <c r="F66" s="5"/>
      <c r="G66" s="5"/>
    </row>
    <row r="67" customFormat="false" ht="15" hidden="false" customHeight="false" outlineLevel="0" collapsed="false">
      <c r="A67" s="30" t="str">
        <f aca="false">IF(60&lt;=$B$4,60,"")</f>
        <v/>
      </c>
      <c r="B67" s="5" t="str">
        <f aca="false">IF($A67="","",INDEX(Velocity!$A$2:$A$3001,MATCH($A67,Velocity!$T$2:$T$3001,0)))</f>
        <v/>
      </c>
      <c r="C67" s="5" t="str">
        <f aca="false">IF($A67="","",INDEX(Velocity!$B$2:$B$3001,MATCH($A67,Velocity!$T$2:$T$3001,0)))</f>
        <v/>
      </c>
      <c r="D67" s="30" t="str">
        <f aca="false">IF($A67="","",INDEX(Velocity!$I$2:$I$3001,MATCH($A67,Velocity!$T$2:$T$3001,0)))</f>
        <v/>
      </c>
      <c r="E67" s="29" t="str">
        <f aca="false">IF($A67="","",IF(INDEX(Velocity!$F$2:$F$3001,MATCH($A67,Velocity!$T$2:$T$3001,0))="","Never",INDEX(Velocity!$F$2:$F$3001,MATCH($A67,Velocity!$T$2:$T$3001,0))))</f>
        <v/>
      </c>
      <c r="F67" s="5"/>
      <c r="G67" s="5"/>
    </row>
    <row r="68" customFormat="false" ht="15" hidden="false" customHeight="false" outlineLevel="0" collapsed="false">
      <c r="A68" s="30" t="str">
        <f aca="false">IF(61&lt;=$B$4,61,"")</f>
        <v/>
      </c>
      <c r="B68" s="5" t="str">
        <f aca="false">IF($A68="","",INDEX(Velocity!$A$2:$A$3001,MATCH($A68,Velocity!$T$2:$T$3001,0)))</f>
        <v/>
      </c>
      <c r="C68" s="5" t="str">
        <f aca="false">IF($A68="","",INDEX(Velocity!$B$2:$B$3001,MATCH($A68,Velocity!$T$2:$T$3001,0)))</f>
        <v/>
      </c>
      <c r="D68" s="30" t="str">
        <f aca="false">IF($A68="","",INDEX(Velocity!$I$2:$I$3001,MATCH($A68,Velocity!$T$2:$T$3001,0)))</f>
        <v/>
      </c>
      <c r="E68" s="29" t="str">
        <f aca="false">IF($A68="","",IF(INDEX(Velocity!$F$2:$F$3001,MATCH($A68,Velocity!$T$2:$T$3001,0))="","Never",INDEX(Velocity!$F$2:$F$3001,MATCH($A68,Velocity!$T$2:$T$3001,0))))</f>
        <v/>
      </c>
      <c r="F68" s="5"/>
      <c r="G68" s="5"/>
    </row>
    <row r="69" customFormat="false" ht="15" hidden="false" customHeight="false" outlineLevel="0" collapsed="false">
      <c r="A69" s="30" t="str">
        <f aca="false">IF(62&lt;=$B$4,62,"")</f>
        <v/>
      </c>
      <c r="B69" s="5" t="str">
        <f aca="false">IF($A69="","",INDEX(Velocity!$A$2:$A$3001,MATCH($A69,Velocity!$T$2:$T$3001,0)))</f>
        <v/>
      </c>
      <c r="C69" s="5" t="str">
        <f aca="false">IF($A69="","",INDEX(Velocity!$B$2:$B$3001,MATCH($A69,Velocity!$T$2:$T$3001,0)))</f>
        <v/>
      </c>
      <c r="D69" s="30" t="str">
        <f aca="false">IF($A69="","",INDEX(Velocity!$I$2:$I$3001,MATCH($A69,Velocity!$T$2:$T$3001,0)))</f>
        <v/>
      </c>
      <c r="E69" s="29" t="str">
        <f aca="false">IF($A69="","",IF(INDEX(Velocity!$F$2:$F$3001,MATCH($A69,Velocity!$T$2:$T$3001,0))="","Never",INDEX(Velocity!$F$2:$F$3001,MATCH($A69,Velocity!$T$2:$T$3001,0))))</f>
        <v/>
      </c>
      <c r="F69" s="5"/>
      <c r="G69" s="5"/>
    </row>
    <row r="70" customFormat="false" ht="15" hidden="false" customHeight="false" outlineLevel="0" collapsed="false">
      <c r="A70" s="30" t="str">
        <f aca="false">IF(63&lt;=$B$4,63,"")</f>
        <v/>
      </c>
      <c r="B70" s="5" t="str">
        <f aca="false">IF($A70="","",INDEX(Velocity!$A$2:$A$3001,MATCH($A70,Velocity!$T$2:$T$3001,0)))</f>
        <v/>
      </c>
      <c r="C70" s="5" t="str">
        <f aca="false">IF($A70="","",INDEX(Velocity!$B$2:$B$3001,MATCH($A70,Velocity!$T$2:$T$3001,0)))</f>
        <v/>
      </c>
      <c r="D70" s="30" t="str">
        <f aca="false">IF($A70="","",INDEX(Velocity!$I$2:$I$3001,MATCH($A70,Velocity!$T$2:$T$3001,0)))</f>
        <v/>
      </c>
      <c r="E70" s="29" t="str">
        <f aca="false">IF($A70="","",IF(INDEX(Velocity!$F$2:$F$3001,MATCH($A70,Velocity!$T$2:$T$3001,0))="","Never",INDEX(Velocity!$F$2:$F$3001,MATCH($A70,Velocity!$T$2:$T$3001,0))))</f>
        <v/>
      </c>
      <c r="F70" s="5"/>
      <c r="G70" s="5"/>
    </row>
    <row r="71" customFormat="false" ht="15" hidden="false" customHeight="false" outlineLevel="0" collapsed="false">
      <c r="A71" s="30" t="str">
        <f aca="false">IF(64&lt;=$B$4,64,"")</f>
        <v/>
      </c>
      <c r="B71" s="5" t="str">
        <f aca="false">IF($A71="","",INDEX(Velocity!$A$2:$A$3001,MATCH($A71,Velocity!$T$2:$T$3001,0)))</f>
        <v/>
      </c>
      <c r="C71" s="5" t="str">
        <f aca="false">IF($A71="","",INDEX(Velocity!$B$2:$B$3001,MATCH($A71,Velocity!$T$2:$T$3001,0)))</f>
        <v/>
      </c>
      <c r="D71" s="30" t="str">
        <f aca="false">IF($A71="","",INDEX(Velocity!$I$2:$I$3001,MATCH($A71,Velocity!$T$2:$T$3001,0)))</f>
        <v/>
      </c>
      <c r="E71" s="29" t="str">
        <f aca="false">IF($A71="","",IF(INDEX(Velocity!$F$2:$F$3001,MATCH($A71,Velocity!$T$2:$T$3001,0))="","Never",INDEX(Velocity!$F$2:$F$3001,MATCH($A71,Velocity!$T$2:$T$3001,0))))</f>
        <v/>
      </c>
      <c r="F71" s="5"/>
      <c r="G71" s="5"/>
    </row>
    <row r="72" customFormat="false" ht="15" hidden="false" customHeight="false" outlineLevel="0" collapsed="false">
      <c r="A72" s="30" t="str">
        <f aca="false">IF(65&lt;=$B$4,65,"")</f>
        <v/>
      </c>
      <c r="B72" s="5" t="str">
        <f aca="false">IF($A72="","",INDEX(Velocity!$A$2:$A$3001,MATCH($A72,Velocity!$T$2:$T$3001,0)))</f>
        <v/>
      </c>
      <c r="C72" s="5" t="str">
        <f aca="false">IF($A72="","",INDEX(Velocity!$B$2:$B$3001,MATCH($A72,Velocity!$T$2:$T$3001,0)))</f>
        <v/>
      </c>
      <c r="D72" s="30" t="str">
        <f aca="false">IF($A72="","",INDEX(Velocity!$I$2:$I$3001,MATCH($A72,Velocity!$T$2:$T$3001,0)))</f>
        <v/>
      </c>
      <c r="E72" s="29" t="str">
        <f aca="false">IF($A72="","",IF(INDEX(Velocity!$F$2:$F$3001,MATCH($A72,Velocity!$T$2:$T$3001,0))="","Never",INDEX(Velocity!$F$2:$F$3001,MATCH($A72,Velocity!$T$2:$T$3001,0))))</f>
        <v/>
      </c>
      <c r="F72" s="5"/>
      <c r="G72" s="5"/>
    </row>
    <row r="73" customFormat="false" ht="15" hidden="false" customHeight="false" outlineLevel="0" collapsed="false">
      <c r="A73" s="30" t="str">
        <f aca="false">IF(66&lt;=$B$4,66,"")</f>
        <v/>
      </c>
      <c r="B73" s="5" t="str">
        <f aca="false">IF($A73="","",INDEX(Velocity!$A$2:$A$3001,MATCH($A73,Velocity!$T$2:$T$3001,0)))</f>
        <v/>
      </c>
      <c r="C73" s="5" t="str">
        <f aca="false">IF($A73="","",INDEX(Velocity!$B$2:$B$3001,MATCH($A73,Velocity!$T$2:$T$3001,0)))</f>
        <v/>
      </c>
      <c r="D73" s="30" t="str">
        <f aca="false">IF($A73="","",INDEX(Velocity!$I$2:$I$3001,MATCH($A73,Velocity!$T$2:$T$3001,0)))</f>
        <v/>
      </c>
      <c r="E73" s="29" t="str">
        <f aca="false">IF($A73="","",IF(INDEX(Velocity!$F$2:$F$3001,MATCH($A73,Velocity!$T$2:$T$3001,0))="","Never",INDEX(Velocity!$F$2:$F$3001,MATCH($A73,Velocity!$T$2:$T$3001,0))))</f>
        <v/>
      </c>
      <c r="F73" s="5"/>
      <c r="G73" s="5"/>
    </row>
    <row r="74" customFormat="false" ht="15" hidden="false" customHeight="false" outlineLevel="0" collapsed="false">
      <c r="A74" s="30" t="str">
        <f aca="false">IF(67&lt;=$B$4,67,"")</f>
        <v/>
      </c>
      <c r="B74" s="5" t="str">
        <f aca="false">IF($A74="","",INDEX(Velocity!$A$2:$A$3001,MATCH($A74,Velocity!$T$2:$T$3001,0)))</f>
        <v/>
      </c>
      <c r="C74" s="5" t="str">
        <f aca="false">IF($A74="","",INDEX(Velocity!$B$2:$B$3001,MATCH($A74,Velocity!$T$2:$T$3001,0)))</f>
        <v/>
      </c>
      <c r="D74" s="30" t="str">
        <f aca="false">IF($A74="","",INDEX(Velocity!$I$2:$I$3001,MATCH($A74,Velocity!$T$2:$T$3001,0)))</f>
        <v/>
      </c>
      <c r="E74" s="29" t="str">
        <f aca="false">IF($A74="","",IF(INDEX(Velocity!$F$2:$F$3001,MATCH($A74,Velocity!$T$2:$T$3001,0))="","Never",INDEX(Velocity!$F$2:$F$3001,MATCH($A74,Velocity!$T$2:$T$3001,0))))</f>
        <v/>
      </c>
      <c r="F74" s="5"/>
      <c r="G74" s="5"/>
    </row>
    <row r="75" customFormat="false" ht="15" hidden="false" customHeight="false" outlineLevel="0" collapsed="false">
      <c r="A75" s="30" t="str">
        <f aca="false">IF(68&lt;=$B$4,68,"")</f>
        <v/>
      </c>
      <c r="B75" s="5" t="str">
        <f aca="false">IF($A75="","",INDEX(Velocity!$A$2:$A$3001,MATCH($A75,Velocity!$T$2:$T$3001,0)))</f>
        <v/>
      </c>
      <c r="C75" s="5" t="str">
        <f aca="false">IF($A75="","",INDEX(Velocity!$B$2:$B$3001,MATCH($A75,Velocity!$T$2:$T$3001,0)))</f>
        <v/>
      </c>
      <c r="D75" s="30" t="str">
        <f aca="false">IF($A75="","",INDEX(Velocity!$I$2:$I$3001,MATCH($A75,Velocity!$T$2:$T$3001,0)))</f>
        <v/>
      </c>
      <c r="E75" s="29" t="str">
        <f aca="false">IF($A75="","",IF(INDEX(Velocity!$F$2:$F$3001,MATCH($A75,Velocity!$T$2:$T$3001,0))="","Never",INDEX(Velocity!$F$2:$F$3001,MATCH($A75,Velocity!$T$2:$T$3001,0))))</f>
        <v/>
      </c>
      <c r="F75" s="5"/>
      <c r="G75" s="5"/>
    </row>
    <row r="76" customFormat="false" ht="15" hidden="false" customHeight="false" outlineLevel="0" collapsed="false">
      <c r="A76" s="30" t="str">
        <f aca="false">IF(69&lt;=$B$4,69,"")</f>
        <v/>
      </c>
      <c r="B76" s="5" t="str">
        <f aca="false">IF($A76="","",INDEX(Velocity!$A$2:$A$3001,MATCH($A76,Velocity!$T$2:$T$3001,0)))</f>
        <v/>
      </c>
      <c r="C76" s="5" t="str">
        <f aca="false">IF($A76="","",INDEX(Velocity!$B$2:$B$3001,MATCH($A76,Velocity!$T$2:$T$3001,0)))</f>
        <v/>
      </c>
      <c r="D76" s="30" t="str">
        <f aca="false">IF($A76="","",INDEX(Velocity!$I$2:$I$3001,MATCH($A76,Velocity!$T$2:$T$3001,0)))</f>
        <v/>
      </c>
      <c r="E76" s="29" t="str">
        <f aca="false">IF($A76="","",IF(INDEX(Velocity!$F$2:$F$3001,MATCH($A76,Velocity!$T$2:$T$3001,0))="","Never",INDEX(Velocity!$F$2:$F$3001,MATCH($A76,Velocity!$T$2:$T$3001,0))))</f>
        <v/>
      </c>
      <c r="F76" s="5"/>
      <c r="G76" s="5"/>
    </row>
    <row r="77" customFormat="false" ht="15" hidden="false" customHeight="false" outlineLevel="0" collapsed="false">
      <c r="A77" s="30" t="str">
        <f aca="false">IF(70&lt;=$B$4,70,"")</f>
        <v/>
      </c>
      <c r="B77" s="5" t="str">
        <f aca="false">IF($A77="","",INDEX(Velocity!$A$2:$A$3001,MATCH($A77,Velocity!$T$2:$T$3001,0)))</f>
        <v/>
      </c>
      <c r="C77" s="5" t="str">
        <f aca="false">IF($A77="","",INDEX(Velocity!$B$2:$B$3001,MATCH($A77,Velocity!$T$2:$T$3001,0)))</f>
        <v/>
      </c>
      <c r="D77" s="30" t="str">
        <f aca="false">IF($A77="","",INDEX(Velocity!$I$2:$I$3001,MATCH($A77,Velocity!$T$2:$T$3001,0)))</f>
        <v/>
      </c>
      <c r="E77" s="29" t="str">
        <f aca="false">IF($A77="","",IF(INDEX(Velocity!$F$2:$F$3001,MATCH($A77,Velocity!$T$2:$T$3001,0))="","Never",INDEX(Velocity!$F$2:$F$3001,MATCH($A77,Velocity!$T$2:$T$3001,0))))</f>
        <v/>
      </c>
      <c r="F77" s="5"/>
      <c r="G77" s="5"/>
    </row>
    <row r="78" customFormat="false" ht="15" hidden="false" customHeight="false" outlineLevel="0" collapsed="false">
      <c r="A78" s="30" t="str">
        <f aca="false">IF(71&lt;=$B$4,71,"")</f>
        <v/>
      </c>
      <c r="B78" s="5" t="str">
        <f aca="false">IF($A78="","",INDEX(Velocity!$A$2:$A$3001,MATCH($A78,Velocity!$T$2:$T$3001,0)))</f>
        <v/>
      </c>
      <c r="C78" s="5" t="str">
        <f aca="false">IF($A78="","",INDEX(Velocity!$B$2:$B$3001,MATCH($A78,Velocity!$T$2:$T$3001,0)))</f>
        <v/>
      </c>
      <c r="D78" s="30" t="str">
        <f aca="false">IF($A78="","",INDEX(Velocity!$I$2:$I$3001,MATCH($A78,Velocity!$T$2:$T$3001,0)))</f>
        <v/>
      </c>
      <c r="E78" s="29" t="str">
        <f aca="false">IF($A78="","",IF(INDEX(Velocity!$F$2:$F$3001,MATCH($A78,Velocity!$T$2:$T$3001,0))="","Never",INDEX(Velocity!$F$2:$F$3001,MATCH($A78,Velocity!$T$2:$T$3001,0))))</f>
        <v/>
      </c>
      <c r="F78" s="5"/>
      <c r="G78" s="5"/>
    </row>
    <row r="79" customFormat="false" ht="15" hidden="false" customHeight="false" outlineLevel="0" collapsed="false">
      <c r="A79" s="30" t="str">
        <f aca="false">IF(72&lt;=$B$4,72,"")</f>
        <v/>
      </c>
      <c r="B79" s="5" t="str">
        <f aca="false">IF($A79="","",INDEX(Velocity!$A$2:$A$3001,MATCH($A79,Velocity!$T$2:$T$3001,0)))</f>
        <v/>
      </c>
      <c r="C79" s="5" t="str">
        <f aca="false">IF($A79="","",INDEX(Velocity!$B$2:$B$3001,MATCH($A79,Velocity!$T$2:$T$3001,0)))</f>
        <v/>
      </c>
      <c r="D79" s="30" t="str">
        <f aca="false">IF($A79="","",INDEX(Velocity!$I$2:$I$3001,MATCH($A79,Velocity!$T$2:$T$3001,0)))</f>
        <v/>
      </c>
      <c r="E79" s="29" t="str">
        <f aca="false">IF($A79="","",IF(INDEX(Velocity!$F$2:$F$3001,MATCH($A79,Velocity!$T$2:$T$3001,0))="","Never",INDEX(Velocity!$F$2:$F$3001,MATCH($A79,Velocity!$T$2:$T$3001,0))))</f>
        <v/>
      </c>
      <c r="F79" s="5"/>
      <c r="G79" s="5"/>
    </row>
    <row r="80" customFormat="false" ht="15" hidden="false" customHeight="false" outlineLevel="0" collapsed="false">
      <c r="A80" s="30" t="str">
        <f aca="false">IF(73&lt;=$B$4,73,"")</f>
        <v/>
      </c>
      <c r="B80" s="5" t="str">
        <f aca="false">IF($A80="","",INDEX(Velocity!$A$2:$A$3001,MATCH($A80,Velocity!$T$2:$T$3001,0)))</f>
        <v/>
      </c>
      <c r="C80" s="5" t="str">
        <f aca="false">IF($A80="","",INDEX(Velocity!$B$2:$B$3001,MATCH($A80,Velocity!$T$2:$T$3001,0)))</f>
        <v/>
      </c>
      <c r="D80" s="30" t="str">
        <f aca="false">IF($A80="","",INDEX(Velocity!$I$2:$I$3001,MATCH($A80,Velocity!$T$2:$T$3001,0)))</f>
        <v/>
      </c>
      <c r="E80" s="29" t="str">
        <f aca="false">IF($A80="","",IF(INDEX(Velocity!$F$2:$F$3001,MATCH($A80,Velocity!$T$2:$T$3001,0))="","Never",INDEX(Velocity!$F$2:$F$3001,MATCH($A80,Velocity!$T$2:$T$3001,0))))</f>
        <v/>
      </c>
      <c r="F80" s="5"/>
      <c r="G80" s="5"/>
    </row>
    <row r="81" customFormat="false" ht="15" hidden="false" customHeight="false" outlineLevel="0" collapsed="false">
      <c r="A81" s="30" t="str">
        <f aca="false">IF(74&lt;=$B$4,74,"")</f>
        <v/>
      </c>
      <c r="B81" s="5" t="str">
        <f aca="false">IF($A81="","",INDEX(Velocity!$A$2:$A$3001,MATCH($A81,Velocity!$T$2:$T$3001,0)))</f>
        <v/>
      </c>
      <c r="C81" s="5" t="str">
        <f aca="false">IF($A81="","",INDEX(Velocity!$B$2:$B$3001,MATCH($A81,Velocity!$T$2:$T$3001,0)))</f>
        <v/>
      </c>
      <c r="D81" s="30" t="str">
        <f aca="false">IF($A81="","",INDEX(Velocity!$I$2:$I$3001,MATCH($A81,Velocity!$T$2:$T$3001,0)))</f>
        <v/>
      </c>
      <c r="E81" s="29" t="str">
        <f aca="false">IF($A81="","",IF(INDEX(Velocity!$F$2:$F$3001,MATCH($A81,Velocity!$T$2:$T$3001,0))="","Never",INDEX(Velocity!$F$2:$F$3001,MATCH($A81,Velocity!$T$2:$T$3001,0))))</f>
        <v/>
      </c>
      <c r="F81" s="5"/>
      <c r="G81" s="5"/>
    </row>
    <row r="82" customFormat="false" ht="15" hidden="false" customHeight="false" outlineLevel="0" collapsed="false">
      <c r="A82" s="30" t="str">
        <f aca="false">IF(75&lt;=$B$4,75,"")</f>
        <v/>
      </c>
      <c r="B82" s="5" t="str">
        <f aca="false">IF($A82="","",INDEX(Velocity!$A$2:$A$3001,MATCH($A82,Velocity!$T$2:$T$3001,0)))</f>
        <v/>
      </c>
      <c r="C82" s="5" t="str">
        <f aca="false">IF($A82="","",INDEX(Velocity!$B$2:$B$3001,MATCH($A82,Velocity!$T$2:$T$3001,0)))</f>
        <v/>
      </c>
      <c r="D82" s="30" t="str">
        <f aca="false">IF($A82="","",INDEX(Velocity!$I$2:$I$3001,MATCH($A82,Velocity!$T$2:$T$3001,0)))</f>
        <v/>
      </c>
      <c r="E82" s="29" t="str">
        <f aca="false">IF($A82="","",IF(INDEX(Velocity!$F$2:$F$3001,MATCH($A82,Velocity!$T$2:$T$3001,0))="","Never",INDEX(Velocity!$F$2:$F$3001,MATCH($A82,Velocity!$T$2:$T$3001,0))))</f>
        <v/>
      </c>
      <c r="F82" s="5"/>
      <c r="G82" s="5"/>
    </row>
    <row r="83" customFormat="false" ht="15" hidden="false" customHeight="false" outlineLevel="0" collapsed="false">
      <c r="A83" s="30" t="str">
        <f aca="false">IF(76&lt;=$B$4,76,"")</f>
        <v/>
      </c>
      <c r="B83" s="5" t="str">
        <f aca="false">IF($A83="","",INDEX(Velocity!$A$2:$A$3001,MATCH($A83,Velocity!$T$2:$T$3001,0)))</f>
        <v/>
      </c>
      <c r="C83" s="5" t="str">
        <f aca="false">IF($A83="","",INDEX(Velocity!$B$2:$B$3001,MATCH($A83,Velocity!$T$2:$T$3001,0)))</f>
        <v/>
      </c>
      <c r="D83" s="30" t="str">
        <f aca="false">IF($A83="","",INDEX(Velocity!$I$2:$I$3001,MATCH($A83,Velocity!$T$2:$T$3001,0)))</f>
        <v/>
      </c>
      <c r="E83" s="29" t="str">
        <f aca="false">IF($A83="","",IF(INDEX(Velocity!$F$2:$F$3001,MATCH($A83,Velocity!$T$2:$T$3001,0))="","Never",INDEX(Velocity!$F$2:$F$3001,MATCH($A83,Velocity!$T$2:$T$3001,0))))</f>
        <v/>
      </c>
      <c r="F83" s="5"/>
      <c r="G83" s="5"/>
    </row>
    <row r="84" customFormat="false" ht="15" hidden="false" customHeight="false" outlineLevel="0" collapsed="false">
      <c r="A84" s="30" t="str">
        <f aca="false">IF(77&lt;=$B$4,77,"")</f>
        <v/>
      </c>
      <c r="B84" s="5" t="str">
        <f aca="false">IF($A84="","",INDEX(Velocity!$A$2:$A$3001,MATCH($A84,Velocity!$T$2:$T$3001,0)))</f>
        <v/>
      </c>
      <c r="C84" s="5" t="str">
        <f aca="false">IF($A84="","",INDEX(Velocity!$B$2:$B$3001,MATCH($A84,Velocity!$T$2:$T$3001,0)))</f>
        <v/>
      </c>
      <c r="D84" s="30" t="str">
        <f aca="false">IF($A84="","",INDEX(Velocity!$I$2:$I$3001,MATCH($A84,Velocity!$T$2:$T$3001,0)))</f>
        <v/>
      </c>
      <c r="E84" s="29" t="str">
        <f aca="false">IF($A84="","",IF(INDEX(Velocity!$F$2:$F$3001,MATCH($A84,Velocity!$T$2:$T$3001,0))="","Never",INDEX(Velocity!$F$2:$F$3001,MATCH($A84,Velocity!$T$2:$T$3001,0))))</f>
        <v/>
      </c>
      <c r="F84" s="5"/>
      <c r="G84" s="5"/>
    </row>
    <row r="85" customFormat="false" ht="15" hidden="false" customHeight="false" outlineLevel="0" collapsed="false">
      <c r="A85" s="30" t="str">
        <f aca="false">IF(78&lt;=$B$4,78,"")</f>
        <v/>
      </c>
      <c r="B85" s="5" t="str">
        <f aca="false">IF($A85="","",INDEX(Velocity!$A$2:$A$3001,MATCH($A85,Velocity!$T$2:$T$3001,0)))</f>
        <v/>
      </c>
      <c r="C85" s="5" t="str">
        <f aca="false">IF($A85="","",INDEX(Velocity!$B$2:$B$3001,MATCH($A85,Velocity!$T$2:$T$3001,0)))</f>
        <v/>
      </c>
      <c r="D85" s="30" t="str">
        <f aca="false">IF($A85="","",INDEX(Velocity!$I$2:$I$3001,MATCH($A85,Velocity!$T$2:$T$3001,0)))</f>
        <v/>
      </c>
      <c r="E85" s="29" t="str">
        <f aca="false">IF($A85="","",IF(INDEX(Velocity!$F$2:$F$3001,MATCH($A85,Velocity!$T$2:$T$3001,0))="","Never",INDEX(Velocity!$F$2:$F$3001,MATCH($A85,Velocity!$T$2:$T$3001,0))))</f>
        <v/>
      </c>
      <c r="F85" s="5"/>
      <c r="G85" s="5"/>
    </row>
    <row r="86" customFormat="false" ht="15" hidden="false" customHeight="false" outlineLevel="0" collapsed="false">
      <c r="A86" s="30" t="str">
        <f aca="false">IF(79&lt;=$B$4,79,"")</f>
        <v/>
      </c>
      <c r="B86" s="5" t="str">
        <f aca="false">IF($A86="","",INDEX(Velocity!$A$2:$A$3001,MATCH($A86,Velocity!$T$2:$T$3001,0)))</f>
        <v/>
      </c>
      <c r="C86" s="5" t="str">
        <f aca="false">IF($A86="","",INDEX(Velocity!$B$2:$B$3001,MATCH($A86,Velocity!$T$2:$T$3001,0)))</f>
        <v/>
      </c>
      <c r="D86" s="30" t="str">
        <f aca="false">IF($A86="","",INDEX(Velocity!$I$2:$I$3001,MATCH($A86,Velocity!$T$2:$T$3001,0)))</f>
        <v/>
      </c>
      <c r="E86" s="29" t="str">
        <f aca="false">IF($A86="","",IF(INDEX(Velocity!$F$2:$F$3001,MATCH($A86,Velocity!$T$2:$T$3001,0))="","Never",INDEX(Velocity!$F$2:$F$3001,MATCH($A86,Velocity!$T$2:$T$3001,0))))</f>
        <v/>
      </c>
      <c r="F86" s="5"/>
      <c r="G86" s="5"/>
    </row>
    <row r="87" customFormat="false" ht="15" hidden="false" customHeight="false" outlineLevel="0" collapsed="false">
      <c r="A87" s="30" t="str">
        <f aca="false">IF(80&lt;=$B$4,80,"")</f>
        <v/>
      </c>
      <c r="B87" s="5" t="str">
        <f aca="false">IF($A87="","",INDEX(Velocity!$A$2:$A$3001,MATCH($A87,Velocity!$T$2:$T$3001,0)))</f>
        <v/>
      </c>
      <c r="C87" s="5" t="str">
        <f aca="false">IF($A87="","",INDEX(Velocity!$B$2:$B$3001,MATCH($A87,Velocity!$T$2:$T$3001,0)))</f>
        <v/>
      </c>
      <c r="D87" s="30" t="str">
        <f aca="false">IF($A87="","",INDEX(Velocity!$I$2:$I$3001,MATCH($A87,Velocity!$T$2:$T$3001,0)))</f>
        <v/>
      </c>
      <c r="E87" s="29" t="str">
        <f aca="false">IF($A87="","",IF(INDEX(Velocity!$F$2:$F$3001,MATCH($A87,Velocity!$T$2:$T$3001,0))="","Never",INDEX(Velocity!$F$2:$F$3001,MATCH($A87,Velocity!$T$2:$T$3001,0))))</f>
        <v/>
      </c>
      <c r="F87" s="5"/>
      <c r="G87" s="5"/>
    </row>
    <row r="88" customFormat="false" ht="15" hidden="false" customHeight="false" outlineLevel="0" collapsed="false">
      <c r="A88" s="30" t="str">
        <f aca="false">IF(81&lt;=$B$4,81,"")</f>
        <v/>
      </c>
      <c r="B88" s="5" t="str">
        <f aca="false">IF($A88="","",INDEX(Velocity!$A$2:$A$3001,MATCH($A88,Velocity!$T$2:$T$3001,0)))</f>
        <v/>
      </c>
      <c r="C88" s="5" t="str">
        <f aca="false">IF($A88="","",INDEX(Velocity!$B$2:$B$3001,MATCH($A88,Velocity!$T$2:$T$3001,0)))</f>
        <v/>
      </c>
      <c r="D88" s="30" t="str">
        <f aca="false">IF($A88="","",INDEX(Velocity!$I$2:$I$3001,MATCH($A88,Velocity!$T$2:$T$3001,0)))</f>
        <v/>
      </c>
      <c r="E88" s="29" t="str">
        <f aca="false">IF($A88="","",IF(INDEX(Velocity!$F$2:$F$3001,MATCH($A88,Velocity!$T$2:$T$3001,0))="","Never",INDEX(Velocity!$F$2:$F$3001,MATCH($A88,Velocity!$T$2:$T$3001,0))))</f>
        <v/>
      </c>
      <c r="F88" s="5"/>
      <c r="G88" s="5"/>
    </row>
    <row r="89" customFormat="false" ht="15" hidden="false" customHeight="false" outlineLevel="0" collapsed="false">
      <c r="A89" s="30" t="str">
        <f aca="false">IF(82&lt;=$B$4,82,"")</f>
        <v/>
      </c>
      <c r="B89" s="5" t="str">
        <f aca="false">IF($A89="","",INDEX(Velocity!$A$2:$A$3001,MATCH($A89,Velocity!$T$2:$T$3001,0)))</f>
        <v/>
      </c>
      <c r="C89" s="5" t="str">
        <f aca="false">IF($A89="","",INDEX(Velocity!$B$2:$B$3001,MATCH($A89,Velocity!$T$2:$T$3001,0)))</f>
        <v/>
      </c>
      <c r="D89" s="30" t="str">
        <f aca="false">IF($A89="","",INDEX(Velocity!$I$2:$I$3001,MATCH($A89,Velocity!$T$2:$T$3001,0)))</f>
        <v/>
      </c>
      <c r="E89" s="29" t="str">
        <f aca="false">IF($A89="","",IF(INDEX(Velocity!$F$2:$F$3001,MATCH($A89,Velocity!$T$2:$T$3001,0))="","Never",INDEX(Velocity!$F$2:$F$3001,MATCH($A89,Velocity!$T$2:$T$3001,0))))</f>
        <v/>
      </c>
      <c r="F89" s="5"/>
      <c r="G89" s="5"/>
    </row>
    <row r="90" customFormat="false" ht="15" hidden="false" customHeight="false" outlineLevel="0" collapsed="false">
      <c r="A90" s="30" t="str">
        <f aca="false">IF(83&lt;=$B$4,83,"")</f>
        <v/>
      </c>
      <c r="B90" s="5" t="str">
        <f aca="false">IF($A90="","",INDEX(Velocity!$A$2:$A$3001,MATCH($A90,Velocity!$T$2:$T$3001,0)))</f>
        <v/>
      </c>
      <c r="C90" s="5" t="str">
        <f aca="false">IF($A90="","",INDEX(Velocity!$B$2:$B$3001,MATCH($A90,Velocity!$T$2:$T$3001,0)))</f>
        <v/>
      </c>
      <c r="D90" s="30" t="str">
        <f aca="false">IF($A90="","",INDEX(Velocity!$I$2:$I$3001,MATCH($A90,Velocity!$T$2:$T$3001,0)))</f>
        <v/>
      </c>
      <c r="E90" s="29" t="str">
        <f aca="false">IF($A90="","",IF(INDEX(Velocity!$F$2:$F$3001,MATCH($A90,Velocity!$T$2:$T$3001,0))="","Never",INDEX(Velocity!$F$2:$F$3001,MATCH($A90,Velocity!$T$2:$T$3001,0))))</f>
        <v/>
      </c>
      <c r="F90" s="5"/>
      <c r="G90" s="5"/>
    </row>
    <row r="91" customFormat="false" ht="15" hidden="false" customHeight="false" outlineLevel="0" collapsed="false">
      <c r="A91" s="30" t="str">
        <f aca="false">IF(84&lt;=$B$4,84,"")</f>
        <v/>
      </c>
      <c r="B91" s="5" t="str">
        <f aca="false">IF($A91="","",INDEX(Velocity!$A$2:$A$3001,MATCH($A91,Velocity!$T$2:$T$3001,0)))</f>
        <v/>
      </c>
      <c r="C91" s="5" t="str">
        <f aca="false">IF($A91="","",INDEX(Velocity!$B$2:$B$3001,MATCH($A91,Velocity!$T$2:$T$3001,0)))</f>
        <v/>
      </c>
      <c r="D91" s="30" t="str">
        <f aca="false">IF($A91="","",INDEX(Velocity!$I$2:$I$3001,MATCH($A91,Velocity!$T$2:$T$3001,0)))</f>
        <v/>
      </c>
      <c r="E91" s="29" t="str">
        <f aca="false">IF($A91="","",IF(INDEX(Velocity!$F$2:$F$3001,MATCH($A91,Velocity!$T$2:$T$3001,0))="","Never",INDEX(Velocity!$F$2:$F$3001,MATCH($A91,Velocity!$T$2:$T$3001,0))))</f>
        <v/>
      </c>
      <c r="F91" s="5"/>
      <c r="G91" s="5"/>
    </row>
    <row r="92" customFormat="false" ht="15" hidden="false" customHeight="false" outlineLevel="0" collapsed="false">
      <c r="A92" s="30" t="str">
        <f aca="false">IF(85&lt;=$B$4,85,"")</f>
        <v/>
      </c>
      <c r="B92" s="5" t="str">
        <f aca="false">IF($A92="","",INDEX(Velocity!$A$2:$A$3001,MATCH($A92,Velocity!$T$2:$T$3001,0)))</f>
        <v/>
      </c>
      <c r="C92" s="5" t="str">
        <f aca="false">IF($A92="","",INDEX(Velocity!$B$2:$B$3001,MATCH($A92,Velocity!$T$2:$T$3001,0)))</f>
        <v/>
      </c>
      <c r="D92" s="30" t="str">
        <f aca="false">IF($A92="","",INDEX(Velocity!$I$2:$I$3001,MATCH($A92,Velocity!$T$2:$T$3001,0)))</f>
        <v/>
      </c>
      <c r="E92" s="29" t="str">
        <f aca="false">IF($A92="","",IF(INDEX(Velocity!$F$2:$F$3001,MATCH($A92,Velocity!$T$2:$T$3001,0))="","Never",INDEX(Velocity!$F$2:$F$3001,MATCH($A92,Velocity!$T$2:$T$3001,0))))</f>
        <v/>
      </c>
      <c r="F92" s="5"/>
      <c r="G92" s="5"/>
    </row>
    <row r="93" customFormat="false" ht="15" hidden="false" customHeight="false" outlineLevel="0" collapsed="false">
      <c r="A93" s="30" t="str">
        <f aca="false">IF(86&lt;=$B$4,86,"")</f>
        <v/>
      </c>
      <c r="B93" s="5" t="str">
        <f aca="false">IF($A93="","",INDEX(Velocity!$A$2:$A$3001,MATCH($A93,Velocity!$T$2:$T$3001,0)))</f>
        <v/>
      </c>
      <c r="C93" s="5" t="str">
        <f aca="false">IF($A93="","",INDEX(Velocity!$B$2:$B$3001,MATCH($A93,Velocity!$T$2:$T$3001,0)))</f>
        <v/>
      </c>
      <c r="D93" s="30" t="str">
        <f aca="false">IF($A93="","",INDEX(Velocity!$I$2:$I$3001,MATCH($A93,Velocity!$T$2:$T$3001,0)))</f>
        <v/>
      </c>
      <c r="E93" s="29" t="str">
        <f aca="false">IF($A93="","",IF(INDEX(Velocity!$F$2:$F$3001,MATCH($A93,Velocity!$T$2:$T$3001,0))="","Never",INDEX(Velocity!$F$2:$F$3001,MATCH($A93,Velocity!$T$2:$T$3001,0))))</f>
        <v/>
      </c>
      <c r="F93" s="5"/>
      <c r="G93" s="5"/>
    </row>
    <row r="94" customFormat="false" ht="15" hidden="false" customHeight="false" outlineLevel="0" collapsed="false">
      <c r="A94" s="30" t="str">
        <f aca="false">IF(87&lt;=$B$4,87,"")</f>
        <v/>
      </c>
      <c r="B94" s="5" t="str">
        <f aca="false">IF($A94="","",INDEX(Velocity!$A$2:$A$3001,MATCH($A94,Velocity!$T$2:$T$3001,0)))</f>
        <v/>
      </c>
      <c r="C94" s="5" t="str">
        <f aca="false">IF($A94="","",INDEX(Velocity!$B$2:$B$3001,MATCH($A94,Velocity!$T$2:$T$3001,0)))</f>
        <v/>
      </c>
      <c r="D94" s="30" t="str">
        <f aca="false">IF($A94="","",INDEX(Velocity!$I$2:$I$3001,MATCH($A94,Velocity!$T$2:$T$3001,0)))</f>
        <v/>
      </c>
      <c r="E94" s="29" t="str">
        <f aca="false">IF($A94="","",IF(INDEX(Velocity!$F$2:$F$3001,MATCH($A94,Velocity!$T$2:$T$3001,0))="","Never",INDEX(Velocity!$F$2:$F$3001,MATCH($A94,Velocity!$T$2:$T$3001,0))))</f>
        <v/>
      </c>
      <c r="F94" s="5"/>
      <c r="G94" s="5"/>
    </row>
    <row r="95" customFormat="false" ht="15" hidden="false" customHeight="false" outlineLevel="0" collapsed="false">
      <c r="A95" s="30" t="str">
        <f aca="false">IF(88&lt;=$B$4,88,"")</f>
        <v/>
      </c>
      <c r="B95" s="5" t="str">
        <f aca="false">IF($A95="","",INDEX(Velocity!$A$2:$A$3001,MATCH($A95,Velocity!$T$2:$T$3001,0)))</f>
        <v/>
      </c>
      <c r="C95" s="5" t="str">
        <f aca="false">IF($A95="","",INDEX(Velocity!$B$2:$B$3001,MATCH($A95,Velocity!$T$2:$T$3001,0)))</f>
        <v/>
      </c>
      <c r="D95" s="30" t="str">
        <f aca="false">IF($A95="","",INDEX(Velocity!$I$2:$I$3001,MATCH($A95,Velocity!$T$2:$T$3001,0)))</f>
        <v/>
      </c>
      <c r="E95" s="29" t="str">
        <f aca="false">IF($A95="","",IF(INDEX(Velocity!$F$2:$F$3001,MATCH($A95,Velocity!$T$2:$T$3001,0))="","Never",INDEX(Velocity!$F$2:$F$3001,MATCH($A95,Velocity!$T$2:$T$3001,0))))</f>
        <v/>
      </c>
      <c r="F95" s="5"/>
      <c r="G95" s="5"/>
    </row>
    <row r="96" customFormat="false" ht="15" hidden="false" customHeight="false" outlineLevel="0" collapsed="false">
      <c r="A96" s="30" t="str">
        <f aca="false">IF(89&lt;=$B$4,89,"")</f>
        <v/>
      </c>
      <c r="B96" s="5" t="str">
        <f aca="false">IF($A96="","",INDEX(Velocity!$A$2:$A$3001,MATCH($A96,Velocity!$T$2:$T$3001,0)))</f>
        <v/>
      </c>
      <c r="C96" s="5" t="str">
        <f aca="false">IF($A96="","",INDEX(Velocity!$B$2:$B$3001,MATCH($A96,Velocity!$T$2:$T$3001,0)))</f>
        <v/>
      </c>
      <c r="D96" s="30" t="str">
        <f aca="false">IF($A96="","",INDEX(Velocity!$I$2:$I$3001,MATCH($A96,Velocity!$T$2:$T$3001,0)))</f>
        <v/>
      </c>
      <c r="E96" s="29" t="str">
        <f aca="false">IF($A96="","",IF(INDEX(Velocity!$F$2:$F$3001,MATCH($A96,Velocity!$T$2:$T$3001,0))="","Never",INDEX(Velocity!$F$2:$F$3001,MATCH($A96,Velocity!$T$2:$T$3001,0))))</f>
        <v/>
      </c>
      <c r="F96" s="5"/>
      <c r="G96" s="5"/>
    </row>
    <row r="97" customFormat="false" ht="15" hidden="false" customHeight="false" outlineLevel="0" collapsed="false">
      <c r="A97" s="30" t="str">
        <f aca="false">IF(90&lt;=$B$4,90,"")</f>
        <v/>
      </c>
      <c r="B97" s="5" t="str">
        <f aca="false">IF($A97="","",INDEX(Velocity!$A$2:$A$3001,MATCH($A97,Velocity!$T$2:$T$3001,0)))</f>
        <v/>
      </c>
      <c r="C97" s="5" t="str">
        <f aca="false">IF($A97="","",INDEX(Velocity!$B$2:$B$3001,MATCH($A97,Velocity!$T$2:$T$3001,0)))</f>
        <v/>
      </c>
      <c r="D97" s="30" t="str">
        <f aca="false">IF($A97="","",INDEX(Velocity!$I$2:$I$3001,MATCH($A97,Velocity!$T$2:$T$3001,0)))</f>
        <v/>
      </c>
      <c r="E97" s="29" t="str">
        <f aca="false">IF($A97="","",IF(INDEX(Velocity!$F$2:$F$3001,MATCH($A97,Velocity!$T$2:$T$3001,0))="","Never",INDEX(Velocity!$F$2:$F$3001,MATCH($A97,Velocity!$T$2:$T$3001,0))))</f>
        <v/>
      </c>
      <c r="F97" s="5"/>
      <c r="G97" s="5"/>
    </row>
    <row r="98" customFormat="false" ht="15" hidden="false" customHeight="false" outlineLevel="0" collapsed="false">
      <c r="A98" s="30" t="str">
        <f aca="false">IF(91&lt;=$B$4,91,"")</f>
        <v/>
      </c>
      <c r="B98" s="5" t="str">
        <f aca="false">IF($A98="","",INDEX(Velocity!$A$2:$A$3001,MATCH($A98,Velocity!$T$2:$T$3001,0)))</f>
        <v/>
      </c>
      <c r="C98" s="5" t="str">
        <f aca="false">IF($A98="","",INDEX(Velocity!$B$2:$B$3001,MATCH($A98,Velocity!$T$2:$T$3001,0)))</f>
        <v/>
      </c>
      <c r="D98" s="30" t="str">
        <f aca="false">IF($A98="","",INDEX(Velocity!$I$2:$I$3001,MATCH($A98,Velocity!$T$2:$T$3001,0)))</f>
        <v/>
      </c>
      <c r="E98" s="29" t="str">
        <f aca="false">IF($A98="","",IF(INDEX(Velocity!$F$2:$F$3001,MATCH($A98,Velocity!$T$2:$T$3001,0))="","Never",INDEX(Velocity!$F$2:$F$3001,MATCH($A98,Velocity!$T$2:$T$3001,0))))</f>
        <v/>
      </c>
      <c r="F98" s="5"/>
      <c r="G98" s="5"/>
    </row>
    <row r="99" customFormat="false" ht="15" hidden="false" customHeight="false" outlineLevel="0" collapsed="false">
      <c r="A99" s="30" t="str">
        <f aca="false">IF(92&lt;=$B$4,92,"")</f>
        <v/>
      </c>
      <c r="B99" s="5" t="str">
        <f aca="false">IF($A99="","",INDEX(Velocity!$A$2:$A$3001,MATCH($A99,Velocity!$T$2:$T$3001,0)))</f>
        <v/>
      </c>
      <c r="C99" s="5" t="str">
        <f aca="false">IF($A99="","",INDEX(Velocity!$B$2:$B$3001,MATCH($A99,Velocity!$T$2:$T$3001,0)))</f>
        <v/>
      </c>
      <c r="D99" s="30" t="str">
        <f aca="false">IF($A99="","",INDEX(Velocity!$I$2:$I$3001,MATCH($A99,Velocity!$T$2:$T$3001,0)))</f>
        <v/>
      </c>
      <c r="E99" s="29" t="str">
        <f aca="false">IF($A99="","",IF(INDEX(Velocity!$F$2:$F$3001,MATCH($A99,Velocity!$T$2:$T$3001,0))="","Never",INDEX(Velocity!$F$2:$F$3001,MATCH($A99,Velocity!$T$2:$T$3001,0))))</f>
        <v/>
      </c>
      <c r="F99" s="5"/>
      <c r="G99" s="5"/>
    </row>
    <row r="100" customFormat="false" ht="15" hidden="false" customHeight="false" outlineLevel="0" collapsed="false">
      <c r="A100" s="30" t="str">
        <f aca="false">IF(93&lt;=$B$4,93,"")</f>
        <v/>
      </c>
      <c r="B100" s="5" t="str">
        <f aca="false">IF($A100="","",INDEX(Velocity!$A$2:$A$3001,MATCH($A100,Velocity!$T$2:$T$3001,0)))</f>
        <v/>
      </c>
      <c r="C100" s="5" t="str">
        <f aca="false">IF($A100="","",INDEX(Velocity!$B$2:$B$3001,MATCH($A100,Velocity!$T$2:$T$3001,0)))</f>
        <v/>
      </c>
      <c r="D100" s="30" t="str">
        <f aca="false">IF($A100="","",INDEX(Velocity!$I$2:$I$3001,MATCH($A100,Velocity!$T$2:$T$3001,0)))</f>
        <v/>
      </c>
      <c r="E100" s="29" t="str">
        <f aca="false">IF($A100="","",IF(INDEX(Velocity!$F$2:$F$3001,MATCH($A100,Velocity!$T$2:$T$3001,0))="","Never",INDEX(Velocity!$F$2:$F$3001,MATCH($A100,Velocity!$T$2:$T$3001,0))))</f>
        <v/>
      </c>
      <c r="F100" s="5"/>
      <c r="G100" s="5"/>
    </row>
    <row r="101" customFormat="false" ht="15" hidden="false" customHeight="false" outlineLevel="0" collapsed="false">
      <c r="A101" s="30" t="str">
        <f aca="false">IF(94&lt;=$B$4,94,"")</f>
        <v/>
      </c>
      <c r="B101" s="5" t="str">
        <f aca="false">IF($A101="","",INDEX(Velocity!$A$2:$A$3001,MATCH($A101,Velocity!$T$2:$T$3001,0)))</f>
        <v/>
      </c>
      <c r="C101" s="5" t="str">
        <f aca="false">IF($A101="","",INDEX(Velocity!$B$2:$B$3001,MATCH($A101,Velocity!$T$2:$T$3001,0)))</f>
        <v/>
      </c>
      <c r="D101" s="30" t="str">
        <f aca="false">IF($A101="","",INDEX(Velocity!$I$2:$I$3001,MATCH($A101,Velocity!$T$2:$T$3001,0)))</f>
        <v/>
      </c>
      <c r="E101" s="29" t="str">
        <f aca="false">IF($A101="","",IF(INDEX(Velocity!$F$2:$F$3001,MATCH($A101,Velocity!$T$2:$T$3001,0))="","Never",INDEX(Velocity!$F$2:$F$3001,MATCH($A101,Velocity!$T$2:$T$3001,0))))</f>
        <v/>
      </c>
      <c r="F101" s="5"/>
      <c r="G101" s="5"/>
    </row>
    <row r="102" customFormat="false" ht="15" hidden="false" customHeight="false" outlineLevel="0" collapsed="false">
      <c r="A102" s="30" t="str">
        <f aca="false">IF(95&lt;=$B$4,95,"")</f>
        <v/>
      </c>
      <c r="B102" s="5" t="str">
        <f aca="false">IF($A102="","",INDEX(Velocity!$A$2:$A$3001,MATCH($A102,Velocity!$T$2:$T$3001,0)))</f>
        <v/>
      </c>
      <c r="C102" s="5" t="str">
        <f aca="false">IF($A102="","",INDEX(Velocity!$B$2:$B$3001,MATCH($A102,Velocity!$T$2:$T$3001,0)))</f>
        <v/>
      </c>
      <c r="D102" s="30" t="str">
        <f aca="false">IF($A102="","",INDEX(Velocity!$I$2:$I$3001,MATCH($A102,Velocity!$T$2:$T$3001,0)))</f>
        <v/>
      </c>
      <c r="E102" s="29" t="str">
        <f aca="false">IF($A102="","",IF(INDEX(Velocity!$F$2:$F$3001,MATCH($A102,Velocity!$T$2:$T$3001,0))="","Never",INDEX(Velocity!$F$2:$F$3001,MATCH($A102,Velocity!$T$2:$T$3001,0))))</f>
        <v/>
      </c>
      <c r="F102" s="5"/>
      <c r="G102" s="5"/>
    </row>
    <row r="103" customFormat="false" ht="15" hidden="false" customHeight="false" outlineLevel="0" collapsed="false">
      <c r="A103" s="30" t="str">
        <f aca="false">IF(96&lt;=$B$4,96,"")</f>
        <v/>
      </c>
      <c r="B103" s="5" t="str">
        <f aca="false">IF($A103="","",INDEX(Velocity!$A$2:$A$3001,MATCH($A103,Velocity!$T$2:$T$3001,0)))</f>
        <v/>
      </c>
      <c r="C103" s="5" t="str">
        <f aca="false">IF($A103="","",INDEX(Velocity!$B$2:$B$3001,MATCH($A103,Velocity!$T$2:$T$3001,0)))</f>
        <v/>
      </c>
      <c r="D103" s="30" t="str">
        <f aca="false">IF($A103="","",INDEX(Velocity!$I$2:$I$3001,MATCH($A103,Velocity!$T$2:$T$3001,0)))</f>
        <v/>
      </c>
      <c r="E103" s="29" t="str">
        <f aca="false">IF($A103="","",IF(INDEX(Velocity!$F$2:$F$3001,MATCH($A103,Velocity!$T$2:$T$3001,0))="","Never",INDEX(Velocity!$F$2:$F$3001,MATCH($A103,Velocity!$T$2:$T$3001,0))))</f>
        <v/>
      </c>
      <c r="F103" s="5"/>
      <c r="G103" s="5"/>
    </row>
    <row r="104" customFormat="false" ht="15" hidden="false" customHeight="false" outlineLevel="0" collapsed="false">
      <c r="A104" s="30" t="str">
        <f aca="false">IF(97&lt;=$B$4,97,"")</f>
        <v/>
      </c>
      <c r="B104" s="5" t="str">
        <f aca="false">IF($A104="","",INDEX(Velocity!$A$2:$A$3001,MATCH($A104,Velocity!$T$2:$T$3001,0)))</f>
        <v/>
      </c>
      <c r="C104" s="5" t="str">
        <f aca="false">IF($A104="","",INDEX(Velocity!$B$2:$B$3001,MATCH($A104,Velocity!$T$2:$T$3001,0)))</f>
        <v/>
      </c>
      <c r="D104" s="30" t="str">
        <f aca="false">IF($A104="","",INDEX(Velocity!$I$2:$I$3001,MATCH($A104,Velocity!$T$2:$T$3001,0)))</f>
        <v/>
      </c>
      <c r="E104" s="29" t="str">
        <f aca="false">IF($A104="","",IF(INDEX(Velocity!$F$2:$F$3001,MATCH($A104,Velocity!$T$2:$T$3001,0))="","Never",INDEX(Velocity!$F$2:$F$3001,MATCH($A104,Velocity!$T$2:$T$3001,0))))</f>
        <v/>
      </c>
      <c r="F104" s="5"/>
      <c r="G104" s="5"/>
    </row>
    <row r="105" customFormat="false" ht="15" hidden="false" customHeight="false" outlineLevel="0" collapsed="false">
      <c r="A105" s="30" t="str">
        <f aca="false">IF(98&lt;=$B$4,98,"")</f>
        <v/>
      </c>
      <c r="B105" s="5" t="str">
        <f aca="false">IF($A105="","",INDEX(Velocity!$A$2:$A$3001,MATCH($A105,Velocity!$T$2:$T$3001,0)))</f>
        <v/>
      </c>
      <c r="C105" s="5" t="str">
        <f aca="false">IF($A105="","",INDEX(Velocity!$B$2:$B$3001,MATCH($A105,Velocity!$T$2:$T$3001,0)))</f>
        <v/>
      </c>
      <c r="D105" s="30" t="str">
        <f aca="false">IF($A105="","",INDEX(Velocity!$I$2:$I$3001,MATCH($A105,Velocity!$T$2:$T$3001,0)))</f>
        <v/>
      </c>
      <c r="E105" s="29" t="str">
        <f aca="false">IF($A105="","",IF(INDEX(Velocity!$F$2:$F$3001,MATCH($A105,Velocity!$T$2:$T$3001,0))="","Never",INDEX(Velocity!$F$2:$F$3001,MATCH($A105,Velocity!$T$2:$T$3001,0))))</f>
        <v/>
      </c>
      <c r="F105" s="5"/>
      <c r="G105" s="5"/>
    </row>
    <row r="106" customFormat="false" ht="15" hidden="false" customHeight="false" outlineLevel="0" collapsed="false">
      <c r="A106" s="30" t="str">
        <f aca="false">IF(99&lt;=$B$4,99,"")</f>
        <v/>
      </c>
      <c r="B106" s="5" t="str">
        <f aca="false">IF($A106="","",INDEX(Velocity!$A$2:$A$3001,MATCH($A106,Velocity!$T$2:$T$3001,0)))</f>
        <v/>
      </c>
      <c r="C106" s="5" t="str">
        <f aca="false">IF($A106="","",INDEX(Velocity!$B$2:$B$3001,MATCH($A106,Velocity!$T$2:$T$3001,0)))</f>
        <v/>
      </c>
      <c r="D106" s="30" t="str">
        <f aca="false">IF($A106="","",INDEX(Velocity!$I$2:$I$3001,MATCH($A106,Velocity!$T$2:$T$3001,0)))</f>
        <v/>
      </c>
      <c r="E106" s="29" t="str">
        <f aca="false">IF($A106="","",IF(INDEX(Velocity!$F$2:$F$3001,MATCH($A106,Velocity!$T$2:$T$3001,0))="","Never",INDEX(Velocity!$F$2:$F$3001,MATCH($A106,Velocity!$T$2:$T$3001,0))))</f>
        <v/>
      </c>
      <c r="F106" s="5"/>
      <c r="G106" s="5"/>
    </row>
    <row r="107" customFormat="false" ht="15" hidden="false" customHeight="false" outlineLevel="0" collapsed="false">
      <c r="A107" s="30" t="str">
        <f aca="false">IF(100&lt;=$B$4,100,"")</f>
        <v/>
      </c>
      <c r="B107" s="5" t="str">
        <f aca="false">IF($A107="","",INDEX(Velocity!$A$2:$A$3001,MATCH($A107,Velocity!$T$2:$T$3001,0)))</f>
        <v/>
      </c>
      <c r="C107" s="5" t="str">
        <f aca="false">IF($A107="","",INDEX(Velocity!$B$2:$B$3001,MATCH($A107,Velocity!$T$2:$T$3001,0)))</f>
        <v/>
      </c>
      <c r="D107" s="30" t="str">
        <f aca="false">IF($A107="","",INDEX(Velocity!$I$2:$I$3001,MATCH($A107,Velocity!$T$2:$T$3001,0)))</f>
        <v/>
      </c>
      <c r="E107" s="29" t="str">
        <f aca="false">IF($A107="","",IF(INDEX(Velocity!$F$2:$F$3001,MATCH($A107,Velocity!$T$2:$T$3001,0))="","Never",INDEX(Velocity!$F$2:$F$3001,MATCH($A107,Velocity!$T$2:$T$3001,0))))</f>
        <v/>
      </c>
      <c r="F107" s="5"/>
      <c r="G107" s="5"/>
    </row>
    <row r="108" customFormat="false" ht="15" hidden="false" customHeight="false" outlineLevel="0" collapsed="false">
      <c r="A108" s="30" t="str">
        <f aca="false">IF(101&lt;=$B$4,101,"")</f>
        <v/>
      </c>
      <c r="B108" s="5" t="str">
        <f aca="false">IF($A108="","",INDEX(Velocity!$A$2:$A$3001,MATCH($A108,Velocity!$T$2:$T$3001,0)))</f>
        <v/>
      </c>
      <c r="C108" s="5" t="str">
        <f aca="false">IF($A108="","",INDEX(Velocity!$B$2:$B$3001,MATCH($A108,Velocity!$T$2:$T$3001,0)))</f>
        <v/>
      </c>
      <c r="D108" s="30" t="str">
        <f aca="false">IF($A108="","",INDEX(Velocity!$I$2:$I$3001,MATCH($A108,Velocity!$T$2:$T$3001,0)))</f>
        <v/>
      </c>
      <c r="E108" s="29" t="str">
        <f aca="false">IF($A108="","",IF(INDEX(Velocity!$F$2:$F$3001,MATCH($A108,Velocity!$T$2:$T$3001,0))="","Never",INDEX(Velocity!$F$2:$F$3001,MATCH($A108,Velocity!$T$2:$T$3001,0))))</f>
        <v/>
      </c>
      <c r="F108" s="5"/>
      <c r="G108" s="5"/>
    </row>
    <row r="109" customFormat="false" ht="15" hidden="false" customHeight="false" outlineLevel="0" collapsed="false">
      <c r="A109" s="30" t="str">
        <f aca="false">IF(102&lt;=$B$4,102,"")</f>
        <v/>
      </c>
      <c r="B109" s="5" t="str">
        <f aca="false">IF($A109="","",INDEX(Velocity!$A$2:$A$3001,MATCH($A109,Velocity!$T$2:$T$3001,0)))</f>
        <v/>
      </c>
      <c r="C109" s="5" t="str">
        <f aca="false">IF($A109="","",INDEX(Velocity!$B$2:$B$3001,MATCH($A109,Velocity!$T$2:$T$3001,0)))</f>
        <v/>
      </c>
      <c r="D109" s="30" t="str">
        <f aca="false">IF($A109="","",INDEX(Velocity!$I$2:$I$3001,MATCH($A109,Velocity!$T$2:$T$3001,0)))</f>
        <v/>
      </c>
      <c r="E109" s="29" t="str">
        <f aca="false">IF($A109="","",IF(INDEX(Velocity!$F$2:$F$3001,MATCH($A109,Velocity!$T$2:$T$3001,0))="","Never",INDEX(Velocity!$F$2:$F$3001,MATCH($A109,Velocity!$T$2:$T$3001,0))))</f>
        <v/>
      </c>
      <c r="F109" s="5"/>
      <c r="G109" s="5"/>
    </row>
    <row r="110" customFormat="false" ht="15" hidden="false" customHeight="false" outlineLevel="0" collapsed="false">
      <c r="A110" s="30" t="str">
        <f aca="false">IF(103&lt;=$B$4,103,"")</f>
        <v/>
      </c>
      <c r="B110" s="5" t="str">
        <f aca="false">IF($A110="","",INDEX(Velocity!$A$2:$A$3001,MATCH($A110,Velocity!$T$2:$T$3001,0)))</f>
        <v/>
      </c>
      <c r="C110" s="5" t="str">
        <f aca="false">IF($A110="","",INDEX(Velocity!$B$2:$B$3001,MATCH($A110,Velocity!$T$2:$T$3001,0)))</f>
        <v/>
      </c>
      <c r="D110" s="30" t="str">
        <f aca="false">IF($A110="","",INDEX(Velocity!$I$2:$I$3001,MATCH($A110,Velocity!$T$2:$T$3001,0)))</f>
        <v/>
      </c>
      <c r="E110" s="29" t="str">
        <f aca="false">IF($A110="","",IF(INDEX(Velocity!$F$2:$F$3001,MATCH($A110,Velocity!$T$2:$T$3001,0))="","Never",INDEX(Velocity!$F$2:$F$3001,MATCH($A110,Velocity!$T$2:$T$3001,0))))</f>
        <v/>
      </c>
      <c r="F110" s="5"/>
      <c r="G110" s="5"/>
    </row>
    <row r="111" customFormat="false" ht="15" hidden="false" customHeight="false" outlineLevel="0" collapsed="false">
      <c r="A111" s="30" t="str">
        <f aca="false">IF(104&lt;=$B$4,104,"")</f>
        <v/>
      </c>
      <c r="B111" s="5" t="str">
        <f aca="false">IF($A111="","",INDEX(Velocity!$A$2:$A$3001,MATCH($A111,Velocity!$T$2:$T$3001,0)))</f>
        <v/>
      </c>
      <c r="C111" s="5" t="str">
        <f aca="false">IF($A111="","",INDEX(Velocity!$B$2:$B$3001,MATCH($A111,Velocity!$T$2:$T$3001,0)))</f>
        <v/>
      </c>
      <c r="D111" s="30" t="str">
        <f aca="false">IF($A111="","",INDEX(Velocity!$I$2:$I$3001,MATCH($A111,Velocity!$T$2:$T$3001,0)))</f>
        <v/>
      </c>
      <c r="E111" s="29" t="str">
        <f aca="false">IF($A111="","",IF(INDEX(Velocity!$F$2:$F$3001,MATCH($A111,Velocity!$T$2:$T$3001,0))="","Never",INDEX(Velocity!$F$2:$F$3001,MATCH($A111,Velocity!$T$2:$T$3001,0))))</f>
        <v/>
      </c>
      <c r="F111" s="5"/>
      <c r="G111" s="5"/>
    </row>
    <row r="112" customFormat="false" ht="15" hidden="false" customHeight="false" outlineLevel="0" collapsed="false">
      <c r="A112" s="30" t="str">
        <f aca="false">IF(105&lt;=$B$4,105,"")</f>
        <v/>
      </c>
      <c r="B112" s="5" t="str">
        <f aca="false">IF($A112="","",INDEX(Velocity!$A$2:$A$3001,MATCH($A112,Velocity!$T$2:$T$3001,0)))</f>
        <v/>
      </c>
      <c r="C112" s="5" t="str">
        <f aca="false">IF($A112="","",INDEX(Velocity!$B$2:$B$3001,MATCH($A112,Velocity!$T$2:$T$3001,0)))</f>
        <v/>
      </c>
      <c r="D112" s="30" t="str">
        <f aca="false">IF($A112="","",INDEX(Velocity!$I$2:$I$3001,MATCH($A112,Velocity!$T$2:$T$3001,0)))</f>
        <v/>
      </c>
      <c r="E112" s="29" t="str">
        <f aca="false">IF($A112="","",IF(INDEX(Velocity!$F$2:$F$3001,MATCH($A112,Velocity!$T$2:$T$3001,0))="","Never",INDEX(Velocity!$F$2:$F$3001,MATCH($A112,Velocity!$T$2:$T$3001,0))))</f>
        <v/>
      </c>
      <c r="F112" s="5"/>
      <c r="G112" s="5"/>
    </row>
    <row r="113" customFormat="false" ht="15" hidden="false" customHeight="false" outlineLevel="0" collapsed="false">
      <c r="A113" s="30" t="str">
        <f aca="false">IF(106&lt;=$B$4,106,"")</f>
        <v/>
      </c>
      <c r="B113" s="5" t="str">
        <f aca="false">IF($A113="","",INDEX(Velocity!$A$2:$A$3001,MATCH($A113,Velocity!$T$2:$T$3001,0)))</f>
        <v/>
      </c>
      <c r="C113" s="5" t="str">
        <f aca="false">IF($A113="","",INDEX(Velocity!$B$2:$B$3001,MATCH($A113,Velocity!$T$2:$T$3001,0)))</f>
        <v/>
      </c>
      <c r="D113" s="30" t="str">
        <f aca="false">IF($A113="","",INDEX(Velocity!$I$2:$I$3001,MATCH($A113,Velocity!$T$2:$T$3001,0)))</f>
        <v/>
      </c>
      <c r="E113" s="29" t="str">
        <f aca="false">IF($A113="","",IF(INDEX(Velocity!$F$2:$F$3001,MATCH($A113,Velocity!$T$2:$T$3001,0))="","Never",INDEX(Velocity!$F$2:$F$3001,MATCH($A113,Velocity!$T$2:$T$3001,0))))</f>
        <v/>
      </c>
      <c r="F113" s="5"/>
      <c r="G113" s="5"/>
    </row>
    <row r="114" customFormat="false" ht="15" hidden="false" customHeight="false" outlineLevel="0" collapsed="false">
      <c r="A114" s="30" t="str">
        <f aca="false">IF(107&lt;=$B$4,107,"")</f>
        <v/>
      </c>
      <c r="B114" s="5" t="str">
        <f aca="false">IF($A114="","",INDEX(Velocity!$A$2:$A$3001,MATCH($A114,Velocity!$T$2:$T$3001,0)))</f>
        <v/>
      </c>
      <c r="C114" s="5" t="str">
        <f aca="false">IF($A114="","",INDEX(Velocity!$B$2:$B$3001,MATCH($A114,Velocity!$T$2:$T$3001,0)))</f>
        <v/>
      </c>
      <c r="D114" s="30" t="str">
        <f aca="false">IF($A114="","",INDEX(Velocity!$I$2:$I$3001,MATCH($A114,Velocity!$T$2:$T$3001,0)))</f>
        <v/>
      </c>
      <c r="E114" s="29" t="str">
        <f aca="false">IF($A114="","",IF(INDEX(Velocity!$F$2:$F$3001,MATCH($A114,Velocity!$T$2:$T$3001,0))="","Never",INDEX(Velocity!$F$2:$F$3001,MATCH($A114,Velocity!$T$2:$T$3001,0))))</f>
        <v/>
      </c>
      <c r="F114" s="5"/>
      <c r="G114" s="5"/>
    </row>
    <row r="115" customFormat="false" ht="15" hidden="false" customHeight="false" outlineLevel="0" collapsed="false">
      <c r="A115" s="30" t="str">
        <f aca="false">IF(108&lt;=$B$4,108,"")</f>
        <v/>
      </c>
      <c r="B115" s="5" t="str">
        <f aca="false">IF($A115="","",INDEX(Velocity!$A$2:$A$3001,MATCH($A115,Velocity!$T$2:$T$3001,0)))</f>
        <v/>
      </c>
      <c r="C115" s="5" t="str">
        <f aca="false">IF($A115="","",INDEX(Velocity!$B$2:$B$3001,MATCH($A115,Velocity!$T$2:$T$3001,0)))</f>
        <v/>
      </c>
      <c r="D115" s="30" t="str">
        <f aca="false">IF($A115="","",INDEX(Velocity!$I$2:$I$3001,MATCH($A115,Velocity!$T$2:$T$3001,0)))</f>
        <v/>
      </c>
      <c r="E115" s="29" t="str">
        <f aca="false">IF($A115="","",IF(INDEX(Velocity!$F$2:$F$3001,MATCH($A115,Velocity!$T$2:$T$3001,0))="","Never",INDEX(Velocity!$F$2:$F$3001,MATCH($A115,Velocity!$T$2:$T$3001,0))))</f>
        <v/>
      </c>
      <c r="F115" s="5"/>
      <c r="G115" s="5"/>
    </row>
    <row r="116" customFormat="false" ht="15" hidden="false" customHeight="false" outlineLevel="0" collapsed="false">
      <c r="A116" s="30" t="str">
        <f aca="false">IF(109&lt;=$B$4,109,"")</f>
        <v/>
      </c>
      <c r="B116" s="5" t="str">
        <f aca="false">IF($A116="","",INDEX(Velocity!$A$2:$A$3001,MATCH($A116,Velocity!$T$2:$T$3001,0)))</f>
        <v/>
      </c>
      <c r="C116" s="5" t="str">
        <f aca="false">IF($A116="","",INDEX(Velocity!$B$2:$B$3001,MATCH($A116,Velocity!$T$2:$T$3001,0)))</f>
        <v/>
      </c>
      <c r="D116" s="30" t="str">
        <f aca="false">IF($A116="","",INDEX(Velocity!$I$2:$I$3001,MATCH($A116,Velocity!$T$2:$T$3001,0)))</f>
        <v/>
      </c>
      <c r="E116" s="29" t="str">
        <f aca="false">IF($A116="","",IF(INDEX(Velocity!$F$2:$F$3001,MATCH($A116,Velocity!$T$2:$T$3001,0))="","Never",INDEX(Velocity!$F$2:$F$3001,MATCH($A116,Velocity!$T$2:$T$3001,0))))</f>
        <v/>
      </c>
      <c r="F116" s="5"/>
      <c r="G116" s="5"/>
    </row>
    <row r="117" customFormat="false" ht="15" hidden="false" customHeight="false" outlineLevel="0" collapsed="false">
      <c r="A117" s="30" t="str">
        <f aca="false">IF(110&lt;=$B$4,110,"")</f>
        <v/>
      </c>
      <c r="B117" s="5" t="str">
        <f aca="false">IF($A117="","",INDEX(Velocity!$A$2:$A$3001,MATCH($A117,Velocity!$T$2:$T$3001,0)))</f>
        <v/>
      </c>
      <c r="C117" s="5" t="str">
        <f aca="false">IF($A117="","",INDEX(Velocity!$B$2:$B$3001,MATCH($A117,Velocity!$T$2:$T$3001,0)))</f>
        <v/>
      </c>
      <c r="D117" s="30" t="str">
        <f aca="false">IF($A117="","",INDEX(Velocity!$I$2:$I$3001,MATCH($A117,Velocity!$T$2:$T$3001,0)))</f>
        <v/>
      </c>
      <c r="E117" s="29" t="str">
        <f aca="false">IF($A117="","",IF(INDEX(Velocity!$F$2:$F$3001,MATCH($A117,Velocity!$T$2:$T$3001,0))="","Never",INDEX(Velocity!$F$2:$F$3001,MATCH($A117,Velocity!$T$2:$T$3001,0))))</f>
        <v/>
      </c>
      <c r="F117" s="5"/>
      <c r="G117" s="5"/>
    </row>
    <row r="118" customFormat="false" ht="15" hidden="false" customHeight="false" outlineLevel="0" collapsed="false">
      <c r="A118" s="30" t="str">
        <f aca="false">IF(111&lt;=$B$4,111,"")</f>
        <v/>
      </c>
      <c r="B118" s="5" t="str">
        <f aca="false">IF($A118="","",INDEX(Velocity!$A$2:$A$3001,MATCH($A118,Velocity!$T$2:$T$3001,0)))</f>
        <v/>
      </c>
      <c r="C118" s="5" t="str">
        <f aca="false">IF($A118="","",INDEX(Velocity!$B$2:$B$3001,MATCH($A118,Velocity!$T$2:$T$3001,0)))</f>
        <v/>
      </c>
      <c r="D118" s="30" t="str">
        <f aca="false">IF($A118="","",INDEX(Velocity!$I$2:$I$3001,MATCH($A118,Velocity!$T$2:$T$3001,0)))</f>
        <v/>
      </c>
      <c r="E118" s="29" t="str">
        <f aca="false">IF($A118="","",IF(INDEX(Velocity!$F$2:$F$3001,MATCH($A118,Velocity!$T$2:$T$3001,0))="","Never",INDEX(Velocity!$F$2:$F$3001,MATCH($A118,Velocity!$T$2:$T$3001,0))))</f>
        <v/>
      </c>
      <c r="F118" s="5"/>
      <c r="G118" s="5"/>
    </row>
    <row r="119" customFormat="false" ht="15" hidden="false" customHeight="false" outlineLevel="0" collapsed="false">
      <c r="A119" s="30" t="str">
        <f aca="false">IF(112&lt;=$B$4,112,"")</f>
        <v/>
      </c>
      <c r="B119" s="5" t="str">
        <f aca="false">IF($A119="","",INDEX(Velocity!$A$2:$A$3001,MATCH($A119,Velocity!$T$2:$T$3001,0)))</f>
        <v/>
      </c>
      <c r="C119" s="5" t="str">
        <f aca="false">IF($A119="","",INDEX(Velocity!$B$2:$B$3001,MATCH($A119,Velocity!$T$2:$T$3001,0)))</f>
        <v/>
      </c>
      <c r="D119" s="30" t="str">
        <f aca="false">IF($A119="","",INDEX(Velocity!$I$2:$I$3001,MATCH($A119,Velocity!$T$2:$T$3001,0)))</f>
        <v/>
      </c>
      <c r="E119" s="29" t="str">
        <f aca="false">IF($A119="","",IF(INDEX(Velocity!$F$2:$F$3001,MATCH($A119,Velocity!$T$2:$T$3001,0))="","Never",INDEX(Velocity!$F$2:$F$3001,MATCH($A119,Velocity!$T$2:$T$3001,0))))</f>
        <v/>
      </c>
      <c r="F119" s="5"/>
      <c r="G119" s="5"/>
    </row>
    <row r="120" customFormat="false" ht="15" hidden="false" customHeight="false" outlineLevel="0" collapsed="false">
      <c r="A120" s="30" t="str">
        <f aca="false">IF(113&lt;=$B$4,113,"")</f>
        <v/>
      </c>
      <c r="B120" s="5" t="str">
        <f aca="false">IF($A120="","",INDEX(Velocity!$A$2:$A$3001,MATCH($A120,Velocity!$T$2:$T$3001,0)))</f>
        <v/>
      </c>
      <c r="C120" s="5" t="str">
        <f aca="false">IF($A120="","",INDEX(Velocity!$B$2:$B$3001,MATCH($A120,Velocity!$T$2:$T$3001,0)))</f>
        <v/>
      </c>
      <c r="D120" s="30" t="str">
        <f aca="false">IF($A120="","",INDEX(Velocity!$I$2:$I$3001,MATCH($A120,Velocity!$T$2:$T$3001,0)))</f>
        <v/>
      </c>
      <c r="E120" s="29" t="str">
        <f aca="false">IF($A120="","",IF(INDEX(Velocity!$F$2:$F$3001,MATCH($A120,Velocity!$T$2:$T$3001,0))="","Never",INDEX(Velocity!$F$2:$F$3001,MATCH($A120,Velocity!$T$2:$T$3001,0))))</f>
        <v/>
      </c>
      <c r="F120" s="5"/>
      <c r="G120" s="5"/>
    </row>
    <row r="121" customFormat="false" ht="15" hidden="false" customHeight="false" outlineLevel="0" collapsed="false">
      <c r="A121" s="30" t="str">
        <f aca="false">IF(114&lt;=$B$4,114,"")</f>
        <v/>
      </c>
      <c r="B121" s="5" t="str">
        <f aca="false">IF($A121="","",INDEX(Velocity!$A$2:$A$3001,MATCH($A121,Velocity!$T$2:$T$3001,0)))</f>
        <v/>
      </c>
      <c r="C121" s="5" t="str">
        <f aca="false">IF($A121="","",INDEX(Velocity!$B$2:$B$3001,MATCH($A121,Velocity!$T$2:$T$3001,0)))</f>
        <v/>
      </c>
      <c r="D121" s="30" t="str">
        <f aca="false">IF($A121="","",INDEX(Velocity!$I$2:$I$3001,MATCH($A121,Velocity!$T$2:$T$3001,0)))</f>
        <v/>
      </c>
      <c r="E121" s="29" t="str">
        <f aca="false">IF($A121="","",IF(INDEX(Velocity!$F$2:$F$3001,MATCH($A121,Velocity!$T$2:$T$3001,0))="","Never",INDEX(Velocity!$F$2:$F$3001,MATCH($A121,Velocity!$T$2:$T$3001,0))))</f>
        <v/>
      </c>
      <c r="F121" s="5"/>
      <c r="G121" s="5"/>
    </row>
    <row r="122" customFormat="false" ht="15" hidden="false" customHeight="false" outlineLevel="0" collapsed="false">
      <c r="A122" s="30" t="str">
        <f aca="false">IF(115&lt;=$B$4,115,"")</f>
        <v/>
      </c>
      <c r="B122" s="5" t="str">
        <f aca="false">IF($A122="","",INDEX(Velocity!$A$2:$A$3001,MATCH($A122,Velocity!$T$2:$T$3001,0)))</f>
        <v/>
      </c>
      <c r="C122" s="5" t="str">
        <f aca="false">IF($A122="","",INDEX(Velocity!$B$2:$B$3001,MATCH($A122,Velocity!$T$2:$T$3001,0)))</f>
        <v/>
      </c>
      <c r="D122" s="30" t="str">
        <f aca="false">IF($A122="","",INDEX(Velocity!$I$2:$I$3001,MATCH($A122,Velocity!$T$2:$T$3001,0)))</f>
        <v/>
      </c>
      <c r="E122" s="29" t="str">
        <f aca="false">IF($A122="","",IF(INDEX(Velocity!$F$2:$F$3001,MATCH($A122,Velocity!$T$2:$T$3001,0))="","Never",INDEX(Velocity!$F$2:$F$3001,MATCH($A122,Velocity!$T$2:$T$3001,0))))</f>
        <v/>
      </c>
      <c r="F122" s="5"/>
      <c r="G122" s="5"/>
    </row>
    <row r="123" customFormat="false" ht="15" hidden="false" customHeight="false" outlineLevel="0" collapsed="false">
      <c r="A123" s="30" t="str">
        <f aca="false">IF(116&lt;=$B$4,116,"")</f>
        <v/>
      </c>
      <c r="B123" s="5" t="str">
        <f aca="false">IF($A123="","",INDEX(Velocity!$A$2:$A$3001,MATCH($A123,Velocity!$T$2:$T$3001,0)))</f>
        <v/>
      </c>
      <c r="C123" s="5" t="str">
        <f aca="false">IF($A123="","",INDEX(Velocity!$B$2:$B$3001,MATCH($A123,Velocity!$T$2:$T$3001,0)))</f>
        <v/>
      </c>
      <c r="D123" s="30" t="str">
        <f aca="false">IF($A123="","",INDEX(Velocity!$I$2:$I$3001,MATCH($A123,Velocity!$T$2:$T$3001,0)))</f>
        <v/>
      </c>
      <c r="E123" s="29" t="str">
        <f aca="false">IF($A123="","",IF(INDEX(Velocity!$F$2:$F$3001,MATCH($A123,Velocity!$T$2:$T$3001,0))="","Never",INDEX(Velocity!$F$2:$F$3001,MATCH($A123,Velocity!$T$2:$T$3001,0))))</f>
        <v/>
      </c>
      <c r="F123" s="5"/>
      <c r="G123" s="5"/>
    </row>
    <row r="124" customFormat="false" ht="15" hidden="false" customHeight="false" outlineLevel="0" collapsed="false">
      <c r="A124" s="30" t="str">
        <f aca="false">IF(117&lt;=$B$4,117,"")</f>
        <v/>
      </c>
      <c r="B124" s="5" t="str">
        <f aca="false">IF($A124="","",INDEX(Velocity!$A$2:$A$3001,MATCH($A124,Velocity!$T$2:$T$3001,0)))</f>
        <v/>
      </c>
      <c r="C124" s="5" t="str">
        <f aca="false">IF($A124="","",INDEX(Velocity!$B$2:$B$3001,MATCH($A124,Velocity!$T$2:$T$3001,0)))</f>
        <v/>
      </c>
      <c r="D124" s="30" t="str">
        <f aca="false">IF($A124="","",INDEX(Velocity!$I$2:$I$3001,MATCH($A124,Velocity!$T$2:$T$3001,0)))</f>
        <v/>
      </c>
      <c r="E124" s="29" t="str">
        <f aca="false">IF($A124="","",IF(INDEX(Velocity!$F$2:$F$3001,MATCH($A124,Velocity!$T$2:$T$3001,0))="","Never",INDEX(Velocity!$F$2:$F$3001,MATCH($A124,Velocity!$T$2:$T$3001,0))))</f>
        <v/>
      </c>
      <c r="F124" s="5"/>
      <c r="G124" s="5"/>
    </row>
    <row r="125" customFormat="false" ht="15" hidden="false" customHeight="false" outlineLevel="0" collapsed="false">
      <c r="A125" s="30" t="str">
        <f aca="false">IF(118&lt;=$B$4,118,"")</f>
        <v/>
      </c>
      <c r="B125" s="5" t="str">
        <f aca="false">IF($A125="","",INDEX(Velocity!$A$2:$A$3001,MATCH($A125,Velocity!$T$2:$T$3001,0)))</f>
        <v/>
      </c>
      <c r="C125" s="5" t="str">
        <f aca="false">IF($A125="","",INDEX(Velocity!$B$2:$B$3001,MATCH($A125,Velocity!$T$2:$T$3001,0)))</f>
        <v/>
      </c>
      <c r="D125" s="30" t="str">
        <f aca="false">IF($A125="","",INDEX(Velocity!$I$2:$I$3001,MATCH($A125,Velocity!$T$2:$T$3001,0)))</f>
        <v/>
      </c>
      <c r="E125" s="29" t="str">
        <f aca="false">IF($A125="","",IF(INDEX(Velocity!$F$2:$F$3001,MATCH($A125,Velocity!$T$2:$T$3001,0))="","Never",INDEX(Velocity!$F$2:$F$3001,MATCH($A125,Velocity!$T$2:$T$3001,0))))</f>
        <v/>
      </c>
      <c r="F125" s="5"/>
      <c r="G125" s="5"/>
    </row>
    <row r="126" customFormat="false" ht="15" hidden="false" customHeight="false" outlineLevel="0" collapsed="false">
      <c r="A126" s="30" t="str">
        <f aca="false">IF(119&lt;=$B$4,119,"")</f>
        <v/>
      </c>
      <c r="B126" s="5" t="str">
        <f aca="false">IF($A126="","",INDEX(Velocity!$A$2:$A$3001,MATCH($A126,Velocity!$T$2:$T$3001,0)))</f>
        <v/>
      </c>
      <c r="C126" s="5" t="str">
        <f aca="false">IF($A126="","",INDEX(Velocity!$B$2:$B$3001,MATCH($A126,Velocity!$T$2:$T$3001,0)))</f>
        <v/>
      </c>
      <c r="D126" s="30" t="str">
        <f aca="false">IF($A126="","",INDEX(Velocity!$I$2:$I$3001,MATCH($A126,Velocity!$T$2:$T$3001,0)))</f>
        <v/>
      </c>
      <c r="E126" s="29" t="str">
        <f aca="false">IF($A126="","",IF(INDEX(Velocity!$F$2:$F$3001,MATCH($A126,Velocity!$T$2:$T$3001,0))="","Never",INDEX(Velocity!$F$2:$F$3001,MATCH($A126,Velocity!$T$2:$T$3001,0))))</f>
        <v/>
      </c>
      <c r="F126" s="5"/>
      <c r="G126" s="5"/>
    </row>
    <row r="127" customFormat="false" ht="15" hidden="false" customHeight="false" outlineLevel="0" collapsed="false">
      <c r="A127" s="30" t="str">
        <f aca="false">IF(120&lt;=$B$4,120,"")</f>
        <v/>
      </c>
      <c r="B127" s="5" t="str">
        <f aca="false">IF($A127="","",INDEX(Velocity!$A$2:$A$3001,MATCH($A127,Velocity!$T$2:$T$3001,0)))</f>
        <v/>
      </c>
      <c r="C127" s="5" t="str">
        <f aca="false">IF($A127="","",INDEX(Velocity!$B$2:$B$3001,MATCH($A127,Velocity!$T$2:$T$3001,0)))</f>
        <v/>
      </c>
      <c r="D127" s="30" t="str">
        <f aca="false">IF($A127="","",INDEX(Velocity!$I$2:$I$3001,MATCH($A127,Velocity!$T$2:$T$3001,0)))</f>
        <v/>
      </c>
      <c r="E127" s="29" t="str">
        <f aca="false">IF($A127="","",IF(INDEX(Velocity!$F$2:$F$3001,MATCH($A127,Velocity!$T$2:$T$3001,0))="","Never",INDEX(Velocity!$F$2:$F$3001,MATCH($A127,Velocity!$T$2:$T$3001,0))))</f>
        <v/>
      </c>
      <c r="F127" s="5"/>
      <c r="G127" s="5"/>
    </row>
    <row r="128" customFormat="false" ht="15" hidden="false" customHeight="false" outlineLevel="0" collapsed="false">
      <c r="A128" s="30" t="str">
        <f aca="false">IF(121&lt;=$B$4,121,"")</f>
        <v/>
      </c>
      <c r="B128" s="5" t="str">
        <f aca="false">IF($A128="","",INDEX(Velocity!$A$2:$A$3001,MATCH($A128,Velocity!$T$2:$T$3001,0)))</f>
        <v/>
      </c>
      <c r="C128" s="5" t="str">
        <f aca="false">IF($A128="","",INDEX(Velocity!$B$2:$B$3001,MATCH($A128,Velocity!$T$2:$T$3001,0)))</f>
        <v/>
      </c>
      <c r="D128" s="30" t="str">
        <f aca="false">IF($A128="","",INDEX(Velocity!$I$2:$I$3001,MATCH($A128,Velocity!$T$2:$T$3001,0)))</f>
        <v/>
      </c>
      <c r="E128" s="29" t="str">
        <f aca="false">IF($A128="","",IF(INDEX(Velocity!$F$2:$F$3001,MATCH($A128,Velocity!$T$2:$T$3001,0))="","Never",INDEX(Velocity!$F$2:$F$3001,MATCH($A128,Velocity!$T$2:$T$3001,0))))</f>
        <v/>
      </c>
      <c r="F128" s="5"/>
      <c r="G128" s="5"/>
    </row>
    <row r="129" customFormat="false" ht="15" hidden="false" customHeight="false" outlineLevel="0" collapsed="false">
      <c r="A129" s="30" t="str">
        <f aca="false">IF(122&lt;=$B$4,122,"")</f>
        <v/>
      </c>
      <c r="B129" s="5" t="str">
        <f aca="false">IF($A129="","",INDEX(Velocity!$A$2:$A$3001,MATCH($A129,Velocity!$T$2:$T$3001,0)))</f>
        <v/>
      </c>
      <c r="C129" s="5" t="str">
        <f aca="false">IF($A129="","",INDEX(Velocity!$B$2:$B$3001,MATCH($A129,Velocity!$T$2:$T$3001,0)))</f>
        <v/>
      </c>
      <c r="D129" s="30" t="str">
        <f aca="false">IF($A129="","",INDEX(Velocity!$I$2:$I$3001,MATCH($A129,Velocity!$T$2:$T$3001,0)))</f>
        <v/>
      </c>
      <c r="E129" s="29" t="str">
        <f aca="false">IF($A129="","",IF(INDEX(Velocity!$F$2:$F$3001,MATCH($A129,Velocity!$T$2:$T$3001,0))="","Never",INDEX(Velocity!$F$2:$F$3001,MATCH($A129,Velocity!$T$2:$T$3001,0))))</f>
        <v/>
      </c>
      <c r="F129" s="5"/>
      <c r="G129" s="5"/>
    </row>
    <row r="130" customFormat="false" ht="15" hidden="false" customHeight="false" outlineLevel="0" collapsed="false">
      <c r="A130" s="30" t="str">
        <f aca="false">IF(123&lt;=$B$4,123,"")</f>
        <v/>
      </c>
      <c r="B130" s="5" t="str">
        <f aca="false">IF($A130="","",INDEX(Velocity!$A$2:$A$3001,MATCH($A130,Velocity!$T$2:$T$3001,0)))</f>
        <v/>
      </c>
      <c r="C130" s="5" t="str">
        <f aca="false">IF($A130="","",INDEX(Velocity!$B$2:$B$3001,MATCH($A130,Velocity!$T$2:$T$3001,0)))</f>
        <v/>
      </c>
      <c r="D130" s="30" t="str">
        <f aca="false">IF($A130="","",INDEX(Velocity!$I$2:$I$3001,MATCH($A130,Velocity!$T$2:$T$3001,0)))</f>
        <v/>
      </c>
      <c r="E130" s="29" t="str">
        <f aca="false">IF($A130="","",IF(INDEX(Velocity!$F$2:$F$3001,MATCH($A130,Velocity!$T$2:$T$3001,0))="","Never",INDEX(Velocity!$F$2:$F$3001,MATCH($A130,Velocity!$T$2:$T$3001,0))))</f>
        <v/>
      </c>
      <c r="F130" s="5"/>
      <c r="G130" s="5"/>
    </row>
    <row r="131" customFormat="false" ht="15" hidden="false" customHeight="false" outlineLevel="0" collapsed="false">
      <c r="A131" s="30" t="str">
        <f aca="false">IF(124&lt;=$B$4,124,"")</f>
        <v/>
      </c>
      <c r="B131" s="5" t="str">
        <f aca="false">IF($A131="","",INDEX(Velocity!$A$2:$A$3001,MATCH($A131,Velocity!$T$2:$T$3001,0)))</f>
        <v/>
      </c>
      <c r="C131" s="5" t="str">
        <f aca="false">IF($A131="","",INDEX(Velocity!$B$2:$B$3001,MATCH($A131,Velocity!$T$2:$T$3001,0)))</f>
        <v/>
      </c>
      <c r="D131" s="30" t="str">
        <f aca="false">IF($A131="","",INDEX(Velocity!$I$2:$I$3001,MATCH($A131,Velocity!$T$2:$T$3001,0)))</f>
        <v/>
      </c>
      <c r="E131" s="29" t="str">
        <f aca="false">IF($A131="","",IF(INDEX(Velocity!$F$2:$F$3001,MATCH($A131,Velocity!$T$2:$T$3001,0))="","Never",INDEX(Velocity!$F$2:$F$3001,MATCH($A131,Velocity!$T$2:$T$3001,0))))</f>
        <v/>
      </c>
      <c r="F131" s="5"/>
      <c r="G131" s="5"/>
    </row>
    <row r="132" customFormat="false" ht="15" hidden="false" customHeight="false" outlineLevel="0" collapsed="false">
      <c r="A132" s="30" t="str">
        <f aca="false">IF(125&lt;=$B$4,125,"")</f>
        <v/>
      </c>
      <c r="B132" s="5" t="str">
        <f aca="false">IF($A132="","",INDEX(Velocity!$A$2:$A$3001,MATCH($A132,Velocity!$T$2:$T$3001,0)))</f>
        <v/>
      </c>
      <c r="C132" s="5" t="str">
        <f aca="false">IF($A132="","",INDEX(Velocity!$B$2:$B$3001,MATCH($A132,Velocity!$T$2:$T$3001,0)))</f>
        <v/>
      </c>
      <c r="D132" s="30" t="str">
        <f aca="false">IF($A132="","",INDEX(Velocity!$I$2:$I$3001,MATCH($A132,Velocity!$T$2:$T$3001,0)))</f>
        <v/>
      </c>
      <c r="E132" s="29" t="str">
        <f aca="false">IF($A132="","",IF(INDEX(Velocity!$F$2:$F$3001,MATCH($A132,Velocity!$T$2:$T$3001,0))="","Never",INDEX(Velocity!$F$2:$F$3001,MATCH($A132,Velocity!$T$2:$T$3001,0))))</f>
        <v/>
      </c>
      <c r="F132" s="5"/>
      <c r="G132" s="5"/>
    </row>
    <row r="133" customFormat="false" ht="15" hidden="false" customHeight="false" outlineLevel="0" collapsed="false">
      <c r="A133" s="30" t="str">
        <f aca="false">IF(126&lt;=$B$4,126,"")</f>
        <v/>
      </c>
      <c r="B133" s="5" t="str">
        <f aca="false">IF($A133="","",INDEX(Velocity!$A$2:$A$3001,MATCH($A133,Velocity!$T$2:$T$3001,0)))</f>
        <v/>
      </c>
      <c r="C133" s="5" t="str">
        <f aca="false">IF($A133="","",INDEX(Velocity!$B$2:$B$3001,MATCH($A133,Velocity!$T$2:$T$3001,0)))</f>
        <v/>
      </c>
      <c r="D133" s="30" t="str">
        <f aca="false">IF($A133="","",INDEX(Velocity!$I$2:$I$3001,MATCH($A133,Velocity!$T$2:$T$3001,0)))</f>
        <v/>
      </c>
      <c r="E133" s="29" t="str">
        <f aca="false">IF($A133="","",IF(INDEX(Velocity!$F$2:$F$3001,MATCH($A133,Velocity!$T$2:$T$3001,0))="","Never",INDEX(Velocity!$F$2:$F$3001,MATCH($A133,Velocity!$T$2:$T$3001,0))))</f>
        <v/>
      </c>
      <c r="F133" s="5"/>
      <c r="G133" s="5"/>
    </row>
    <row r="134" customFormat="false" ht="15" hidden="false" customHeight="false" outlineLevel="0" collapsed="false">
      <c r="A134" s="30" t="str">
        <f aca="false">IF(127&lt;=$B$4,127,"")</f>
        <v/>
      </c>
      <c r="B134" s="5" t="str">
        <f aca="false">IF($A134="","",INDEX(Velocity!$A$2:$A$3001,MATCH($A134,Velocity!$T$2:$T$3001,0)))</f>
        <v/>
      </c>
      <c r="C134" s="5" t="str">
        <f aca="false">IF($A134="","",INDEX(Velocity!$B$2:$B$3001,MATCH($A134,Velocity!$T$2:$T$3001,0)))</f>
        <v/>
      </c>
      <c r="D134" s="30" t="str">
        <f aca="false">IF($A134="","",INDEX(Velocity!$I$2:$I$3001,MATCH($A134,Velocity!$T$2:$T$3001,0)))</f>
        <v/>
      </c>
      <c r="E134" s="29" t="str">
        <f aca="false">IF($A134="","",IF(INDEX(Velocity!$F$2:$F$3001,MATCH($A134,Velocity!$T$2:$T$3001,0))="","Never",INDEX(Velocity!$F$2:$F$3001,MATCH($A134,Velocity!$T$2:$T$3001,0))))</f>
        <v/>
      </c>
      <c r="F134" s="5"/>
      <c r="G134" s="5"/>
    </row>
    <row r="135" customFormat="false" ht="15" hidden="false" customHeight="false" outlineLevel="0" collapsed="false">
      <c r="A135" s="30" t="str">
        <f aca="false">IF(128&lt;=$B$4,128,"")</f>
        <v/>
      </c>
      <c r="B135" s="5" t="str">
        <f aca="false">IF($A135="","",INDEX(Velocity!$A$2:$A$3001,MATCH($A135,Velocity!$T$2:$T$3001,0)))</f>
        <v/>
      </c>
      <c r="C135" s="5" t="str">
        <f aca="false">IF($A135="","",INDEX(Velocity!$B$2:$B$3001,MATCH($A135,Velocity!$T$2:$T$3001,0)))</f>
        <v/>
      </c>
      <c r="D135" s="30" t="str">
        <f aca="false">IF($A135="","",INDEX(Velocity!$I$2:$I$3001,MATCH($A135,Velocity!$T$2:$T$3001,0)))</f>
        <v/>
      </c>
      <c r="E135" s="29" t="str">
        <f aca="false">IF($A135="","",IF(INDEX(Velocity!$F$2:$F$3001,MATCH($A135,Velocity!$T$2:$T$3001,0))="","Never",INDEX(Velocity!$F$2:$F$3001,MATCH($A135,Velocity!$T$2:$T$3001,0))))</f>
        <v/>
      </c>
      <c r="F135" s="5"/>
      <c r="G135" s="5"/>
    </row>
    <row r="136" customFormat="false" ht="15" hidden="false" customHeight="false" outlineLevel="0" collapsed="false">
      <c r="A136" s="30" t="str">
        <f aca="false">IF(129&lt;=$B$4,129,"")</f>
        <v/>
      </c>
      <c r="B136" s="5" t="str">
        <f aca="false">IF($A136="","",INDEX(Velocity!$A$2:$A$3001,MATCH($A136,Velocity!$T$2:$T$3001,0)))</f>
        <v/>
      </c>
      <c r="C136" s="5" t="str">
        <f aca="false">IF($A136="","",INDEX(Velocity!$B$2:$B$3001,MATCH($A136,Velocity!$T$2:$T$3001,0)))</f>
        <v/>
      </c>
      <c r="D136" s="30" t="str">
        <f aca="false">IF($A136="","",INDEX(Velocity!$I$2:$I$3001,MATCH($A136,Velocity!$T$2:$T$3001,0)))</f>
        <v/>
      </c>
      <c r="E136" s="29" t="str">
        <f aca="false">IF($A136="","",IF(INDEX(Velocity!$F$2:$F$3001,MATCH($A136,Velocity!$T$2:$T$3001,0))="","Never",INDEX(Velocity!$F$2:$F$3001,MATCH($A136,Velocity!$T$2:$T$3001,0))))</f>
        <v/>
      </c>
      <c r="F136" s="5"/>
      <c r="G136" s="5"/>
    </row>
    <row r="137" customFormat="false" ht="15" hidden="false" customHeight="false" outlineLevel="0" collapsed="false">
      <c r="A137" s="30" t="str">
        <f aca="false">IF(130&lt;=$B$4,130,"")</f>
        <v/>
      </c>
      <c r="B137" s="5" t="str">
        <f aca="false">IF($A137="","",INDEX(Velocity!$A$2:$A$3001,MATCH($A137,Velocity!$T$2:$T$3001,0)))</f>
        <v/>
      </c>
      <c r="C137" s="5" t="str">
        <f aca="false">IF($A137="","",INDEX(Velocity!$B$2:$B$3001,MATCH($A137,Velocity!$T$2:$T$3001,0)))</f>
        <v/>
      </c>
      <c r="D137" s="30" t="str">
        <f aca="false">IF($A137="","",INDEX(Velocity!$I$2:$I$3001,MATCH($A137,Velocity!$T$2:$T$3001,0)))</f>
        <v/>
      </c>
      <c r="E137" s="29" t="str">
        <f aca="false">IF($A137="","",IF(INDEX(Velocity!$F$2:$F$3001,MATCH($A137,Velocity!$T$2:$T$3001,0))="","Never",INDEX(Velocity!$F$2:$F$3001,MATCH($A137,Velocity!$T$2:$T$3001,0))))</f>
        <v/>
      </c>
      <c r="F137" s="5"/>
      <c r="G137" s="5"/>
    </row>
    <row r="138" customFormat="false" ht="15" hidden="false" customHeight="false" outlineLevel="0" collapsed="false">
      <c r="A138" s="30" t="str">
        <f aca="false">IF(131&lt;=$B$4,131,"")</f>
        <v/>
      </c>
      <c r="B138" s="5" t="str">
        <f aca="false">IF($A138="","",INDEX(Velocity!$A$2:$A$3001,MATCH($A138,Velocity!$T$2:$T$3001,0)))</f>
        <v/>
      </c>
      <c r="C138" s="5" t="str">
        <f aca="false">IF($A138="","",INDEX(Velocity!$B$2:$B$3001,MATCH($A138,Velocity!$T$2:$T$3001,0)))</f>
        <v/>
      </c>
      <c r="D138" s="30" t="str">
        <f aca="false">IF($A138="","",INDEX(Velocity!$I$2:$I$3001,MATCH($A138,Velocity!$T$2:$T$3001,0)))</f>
        <v/>
      </c>
      <c r="E138" s="29" t="str">
        <f aca="false">IF($A138="","",IF(INDEX(Velocity!$F$2:$F$3001,MATCH($A138,Velocity!$T$2:$T$3001,0))="","Never",INDEX(Velocity!$F$2:$F$3001,MATCH($A138,Velocity!$T$2:$T$3001,0))))</f>
        <v/>
      </c>
      <c r="F138" s="5"/>
      <c r="G138" s="5"/>
    </row>
    <row r="139" customFormat="false" ht="15" hidden="false" customHeight="false" outlineLevel="0" collapsed="false">
      <c r="A139" s="30" t="str">
        <f aca="false">IF(132&lt;=$B$4,132,"")</f>
        <v/>
      </c>
      <c r="B139" s="5" t="str">
        <f aca="false">IF($A139="","",INDEX(Velocity!$A$2:$A$3001,MATCH($A139,Velocity!$T$2:$T$3001,0)))</f>
        <v/>
      </c>
      <c r="C139" s="5" t="str">
        <f aca="false">IF($A139="","",INDEX(Velocity!$B$2:$B$3001,MATCH($A139,Velocity!$T$2:$T$3001,0)))</f>
        <v/>
      </c>
      <c r="D139" s="30" t="str">
        <f aca="false">IF($A139="","",INDEX(Velocity!$I$2:$I$3001,MATCH($A139,Velocity!$T$2:$T$3001,0)))</f>
        <v/>
      </c>
      <c r="E139" s="29" t="str">
        <f aca="false">IF($A139="","",IF(INDEX(Velocity!$F$2:$F$3001,MATCH($A139,Velocity!$T$2:$T$3001,0))="","Never",INDEX(Velocity!$F$2:$F$3001,MATCH($A139,Velocity!$T$2:$T$3001,0))))</f>
        <v/>
      </c>
      <c r="F139" s="5"/>
      <c r="G139" s="5"/>
    </row>
    <row r="140" customFormat="false" ht="15" hidden="false" customHeight="false" outlineLevel="0" collapsed="false">
      <c r="A140" s="30" t="str">
        <f aca="false">IF(133&lt;=$B$4,133,"")</f>
        <v/>
      </c>
      <c r="B140" s="5" t="str">
        <f aca="false">IF($A140="","",INDEX(Velocity!$A$2:$A$3001,MATCH($A140,Velocity!$T$2:$T$3001,0)))</f>
        <v/>
      </c>
      <c r="C140" s="5" t="str">
        <f aca="false">IF($A140="","",INDEX(Velocity!$B$2:$B$3001,MATCH($A140,Velocity!$T$2:$T$3001,0)))</f>
        <v/>
      </c>
      <c r="D140" s="30" t="str">
        <f aca="false">IF($A140="","",INDEX(Velocity!$I$2:$I$3001,MATCH($A140,Velocity!$T$2:$T$3001,0)))</f>
        <v/>
      </c>
      <c r="E140" s="29" t="str">
        <f aca="false">IF($A140="","",IF(INDEX(Velocity!$F$2:$F$3001,MATCH($A140,Velocity!$T$2:$T$3001,0))="","Never",INDEX(Velocity!$F$2:$F$3001,MATCH($A140,Velocity!$T$2:$T$3001,0))))</f>
        <v/>
      </c>
      <c r="F140" s="5"/>
      <c r="G140" s="5"/>
    </row>
    <row r="141" customFormat="false" ht="15" hidden="false" customHeight="false" outlineLevel="0" collapsed="false">
      <c r="A141" s="30" t="str">
        <f aca="false">IF(134&lt;=$B$4,134,"")</f>
        <v/>
      </c>
      <c r="B141" s="5" t="str">
        <f aca="false">IF($A141="","",INDEX(Velocity!$A$2:$A$3001,MATCH($A141,Velocity!$T$2:$T$3001,0)))</f>
        <v/>
      </c>
      <c r="C141" s="5" t="str">
        <f aca="false">IF($A141="","",INDEX(Velocity!$B$2:$B$3001,MATCH($A141,Velocity!$T$2:$T$3001,0)))</f>
        <v/>
      </c>
      <c r="D141" s="30" t="str">
        <f aca="false">IF($A141="","",INDEX(Velocity!$I$2:$I$3001,MATCH($A141,Velocity!$T$2:$T$3001,0)))</f>
        <v/>
      </c>
      <c r="E141" s="29" t="str">
        <f aca="false">IF($A141="","",IF(INDEX(Velocity!$F$2:$F$3001,MATCH($A141,Velocity!$T$2:$T$3001,0))="","Never",INDEX(Velocity!$F$2:$F$3001,MATCH($A141,Velocity!$T$2:$T$3001,0))))</f>
        <v/>
      </c>
      <c r="F141" s="5"/>
      <c r="G141" s="5"/>
    </row>
    <row r="142" customFormat="false" ht="15" hidden="false" customHeight="false" outlineLevel="0" collapsed="false">
      <c r="A142" s="30" t="str">
        <f aca="false">IF(135&lt;=$B$4,135,"")</f>
        <v/>
      </c>
      <c r="B142" s="5" t="str">
        <f aca="false">IF($A142="","",INDEX(Velocity!$A$2:$A$3001,MATCH($A142,Velocity!$T$2:$T$3001,0)))</f>
        <v/>
      </c>
      <c r="C142" s="5" t="str">
        <f aca="false">IF($A142="","",INDEX(Velocity!$B$2:$B$3001,MATCH($A142,Velocity!$T$2:$T$3001,0)))</f>
        <v/>
      </c>
      <c r="D142" s="30" t="str">
        <f aca="false">IF($A142="","",INDEX(Velocity!$I$2:$I$3001,MATCH($A142,Velocity!$T$2:$T$3001,0)))</f>
        <v/>
      </c>
      <c r="E142" s="29" t="str">
        <f aca="false">IF($A142="","",IF(INDEX(Velocity!$F$2:$F$3001,MATCH($A142,Velocity!$T$2:$T$3001,0))="","Never",INDEX(Velocity!$F$2:$F$3001,MATCH($A142,Velocity!$T$2:$T$3001,0))))</f>
        <v/>
      </c>
      <c r="F142" s="5"/>
      <c r="G142" s="5"/>
    </row>
    <row r="143" customFormat="false" ht="15" hidden="false" customHeight="false" outlineLevel="0" collapsed="false">
      <c r="A143" s="30" t="str">
        <f aca="false">IF(136&lt;=$B$4,136,"")</f>
        <v/>
      </c>
      <c r="B143" s="5" t="str">
        <f aca="false">IF($A143="","",INDEX(Velocity!$A$2:$A$3001,MATCH($A143,Velocity!$T$2:$T$3001,0)))</f>
        <v/>
      </c>
      <c r="C143" s="5" t="str">
        <f aca="false">IF($A143="","",INDEX(Velocity!$B$2:$B$3001,MATCH($A143,Velocity!$T$2:$T$3001,0)))</f>
        <v/>
      </c>
      <c r="D143" s="30" t="str">
        <f aca="false">IF($A143="","",INDEX(Velocity!$I$2:$I$3001,MATCH($A143,Velocity!$T$2:$T$3001,0)))</f>
        <v/>
      </c>
      <c r="E143" s="29" t="str">
        <f aca="false">IF($A143="","",IF(INDEX(Velocity!$F$2:$F$3001,MATCH($A143,Velocity!$T$2:$T$3001,0))="","Never",INDEX(Velocity!$F$2:$F$3001,MATCH($A143,Velocity!$T$2:$T$3001,0))))</f>
        <v/>
      </c>
      <c r="F143" s="5"/>
      <c r="G143" s="5"/>
    </row>
    <row r="144" customFormat="false" ht="15" hidden="false" customHeight="false" outlineLevel="0" collapsed="false">
      <c r="A144" s="30" t="str">
        <f aca="false">IF(137&lt;=$B$4,137,"")</f>
        <v/>
      </c>
      <c r="B144" s="5" t="str">
        <f aca="false">IF($A144="","",INDEX(Velocity!$A$2:$A$3001,MATCH($A144,Velocity!$T$2:$T$3001,0)))</f>
        <v/>
      </c>
      <c r="C144" s="5" t="str">
        <f aca="false">IF($A144="","",INDEX(Velocity!$B$2:$B$3001,MATCH($A144,Velocity!$T$2:$T$3001,0)))</f>
        <v/>
      </c>
      <c r="D144" s="30" t="str">
        <f aca="false">IF($A144="","",INDEX(Velocity!$I$2:$I$3001,MATCH($A144,Velocity!$T$2:$T$3001,0)))</f>
        <v/>
      </c>
      <c r="E144" s="29" t="str">
        <f aca="false">IF($A144="","",IF(INDEX(Velocity!$F$2:$F$3001,MATCH($A144,Velocity!$T$2:$T$3001,0))="","Never",INDEX(Velocity!$F$2:$F$3001,MATCH($A144,Velocity!$T$2:$T$3001,0))))</f>
        <v/>
      </c>
      <c r="F144" s="5"/>
      <c r="G144" s="5"/>
    </row>
    <row r="145" customFormat="false" ht="15" hidden="false" customHeight="false" outlineLevel="0" collapsed="false">
      <c r="A145" s="30" t="str">
        <f aca="false">IF(138&lt;=$B$4,138,"")</f>
        <v/>
      </c>
      <c r="B145" s="5" t="str">
        <f aca="false">IF($A145="","",INDEX(Velocity!$A$2:$A$3001,MATCH($A145,Velocity!$T$2:$T$3001,0)))</f>
        <v/>
      </c>
      <c r="C145" s="5" t="str">
        <f aca="false">IF($A145="","",INDEX(Velocity!$B$2:$B$3001,MATCH($A145,Velocity!$T$2:$T$3001,0)))</f>
        <v/>
      </c>
      <c r="D145" s="30" t="str">
        <f aca="false">IF($A145="","",INDEX(Velocity!$I$2:$I$3001,MATCH($A145,Velocity!$T$2:$T$3001,0)))</f>
        <v/>
      </c>
      <c r="E145" s="29" t="str">
        <f aca="false">IF($A145="","",IF(INDEX(Velocity!$F$2:$F$3001,MATCH($A145,Velocity!$T$2:$T$3001,0))="","Never",INDEX(Velocity!$F$2:$F$3001,MATCH($A145,Velocity!$T$2:$T$3001,0))))</f>
        <v/>
      </c>
      <c r="F145" s="5"/>
      <c r="G145" s="5"/>
    </row>
    <row r="146" customFormat="false" ht="15" hidden="false" customHeight="false" outlineLevel="0" collapsed="false">
      <c r="A146" s="30" t="str">
        <f aca="false">IF(139&lt;=$B$4,139,"")</f>
        <v/>
      </c>
      <c r="B146" s="5" t="str">
        <f aca="false">IF($A146="","",INDEX(Velocity!$A$2:$A$3001,MATCH($A146,Velocity!$T$2:$T$3001,0)))</f>
        <v/>
      </c>
      <c r="C146" s="5" t="str">
        <f aca="false">IF($A146="","",INDEX(Velocity!$B$2:$B$3001,MATCH($A146,Velocity!$T$2:$T$3001,0)))</f>
        <v/>
      </c>
      <c r="D146" s="30" t="str">
        <f aca="false">IF($A146="","",INDEX(Velocity!$I$2:$I$3001,MATCH($A146,Velocity!$T$2:$T$3001,0)))</f>
        <v/>
      </c>
      <c r="E146" s="29" t="str">
        <f aca="false">IF($A146="","",IF(INDEX(Velocity!$F$2:$F$3001,MATCH($A146,Velocity!$T$2:$T$3001,0))="","Never",INDEX(Velocity!$F$2:$F$3001,MATCH($A146,Velocity!$T$2:$T$3001,0))))</f>
        <v/>
      </c>
      <c r="F146" s="5"/>
      <c r="G146" s="5"/>
    </row>
    <row r="147" customFormat="false" ht="15" hidden="false" customHeight="false" outlineLevel="0" collapsed="false">
      <c r="A147" s="30" t="str">
        <f aca="false">IF(140&lt;=$B$4,140,"")</f>
        <v/>
      </c>
      <c r="B147" s="5" t="str">
        <f aca="false">IF($A147="","",INDEX(Velocity!$A$2:$A$3001,MATCH($A147,Velocity!$T$2:$T$3001,0)))</f>
        <v/>
      </c>
      <c r="C147" s="5" t="str">
        <f aca="false">IF($A147="","",INDEX(Velocity!$B$2:$B$3001,MATCH($A147,Velocity!$T$2:$T$3001,0)))</f>
        <v/>
      </c>
      <c r="D147" s="30" t="str">
        <f aca="false">IF($A147="","",INDEX(Velocity!$I$2:$I$3001,MATCH($A147,Velocity!$T$2:$T$3001,0)))</f>
        <v/>
      </c>
      <c r="E147" s="29" t="str">
        <f aca="false">IF($A147="","",IF(INDEX(Velocity!$F$2:$F$3001,MATCH($A147,Velocity!$T$2:$T$3001,0))="","Never",INDEX(Velocity!$F$2:$F$3001,MATCH($A147,Velocity!$T$2:$T$3001,0))))</f>
        <v/>
      </c>
      <c r="F147" s="5"/>
      <c r="G147" s="5"/>
    </row>
    <row r="148" customFormat="false" ht="15" hidden="false" customHeight="false" outlineLevel="0" collapsed="false">
      <c r="A148" s="30" t="str">
        <f aca="false">IF(141&lt;=$B$4,141,"")</f>
        <v/>
      </c>
      <c r="B148" s="5" t="str">
        <f aca="false">IF($A148="","",INDEX(Velocity!$A$2:$A$3001,MATCH($A148,Velocity!$T$2:$T$3001,0)))</f>
        <v/>
      </c>
      <c r="C148" s="5" t="str">
        <f aca="false">IF($A148="","",INDEX(Velocity!$B$2:$B$3001,MATCH($A148,Velocity!$T$2:$T$3001,0)))</f>
        <v/>
      </c>
      <c r="D148" s="30" t="str">
        <f aca="false">IF($A148="","",INDEX(Velocity!$I$2:$I$3001,MATCH($A148,Velocity!$T$2:$T$3001,0)))</f>
        <v/>
      </c>
      <c r="E148" s="29" t="str">
        <f aca="false">IF($A148="","",IF(INDEX(Velocity!$F$2:$F$3001,MATCH($A148,Velocity!$T$2:$T$3001,0))="","Never",INDEX(Velocity!$F$2:$F$3001,MATCH($A148,Velocity!$T$2:$T$3001,0))))</f>
        <v/>
      </c>
      <c r="F148" s="5"/>
      <c r="G148" s="5"/>
    </row>
    <row r="149" customFormat="false" ht="15" hidden="false" customHeight="false" outlineLevel="0" collapsed="false">
      <c r="A149" s="30" t="str">
        <f aca="false">IF(142&lt;=$B$4,142,"")</f>
        <v/>
      </c>
      <c r="B149" s="5" t="str">
        <f aca="false">IF($A149="","",INDEX(Velocity!$A$2:$A$3001,MATCH($A149,Velocity!$T$2:$T$3001,0)))</f>
        <v/>
      </c>
      <c r="C149" s="5" t="str">
        <f aca="false">IF($A149="","",INDEX(Velocity!$B$2:$B$3001,MATCH($A149,Velocity!$T$2:$T$3001,0)))</f>
        <v/>
      </c>
      <c r="D149" s="30" t="str">
        <f aca="false">IF($A149="","",INDEX(Velocity!$I$2:$I$3001,MATCH($A149,Velocity!$T$2:$T$3001,0)))</f>
        <v/>
      </c>
      <c r="E149" s="29" t="str">
        <f aca="false">IF($A149="","",IF(INDEX(Velocity!$F$2:$F$3001,MATCH($A149,Velocity!$T$2:$T$3001,0))="","Never",INDEX(Velocity!$F$2:$F$3001,MATCH($A149,Velocity!$T$2:$T$3001,0))))</f>
        <v/>
      </c>
      <c r="F149" s="5"/>
      <c r="G149" s="5"/>
    </row>
    <row r="150" customFormat="false" ht="15" hidden="false" customHeight="false" outlineLevel="0" collapsed="false">
      <c r="A150" s="30" t="str">
        <f aca="false">IF(143&lt;=$B$4,143,"")</f>
        <v/>
      </c>
      <c r="B150" s="5" t="str">
        <f aca="false">IF($A150="","",INDEX(Velocity!$A$2:$A$3001,MATCH($A150,Velocity!$T$2:$T$3001,0)))</f>
        <v/>
      </c>
      <c r="C150" s="5" t="str">
        <f aca="false">IF($A150="","",INDEX(Velocity!$B$2:$B$3001,MATCH($A150,Velocity!$T$2:$T$3001,0)))</f>
        <v/>
      </c>
      <c r="D150" s="30" t="str">
        <f aca="false">IF($A150="","",INDEX(Velocity!$I$2:$I$3001,MATCH($A150,Velocity!$T$2:$T$3001,0)))</f>
        <v/>
      </c>
      <c r="E150" s="29" t="str">
        <f aca="false">IF($A150="","",IF(INDEX(Velocity!$F$2:$F$3001,MATCH($A150,Velocity!$T$2:$T$3001,0))="","Never",INDEX(Velocity!$F$2:$F$3001,MATCH($A150,Velocity!$T$2:$T$3001,0))))</f>
        <v/>
      </c>
      <c r="F150" s="5"/>
      <c r="G150" s="5"/>
    </row>
    <row r="151" customFormat="false" ht="15" hidden="false" customHeight="false" outlineLevel="0" collapsed="false">
      <c r="A151" s="30" t="str">
        <f aca="false">IF(144&lt;=$B$4,144,"")</f>
        <v/>
      </c>
      <c r="B151" s="5" t="str">
        <f aca="false">IF($A151="","",INDEX(Velocity!$A$2:$A$3001,MATCH($A151,Velocity!$T$2:$T$3001,0)))</f>
        <v/>
      </c>
      <c r="C151" s="5" t="str">
        <f aca="false">IF($A151="","",INDEX(Velocity!$B$2:$B$3001,MATCH($A151,Velocity!$T$2:$T$3001,0)))</f>
        <v/>
      </c>
      <c r="D151" s="30" t="str">
        <f aca="false">IF($A151="","",INDEX(Velocity!$I$2:$I$3001,MATCH($A151,Velocity!$T$2:$T$3001,0)))</f>
        <v/>
      </c>
      <c r="E151" s="29" t="str">
        <f aca="false">IF($A151="","",IF(INDEX(Velocity!$F$2:$F$3001,MATCH($A151,Velocity!$T$2:$T$3001,0))="","Never",INDEX(Velocity!$F$2:$F$3001,MATCH($A151,Velocity!$T$2:$T$3001,0))))</f>
        <v/>
      </c>
      <c r="F151" s="5"/>
      <c r="G151" s="5"/>
    </row>
    <row r="152" customFormat="false" ht="15" hidden="false" customHeight="false" outlineLevel="0" collapsed="false">
      <c r="A152" s="30" t="str">
        <f aca="false">IF(145&lt;=$B$4,145,"")</f>
        <v/>
      </c>
      <c r="B152" s="5" t="str">
        <f aca="false">IF($A152="","",INDEX(Velocity!$A$2:$A$3001,MATCH($A152,Velocity!$T$2:$T$3001,0)))</f>
        <v/>
      </c>
      <c r="C152" s="5" t="str">
        <f aca="false">IF($A152="","",INDEX(Velocity!$B$2:$B$3001,MATCH($A152,Velocity!$T$2:$T$3001,0)))</f>
        <v/>
      </c>
      <c r="D152" s="30" t="str">
        <f aca="false">IF($A152="","",INDEX(Velocity!$I$2:$I$3001,MATCH($A152,Velocity!$T$2:$T$3001,0)))</f>
        <v/>
      </c>
      <c r="E152" s="29" t="str">
        <f aca="false">IF($A152="","",IF(INDEX(Velocity!$F$2:$F$3001,MATCH($A152,Velocity!$T$2:$T$3001,0))="","Never",INDEX(Velocity!$F$2:$F$3001,MATCH($A152,Velocity!$T$2:$T$3001,0))))</f>
        <v/>
      </c>
      <c r="F152" s="5"/>
      <c r="G152" s="5"/>
    </row>
    <row r="153" customFormat="false" ht="15" hidden="false" customHeight="false" outlineLevel="0" collapsed="false">
      <c r="A153" s="30" t="str">
        <f aca="false">IF(146&lt;=$B$4,146,"")</f>
        <v/>
      </c>
      <c r="B153" s="5" t="str">
        <f aca="false">IF($A153="","",INDEX(Velocity!$A$2:$A$3001,MATCH($A153,Velocity!$T$2:$T$3001,0)))</f>
        <v/>
      </c>
      <c r="C153" s="5" t="str">
        <f aca="false">IF($A153="","",INDEX(Velocity!$B$2:$B$3001,MATCH($A153,Velocity!$T$2:$T$3001,0)))</f>
        <v/>
      </c>
      <c r="D153" s="30" t="str">
        <f aca="false">IF($A153="","",INDEX(Velocity!$I$2:$I$3001,MATCH($A153,Velocity!$T$2:$T$3001,0)))</f>
        <v/>
      </c>
      <c r="E153" s="29" t="str">
        <f aca="false">IF($A153="","",IF(INDEX(Velocity!$F$2:$F$3001,MATCH($A153,Velocity!$T$2:$T$3001,0))="","Never",INDEX(Velocity!$F$2:$F$3001,MATCH($A153,Velocity!$T$2:$T$3001,0))))</f>
        <v/>
      </c>
      <c r="F153" s="5"/>
      <c r="G153" s="5"/>
    </row>
    <row r="154" customFormat="false" ht="15" hidden="false" customHeight="false" outlineLevel="0" collapsed="false">
      <c r="A154" s="30" t="str">
        <f aca="false">IF(147&lt;=$B$4,147,"")</f>
        <v/>
      </c>
      <c r="B154" s="5" t="str">
        <f aca="false">IF($A154="","",INDEX(Velocity!$A$2:$A$3001,MATCH($A154,Velocity!$T$2:$T$3001,0)))</f>
        <v/>
      </c>
      <c r="C154" s="5" t="str">
        <f aca="false">IF($A154="","",INDEX(Velocity!$B$2:$B$3001,MATCH($A154,Velocity!$T$2:$T$3001,0)))</f>
        <v/>
      </c>
      <c r="D154" s="30" t="str">
        <f aca="false">IF($A154="","",INDEX(Velocity!$I$2:$I$3001,MATCH($A154,Velocity!$T$2:$T$3001,0)))</f>
        <v/>
      </c>
      <c r="E154" s="29" t="str">
        <f aca="false">IF($A154="","",IF(INDEX(Velocity!$F$2:$F$3001,MATCH($A154,Velocity!$T$2:$T$3001,0))="","Never",INDEX(Velocity!$F$2:$F$3001,MATCH($A154,Velocity!$T$2:$T$3001,0))))</f>
        <v/>
      </c>
      <c r="F154" s="5"/>
      <c r="G154" s="5"/>
    </row>
    <row r="155" customFormat="false" ht="15" hidden="false" customHeight="false" outlineLevel="0" collapsed="false">
      <c r="A155" s="30" t="str">
        <f aca="false">IF(148&lt;=$B$4,148,"")</f>
        <v/>
      </c>
      <c r="B155" s="5" t="str">
        <f aca="false">IF($A155="","",INDEX(Velocity!$A$2:$A$3001,MATCH($A155,Velocity!$T$2:$T$3001,0)))</f>
        <v/>
      </c>
      <c r="C155" s="5" t="str">
        <f aca="false">IF($A155="","",INDEX(Velocity!$B$2:$B$3001,MATCH($A155,Velocity!$T$2:$T$3001,0)))</f>
        <v/>
      </c>
      <c r="D155" s="30" t="str">
        <f aca="false">IF($A155="","",INDEX(Velocity!$I$2:$I$3001,MATCH($A155,Velocity!$T$2:$T$3001,0)))</f>
        <v/>
      </c>
      <c r="E155" s="29" t="str">
        <f aca="false">IF($A155="","",IF(INDEX(Velocity!$F$2:$F$3001,MATCH($A155,Velocity!$T$2:$T$3001,0))="","Never",INDEX(Velocity!$F$2:$F$3001,MATCH($A155,Velocity!$T$2:$T$3001,0))))</f>
        <v/>
      </c>
      <c r="F155" s="5"/>
      <c r="G155" s="5"/>
    </row>
    <row r="156" customFormat="false" ht="15" hidden="false" customHeight="false" outlineLevel="0" collapsed="false">
      <c r="A156" s="30" t="str">
        <f aca="false">IF(149&lt;=$B$4,149,"")</f>
        <v/>
      </c>
      <c r="B156" s="5" t="str">
        <f aca="false">IF($A156="","",INDEX(Velocity!$A$2:$A$3001,MATCH($A156,Velocity!$T$2:$T$3001,0)))</f>
        <v/>
      </c>
      <c r="C156" s="5" t="str">
        <f aca="false">IF($A156="","",INDEX(Velocity!$B$2:$B$3001,MATCH($A156,Velocity!$T$2:$T$3001,0)))</f>
        <v/>
      </c>
      <c r="D156" s="30" t="str">
        <f aca="false">IF($A156="","",INDEX(Velocity!$I$2:$I$3001,MATCH($A156,Velocity!$T$2:$T$3001,0)))</f>
        <v/>
      </c>
      <c r="E156" s="29" t="str">
        <f aca="false">IF($A156="","",IF(INDEX(Velocity!$F$2:$F$3001,MATCH($A156,Velocity!$T$2:$T$3001,0))="","Never",INDEX(Velocity!$F$2:$F$3001,MATCH($A156,Velocity!$T$2:$T$3001,0))))</f>
        <v/>
      </c>
      <c r="F156" s="5"/>
      <c r="G156" s="5"/>
    </row>
    <row r="157" customFormat="false" ht="15" hidden="false" customHeight="false" outlineLevel="0" collapsed="false">
      <c r="A157" s="30" t="str">
        <f aca="false">IF(150&lt;=$B$4,150,"")</f>
        <v/>
      </c>
      <c r="B157" s="5" t="str">
        <f aca="false">IF($A157="","",INDEX(Velocity!$A$2:$A$3001,MATCH($A157,Velocity!$T$2:$T$3001,0)))</f>
        <v/>
      </c>
      <c r="C157" s="5" t="str">
        <f aca="false">IF($A157="","",INDEX(Velocity!$B$2:$B$3001,MATCH($A157,Velocity!$T$2:$T$3001,0)))</f>
        <v/>
      </c>
      <c r="D157" s="30" t="str">
        <f aca="false">IF($A157="","",INDEX(Velocity!$I$2:$I$3001,MATCH($A157,Velocity!$T$2:$T$3001,0)))</f>
        <v/>
      </c>
      <c r="E157" s="29" t="str">
        <f aca="false">IF($A157="","",IF(INDEX(Velocity!$F$2:$F$3001,MATCH($A157,Velocity!$T$2:$T$3001,0))="","Never",INDEX(Velocity!$F$2:$F$3001,MATCH($A157,Velocity!$T$2:$T$3001,0))))</f>
        <v/>
      </c>
      <c r="F157" s="5"/>
      <c r="G157" s="5"/>
    </row>
    <row r="158" customFormat="false" ht="15" hidden="false" customHeight="false" outlineLevel="0" collapsed="false">
      <c r="A158" s="30" t="str">
        <f aca="false">IF(151&lt;=$B$4,151,"")</f>
        <v/>
      </c>
      <c r="B158" s="5" t="str">
        <f aca="false">IF($A158="","",INDEX(Velocity!$A$2:$A$3001,MATCH($A158,Velocity!$T$2:$T$3001,0)))</f>
        <v/>
      </c>
      <c r="C158" s="5" t="str">
        <f aca="false">IF($A158="","",INDEX(Velocity!$B$2:$B$3001,MATCH($A158,Velocity!$T$2:$T$3001,0)))</f>
        <v/>
      </c>
      <c r="D158" s="30" t="str">
        <f aca="false">IF($A158="","",INDEX(Velocity!$I$2:$I$3001,MATCH($A158,Velocity!$T$2:$T$3001,0)))</f>
        <v/>
      </c>
      <c r="E158" s="29" t="str">
        <f aca="false">IF($A158="","",IF(INDEX(Velocity!$F$2:$F$3001,MATCH($A158,Velocity!$T$2:$T$3001,0))="","Never",INDEX(Velocity!$F$2:$F$3001,MATCH($A158,Velocity!$T$2:$T$3001,0))))</f>
        <v/>
      </c>
      <c r="F158" s="5"/>
      <c r="G158" s="5"/>
    </row>
    <row r="159" customFormat="false" ht="15" hidden="false" customHeight="false" outlineLevel="0" collapsed="false">
      <c r="A159" s="30" t="str">
        <f aca="false">IF(152&lt;=$B$4,152,"")</f>
        <v/>
      </c>
      <c r="B159" s="5" t="str">
        <f aca="false">IF($A159="","",INDEX(Velocity!$A$2:$A$3001,MATCH($A159,Velocity!$T$2:$T$3001,0)))</f>
        <v/>
      </c>
      <c r="C159" s="5" t="str">
        <f aca="false">IF($A159="","",INDEX(Velocity!$B$2:$B$3001,MATCH($A159,Velocity!$T$2:$T$3001,0)))</f>
        <v/>
      </c>
      <c r="D159" s="30" t="str">
        <f aca="false">IF($A159="","",INDEX(Velocity!$I$2:$I$3001,MATCH($A159,Velocity!$T$2:$T$3001,0)))</f>
        <v/>
      </c>
      <c r="E159" s="29" t="str">
        <f aca="false">IF($A159="","",IF(INDEX(Velocity!$F$2:$F$3001,MATCH($A159,Velocity!$T$2:$T$3001,0))="","Never",INDEX(Velocity!$F$2:$F$3001,MATCH($A159,Velocity!$T$2:$T$3001,0))))</f>
        <v/>
      </c>
      <c r="F159" s="5"/>
      <c r="G159" s="5"/>
    </row>
    <row r="160" customFormat="false" ht="15" hidden="false" customHeight="false" outlineLevel="0" collapsed="false">
      <c r="A160" s="30" t="str">
        <f aca="false">IF(153&lt;=$B$4,153,"")</f>
        <v/>
      </c>
      <c r="B160" s="5" t="str">
        <f aca="false">IF($A160="","",INDEX(Velocity!$A$2:$A$3001,MATCH($A160,Velocity!$T$2:$T$3001,0)))</f>
        <v/>
      </c>
      <c r="C160" s="5" t="str">
        <f aca="false">IF($A160="","",INDEX(Velocity!$B$2:$B$3001,MATCH($A160,Velocity!$T$2:$T$3001,0)))</f>
        <v/>
      </c>
      <c r="D160" s="30" t="str">
        <f aca="false">IF($A160="","",INDEX(Velocity!$I$2:$I$3001,MATCH($A160,Velocity!$T$2:$T$3001,0)))</f>
        <v/>
      </c>
      <c r="E160" s="29" t="str">
        <f aca="false">IF($A160="","",IF(INDEX(Velocity!$F$2:$F$3001,MATCH($A160,Velocity!$T$2:$T$3001,0))="","Never",INDEX(Velocity!$F$2:$F$3001,MATCH($A160,Velocity!$T$2:$T$3001,0))))</f>
        <v/>
      </c>
      <c r="F160" s="5"/>
      <c r="G160" s="5"/>
    </row>
    <row r="161" customFormat="false" ht="15" hidden="false" customHeight="false" outlineLevel="0" collapsed="false">
      <c r="A161" s="30" t="str">
        <f aca="false">IF(154&lt;=$B$4,154,"")</f>
        <v/>
      </c>
      <c r="B161" s="5" t="str">
        <f aca="false">IF($A161="","",INDEX(Velocity!$A$2:$A$3001,MATCH($A161,Velocity!$T$2:$T$3001,0)))</f>
        <v/>
      </c>
      <c r="C161" s="5" t="str">
        <f aca="false">IF($A161="","",INDEX(Velocity!$B$2:$B$3001,MATCH($A161,Velocity!$T$2:$T$3001,0)))</f>
        <v/>
      </c>
      <c r="D161" s="30" t="str">
        <f aca="false">IF($A161="","",INDEX(Velocity!$I$2:$I$3001,MATCH($A161,Velocity!$T$2:$T$3001,0)))</f>
        <v/>
      </c>
      <c r="E161" s="29" t="str">
        <f aca="false">IF($A161="","",IF(INDEX(Velocity!$F$2:$F$3001,MATCH($A161,Velocity!$T$2:$T$3001,0))="","Never",INDEX(Velocity!$F$2:$F$3001,MATCH($A161,Velocity!$T$2:$T$3001,0))))</f>
        <v/>
      </c>
      <c r="F161" s="5"/>
      <c r="G161" s="5"/>
    </row>
    <row r="162" customFormat="false" ht="15" hidden="false" customHeight="false" outlineLevel="0" collapsed="false">
      <c r="A162" s="30" t="str">
        <f aca="false">IF(155&lt;=$B$4,155,"")</f>
        <v/>
      </c>
      <c r="B162" s="5" t="str">
        <f aca="false">IF($A162="","",INDEX(Velocity!$A$2:$A$3001,MATCH($A162,Velocity!$T$2:$T$3001,0)))</f>
        <v/>
      </c>
      <c r="C162" s="5" t="str">
        <f aca="false">IF($A162="","",INDEX(Velocity!$B$2:$B$3001,MATCH($A162,Velocity!$T$2:$T$3001,0)))</f>
        <v/>
      </c>
      <c r="D162" s="30" t="str">
        <f aca="false">IF($A162="","",INDEX(Velocity!$I$2:$I$3001,MATCH($A162,Velocity!$T$2:$T$3001,0)))</f>
        <v/>
      </c>
      <c r="E162" s="29" t="str">
        <f aca="false">IF($A162="","",IF(INDEX(Velocity!$F$2:$F$3001,MATCH($A162,Velocity!$T$2:$T$3001,0))="","Never",INDEX(Velocity!$F$2:$F$3001,MATCH($A162,Velocity!$T$2:$T$3001,0))))</f>
        <v/>
      </c>
      <c r="F162" s="5"/>
      <c r="G162" s="5"/>
    </row>
    <row r="163" customFormat="false" ht="15" hidden="false" customHeight="false" outlineLevel="0" collapsed="false">
      <c r="A163" s="30" t="str">
        <f aca="false">IF(156&lt;=$B$4,156,"")</f>
        <v/>
      </c>
      <c r="B163" s="5" t="str">
        <f aca="false">IF($A163="","",INDEX(Velocity!$A$2:$A$3001,MATCH($A163,Velocity!$T$2:$T$3001,0)))</f>
        <v/>
      </c>
      <c r="C163" s="5" t="str">
        <f aca="false">IF($A163="","",INDEX(Velocity!$B$2:$B$3001,MATCH($A163,Velocity!$T$2:$T$3001,0)))</f>
        <v/>
      </c>
      <c r="D163" s="30" t="str">
        <f aca="false">IF($A163="","",INDEX(Velocity!$I$2:$I$3001,MATCH($A163,Velocity!$T$2:$T$3001,0)))</f>
        <v/>
      </c>
      <c r="E163" s="29" t="str">
        <f aca="false">IF($A163="","",IF(INDEX(Velocity!$F$2:$F$3001,MATCH($A163,Velocity!$T$2:$T$3001,0))="","Never",INDEX(Velocity!$F$2:$F$3001,MATCH($A163,Velocity!$T$2:$T$3001,0))))</f>
        <v/>
      </c>
      <c r="F163" s="5"/>
      <c r="G163" s="5"/>
    </row>
    <row r="164" customFormat="false" ht="15" hidden="false" customHeight="false" outlineLevel="0" collapsed="false">
      <c r="A164" s="30" t="str">
        <f aca="false">IF(157&lt;=$B$4,157,"")</f>
        <v/>
      </c>
      <c r="B164" s="5" t="str">
        <f aca="false">IF($A164="","",INDEX(Velocity!$A$2:$A$3001,MATCH($A164,Velocity!$T$2:$T$3001,0)))</f>
        <v/>
      </c>
      <c r="C164" s="5" t="str">
        <f aca="false">IF($A164="","",INDEX(Velocity!$B$2:$B$3001,MATCH($A164,Velocity!$T$2:$T$3001,0)))</f>
        <v/>
      </c>
      <c r="D164" s="30" t="str">
        <f aca="false">IF($A164="","",INDEX(Velocity!$I$2:$I$3001,MATCH($A164,Velocity!$T$2:$T$3001,0)))</f>
        <v/>
      </c>
      <c r="E164" s="29" t="str">
        <f aca="false">IF($A164="","",IF(INDEX(Velocity!$F$2:$F$3001,MATCH($A164,Velocity!$T$2:$T$3001,0))="","Never",INDEX(Velocity!$F$2:$F$3001,MATCH($A164,Velocity!$T$2:$T$3001,0))))</f>
        <v/>
      </c>
      <c r="F164" s="5"/>
      <c r="G164" s="5"/>
    </row>
    <row r="165" customFormat="false" ht="15" hidden="false" customHeight="false" outlineLevel="0" collapsed="false">
      <c r="A165" s="30" t="str">
        <f aca="false">IF(158&lt;=$B$4,158,"")</f>
        <v/>
      </c>
      <c r="B165" s="5" t="str">
        <f aca="false">IF($A165="","",INDEX(Velocity!$A$2:$A$3001,MATCH($A165,Velocity!$T$2:$T$3001,0)))</f>
        <v/>
      </c>
      <c r="C165" s="5" t="str">
        <f aca="false">IF($A165="","",INDEX(Velocity!$B$2:$B$3001,MATCH($A165,Velocity!$T$2:$T$3001,0)))</f>
        <v/>
      </c>
      <c r="D165" s="30" t="str">
        <f aca="false">IF($A165="","",INDEX(Velocity!$I$2:$I$3001,MATCH($A165,Velocity!$T$2:$T$3001,0)))</f>
        <v/>
      </c>
      <c r="E165" s="29" t="str">
        <f aca="false">IF($A165="","",IF(INDEX(Velocity!$F$2:$F$3001,MATCH($A165,Velocity!$T$2:$T$3001,0))="","Never",INDEX(Velocity!$F$2:$F$3001,MATCH($A165,Velocity!$T$2:$T$3001,0))))</f>
        <v/>
      </c>
      <c r="F165" s="5"/>
      <c r="G165" s="5"/>
    </row>
    <row r="166" customFormat="false" ht="15" hidden="false" customHeight="false" outlineLevel="0" collapsed="false">
      <c r="A166" s="30" t="str">
        <f aca="false">IF(159&lt;=$B$4,159,"")</f>
        <v/>
      </c>
      <c r="B166" s="5" t="str">
        <f aca="false">IF($A166="","",INDEX(Velocity!$A$2:$A$3001,MATCH($A166,Velocity!$T$2:$T$3001,0)))</f>
        <v/>
      </c>
      <c r="C166" s="5" t="str">
        <f aca="false">IF($A166="","",INDEX(Velocity!$B$2:$B$3001,MATCH($A166,Velocity!$T$2:$T$3001,0)))</f>
        <v/>
      </c>
      <c r="D166" s="30" t="str">
        <f aca="false">IF($A166="","",INDEX(Velocity!$I$2:$I$3001,MATCH($A166,Velocity!$T$2:$T$3001,0)))</f>
        <v/>
      </c>
      <c r="E166" s="29" t="str">
        <f aca="false">IF($A166="","",IF(INDEX(Velocity!$F$2:$F$3001,MATCH($A166,Velocity!$T$2:$T$3001,0))="","Never",INDEX(Velocity!$F$2:$F$3001,MATCH($A166,Velocity!$T$2:$T$3001,0))))</f>
        <v/>
      </c>
      <c r="F166" s="5"/>
      <c r="G166" s="5"/>
    </row>
    <row r="167" customFormat="false" ht="15" hidden="false" customHeight="false" outlineLevel="0" collapsed="false">
      <c r="A167" s="30" t="str">
        <f aca="false">IF(160&lt;=$B$4,160,"")</f>
        <v/>
      </c>
      <c r="B167" s="5" t="str">
        <f aca="false">IF($A167="","",INDEX(Velocity!$A$2:$A$3001,MATCH($A167,Velocity!$T$2:$T$3001,0)))</f>
        <v/>
      </c>
      <c r="C167" s="5" t="str">
        <f aca="false">IF($A167="","",INDEX(Velocity!$B$2:$B$3001,MATCH($A167,Velocity!$T$2:$T$3001,0)))</f>
        <v/>
      </c>
      <c r="D167" s="30" t="str">
        <f aca="false">IF($A167="","",INDEX(Velocity!$I$2:$I$3001,MATCH($A167,Velocity!$T$2:$T$3001,0)))</f>
        <v/>
      </c>
      <c r="E167" s="29" t="str">
        <f aca="false">IF($A167="","",IF(INDEX(Velocity!$F$2:$F$3001,MATCH($A167,Velocity!$T$2:$T$3001,0))="","Never",INDEX(Velocity!$F$2:$F$3001,MATCH($A167,Velocity!$T$2:$T$3001,0))))</f>
        <v/>
      </c>
      <c r="F167" s="5"/>
      <c r="G167" s="5"/>
    </row>
    <row r="168" customFormat="false" ht="15" hidden="false" customHeight="false" outlineLevel="0" collapsed="false">
      <c r="A168" s="30" t="str">
        <f aca="false">IF(161&lt;=$B$4,161,"")</f>
        <v/>
      </c>
      <c r="B168" s="5" t="str">
        <f aca="false">IF($A168="","",INDEX(Velocity!$A$2:$A$3001,MATCH($A168,Velocity!$T$2:$T$3001,0)))</f>
        <v/>
      </c>
      <c r="C168" s="5" t="str">
        <f aca="false">IF($A168="","",INDEX(Velocity!$B$2:$B$3001,MATCH($A168,Velocity!$T$2:$T$3001,0)))</f>
        <v/>
      </c>
      <c r="D168" s="30" t="str">
        <f aca="false">IF($A168="","",INDEX(Velocity!$I$2:$I$3001,MATCH($A168,Velocity!$T$2:$T$3001,0)))</f>
        <v/>
      </c>
      <c r="E168" s="29" t="str">
        <f aca="false">IF($A168="","",IF(INDEX(Velocity!$F$2:$F$3001,MATCH($A168,Velocity!$T$2:$T$3001,0))="","Never",INDEX(Velocity!$F$2:$F$3001,MATCH($A168,Velocity!$T$2:$T$3001,0))))</f>
        <v/>
      </c>
      <c r="F168" s="5"/>
      <c r="G168" s="5"/>
    </row>
    <row r="169" customFormat="false" ht="15" hidden="false" customHeight="false" outlineLevel="0" collapsed="false">
      <c r="A169" s="30" t="str">
        <f aca="false">IF(162&lt;=$B$4,162,"")</f>
        <v/>
      </c>
      <c r="B169" s="5" t="str">
        <f aca="false">IF($A169="","",INDEX(Velocity!$A$2:$A$3001,MATCH($A169,Velocity!$T$2:$T$3001,0)))</f>
        <v/>
      </c>
      <c r="C169" s="5" t="str">
        <f aca="false">IF($A169="","",INDEX(Velocity!$B$2:$B$3001,MATCH($A169,Velocity!$T$2:$T$3001,0)))</f>
        <v/>
      </c>
      <c r="D169" s="30" t="str">
        <f aca="false">IF($A169="","",INDEX(Velocity!$I$2:$I$3001,MATCH($A169,Velocity!$T$2:$T$3001,0)))</f>
        <v/>
      </c>
      <c r="E169" s="29" t="str">
        <f aca="false">IF($A169="","",IF(INDEX(Velocity!$F$2:$F$3001,MATCH($A169,Velocity!$T$2:$T$3001,0))="","Never",INDEX(Velocity!$F$2:$F$3001,MATCH($A169,Velocity!$T$2:$T$3001,0))))</f>
        <v/>
      </c>
      <c r="F169" s="5"/>
      <c r="G169" s="5"/>
    </row>
    <row r="170" customFormat="false" ht="15" hidden="false" customHeight="false" outlineLevel="0" collapsed="false">
      <c r="A170" s="30" t="str">
        <f aca="false">IF(163&lt;=$B$4,163,"")</f>
        <v/>
      </c>
      <c r="B170" s="5" t="str">
        <f aca="false">IF($A170="","",INDEX(Velocity!$A$2:$A$3001,MATCH($A170,Velocity!$T$2:$T$3001,0)))</f>
        <v/>
      </c>
      <c r="C170" s="5" t="str">
        <f aca="false">IF($A170="","",INDEX(Velocity!$B$2:$B$3001,MATCH($A170,Velocity!$T$2:$T$3001,0)))</f>
        <v/>
      </c>
      <c r="D170" s="30" t="str">
        <f aca="false">IF($A170="","",INDEX(Velocity!$I$2:$I$3001,MATCH($A170,Velocity!$T$2:$T$3001,0)))</f>
        <v/>
      </c>
      <c r="E170" s="29" t="str">
        <f aca="false">IF($A170="","",IF(INDEX(Velocity!$F$2:$F$3001,MATCH($A170,Velocity!$T$2:$T$3001,0))="","Never",INDEX(Velocity!$F$2:$F$3001,MATCH($A170,Velocity!$T$2:$T$3001,0))))</f>
        <v/>
      </c>
      <c r="F170" s="5"/>
      <c r="G170" s="5"/>
    </row>
    <row r="171" customFormat="false" ht="15" hidden="false" customHeight="false" outlineLevel="0" collapsed="false">
      <c r="A171" s="30" t="str">
        <f aca="false">IF(164&lt;=$B$4,164,"")</f>
        <v/>
      </c>
      <c r="B171" s="5" t="str">
        <f aca="false">IF($A171="","",INDEX(Velocity!$A$2:$A$3001,MATCH($A171,Velocity!$T$2:$T$3001,0)))</f>
        <v/>
      </c>
      <c r="C171" s="5" t="str">
        <f aca="false">IF($A171="","",INDEX(Velocity!$B$2:$B$3001,MATCH($A171,Velocity!$T$2:$T$3001,0)))</f>
        <v/>
      </c>
      <c r="D171" s="30" t="str">
        <f aca="false">IF($A171="","",INDEX(Velocity!$I$2:$I$3001,MATCH($A171,Velocity!$T$2:$T$3001,0)))</f>
        <v/>
      </c>
      <c r="E171" s="29" t="str">
        <f aca="false">IF($A171="","",IF(INDEX(Velocity!$F$2:$F$3001,MATCH($A171,Velocity!$T$2:$T$3001,0))="","Never",INDEX(Velocity!$F$2:$F$3001,MATCH($A171,Velocity!$T$2:$T$3001,0))))</f>
        <v/>
      </c>
      <c r="F171" s="5"/>
      <c r="G171" s="5"/>
    </row>
    <row r="172" customFormat="false" ht="15" hidden="false" customHeight="false" outlineLevel="0" collapsed="false">
      <c r="A172" s="30" t="str">
        <f aca="false">IF(165&lt;=$B$4,165,"")</f>
        <v/>
      </c>
      <c r="B172" s="5" t="str">
        <f aca="false">IF($A172="","",INDEX(Velocity!$A$2:$A$3001,MATCH($A172,Velocity!$T$2:$T$3001,0)))</f>
        <v/>
      </c>
      <c r="C172" s="5" t="str">
        <f aca="false">IF($A172="","",INDEX(Velocity!$B$2:$B$3001,MATCH($A172,Velocity!$T$2:$T$3001,0)))</f>
        <v/>
      </c>
      <c r="D172" s="30" t="str">
        <f aca="false">IF($A172="","",INDEX(Velocity!$I$2:$I$3001,MATCH($A172,Velocity!$T$2:$T$3001,0)))</f>
        <v/>
      </c>
      <c r="E172" s="29" t="str">
        <f aca="false">IF($A172="","",IF(INDEX(Velocity!$F$2:$F$3001,MATCH($A172,Velocity!$T$2:$T$3001,0))="","Never",INDEX(Velocity!$F$2:$F$3001,MATCH($A172,Velocity!$T$2:$T$3001,0))))</f>
        <v/>
      </c>
      <c r="F172" s="5"/>
      <c r="G172" s="5"/>
    </row>
    <row r="173" customFormat="false" ht="15" hidden="false" customHeight="false" outlineLevel="0" collapsed="false">
      <c r="A173" s="30" t="str">
        <f aca="false">IF(166&lt;=$B$4,166,"")</f>
        <v/>
      </c>
      <c r="B173" s="5" t="str">
        <f aca="false">IF($A173="","",INDEX(Velocity!$A$2:$A$3001,MATCH($A173,Velocity!$T$2:$T$3001,0)))</f>
        <v/>
      </c>
      <c r="C173" s="5" t="str">
        <f aca="false">IF($A173="","",INDEX(Velocity!$B$2:$B$3001,MATCH($A173,Velocity!$T$2:$T$3001,0)))</f>
        <v/>
      </c>
      <c r="D173" s="30" t="str">
        <f aca="false">IF($A173="","",INDEX(Velocity!$I$2:$I$3001,MATCH($A173,Velocity!$T$2:$T$3001,0)))</f>
        <v/>
      </c>
      <c r="E173" s="29" t="str">
        <f aca="false">IF($A173="","",IF(INDEX(Velocity!$F$2:$F$3001,MATCH($A173,Velocity!$T$2:$T$3001,0))="","Never",INDEX(Velocity!$F$2:$F$3001,MATCH($A173,Velocity!$T$2:$T$3001,0))))</f>
        <v/>
      </c>
      <c r="F173" s="5"/>
      <c r="G173" s="5"/>
    </row>
    <row r="174" customFormat="false" ht="15" hidden="false" customHeight="false" outlineLevel="0" collapsed="false">
      <c r="A174" s="30" t="str">
        <f aca="false">IF(167&lt;=$B$4,167,"")</f>
        <v/>
      </c>
      <c r="B174" s="5" t="str">
        <f aca="false">IF($A174="","",INDEX(Velocity!$A$2:$A$3001,MATCH($A174,Velocity!$T$2:$T$3001,0)))</f>
        <v/>
      </c>
      <c r="C174" s="5" t="str">
        <f aca="false">IF($A174="","",INDEX(Velocity!$B$2:$B$3001,MATCH($A174,Velocity!$T$2:$T$3001,0)))</f>
        <v/>
      </c>
      <c r="D174" s="30" t="str">
        <f aca="false">IF($A174="","",INDEX(Velocity!$I$2:$I$3001,MATCH($A174,Velocity!$T$2:$T$3001,0)))</f>
        <v/>
      </c>
      <c r="E174" s="29" t="str">
        <f aca="false">IF($A174="","",IF(INDEX(Velocity!$F$2:$F$3001,MATCH($A174,Velocity!$T$2:$T$3001,0))="","Never",INDEX(Velocity!$F$2:$F$3001,MATCH($A174,Velocity!$T$2:$T$3001,0))))</f>
        <v/>
      </c>
      <c r="F174" s="5"/>
      <c r="G174" s="5"/>
    </row>
    <row r="175" customFormat="false" ht="15" hidden="false" customHeight="false" outlineLevel="0" collapsed="false">
      <c r="A175" s="30" t="str">
        <f aca="false">IF(168&lt;=$B$4,168,"")</f>
        <v/>
      </c>
      <c r="B175" s="5" t="str">
        <f aca="false">IF($A175="","",INDEX(Velocity!$A$2:$A$3001,MATCH($A175,Velocity!$T$2:$T$3001,0)))</f>
        <v/>
      </c>
      <c r="C175" s="5" t="str">
        <f aca="false">IF($A175="","",INDEX(Velocity!$B$2:$B$3001,MATCH($A175,Velocity!$T$2:$T$3001,0)))</f>
        <v/>
      </c>
      <c r="D175" s="30" t="str">
        <f aca="false">IF($A175="","",INDEX(Velocity!$I$2:$I$3001,MATCH($A175,Velocity!$T$2:$T$3001,0)))</f>
        <v/>
      </c>
      <c r="E175" s="29" t="str">
        <f aca="false">IF($A175="","",IF(INDEX(Velocity!$F$2:$F$3001,MATCH($A175,Velocity!$T$2:$T$3001,0))="","Never",INDEX(Velocity!$F$2:$F$3001,MATCH($A175,Velocity!$T$2:$T$3001,0))))</f>
        <v/>
      </c>
      <c r="F175" s="5"/>
      <c r="G175" s="5"/>
    </row>
    <row r="176" customFormat="false" ht="15" hidden="false" customHeight="false" outlineLevel="0" collapsed="false">
      <c r="A176" s="30" t="str">
        <f aca="false">IF(169&lt;=$B$4,169,"")</f>
        <v/>
      </c>
      <c r="B176" s="5" t="str">
        <f aca="false">IF($A176="","",INDEX(Velocity!$A$2:$A$3001,MATCH($A176,Velocity!$T$2:$T$3001,0)))</f>
        <v/>
      </c>
      <c r="C176" s="5" t="str">
        <f aca="false">IF($A176="","",INDEX(Velocity!$B$2:$B$3001,MATCH($A176,Velocity!$T$2:$T$3001,0)))</f>
        <v/>
      </c>
      <c r="D176" s="30" t="str">
        <f aca="false">IF($A176="","",INDEX(Velocity!$I$2:$I$3001,MATCH($A176,Velocity!$T$2:$T$3001,0)))</f>
        <v/>
      </c>
      <c r="E176" s="29" t="str">
        <f aca="false">IF($A176="","",IF(INDEX(Velocity!$F$2:$F$3001,MATCH($A176,Velocity!$T$2:$T$3001,0))="","Never",INDEX(Velocity!$F$2:$F$3001,MATCH($A176,Velocity!$T$2:$T$3001,0))))</f>
        <v/>
      </c>
      <c r="F176" s="5"/>
      <c r="G176" s="5"/>
    </row>
    <row r="177" customFormat="false" ht="15" hidden="false" customHeight="false" outlineLevel="0" collapsed="false">
      <c r="A177" s="30" t="str">
        <f aca="false">IF(170&lt;=$B$4,170,"")</f>
        <v/>
      </c>
      <c r="B177" s="5" t="str">
        <f aca="false">IF($A177="","",INDEX(Velocity!$A$2:$A$3001,MATCH($A177,Velocity!$T$2:$T$3001,0)))</f>
        <v/>
      </c>
      <c r="C177" s="5" t="str">
        <f aca="false">IF($A177="","",INDEX(Velocity!$B$2:$B$3001,MATCH($A177,Velocity!$T$2:$T$3001,0)))</f>
        <v/>
      </c>
      <c r="D177" s="30" t="str">
        <f aca="false">IF($A177="","",INDEX(Velocity!$I$2:$I$3001,MATCH($A177,Velocity!$T$2:$T$3001,0)))</f>
        <v/>
      </c>
      <c r="E177" s="29" t="str">
        <f aca="false">IF($A177="","",IF(INDEX(Velocity!$F$2:$F$3001,MATCH($A177,Velocity!$T$2:$T$3001,0))="","Never",INDEX(Velocity!$F$2:$F$3001,MATCH($A177,Velocity!$T$2:$T$3001,0))))</f>
        <v/>
      </c>
      <c r="F177" s="5"/>
      <c r="G177" s="5"/>
    </row>
    <row r="178" customFormat="false" ht="15" hidden="false" customHeight="false" outlineLevel="0" collapsed="false">
      <c r="A178" s="30" t="str">
        <f aca="false">IF(171&lt;=$B$4,171,"")</f>
        <v/>
      </c>
      <c r="B178" s="5" t="str">
        <f aca="false">IF($A178="","",INDEX(Velocity!$A$2:$A$3001,MATCH($A178,Velocity!$T$2:$T$3001,0)))</f>
        <v/>
      </c>
      <c r="C178" s="5" t="str">
        <f aca="false">IF($A178="","",INDEX(Velocity!$B$2:$B$3001,MATCH($A178,Velocity!$T$2:$T$3001,0)))</f>
        <v/>
      </c>
      <c r="D178" s="30" t="str">
        <f aca="false">IF($A178="","",INDEX(Velocity!$I$2:$I$3001,MATCH($A178,Velocity!$T$2:$T$3001,0)))</f>
        <v/>
      </c>
      <c r="E178" s="29" t="str">
        <f aca="false">IF($A178="","",IF(INDEX(Velocity!$F$2:$F$3001,MATCH($A178,Velocity!$T$2:$T$3001,0))="","Never",INDEX(Velocity!$F$2:$F$3001,MATCH($A178,Velocity!$T$2:$T$3001,0))))</f>
        <v/>
      </c>
      <c r="F178" s="5"/>
      <c r="G178" s="5"/>
    </row>
    <row r="179" customFormat="false" ht="15" hidden="false" customHeight="false" outlineLevel="0" collapsed="false">
      <c r="A179" s="30" t="str">
        <f aca="false">IF(172&lt;=$B$4,172,"")</f>
        <v/>
      </c>
      <c r="B179" s="5" t="str">
        <f aca="false">IF($A179="","",INDEX(Velocity!$A$2:$A$3001,MATCH($A179,Velocity!$T$2:$T$3001,0)))</f>
        <v/>
      </c>
      <c r="C179" s="5" t="str">
        <f aca="false">IF($A179="","",INDEX(Velocity!$B$2:$B$3001,MATCH($A179,Velocity!$T$2:$T$3001,0)))</f>
        <v/>
      </c>
      <c r="D179" s="30" t="str">
        <f aca="false">IF($A179="","",INDEX(Velocity!$I$2:$I$3001,MATCH($A179,Velocity!$T$2:$T$3001,0)))</f>
        <v/>
      </c>
      <c r="E179" s="29" t="str">
        <f aca="false">IF($A179="","",IF(INDEX(Velocity!$F$2:$F$3001,MATCH($A179,Velocity!$T$2:$T$3001,0))="","Never",INDEX(Velocity!$F$2:$F$3001,MATCH($A179,Velocity!$T$2:$T$3001,0))))</f>
        <v/>
      </c>
      <c r="F179" s="5"/>
      <c r="G179" s="5"/>
    </row>
    <row r="180" customFormat="false" ht="15" hidden="false" customHeight="false" outlineLevel="0" collapsed="false">
      <c r="A180" s="30" t="str">
        <f aca="false">IF(173&lt;=$B$4,173,"")</f>
        <v/>
      </c>
      <c r="B180" s="5" t="str">
        <f aca="false">IF($A180="","",INDEX(Velocity!$A$2:$A$3001,MATCH($A180,Velocity!$T$2:$T$3001,0)))</f>
        <v/>
      </c>
      <c r="C180" s="5" t="str">
        <f aca="false">IF($A180="","",INDEX(Velocity!$B$2:$B$3001,MATCH($A180,Velocity!$T$2:$T$3001,0)))</f>
        <v/>
      </c>
      <c r="D180" s="30" t="str">
        <f aca="false">IF($A180="","",INDEX(Velocity!$I$2:$I$3001,MATCH($A180,Velocity!$T$2:$T$3001,0)))</f>
        <v/>
      </c>
      <c r="E180" s="29" t="str">
        <f aca="false">IF($A180="","",IF(INDEX(Velocity!$F$2:$F$3001,MATCH($A180,Velocity!$T$2:$T$3001,0))="","Never",INDEX(Velocity!$F$2:$F$3001,MATCH($A180,Velocity!$T$2:$T$3001,0))))</f>
        <v/>
      </c>
      <c r="F180" s="5"/>
      <c r="G180" s="5"/>
    </row>
    <row r="181" customFormat="false" ht="15" hidden="false" customHeight="false" outlineLevel="0" collapsed="false">
      <c r="A181" s="30" t="str">
        <f aca="false">IF(174&lt;=$B$4,174,"")</f>
        <v/>
      </c>
      <c r="B181" s="5" t="str">
        <f aca="false">IF($A181="","",INDEX(Velocity!$A$2:$A$3001,MATCH($A181,Velocity!$T$2:$T$3001,0)))</f>
        <v/>
      </c>
      <c r="C181" s="5" t="str">
        <f aca="false">IF($A181="","",INDEX(Velocity!$B$2:$B$3001,MATCH($A181,Velocity!$T$2:$T$3001,0)))</f>
        <v/>
      </c>
      <c r="D181" s="30" t="str">
        <f aca="false">IF($A181="","",INDEX(Velocity!$I$2:$I$3001,MATCH($A181,Velocity!$T$2:$T$3001,0)))</f>
        <v/>
      </c>
      <c r="E181" s="29" t="str">
        <f aca="false">IF($A181="","",IF(INDEX(Velocity!$F$2:$F$3001,MATCH($A181,Velocity!$T$2:$T$3001,0))="","Never",INDEX(Velocity!$F$2:$F$3001,MATCH($A181,Velocity!$T$2:$T$3001,0))))</f>
        <v/>
      </c>
      <c r="F181" s="5"/>
      <c r="G181" s="5"/>
    </row>
    <row r="182" customFormat="false" ht="15" hidden="false" customHeight="false" outlineLevel="0" collapsed="false">
      <c r="A182" s="30" t="str">
        <f aca="false">IF(175&lt;=$B$4,175,"")</f>
        <v/>
      </c>
      <c r="B182" s="5" t="str">
        <f aca="false">IF($A182="","",INDEX(Velocity!$A$2:$A$3001,MATCH($A182,Velocity!$T$2:$T$3001,0)))</f>
        <v/>
      </c>
      <c r="C182" s="5" t="str">
        <f aca="false">IF($A182="","",INDEX(Velocity!$B$2:$B$3001,MATCH($A182,Velocity!$T$2:$T$3001,0)))</f>
        <v/>
      </c>
      <c r="D182" s="30" t="str">
        <f aca="false">IF($A182="","",INDEX(Velocity!$I$2:$I$3001,MATCH($A182,Velocity!$T$2:$T$3001,0)))</f>
        <v/>
      </c>
      <c r="E182" s="29" t="str">
        <f aca="false">IF($A182="","",IF(INDEX(Velocity!$F$2:$F$3001,MATCH($A182,Velocity!$T$2:$T$3001,0))="","Never",INDEX(Velocity!$F$2:$F$3001,MATCH($A182,Velocity!$T$2:$T$3001,0))))</f>
        <v/>
      </c>
      <c r="F182" s="5"/>
      <c r="G182" s="5"/>
    </row>
    <row r="183" customFormat="false" ht="15" hidden="false" customHeight="false" outlineLevel="0" collapsed="false">
      <c r="A183" s="30" t="str">
        <f aca="false">IF(176&lt;=$B$4,176,"")</f>
        <v/>
      </c>
      <c r="B183" s="5" t="str">
        <f aca="false">IF($A183="","",INDEX(Velocity!$A$2:$A$3001,MATCH($A183,Velocity!$T$2:$T$3001,0)))</f>
        <v/>
      </c>
      <c r="C183" s="5" t="str">
        <f aca="false">IF($A183="","",INDEX(Velocity!$B$2:$B$3001,MATCH($A183,Velocity!$T$2:$T$3001,0)))</f>
        <v/>
      </c>
      <c r="D183" s="30" t="str">
        <f aca="false">IF($A183="","",INDEX(Velocity!$I$2:$I$3001,MATCH($A183,Velocity!$T$2:$T$3001,0)))</f>
        <v/>
      </c>
      <c r="E183" s="29" t="str">
        <f aca="false">IF($A183="","",IF(INDEX(Velocity!$F$2:$F$3001,MATCH($A183,Velocity!$T$2:$T$3001,0))="","Never",INDEX(Velocity!$F$2:$F$3001,MATCH($A183,Velocity!$T$2:$T$3001,0))))</f>
        <v/>
      </c>
      <c r="F183" s="5"/>
      <c r="G183" s="5"/>
    </row>
    <row r="184" customFormat="false" ht="15" hidden="false" customHeight="false" outlineLevel="0" collapsed="false">
      <c r="A184" s="30" t="str">
        <f aca="false">IF(177&lt;=$B$4,177,"")</f>
        <v/>
      </c>
      <c r="B184" s="5" t="str">
        <f aca="false">IF($A184="","",INDEX(Velocity!$A$2:$A$3001,MATCH($A184,Velocity!$T$2:$T$3001,0)))</f>
        <v/>
      </c>
      <c r="C184" s="5" t="str">
        <f aca="false">IF($A184="","",INDEX(Velocity!$B$2:$B$3001,MATCH($A184,Velocity!$T$2:$T$3001,0)))</f>
        <v/>
      </c>
      <c r="D184" s="30" t="str">
        <f aca="false">IF($A184="","",INDEX(Velocity!$I$2:$I$3001,MATCH($A184,Velocity!$T$2:$T$3001,0)))</f>
        <v/>
      </c>
      <c r="E184" s="29" t="str">
        <f aca="false">IF($A184="","",IF(INDEX(Velocity!$F$2:$F$3001,MATCH($A184,Velocity!$T$2:$T$3001,0))="","Never",INDEX(Velocity!$F$2:$F$3001,MATCH($A184,Velocity!$T$2:$T$3001,0))))</f>
        <v/>
      </c>
      <c r="F184" s="5"/>
      <c r="G184" s="5"/>
    </row>
    <row r="185" customFormat="false" ht="15" hidden="false" customHeight="false" outlineLevel="0" collapsed="false">
      <c r="A185" s="30" t="str">
        <f aca="false">IF(178&lt;=$B$4,178,"")</f>
        <v/>
      </c>
      <c r="B185" s="5" t="str">
        <f aca="false">IF($A185="","",INDEX(Velocity!$A$2:$A$3001,MATCH($A185,Velocity!$T$2:$T$3001,0)))</f>
        <v/>
      </c>
      <c r="C185" s="5" t="str">
        <f aca="false">IF($A185="","",INDEX(Velocity!$B$2:$B$3001,MATCH($A185,Velocity!$T$2:$T$3001,0)))</f>
        <v/>
      </c>
      <c r="D185" s="30" t="str">
        <f aca="false">IF($A185="","",INDEX(Velocity!$I$2:$I$3001,MATCH($A185,Velocity!$T$2:$T$3001,0)))</f>
        <v/>
      </c>
      <c r="E185" s="29" t="str">
        <f aca="false">IF($A185="","",IF(INDEX(Velocity!$F$2:$F$3001,MATCH($A185,Velocity!$T$2:$T$3001,0))="","Never",INDEX(Velocity!$F$2:$F$3001,MATCH($A185,Velocity!$T$2:$T$3001,0))))</f>
        <v/>
      </c>
      <c r="F185" s="5"/>
      <c r="G185" s="5"/>
    </row>
    <row r="186" customFormat="false" ht="15" hidden="false" customHeight="false" outlineLevel="0" collapsed="false">
      <c r="A186" s="30" t="str">
        <f aca="false">IF(179&lt;=$B$4,179,"")</f>
        <v/>
      </c>
      <c r="B186" s="5" t="str">
        <f aca="false">IF($A186="","",INDEX(Velocity!$A$2:$A$3001,MATCH($A186,Velocity!$T$2:$T$3001,0)))</f>
        <v/>
      </c>
      <c r="C186" s="5" t="str">
        <f aca="false">IF($A186="","",INDEX(Velocity!$B$2:$B$3001,MATCH($A186,Velocity!$T$2:$T$3001,0)))</f>
        <v/>
      </c>
      <c r="D186" s="30" t="str">
        <f aca="false">IF($A186="","",INDEX(Velocity!$I$2:$I$3001,MATCH($A186,Velocity!$T$2:$T$3001,0)))</f>
        <v/>
      </c>
      <c r="E186" s="29" t="str">
        <f aca="false">IF($A186="","",IF(INDEX(Velocity!$F$2:$F$3001,MATCH($A186,Velocity!$T$2:$T$3001,0))="","Never",INDEX(Velocity!$F$2:$F$3001,MATCH($A186,Velocity!$T$2:$T$3001,0))))</f>
        <v/>
      </c>
      <c r="F186" s="5"/>
      <c r="G186" s="5"/>
    </row>
    <row r="187" customFormat="false" ht="15" hidden="false" customHeight="false" outlineLevel="0" collapsed="false">
      <c r="A187" s="30" t="str">
        <f aca="false">IF(180&lt;=$B$4,180,"")</f>
        <v/>
      </c>
      <c r="B187" s="5" t="str">
        <f aca="false">IF($A187="","",INDEX(Velocity!$A$2:$A$3001,MATCH($A187,Velocity!$T$2:$T$3001,0)))</f>
        <v/>
      </c>
      <c r="C187" s="5" t="str">
        <f aca="false">IF($A187="","",INDEX(Velocity!$B$2:$B$3001,MATCH($A187,Velocity!$T$2:$T$3001,0)))</f>
        <v/>
      </c>
      <c r="D187" s="30" t="str">
        <f aca="false">IF($A187="","",INDEX(Velocity!$I$2:$I$3001,MATCH($A187,Velocity!$T$2:$T$3001,0)))</f>
        <v/>
      </c>
      <c r="E187" s="29" t="str">
        <f aca="false">IF($A187="","",IF(INDEX(Velocity!$F$2:$F$3001,MATCH($A187,Velocity!$T$2:$T$3001,0))="","Never",INDEX(Velocity!$F$2:$F$3001,MATCH($A187,Velocity!$T$2:$T$3001,0))))</f>
        <v/>
      </c>
      <c r="F187" s="5"/>
      <c r="G187" s="5"/>
    </row>
    <row r="188" customFormat="false" ht="15" hidden="false" customHeight="false" outlineLevel="0" collapsed="false">
      <c r="A188" s="30" t="str">
        <f aca="false">IF(181&lt;=$B$4,181,"")</f>
        <v/>
      </c>
      <c r="B188" s="5" t="str">
        <f aca="false">IF($A188="","",INDEX(Velocity!$A$2:$A$3001,MATCH($A188,Velocity!$T$2:$T$3001,0)))</f>
        <v/>
      </c>
      <c r="C188" s="5" t="str">
        <f aca="false">IF($A188="","",INDEX(Velocity!$B$2:$B$3001,MATCH($A188,Velocity!$T$2:$T$3001,0)))</f>
        <v/>
      </c>
      <c r="D188" s="30" t="str">
        <f aca="false">IF($A188="","",INDEX(Velocity!$I$2:$I$3001,MATCH($A188,Velocity!$T$2:$T$3001,0)))</f>
        <v/>
      </c>
      <c r="E188" s="29" t="str">
        <f aca="false">IF($A188="","",IF(INDEX(Velocity!$F$2:$F$3001,MATCH($A188,Velocity!$T$2:$T$3001,0))="","Never",INDEX(Velocity!$F$2:$F$3001,MATCH($A188,Velocity!$T$2:$T$3001,0))))</f>
        <v/>
      </c>
      <c r="F188" s="5"/>
      <c r="G188" s="5"/>
    </row>
    <row r="189" customFormat="false" ht="15" hidden="false" customHeight="false" outlineLevel="0" collapsed="false">
      <c r="A189" s="30" t="str">
        <f aca="false">IF(182&lt;=$B$4,182,"")</f>
        <v/>
      </c>
      <c r="B189" s="5" t="str">
        <f aca="false">IF($A189="","",INDEX(Velocity!$A$2:$A$3001,MATCH($A189,Velocity!$T$2:$T$3001,0)))</f>
        <v/>
      </c>
      <c r="C189" s="5" t="str">
        <f aca="false">IF($A189="","",INDEX(Velocity!$B$2:$B$3001,MATCH($A189,Velocity!$T$2:$T$3001,0)))</f>
        <v/>
      </c>
      <c r="D189" s="30" t="str">
        <f aca="false">IF($A189="","",INDEX(Velocity!$I$2:$I$3001,MATCH($A189,Velocity!$T$2:$T$3001,0)))</f>
        <v/>
      </c>
      <c r="E189" s="29" t="str">
        <f aca="false">IF($A189="","",IF(INDEX(Velocity!$F$2:$F$3001,MATCH($A189,Velocity!$T$2:$T$3001,0))="","Never",INDEX(Velocity!$F$2:$F$3001,MATCH($A189,Velocity!$T$2:$T$3001,0))))</f>
        <v/>
      </c>
      <c r="F189" s="5"/>
      <c r="G189" s="5"/>
    </row>
    <row r="190" customFormat="false" ht="15" hidden="false" customHeight="false" outlineLevel="0" collapsed="false">
      <c r="A190" s="30" t="str">
        <f aca="false">IF(183&lt;=$B$4,183,"")</f>
        <v/>
      </c>
      <c r="B190" s="5" t="str">
        <f aca="false">IF($A190="","",INDEX(Velocity!$A$2:$A$3001,MATCH($A190,Velocity!$T$2:$T$3001,0)))</f>
        <v/>
      </c>
      <c r="C190" s="5" t="str">
        <f aca="false">IF($A190="","",INDEX(Velocity!$B$2:$B$3001,MATCH($A190,Velocity!$T$2:$T$3001,0)))</f>
        <v/>
      </c>
      <c r="D190" s="30" t="str">
        <f aca="false">IF($A190="","",INDEX(Velocity!$I$2:$I$3001,MATCH($A190,Velocity!$T$2:$T$3001,0)))</f>
        <v/>
      </c>
      <c r="E190" s="29" t="str">
        <f aca="false">IF($A190="","",IF(INDEX(Velocity!$F$2:$F$3001,MATCH($A190,Velocity!$T$2:$T$3001,0))="","Never",INDEX(Velocity!$F$2:$F$3001,MATCH($A190,Velocity!$T$2:$T$3001,0))))</f>
        <v/>
      </c>
      <c r="F190" s="5"/>
      <c r="G190" s="5"/>
    </row>
    <row r="191" customFormat="false" ht="15" hidden="false" customHeight="false" outlineLevel="0" collapsed="false">
      <c r="A191" s="30" t="str">
        <f aca="false">IF(184&lt;=$B$4,184,"")</f>
        <v/>
      </c>
      <c r="B191" s="5" t="str">
        <f aca="false">IF($A191="","",INDEX(Velocity!$A$2:$A$3001,MATCH($A191,Velocity!$T$2:$T$3001,0)))</f>
        <v/>
      </c>
      <c r="C191" s="5" t="str">
        <f aca="false">IF($A191="","",INDEX(Velocity!$B$2:$B$3001,MATCH($A191,Velocity!$T$2:$T$3001,0)))</f>
        <v/>
      </c>
      <c r="D191" s="30" t="str">
        <f aca="false">IF($A191="","",INDEX(Velocity!$I$2:$I$3001,MATCH($A191,Velocity!$T$2:$T$3001,0)))</f>
        <v/>
      </c>
      <c r="E191" s="29" t="str">
        <f aca="false">IF($A191="","",IF(INDEX(Velocity!$F$2:$F$3001,MATCH($A191,Velocity!$T$2:$T$3001,0))="","Never",INDEX(Velocity!$F$2:$F$3001,MATCH($A191,Velocity!$T$2:$T$3001,0))))</f>
        <v/>
      </c>
      <c r="F191" s="5"/>
      <c r="G191" s="5"/>
    </row>
    <row r="192" customFormat="false" ht="15" hidden="false" customHeight="false" outlineLevel="0" collapsed="false">
      <c r="A192" s="30" t="str">
        <f aca="false">IF(185&lt;=$B$4,185,"")</f>
        <v/>
      </c>
      <c r="B192" s="5" t="str">
        <f aca="false">IF($A192="","",INDEX(Velocity!$A$2:$A$3001,MATCH($A192,Velocity!$T$2:$T$3001,0)))</f>
        <v/>
      </c>
      <c r="C192" s="5" t="str">
        <f aca="false">IF($A192="","",INDEX(Velocity!$B$2:$B$3001,MATCH($A192,Velocity!$T$2:$T$3001,0)))</f>
        <v/>
      </c>
      <c r="D192" s="30" t="str">
        <f aca="false">IF($A192="","",INDEX(Velocity!$I$2:$I$3001,MATCH($A192,Velocity!$T$2:$T$3001,0)))</f>
        <v/>
      </c>
      <c r="E192" s="29" t="str">
        <f aca="false">IF($A192="","",IF(INDEX(Velocity!$F$2:$F$3001,MATCH($A192,Velocity!$T$2:$T$3001,0))="","Never",INDEX(Velocity!$F$2:$F$3001,MATCH($A192,Velocity!$T$2:$T$3001,0))))</f>
        <v/>
      </c>
      <c r="F192" s="5"/>
      <c r="G192" s="5"/>
    </row>
    <row r="193" customFormat="false" ht="15" hidden="false" customHeight="false" outlineLevel="0" collapsed="false">
      <c r="A193" s="30" t="str">
        <f aca="false">IF(186&lt;=$B$4,186,"")</f>
        <v/>
      </c>
      <c r="B193" s="5" t="str">
        <f aca="false">IF($A193="","",INDEX(Velocity!$A$2:$A$3001,MATCH($A193,Velocity!$T$2:$T$3001,0)))</f>
        <v/>
      </c>
      <c r="C193" s="5" t="str">
        <f aca="false">IF($A193="","",INDEX(Velocity!$B$2:$B$3001,MATCH($A193,Velocity!$T$2:$T$3001,0)))</f>
        <v/>
      </c>
      <c r="D193" s="30" t="str">
        <f aca="false">IF($A193="","",INDEX(Velocity!$I$2:$I$3001,MATCH($A193,Velocity!$T$2:$T$3001,0)))</f>
        <v/>
      </c>
      <c r="E193" s="29" t="str">
        <f aca="false">IF($A193="","",IF(INDEX(Velocity!$F$2:$F$3001,MATCH($A193,Velocity!$T$2:$T$3001,0))="","Never",INDEX(Velocity!$F$2:$F$3001,MATCH($A193,Velocity!$T$2:$T$3001,0))))</f>
        <v/>
      </c>
      <c r="F193" s="5"/>
      <c r="G193" s="5"/>
    </row>
    <row r="194" customFormat="false" ht="15" hidden="false" customHeight="false" outlineLevel="0" collapsed="false">
      <c r="A194" s="30" t="str">
        <f aca="false">IF(187&lt;=$B$4,187,"")</f>
        <v/>
      </c>
      <c r="B194" s="5" t="str">
        <f aca="false">IF($A194="","",INDEX(Velocity!$A$2:$A$3001,MATCH($A194,Velocity!$T$2:$T$3001,0)))</f>
        <v/>
      </c>
      <c r="C194" s="5" t="str">
        <f aca="false">IF($A194="","",INDEX(Velocity!$B$2:$B$3001,MATCH($A194,Velocity!$T$2:$T$3001,0)))</f>
        <v/>
      </c>
      <c r="D194" s="30" t="str">
        <f aca="false">IF($A194="","",INDEX(Velocity!$I$2:$I$3001,MATCH($A194,Velocity!$T$2:$T$3001,0)))</f>
        <v/>
      </c>
      <c r="E194" s="29" t="str">
        <f aca="false">IF($A194="","",IF(INDEX(Velocity!$F$2:$F$3001,MATCH($A194,Velocity!$T$2:$T$3001,0))="","Never",INDEX(Velocity!$F$2:$F$3001,MATCH($A194,Velocity!$T$2:$T$3001,0))))</f>
        <v/>
      </c>
      <c r="F194" s="5"/>
      <c r="G194" s="5"/>
    </row>
    <row r="195" customFormat="false" ht="15" hidden="false" customHeight="false" outlineLevel="0" collapsed="false">
      <c r="A195" s="30" t="str">
        <f aca="false">IF(188&lt;=$B$4,188,"")</f>
        <v/>
      </c>
      <c r="B195" s="5" t="str">
        <f aca="false">IF($A195="","",INDEX(Velocity!$A$2:$A$3001,MATCH($A195,Velocity!$T$2:$T$3001,0)))</f>
        <v/>
      </c>
      <c r="C195" s="5" t="str">
        <f aca="false">IF($A195="","",INDEX(Velocity!$B$2:$B$3001,MATCH($A195,Velocity!$T$2:$T$3001,0)))</f>
        <v/>
      </c>
      <c r="D195" s="30" t="str">
        <f aca="false">IF($A195="","",INDEX(Velocity!$I$2:$I$3001,MATCH($A195,Velocity!$T$2:$T$3001,0)))</f>
        <v/>
      </c>
      <c r="E195" s="29" t="str">
        <f aca="false">IF($A195="","",IF(INDEX(Velocity!$F$2:$F$3001,MATCH($A195,Velocity!$T$2:$T$3001,0))="","Never",INDEX(Velocity!$F$2:$F$3001,MATCH($A195,Velocity!$T$2:$T$3001,0))))</f>
        <v/>
      </c>
      <c r="F195" s="5"/>
      <c r="G195" s="5"/>
    </row>
    <row r="196" customFormat="false" ht="15" hidden="false" customHeight="false" outlineLevel="0" collapsed="false">
      <c r="A196" s="30" t="str">
        <f aca="false">IF(189&lt;=$B$4,189,"")</f>
        <v/>
      </c>
      <c r="B196" s="5" t="str">
        <f aca="false">IF($A196="","",INDEX(Velocity!$A$2:$A$3001,MATCH($A196,Velocity!$T$2:$T$3001,0)))</f>
        <v/>
      </c>
      <c r="C196" s="5" t="str">
        <f aca="false">IF($A196="","",INDEX(Velocity!$B$2:$B$3001,MATCH($A196,Velocity!$T$2:$T$3001,0)))</f>
        <v/>
      </c>
      <c r="D196" s="30" t="str">
        <f aca="false">IF($A196="","",INDEX(Velocity!$I$2:$I$3001,MATCH($A196,Velocity!$T$2:$T$3001,0)))</f>
        <v/>
      </c>
      <c r="E196" s="29" t="str">
        <f aca="false">IF($A196="","",IF(INDEX(Velocity!$F$2:$F$3001,MATCH($A196,Velocity!$T$2:$T$3001,0))="","Never",INDEX(Velocity!$F$2:$F$3001,MATCH($A196,Velocity!$T$2:$T$3001,0))))</f>
        <v/>
      </c>
      <c r="F196" s="5"/>
      <c r="G196" s="5"/>
    </row>
    <row r="197" customFormat="false" ht="15" hidden="false" customHeight="false" outlineLevel="0" collapsed="false">
      <c r="A197" s="30" t="str">
        <f aca="false">IF(190&lt;=$B$4,190,"")</f>
        <v/>
      </c>
      <c r="B197" s="5" t="str">
        <f aca="false">IF($A197="","",INDEX(Velocity!$A$2:$A$3001,MATCH($A197,Velocity!$T$2:$T$3001,0)))</f>
        <v/>
      </c>
      <c r="C197" s="5" t="str">
        <f aca="false">IF($A197="","",INDEX(Velocity!$B$2:$B$3001,MATCH($A197,Velocity!$T$2:$T$3001,0)))</f>
        <v/>
      </c>
      <c r="D197" s="30" t="str">
        <f aca="false">IF($A197="","",INDEX(Velocity!$I$2:$I$3001,MATCH($A197,Velocity!$T$2:$T$3001,0)))</f>
        <v/>
      </c>
      <c r="E197" s="29" t="str">
        <f aca="false">IF($A197="","",IF(INDEX(Velocity!$F$2:$F$3001,MATCH($A197,Velocity!$T$2:$T$3001,0))="","Never",INDEX(Velocity!$F$2:$F$3001,MATCH($A197,Velocity!$T$2:$T$3001,0))))</f>
        <v/>
      </c>
      <c r="F197" s="5"/>
      <c r="G197" s="5"/>
    </row>
    <row r="198" customFormat="false" ht="15" hidden="false" customHeight="false" outlineLevel="0" collapsed="false">
      <c r="A198" s="30" t="str">
        <f aca="false">IF(191&lt;=$B$4,191,"")</f>
        <v/>
      </c>
      <c r="B198" s="5" t="str">
        <f aca="false">IF($A198="","",INDEX(Velocity!$A$2:$A$3001,MATCH($A198,Velocity!$T$2:$T$3001,0)))</f>
        <v/>
      </c>
      <c r="C198" s="5" t="str">
        <f aca="false">IF($A198="","",INDEX(Velocity!$B$2:$B$3001,MATCH($A198,Velocity!$T$2:$T$3001,0)))</f>
        <v/>
      </c>
      <c r="D198" s="30" t="str">
        <f aca="false">IF($A198="","",INDEX(Velocity!$I$2:$I$3001,MATCH($A198,Velocity!$T$2:$T$3001,0)))</f>
        <v/>
      </c>
      <c r="E198" s="29" t="str">
        <f aca="false">IF($A198="","",IF(INDEX(Velocity!$F$2:$F$3001,MATCH($A198,Velocity!$T$2:$T$3001,0))="","Never",INDEX(Velocity!$F$2:$F$3001,MATCH($A198,Velocity!$T$2:$T$3001,0))))</f>
        <v/>
      </c>
      <c r="F198" s="5"/>
      <c r="G198" s="5"/>
    </row>
    <row r="199" customFormat="false" ht="15" hidden="false" customHeight="false" outlineLevel="0" collapsed="false">
      <c r="A199" s="30" t="str">
        <f aca="false">IF(192&lt;=$B$4,192,"")</f>
        <v/>
      </c>
      <c r="B199" s="5" t="str">
        <f aca="false">IF($A199="","",INDEX(Velocity!$A$2:$A$3001,MATCH($A199,Velocity!$T$2:$T$3001,0)))</f>
        <v/>
      </c>
      <c r="C199" s="5" t="str">
        <f aca="false">IF($A199="","",INDEX(Velocity!$B$2:$B$3001,MATCH($A199,Velocity!$T$2:$T$3001,0)))</f>
        <v/>
      </c>
      <c r="D199" s="30" t="str">
        <f aca="false">IF($A199="","",INDEX(Velocity!$I$2:$I$3001,MATCH($A199,Velocity!$T$2:$T$3001,0)))</f>
        <v/>
      </c>
      <c r="E199" s="29" t="str">
        <f aca="false">IF($A199="","",IF(INDEX(Velocity!$F$2:$F$3001,MATCH($A199,Velocity!$T$2:$T$3001,0))="","Never",INDEX(Velocity!$F$2:$F$3001,MATCH($A199,Velocity!$T$2:$T$3001,0))))</f>
        <v/>
      </c>
      <c r="F199" s="5"/>
      <c r="G199" s="5"/>
    </row>
    <row r="200" customFormat="false" ht="15" hidden="false" customHeight="false" outlineLevel="0" collapsed="false">
      <c r="A200" s="30" t="str">
        <f aca="false">IF(193&lt;=$B$4,193,"")</f>
        <v/>
      </c>
      <c r="B200" s="5" t="str">
        <f aca="false">IF($A200="","",INDEX(Velocity!$A$2:$A$3001,MATCH($A200,Velocity!$T$2:$T$3001,0)))</f>
        <v/>
      </c>
      <c r="C200" s="5" t="str">
        <f aca="false">IF($A200="","",INDEX(Velocity!$B$2:$B$3001,MATCH($A200,Velocity!$T$2:$T$3001,0)))</f>
        <v/>
      </c>
      <c r="D200" s="30" t="str">
        <f aca="false">IF($A200="","",INDEX(Velocity!$I$2:$I$3001,MATCH($A200,Velocity!$T$2:$T$3001,0)))</f>
        <v/>
      </c>
      <c r="E200" s="29" t="str">
        <f aca="false">IF($A200="","",IF(INDEX(Velocity!$F$2:$F$3001,MATCH($A200,Velocity!$T$2:$T$3001,0))="","Never",INDEX(Velocity!$F$2:$F$3001,MATCH($A200,Velocity!$T$2:$T$3001,0))))</f>
        <v/>
      </c>
      <c r="F200" s="5"/>
      <c r="G200" s="5"/>
    </row>
    <row r="201" customFormat="false" ht="15" hidden="false" customHeight="false" outlineLevel="0" collapsed="false">
      <c r="A201" s="30" t="str">
        <f aca="false">IF(194&lt;=$B$4,194,"")</f>
        <v/>
      </c>
      <c r="B201" s="5" t="str">
        <f aca="false">IF($A201="","",INDEX(Velocity!$A$2:$A$3001,MATCH($A201,Velocity!$T$2:$T$3001,0)))</f>
        <v/>
      </c>
      <c r="C201" s="5" t="str">
        <f aca="false">IF($A201="","",INDEX(Velocity!$B$2:$B$3001,MATCH($A201,Velocity!$T$2:$T$3001,0)))</f>
        <v/>
      </c>
      <c r="D201" s="30" t="str">
        <f aca="false">IF($A201="","",INDEX(Velocity!$I$2:$I$3001,MATCH($A201,Velocity!$T$2:$T$3001,0)))</f>
        <v/>
      </c>
      <c r="E201" s="29" t="str">
        <f aca="false">IF($A201="","",IF(INDEX(Velocity!$F$2:$F$3001,MATCH($A201,Velocity!$T$2:$T$3001,0))="","Never",INDEX(Velocity!$F$2:$F$3001,MATCH($A201,Velocity!$T$2:$T$3001,0))))</f>
        <v/>
      </c>
      <c r="F201" s="5"/>
      <c r="G201" s="5"/>
    </row>
    <row r="202" customFormat="false" ht="15" hidden="false" customHeight="false" outlineLevel="0" collapsed="false">
      <c r="A202" s="30" t="str">
        <f aca="false">IF(195&lt;=$B$4,195,"")</f>
        <v/>
      </c>
      <c r="B202" s="5" t="str">
        <f aca="false">IF($A202="","",INDEX(Velocity!$A$2:$A$3001,MATCH($A202,Velocity!$T$2:$T$3001,0)))</f>
        <v/>
      </c>
      <c r="C202" s="5" t="str">
        <f aca="false">IF($A202="","",INDEX(Velocity!$B$2:$B$3001,MATCH($A202,Velocity!$T$2:$T$3001,0)))</f>
        <v/>
      </c>
      <c r="D202" s="30" t="str">
        <f aca="false">IF($A202="","",INDEX(Velocity!$I$2:$I$3001,MATCH($A202,Velocity!$T$2:$T$3001,0)))</f>
        <v/>
      </c>
      <c r="E202" s="29" t="str">
        <f aca="false">IF($A202="","",IF(INDEX(Velocity!$F$2:$F$3001,MATCH($A202,Velocity!$T$2:$T$3001,0))="","Never",INDEX(Velocity!$F$2:$F$3001,MATCH($A202,Velocity!$T$2:$T$3001,0))))</f>
        <v/>
      </c>
      <c r="F202" s="5"/>
      <c r="G202" s="5"/>
    </row>
    <row r="203" customFormat="false" ht="15" hidden="false" customHeight="false" outlineLevel="0" collapsed="false">
      <c r="A203" s="30" t="str">
        <f aca="false">IF(196&lt;=$B$4,196,"")</f>
        <v/>
      </c>
      <c r="B203" s="5" t="str">
        <f aca="false">IF($A203="","",INDEX(Velocity!$A$2:$A$3001,MATCH($A203,Velocity!$T$2:$T$3001,0)))</f>
        <v/>
      </c>
      <c r="C203" s="5" t="str">
        <f aca="false">IF($A203="","",INDEX(Velocity!$B$2:$B$3001,MATCH($A203,Velocity!$T$2:$T$3001,0)))</f>
        <v/>
      </c>
      <c r="D203" s="30" t="str">
        <f aca="false">IF($A203="","",INDEX(Velocity!$I$2:$I$3001,MATCH($A203,Velocity!$T$2:$T$3001,0)))</f>
        <v/>
      </c>
      <c r="E203" s="29" t="str">
        <f aca="false">IF($A203="","",IF(INDEX(Velocity!$F$2:$F$3001,MATCH($A203,Velocity!$T$2:$T$3001,0))="","Never",INDEX(Velocity!$F$2:$F$3001,MATCH($A203,Velocity!$T$2:$T$3001,0))))</f>
        <v/>
      </c>
      <c r="F203" s="5"/>
      <c r="G203" s="5"/>
    </row>
    <row r="204" customFormat="false" ht="15" hidden="false" customHeight="false" outlineLevel="0" collapsed="false">
      <c r="A204" s="30" t="str">
        <f aca="false">IF(197&lt;=$B$4,197,"")</f>
        <v/>
      </c>
      <c r="B204" s="5" t="str">
        <f aca="false">IF($A204="","",INDEX(Velocity!$A$2:$A$3001,MATCH($A204,Velocity!$T$2:$T$3001,0)))</f>
        <v/>
      </c>
      <c r="C204" s="5" t="str">
        <f aca="false">IF($A204="","",INDEX(Velocity!$B$2:$B$3001,MATCH($A204,Velocity!$T$2:$T$3001,0)))</f>
        <v/>
      </c>
      <c r="D204" s="30" t="str">
        <f aca="false">IF($A204="","",INDEX(Velocity!$I$2:$I$3001,MATCH($A204,Velocity!$T$2:$T$3001,0)))</f>
        <v/>
      </c>
      <c r="E204" s="29" t="str">
        <f aca="false">IF($A204="","",IF(INDEX(Velocity!$F$2:$F$3001,MATCH($A204,Velocity!$T$2:$T$3001,0))="","Never",INDEX(Velocity!$F$2:$F$3001,MATCH($A204,Velocity!$T$2:$T$3001,0))))</f>
        <v/>
      </c>
      <c r="F204" s="5"/>
      <c r="G204" s="5"/>
    </row>
    <row r="205" customFormat="false" ht="15" hidden="false" customHeight="false" outlineLevel="0" collapsed="false">
      <c r="A205" s="30" t="str">
        <f aca="false">IF(198&lt;=$B$4,198,"")</f>
        <v/>
      </c>
      <c r="B205" s="5" t="str">
        <f aca="false">IF($A205="","",INDEX(Velocity!$A$2:$A$3001,MATCH($A205,Velocity!$T$2:$T$3001,0)))</f>
        <v/>
      </c>
      <c r="C205" s="5" t="str">
        <f aca="false">IF($A205="","",INDEX(Velocity!$B$2:$B$3001,MATCH($A205,Velocity!$T$2:$T$3001,0)))</f>
        <v/>
      </c>
      <c r="D205" s="30" t="str">
        <f aca="false">IF($A205="","",INDEX(Velocity!$I$2:$I$3001,MATCH($A205,Velocity!$T$2:$T$3001,0)))</f>
        <v/>
      </c>
      <c r="E205" s="29" t="str">
        <f aca="false">IF($A205="","",IF(INDEX(Velocity!$F$2:$F$3001,MATCH($A205,Velocity!$T$2:$T$3001,0))="","Never",INDEX(Velocity!$F$2:$F$3001,MATCH($A205,Velocity!$T$2:$T$3001,0))))</f>
        <v/>
      </c>
      <c r="F205" s="5"/>
      <c r="G205" s="5"/>
    </row>
    <row r="206" customFormat="false" ht="15" hidden="false" customHeight="false" outlineLevel="0" collapsed="false">
      <c r="A206" s="30" t="str">
        <f aca="false">IF(199&lt;=$B$4,199,"")</f>
        <v/>
      </c>
      <c r="B206" s="5" t="str">
        <f aca="false">IF($A206="","",INDEX(Velocity!$A$2:$A$3001,MATCH($A206,Velocity!$T$2:$T$3001,0)))</f>
        <v/>
      </c>
      <c r="C206" s="5" t="str">
        <f aca="false">IF($A206="","",INDEX(Velocity!$B$2:$B$3001,MATCH($A206,Velocity!$T$2:$T$3001,0)))</f>
        <v/>
      </c>
      <c r="D206" s="30" t="str">
        <f aca="false">IF($A206="","",INDEX(Velocity!$I$2:$I$3001,MATCH($A206,Velocity!$T$2:$T$3001,0)))</f>
        <v/>
      </c>
      <c r="E206" s="29" t="str">
        <f aca="false">IF($A206="","",IF(INDEX(Velocity!$F$2:$F$3001,MATCH($A206,Velocity!$T$2:$T$3001,0))="","Never",INDEX(Velocity!$F$2:$F$3001,MATCH($A206,Velocity!$T$2:$T$3001,0))))</f>
        <v/>
      </c>
      <c r="F206" s="5"/>
      <c r="G206" s="5"/>
    </row>
    <row r="207" customFormat="false" ht="15" hidden="false" customHeight="false" outlineLevel="0" collapsed="false">
      <c r="A207" s="30" t="str">
        <f aca="false">IF(200&lt;=$B$4,200,"")</f>
        <v/>
      </c>
      <c r="B207" s="5" t="str">
        <f aca="false">IF($A207="","",INDEX(Velocity!$A$2:$A$3001,MATCH($A207,Velocity!$T$2:$T$3001,0)))</f>
        <v/>
      </c>
      <c r="C207" s="5" t="str">
        <f aca="false">IF($A207="","",INDEX(Velocity!$B$2:$B$3001,MATCH($A207,Velocity!$T$2:$T$3001,0)))</f>
        <v/>
      </c>
      <c r="D207" s="30" t="str">
        <f aca="false">IF($A207="","",INDEX(Velocity!$I$2:$I$3001,MATCH($A207,Velocity!$T$2:$T$3001,0)))</f>
        <v/>
      </c>
      <c r="E207" s="29" t="str">
        <f aca="false">IF($A207="","",IF(INDEX(Velocity!$F$2:$F$3001,MATCH($A207,Velocity!$T$2:$T$3001,0))="","Never",INDEX(Velocity!$F$2:$F$3001,MATCH($A207,Velocity!$T$2:$T$3001,0))))</f>
        <v/>
      </c>
      <c r="F207" s="5"/>
      <c r="G207" s="5"/>
    </row>
  </sheetData>
  <mergeCells count="1">
    <mergeCell ref="B3:C3"/>
  </mergeCells>
  <conditionalFormatting sqref="D8:D207">
    <cfRule type="expression" priority="2" aboveAverage="0" equalAverage="0" bottom="0" percent="0" rank="0" text="" dxfId="0">
      <formula>$D8="A"</formula>
    </cfRule>
    <cfRule type="expression" priority="3" aboveAverage="0" equalAverage="0" bottom="0" percent="0" rank="0" text="" dxfId="1">
      <formula>$D8="B"</formula>
    </cfRule>
    <cfRule type="expression" priority="4" aboveAverage="0" equalAverage="0" bottom="0" percent="0" rank="0" text="" dxfId="2">
      <formula>$D8="C"</formula>
    </cfRule>
    <cfRule type="expression" priority="5" aboveAverage="0" equalAverage="0" bottom="0" percent="0" rank="0" text="" dxfId="3">
      <formula>$D8="D"</formula>
    </cfRule>
  </conditionalFormatting>
  <dataValidations count="1">
    <dataValidation allowBlank="false" errorStyle="stop" operator="between" showDropDown="false" showErrorMessage="false" showInputMessage="false" sqref="B3" type="list">
      <formula1>Calendar!$A$5:$A$56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2026-10-14T16:29:41Z</dcterms:created>
  <dc:creator>openpyxl</dc:creator>
  <dc:description/>
  <dc:language>en-US</dc:language>
  <cp:lastModifiedBy/>
  <dcterms:modified xsi:type="dcterms:W3CDTF">2026-10-14T16:29:42Z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